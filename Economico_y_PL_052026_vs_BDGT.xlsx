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e0f7295f4440489b/Escritorio/"/>
    </mc:Choice>
  </mc:AlternateContent>
  <xr:revisionPtr revIDLastSave="0" documentId="8_{A59F1E5F-AF74-4DEC-A65D-ED09778A3EF8}" xr6:coauthVersionLast="47" xr6:coauthVersionMax="47" xr10:uidLastSave="{00000000-0000-0000-0000-000000000000}"/>
  <bookViews>
    <workbookView xWindow="28680" yWindow="-4050" windowWidth="29040" windowHeight="15720" xr2:uid="{00000000-000D-0000-FFFF-FFFF00000000}"/>
  </bookViews>
  <sheets>
    <sheet name="REAL-BDGT2026" sheetId="1" r:id="rId1"/>
    <sheet name="Trazabilidad" sheetId="2" r:id="rId2"/>
    <sheet name="Premisas" sheetId="3" state="hidden" r:id="rId3"/>
    <sheet name="P&amp;L2026" sheetId="4" r:id="rId4"/>
    <sheet name="Cuentas" sheetId="5" state="hidden" r:id="rId5"/>
    <sheet name="RRHH-IngresVacyBonos" sheetId="6" state="hidden" r:id="rId6"/>
    <sheet name="Flk" sheetId="7" state="hidden" r:id="rId7"/>
    <sheet name="Astra" sheetId="8" state="hidden" r:id="rId8"/>
    <sheet name="Bayer" sheetId="9" state="hidden" r:id="rId9"/>
    <sheet name="Colgate" sheetId="10" state="hidden" r:id="rId10"/>
    <sheet name="HealthC" sheetId="11" state="hidden" r:id="rId11"/>
    <sheet name="SidusFarma" sheetId="12" state="hidden" r:id="rId12"/>
    <sheet name="SidusDermo" sheetId="13" state="hidden" r:id="rId13"/>
    <sheet name="IQVIA" sheetId="14" state="hidden" r:id="rId14"/>
    <sheet name="Panalab Man" sheetId="15" state="hidden" r:id="rId15"/>
    <sheet name="Panalab Dig" sheetId="16" state="hidden" r:id="rId16"/>
    <sheet name="Osseg" sheetId="17" state="hidden" r:id="rId17"/>
    <sheet name="PciaART" sheetId="18" state="hidden" r:id="rId18"/>
    <sheet name="Ceoderma" sheetId="19" state="hidden" r:id="rId19"/>
    <sheet name="MaxVis" sheetId="20" state="hidden" r:id="rId20"/>
    <sheet name="Unyc" sheetId="21" state="hidden" r:id="rId21"/>
    <sheet name="Avanter" sheetId="22" state="hidden" r:id="rId22"/>
    <sheet name="Prosp Nuev Neg Labos" sheetId="23" state="hidden" r:id="rId23"/>
    <sheet name="nuevos proyectos" sheetId="24" state="hidden" r:id="rId24"/>
    <sheet name="polit increm labos" sheetId="25" state="hidden" r:id="rId25"/>
    <sheet name="Detalles" sheetId="26" state="hidden" r:id="rId26"/>
    <sheet name="Reporte_Registros_IQVIA_Serie_T" sheetId="27" state="hidden" r:id="rId27"/>
    <sheet name="Info para Gráficos" sheetId="28" state="hidden" r:id="rId28"/>
  </sheets>
  <externalReferences>
    <externalReference r:id="rId29"/>
    <externalReference r:id="rId30"/>
  </externalReferences>
  <definedNames>
    <definedName name="_xlnm._FilterDatabase" localSheetId="0" hidden="1">'REAL-BDGT2026'!$G$43:$G$174</definedName>
    <definedName name="_xlnm._FilterDatabase" localSheetId="1" hidden="1">Trazabilidad!$A$6:$K$1747</definedName>
    <definedName name="ajdic" localSheetId="23">'[1]Budget 2026'!#REF!</definedName>
    <definedName name="ajdic" localSheetId="5">'[1]Budget 2026'!#REF!</definedName>
    <definedName name="ajdic">'REAL-BDGT2026'!#REF!</definedName>
    <definedName name="dic" localSheetId="23">'[1]Budget 2026'!#REF!</definedName>
    <definedName name="dic" localSheetId="5">'[1]Budget 2026'!#REF!</definedName>
    <definedName name="dic">'REAL-BDGT2026'!#REF!</definedName>
    <definedName name="dolarbnaabr" localSheetId="23">'[1]Budget 2026'!#REF!</definedName>
    <definedName name="dolarbnaabr" localSheetId="5">'[1]Budget 2026'!#REF!</definedName>
    <definedName name="dolarbnaabr">'REAL-BDGT2026'!#REF!</definedName>
    <definedName name="dolarbnaago" localSheetId="23">'[1]Budget 2026'!#REF!</definedName>
    <definedName name="dolarbnaago" localSheetId="5">'[1]Budget 2026'!#REF!</definedName>
    <definedName name="dolarbnaago">'REAL-BDGT2026'!#REF!</definedName>
    <definedName name="dolarbnadic" localSheetId="23">'[1]Budget 2026'!#REF!</definedName>
    <definedName name="dolarbnadic" localSheetId="5">'[1]Budget 2026'!#REF!</definedName>
    <definedName name="dolarbnadic">'REAL-BDGT2026'!#REF!</definedName>
    <definedName name="dolarbnaene" localSheetId="23">'[1]Budget 2026'!$I$219</definedName>
    <definedName name="dolarbnaene" localSheetId="5">'[1]Budget 2026'!$I$219</definedName>
    <definedName name="dolarbnaene">'REAL-BDGT2026'!$I$203</definedName>
    <definedName name="dolarbnafeb" localSheetId="23">'[1]Budget 2026'!#REF!</definedName>
    <definedName name="dolarbnafeb" localSheetId="5">'[1]Budget 2026'!#REF!</definedName>
    <definedName name="dolarbnafeb">'REAL-BDGT2026'!#REF!</definedName>
    <definedName name="dolarbnajul" localSheetId="23">'[1]Budget 2026'!#REF!</definedName>
    <definedName name="dolarbnajul" localSheetId="5">'[1]Budget 2026'!#REF!</definedName>
    <definedName name="dolarbnajul">'REAL-BDGT2026'!#REF!</definedName>
    <definedName name="dolarbnajun" localSheetId="23">'[1]Budget 2026'!#REF!</definedName>
    <definedName name="dolarbnajun" localSheetId="5">'[1]Budget 2026'!#REF!</definedName>
    <definedName name="dolarbnajun">'REAL-BDGT2026'!#REF!</definedName>
    <definedName name="dolarbnamar" localSheetId="23">'[1]Budget 2026'!#REF!</definedName>
    <definedName name="dolarbnamar" localSheetId="5">'[1]Budget 2026'!#REF!</definedName>
    <definedName name="dolarbnamar">'REAL-BDGT2026'!#REF!</definedName>
    <definedName name="dolarbnamay" localSheetId="23">'[1]Budget 2026'!#REF!</definedName>
    <definedName name="dolarbnamay" localSheetId="5">'[1]Budget 2026'!#REF!</definedName>
    <definedName name="dolarbnamay">'REAL-BDGT2026'!#REF!</definedName>
    <definedName name="dolarbnanov" localSheetId="23">'[1]Budget 2026'!#REF!</definedName>
    <definedName name="dolarbnanov" localSheetId="5">'[1]Budget 2026'!#REF!</definedName>
    <definedName name="dolarbnanov">'REAL-BDGT2026'!#REF!</definedName>
    <definedName name="dolarbnaoct" localSheetId="23">'[1]Budget 2026'!#REF!</definedName>
    <definedName name="dolarbnaoct" localSheetId="5">'[1]Budget 2026'!#REF!</definedName>
    <definedName name="dolarbnaoct">'REAL-BDGT2026'!#REF!</definedName>
    <definedName name="dolarbnasep" localSheetId="23">'[1]Budget 2026'!#REF!</definedName>
    <definedName name="dolarbnasep" localSheetId="5">'[1]Budget 2026'!#REF!</definedName>
    <definedName name="dolarbnasep">'REAL-BDGT2026'!#REF!</definedName>
    <definedName name="dolarmepabr" localSheetId="23">'[1]Budget 2026'!#REF!</definedName>
    <definedName name="dolarmepabr" localSheetId="5">'[1]Budget 2026'!#REF!</definedName>
    <definedName name="dolarmepabr">'REAL-BDGT2026'!#REF!</definedName>
    <definedName name="dolarmepago" localSheetId="23">'[1]Budget 2026'!#REF!</definedName>
    <definedName name="dolarmepago" localSheetId="5">'[1]Budget 2026'!#REF!</definedName>
    <definedName name="dolarmepago">'REAL-BDGT2026'!#REF!</definedName>
    <definedName name="dolarmepdic" localSheetId="23">'[1]Budget 2026'!#REF!</definedName>
    <definedName name="dolarmepdic" localSheetId="5">'[1]Budget 2026'!#REF!</definedName>
    <definedName name="dolarmepdic">'REAL-BDGT2026'!#REF!</definedName>
    <definedName name="dolarmepene">'REAL-BDGT2026'!$I$202</definedName>
    <definedName name="dolarmepfeb" localSheetId="23">'[1]Budget 2026'!#REF!</definedName>
    <definedName name="dolarmepfeb" localSheetId="5">'[1]Budget 2026'!#REF!</definedName>
    <definedName name="dolarmepfeb">'REAL-BDGT2026'!#REF!</definedName>
    <definedName name="dolarmepjul" localSheetId="23">'[1]Budget 2026'!#REF!</definedName>
    <definedName name="dolarmepjul" localSheetId="5">'[1]Budget 2026'!#REF!</definedName>
    <definedName name="dolarmepjul">'REAL-BDGT2026'!#REF!</definedName>
    <definedName name="dolarmepjun" localSheetId="23">'[1]Budget 2026'!#REF!</definedName>
    <definedName name="dolarmepjun" localSheetId="5">'[1]Budget 2026'!#REF!</definedName>
    <definedName name="dolarmepjun">'REAL-BDGT2026'!#REF!</definedName>
    <definedName name="dolarmepmar" localSheetId="23">'[1]Budget 2026'!#REF!</definedName>
    <definedName name="dolarmepmar" localSheetId="5">'[1]Budget 2026'!#REF!</definedName>
    <definedName name="dolarmepmar">'REAL-BDGT2026'!#REF!</definedName>
    <definedName name="dolarmepmay" localSheetId="23">'[1]Budget 2026'!#REF!</definedName>
    <definedName name="dolarmepmay" localSheetId="5">'[1]Budget 2026'!#REF!</definedName>
    <definedName name="dolarmepmay">'REAL-BDGT2026'!#REF!</definedName>
    <definedName name="dolarmepnov" localSheetId="23">'[1]Budget 2026'!#REF!</definedName>
    <definedName name="dolarmepnov" localSheetId="5">'[1]Budget 2026'!#REF!</definedName>
    <definedName name="dolarmepnov">'REAL-BDGT2026'!#REF!</definedName>
    <definedName name="dolarmepoct" localSheetId="23">'[1]Budget 2026'!#REF!</definedName>
    <definedName name="dolarmepoct" localSheetId="5">'[1]Budget 2026'!#REF!</definedName>
    <definedName name="dolarmepoct">'REAL-BDGT2026'!#REF!</definedName>
    <definedName name="dolarmepsep" localSheetId="23">'[1]Budget 2026'!#REF!</definedName>
    <definedName name="dolarmepsep" localSheetId="5">'[1]Budget 2026'!#REF!</definedName>
    <definedName name="dolarmepsep">'REAL-BDGT2026'!#REF!</definedName>
    <definedName name="ipcabr" localSheetId="23">'[1]Budget 2026'!#REF!</definedName>
    <definedName name="ipcabr" localSheetId="5">'[1]Budget 2026'!#REF!</definedName>
    <definedName name="ipcabr">'REAL-BDGT2026'!#REF!</definedName>
    <definedName name="ipcago" localSheetId="23">'[1]Budget 2026'!#REF!</definedName>
    <definedName name="ipcago" localSheetId="5">'[1]Budget 2026'!#REF!</definedName>
    <definedName name="ipcago">'REAL-BDGT2026'!#REF!</definedName>
    <definedName name="ipcdic" localSheetId="23">'[1]Budget 2026'!#REF!</definedName>
    <definedName name="ipcdic" localSheetId="5">'[1]Budget 2026'!#REF!</definedName>
    <definedName name="ipcdic">'REAL-BDGT2026'!#REF!</definedName>
    <definedName name="ipcene" localSheetId="23">'[1]Budget 2026'!$I$213</definedName>
    <definedName name="ipcene" localSheetId="5">'[1]Budget 2026'!$I$213</definedName>
    <definedName name="ipcene">'REAL-BDGT2026'!$I$196</definedName>
    <definedName name="ipcfeb" localSheetId="23">'[1]Budget 2026'!#REF!</definedName>
    <definedName name="ipcfeb" localSheetId="5">'[1]Budget 2026'!#REF!</definedName>
    <definedName name="ipcfeb">'REAL-BDGT2026'!#REF!</definedName>
    <definedName name="ipcjul" localSheetId="23">'[1]Budget 2026'!#REF!</definedName>
    <definedName name="ipcjul" localSheetId="5">'[1]Budget 2026'!#REF!</definedName>
    <definedName name="ipcjul">'REAL-BDGT2026'!#REF!</definedName>
    <definedName name="ipcjun" localSheetId="23">'[1]Budget 2026'!#REF!</definedName>
    <definedName name="ipcjun" localSheetId="5">'[1]Budget 2026'!#REF!</definedName>
    <definedName name="ipcjun">'REAL-BDGT2026'!#REF!</definedName>
    <definedName name="ipcmar" localSheetId="23">'[1]Budget 2026'!#REF!</definedName>
    <definedName name="ipcmar" localSheetId="5">'[1]Budget 2026'!#REF!</definedName>
    <definedName name="ipcmar">'REAL-BDGT2026'!#REF!</definedName>
    <definedName name="ipcmay" localSheetId="23">'[1]Budget 2026'!#REF!</definedName>
    <definedName name="ipcmay" localSheetId="5">'[1]Budget 2026'!#REF!</definedName>
    <definedName name="ipcmay">'REAL-BDGT2026'!#REF!</definedName>
    <definedName name="ipcnov" localSheetId="23">'[1]Budget 2026'!#REF!</definedName>
    <definedName name="ipcnov" localSheetId="5">'[1]Budget 2026'!#REF!</definedName>
    <definedName name="ipcnov">'REAL-BDGT2026'!#REF!</definedName>
    <definedName name="ipcoct" localSheetId="23">'[1]Budget 2026'!#REF!</definedName>
    <definedName name="ipcoct" localSheetId="5">'[1]Budget 2026'!#REF!</definedName>
    <definedName name="ipcoct">'REAL-BDGT2026'!#REF!</definedName>
    <definedName name="ipcsep" localSheetId="23">'[1]Budget 2026'!#REF!</definedName>
    <definedName name="ipcsep" localSheetId="5">'[1]Budget 2026'!#REF!</definedName>
    <definedName name="ipcsep">'REAL-BDGT2026'!#REF!</definedName>
    <definedName name="ipctrimabr" localSheetId="23">'[1]Budget 2026'!#REF!</definedName>
    <definedName name="ipctrimabr" localSheetId="5">'[1]Budget 2026'!#REF!</definedName>
    <definedName name="ipctrimabr">'REAL-BDGT2026'!#REF!</definedName>
    <definedName name="ipctrimago" localSheetId="23">'[1]Budget 2026'!#REF!</definedName>
    <definedName name="ipctrimago" localSheetId="5">'[1]Budget 2026'!#REF!</definedName>
    <definedName name="ipctrimago">'REAL-BDGT2026'!#REF!</definedName>
    <definedName name="ipctrimdic" localSheetId="23">'[1]Budget 2026'!#REF!</definedName>
    <definedName name="ipctrimdic" localSheetId="5">'[1]Budget 2026'!#REF!</definedName>
    <definedName name="ipctrimdic">'REAL-BDGT2026'!#REF!</definedName>
    <definedName name="ipctrimene">'REAL-BDGT2026'!$I$198</definedName>
    <definedName name="ipctrimfeb" localSheetId="23">'[1]Budget 2026'!#REF!</definedName>
    <definedName name="ipctrimfeb" localSheetId="5">'[1]Budget 2026'!#REF!</definedName>
    <definedName name="ipctrimfeb">'REAL-BDGT2026'!#REF!</definedName>
    <definedName name="ipctrimjul" localSheetId="23">'[1]Budget 2026'!#REF!</definedName>
    <definedName name="ipctrimjul" localSheetId="5">'[1]Budget 2026'!#REF!</definedName>
    <definedName name="ipctrimjul">'REAL-BDGT2026'!#REF!</definedName>
    <definedName name="ipctrimjun" localSheetId="23">'[1]Budget 2026'!#REF!</definedName>
    <definedName name="ipctrimjun" localSheetId="5">'[1]Budget 2026'!#REF!</definedName>
    <definedName name="ipctrimjun">'REAL-BDGT2026'!#REF!</definedName>
    <definedName name="ipctrimmar" localSheetId="23">'[1]Budget 2026'!#REF!</definedName>
    <definedName name="ipctrimmar" localSheetId="5">'[1]Budget 2026'!#REF!</definedName>
    <definedName name="ipctrimmar">'REAL-BDGT2026'!#REF!</definedName>
    <definedName name="ipctrimmay" localSheetId="23">'[1]Budget 2026'!#REF!</definedName>
    <definedName name="ipctrimmay" localSheetId="5">'[1]Budget 2026'!#REF!</definedName>
    <definedName name="ipctrimmay">'REAL-BDGT2026'!#REF!</definedName>
    <definedName name="ipctrimnov" localSheetId="23">'[1]Budget 2026'!#REF!</definedName>
    <definedName name="ipctrimnov" localSheetId="5">'[1]Budget 2026'!#REF!</definedName>
    <definedName name="ipctrimnov">'REAL-BDGT2026'!#REF!</definedName>
    <definedName name="ipctrimoct" localSheetId="23">'[1]Budget 2026'!#REF!</definedName>
    <definedName name="ipctrimoct" localSheetId="5">'[1]Budget 2026'!#REF!</definedName>
    <definedName name="ipctrimoct">'REAL-BDGT2026'!#REF!</definedName>
    <definedName name="ipctrimsep" localSheetId="23">'[1]Budget 2026'!#REF!</definedName>
    <definedName name="ipctrimsep" localSheetId="5">'[1]Budget 2026'!#REF!</definedName>
    <definedName name="ipctrimsep">'REAL-BDGT2026'!#REF!</definedName>
    <definedName name="multdic" localSheetId="23">'[1]Budget 2026'!#REF!</definedName>
    <definedName name="multdic" localSheetId="5">'[1]Budget 2026'!#REF!</definedName>
    <definedName name="multdic">'REAL-BDGT2026'!#REF!</definedName>
    <definedName name="sueldosdic" localSheetId="23">'[1]Budget 2026'!#REF!</definedName>
    <definedName name="sueldosdic" localSheetId="5">'[1]Budget 2026'!#REF!</definedName>
    <definedName name="sueldosdic">'REAL-BDGT2026'!#REF!</definedName>
    <definedName name="tmp_XLS">#REF!</definedName>
    <definedName name="USD">[2]AR200013!$H$2</definedName>
    <definedName name="usddic" localSheetId="23">'[1]Budget 2026'!$T$219</definedName>
    <definedName name="usddic" localSheetId="5">'[1]Budget 2026'!$T$219</definedName>
    <definedName name="usddic">'REAL-BDGT2026'!$T$203</definedName>
    <definedName name="usdnov" localSheetId="23">'[1]Budget 2026'!$S$219</definedName>
    <definedName name="usdnov" localSheetId="5">'[1]Budget 2026'!$S$219</definedName>
    <definedName name="usdnov">'REAL-BDGT2026'!$S$203</definedName>
    <definedName name="usdoct" localSheetId="23">'[1]Budget 2026'!$R$219</definedName>
    <definedName name="usdoct" localSheetId="5">'[1]Budget 2026'!$R$219</definedName>
    <definedName name="usdoct">'REAL-BDGT2026'!$R$203</definedName>
    <definedName name="usdsep" localSheetId="23">'[1]Budget 2026'!$Q$219</definedName>
    <definedName name="usdsep" localSheetId="5">'[1]Budget 2026'!$Q$219</definedName>
    <definedName name="usdsep">'REAL-BDGT2026'!$Q$203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61" i="1" l="1"/>
  <c r="M310" i="2"/>
  <c r="M169" i="1"/>
  <c r="M46" i="1"/>
  <c r="AE6" i="4"/>
  <c r="AE5" i="4"/>
  <c r="AE4" i="4"/>
  <c r="AE3" i="4"/>
  <c r="AE14" i="4"/>
  <c r="AE13" i="4"/>
  <c r="AE12" i="4"/>
  <c r="AE11" i="4"/>
  <c r="AE10" i="4"/>
  <c r="AE9" i="4"/>
  <c r="AE8" i="4"/>
  <c r="AE23" i="4"/>
  <c r="AE22" i="4"/>
  <c r="AE21" i="4"/>
  <c r="AE20" i="4"/>
  <c r="AE19" i="4"/>
  <c r="AE18" i="4"/>
  <c r="AE17" i="4"/>
  <c r="AE15" i="4"/>
  <c r="C6" i="28"/>
  <c r="B6" i="28"/>
  <c r="O27" i="27"/>
  <c r="K26" i="27"/>
  <c r="J26" i="27"/>
  <c r="I26" i="27"/>
  <c r="H26" i="27"/>
  <c r="G26" i="27"/>
  <c r="F26" i="27"/>
  <c r="E26" i="27"/>
  <c r="D26" i="27"/>
  <c r="C26" i="27"/>
  <c r="O20" i="27"/>
  <c r="K6" i="27"/>
  <c r="J6" i="27"/>
  <c r="I6" i="27"/>
  <c r="H6" i="27"/>
  <c r="G6" i="27"/>
  <c r="F6" i="27"/>
  <c r="E6" i="27"/>
  <c r="D6" i="27"/>
  <c r="C6" i="27"/>
  <c r="K5" i="27"/>
  <c r="J5" i="27"/>
  <c r="I5" i="27"/>
  <c r="H5" i="27"/>
  <c r="G5" i="27"/>
  <c r="F5" i="27"/>
  <c r="E5" i="27"/>
  <c r="D5" i="27"/>
  <c r="C5" i="27"/>
  <c r="L3" i="27"/>
  <c r="I5" i="26"/>
  <c r="G5" i="26"/>
  <c r="I4" i="26"/>
  <c r="G4" i="26"/>
  <c r="I3" i="26"/>
  <c r="G3" i="26"/>
  <c r="O7" i="23"/>
  <c r="N7" i="23"/>
  <c r="M7" i="23"/>
  <c r="L7" i="23"/>
  <c r="K7" i="23"/>
  <c r="J7" i="23"/>
  <c r="O6" i="23"/>
  <c r="N6" i="23"/>
  <c r="M6" i="23"/>
  <c r="L6" i="23"/>
  <c r="K6" i="23"/>
  <c r="J6" i="23"/>
  <c r="I6" i="23"/>
  <c r="O5" i="23"/>
  <c r="N5" i="23"/>
  <c r="M5" i="23"/>
  <c r="L5" i="23"/>
  <c r="K5" i="23"/>
  <c r="J5" i="23"/>
  <c r="I5" i="23"/>
  <c r="H5" i="23"/>
  <c r="G5" i="23"/>
  <c r="F5" i="23"/>
  <c r="E5" i="23"/>
  <c r="D5" i="23"/>
  <c r="O4" i="23"/>
  <c r="N4" i="23"/>
  <c r="M4" i="23"/>
  <c r="L4" i="23"/>
  <c r="K4" i="23"/>
  <c r="J4" i="23"/>
  <c r="I4" i="23"/>
  <c r="H4" i="23"/>
  <c r="G4" i="23"/>
  <c r="O3" i="23"/>
  <c r="N3" i="23"/>
  <c r="M3" i="23"/>
  <c r="L3" i="23"/>
  <c r="K3" i="23"/>
  <c r="J3" i="23"/>
  <c r="I3" i="23"/>
  <c r="H3" i="23"/>
  <c r="G3" i="23"/>
  <c r="AL85" i="22"/>
  <c r="AF85" i="22"/>
  <c r="AB85" i="22"/>
  <c r="V84" i="22"/>
  <c r="T84" i="22"/>
  <c r="R84" i="22"/>
  <c r="AF83" i="22"/>
  <c r="AD83" i="22"/>
  <c r="AB83" i="22"/>
  <c r="Z83" i="22"/>
  <c r="AP81" i="22"/>
  <c r="AL80" i="22"/>
  <c r="AJ80" i="22"/>
  <c r="AF80" i="22"/>
  <c r="AD80" i="22"/>
  <c r="Z80" i="22"/>
  <c r="X80" i="22"/>
  <c r="V80" i="22"/>
  <c r="T80" i="22"/>
  <c r="S80" i="22"/>
  <c r="R80" i="22"/>
  <c r="AP77" i="22"/>
  <c r="T76" i="22"/>
  <c r="I76" i="22"/>
  <c r="AO72" i="22"/>
  <c r="Q72" i="22"/>
  <c r="AO71" i="22"/>
  <c r="AO70" i="22"/>
  <c r="J62" i="22"/>
  <c r="S56" i="22"/>
  <c r="Q55" i="22"/>
  <c r="K55" i="22"/>
  <c r="J46" i="22"/>
  <c r="AM44" i="22"/>
  <c r="AK44" i="22"/>
  <c r="AI44" i="22"/>
  <c r="AG44" i="22"/>
  <c r="AE44" i="22"/>
  <c r="AC44" i="22"/>
  <c r="AA44" i="22"/>
  <c r="Y44" i="22"/>
  <c r="W44" i="22"/>
  <c r="M44" i="22"/>
  <c r="K44" i="22"/>
  <c r="C40" i="22"/>
  <c r="J39" i="22"/>
  <c r="J38" i="22"/>
  <c r="J37" i="22"/>
  <c r="J36" i="22"/>
  <c r="J35" i="22"/>
  <c r="J34" i="22"/>
  <c r="J33" i="22"/>
  <c r="J32" i="22"/>
  <c r="J31" i="22"/>
  <c r="J30" i="22"/>
  <c r="J29" i="22"/>
  <c r="J28" i="22"/>
  <c r="J27" i="22"/>
  <c r="J26" i="22"/>
  <c r="AM22" i="22"/>
  <c r="AK22" i="22"/>
  <c r="AI22" i="22"/>
  <c r="AG22" i="22"/>
  <c r="AE22" i="22"/>
  <c r="AC22" i="22"/>
  <c r="AA22" i="22"/>
  <c r="Y22" i="22"/>
  <c r="W22" i="22"/>
  <c r="M22" i="22"/>
  <c r="K22" i="22"/>
  <c r="J19" i="22"/>
  <c r="J18" i="22"/>
  <c r="J17" i="22"/>
  <c r="J16" i="22"/>
  <c r="J15" i="22"/>
  <c r="J14" i="22"/>
  <c r="J13" i="22"/>
  <c r="J12" i="22"/>
  <c r="J11" i="22"/>
  <c r="J10" i="22"/>
  <c r="J9" i="22"/>
  <c r="J8" i="22"/>
  <c r="J7" i="22"/>
  <c r="J6" i="22"/>
  <c r="M1" i="22"/>
  <c r="E43" i="21"/>
  <c r="G34" i="21"/>
  <c r="F34" i="21"/>
  <c r="F13" i="21"/>
  <c r="L8" i="20"/>
  <c r="K7" i="20"/>
  <c r="G5" i="20"/>
  <c r="E5" i="20"/>
  <c r="L8" i="19"/>
  <c r="K7" i="19"/>
  <c r="G5" i="19"/>
  <c r="E5" i="19"/>
  <c r="U10" i="18"/>
  <c r="J5" i="18"/>
  <c r="I4" i="18"/>
  <c r="E3" i="18"/>
  <c r="X19" i="17"/>
  <c r="Q19" i="17"/>
  <c r="AB16" i="17"/>
  <c r="Z16" i="17"/>
  <c r="K14" i="17"/>
  <c r="H14" i="17"/>
  <c r="I9" i="17"/>
  <c r="H9" i="17"/>
  <c r="V8" i="17"/>
  <c r="S8" i="17"/>
  <c r="J8" i="17"/>
  <c r="U7" i="17"/>
  <c r="R7" i="17"/>
  <c r="L7" i="17"/>
  <c r="G7" i="17"/>
  <c r="F7" i="17"/>
  <c r="J6" i="17"/>
  <c r="I6" i="17"/>
  <c r="V5" i="17"/>
  <c r="S5" i="17"/>
  <c r="I5" i="17"/>
  <c r="E5" i="17"/>
  <c r="D5" i="17"/>
  <c r="C5" i="17"/>
  <c r="O4" i="17"/>
  <c r="O2" i="17"/>
  <c r="L2" i="17"/>
  <c r="F2" i="17"/>
  <c r="C2" i="17"/>
  <c r="C58" i="16"/>
  <c r="D57" i="16"/>
  <c r="C55" i="16"/>
  <c r="C49" i="16"/>
  <c r="G42" i="16"/>
  <c r="H41" i="16"/>
  <c r="G41" i="16"/>
  <c r="G40" i="16"/>
  <c r="H36" i="16"/>
  <c r="L35" i="16" a="1"/>
  <c r="L35" i="16"/>
  <c r="J35" i="16" a="1"/>
  <c r="J35" i="16"/>
  <c r="H35" i="16" a="1"/>
  <c r="H35" i="16"/>
  <c r="AJ28" i="16"/>
  <c r="AH28" i="16"/>
  <c r="AF28" i="16"/>
  <c r="AD28" i="16"/>
  <c r="AB28" i="16"/>
  <c r="Z28" i="16"/>
  <c r="X28" i="16"/>
  <c r="V28" i="16"/>
  <c r="T28" i="16"/>
  <c r="H28" i="16"/>
  <c r="G25" i="16"/>
  <c r="E25" i="16"/>
  <c r="J20" i="16"/>
  <c r="H17" i="16"/>
  <c r="G17" i="16"/>
  <c r="J9" i="16"/>
  <c r="G6" i="16"/>
  <c r="C6" i="16"/>
  <c r="G5" i="16"/>
  <c r="E5" i="16"/>
  <c r="B37" i="15"/>
  <c r="H36" i="15"/>
  <c r="G36" i="15"/>
  <c r="F36" i="15"/>
  <c r="B36" i="15"/>
  <c r="C29" i="15"/>
  <c r="F23" i="15"/>
  <c r="D23" i="15"/>
  <c r="C23" i="15"/>
  <c r="F21" i="15"/>
  <c r="H13" i="15"/>
  <c r="F13" i="15"/>
  <c r="D13" i="15"/>
  <c r="D10" i="15"/>
  <c r="D9" i="15"/>
  <c r="C9" i="15"/>
  <c r="D6" i="15"/>
  <c r="F5" i="15"/>
  <c r="D5" i="15"/>
  <c r="C5" i="15"/>
  <c r="D4" i="15"/>
  <c r="H3" i="15"/>
  <c r="E3" i="15"/>
  <c r="C3" i="15"/>
  <c r="F1" i="15"/>
  <c r="D30" i="14"/>
  <c r="C30" i="14"/>
  <c r="C29" i="14"/>
  <c r="H25" i="14"/>
  <c r="H17" i="14"/>
  <c r="E17" i="14"/>
  <c r="H15" i="14"/>
  <c r="D3" i="14"/>
  <c r="C3" i="14"/>
  <c r="W65" i="13"/>
  <c r="F65" i="13"/>
  <c r="W64" i="13"/>
  <c r="F64" i="13"/>
  <c r="W63" i="13"/>
  <c r="F63" i="13"/>
  <c r="H62" i="13"/>
  <c r="G62" i="13"/>
  <c r="F62" i="13"/>
  <c r="H61" i="13"/>
  <c r="F61" i="13"/>
  <c r="B38" i="13"/>
  <c r="B25" i="13"/>
  <c r="I19" i="13"/>
  <c r="H19" i="13"/>
  <c r="G19" i="13"/>
  <c r="J18" i="13"/>
  <c r="N17" i="13"/>
  <c r="M17" i="13"/>
  <c r="L17" i="13"/>
  <c r="K17" i="13"/>
  <c r="J17" i="13"/>
  <c r="H17" i="13"/>
  <c r="N14" i="13"/>
  <c r="M14" i="13"/>
  <c r="L14" i="13"/>
  <c r="K14" i="13"/>
  <c r="J14" i="13"/>
  <c r="H14" i="13"/>
  <c r="G14" i="13"/>
  <c r="F14" i="13"/>
  <c r="U12" i="13"/>
  <c r="T12" i="13"/>
  <c r="S12" i="13"/>
  <c r="R12" i="13"/>
  <c r="Q12" i="13"/>
  <c r="P12" i="13"/>
  <c r="O12" i="13"/>
  <c r="N12" i="13"/>
  <c r="M12" i="13"/>
  <c r="L12" i="13"/>
  <c r="K12" i="13"/>
  <c r="J12" i="13"/>
  <c r="G12" i="13"/>
  <c r="X7" i="13"/>
  <c r="G7" i="13"/>
  <c r="F7" i="13"/>
  <c r="X6" i="13"/>
  <c r="G6" i="13"/>
  <c r="F6" i="13"/>
  <c r="X5" i="13"/>
  <c r="G5" i="13"/>
  <c r="F5" i="13"/>
  <c r="H4" i="13"/>
  <c r="J10" i="12"/>
  <c r="I10" i="12"/>
  <c r="H10" i="12"/>
  <c r="G7" i="12"/>
  <c r="M6" i="12"/>
  <c r="H6" i="12"/>
  <c r="D5" i="12"/>
  <c r="C5" i="12"/>
  <c r="I4" i="12"/>
  <c r="H7" i="11"/>
  <c r="G7" i="11"/>
  <c r="F7" i="11"/>
  <c r="I6" i="11"/>
  <c r="I4" i="11"/>
  <c r="F4" i="11"/>
  <c r="G2" i="11"/>
  <c r="M6" i="10"/>
  <c r="L6" i="10"/>
  <c r="K6" i="10"/>
  <c r="H6" i="10"/>
  <c r="G6" i="10"/>
  <c r="F6" i="10"/>
  <c r="F4" i="10"/>
  <c r="G2" i="10"/>
  <c r="M6" i="9"/>
  <c r="L6" i="9"/>
  <c r="K6" i="9"/>
  <c r="H6" i="9"/>
  <c r="G6" i="9"/>
  <c r="F6" i="9"/>
  <c r="E4" i="9"/>
  <c r="G2" i="9"/>
  <c r="G69" i="8"/>
  <c r="D69" i="8"/>
  <c r="K59" i="8"/>
  <c r="M49" i="8"/>
  <c r="E49" i="8"/>
  <c r="B47" i="8"/>
  <c r="I39" i="8"/>
  <c r="C39" i="8"/>
  <c r="C38" i="8"/>
  <c r="C37" i="8"/>
  <c r="C36" i="8"/>
  <c r="C35" i="8"/>
  <c r="C34" i="8"/>
  <c r="AX27" i="8"/>
  <c r="AU27" i="8"/>
  <c r="AR27" i="8"/>
  <c r="AO27" i="8"/>
  <c r="AL27" i="8"/>
  <c r="AI27" i="8"/>
  <c r="AF27" i="8"/>
  <c r="AC27" i="8"/>
  <c r="Z27" i="8"/>
  <c r="W27" i="8"/>
  <c r="T27" i="8"/>
  <c r="Q27" i="8"/>
  <c r="G27" i="8"/>
  <c r="F27" i="8"/>
  <c r="E27" i="8"/>
  <c r="G26" i="8"/>
  <c r="F26" i="8"/>
  <c r="E26" i="8"/>
  <c r="AX25" i="8"/>
  <c r="AW25" i="8"/>
  <c r="AV25" i="8"/>
  <c r="AU25" i="8"/>
  <c r="AT25" i="8"/>
  <c r="AS25" i="8"/>
  <c r="AR25" i="8"/>
  <c r="AQ25" i="8"/>
  <c r="AP25" i="8"/>
  <c r="AO25" i="8"/>
  <c r="AN25" i="8"/>
  <c r="AM25" i="8"/>
  <c r="AL25" i="8"/>
  <c r="AK25" i="8"/>
  <c r="AJ25" i="8"/>
  <c r="AI25" i="8"/>
  <c r="AH25" i="8"/>
  <c r="AG25" i="8"/>
  <c r="AF25" i="8"/>
  <c r="AE25" i="8"/>
  <c r="AD25" i="8"/>
  <c r="AC25" i="8"/>
  <c r="AB25" i="8"/>
  <c r="AA25" i="8"/>
  <c r="Z25" i="8"/>
  <c r="Y25" i="8"/>
  <c r="X25" i="8"/>
  <c r="W25" i="8"/>
  <c r="V25" i="8"/>
  <c r="U25" i="8"/>
  <c r="T25" i="8"/>
  <c r="S25" i="8"/>
  <c r="R25" i="8"/>
  <c r="Q25" i="8"/>
  <c r="P25" i="8"/>
  <c r="O25" i="8"/>
  <c r="N25" i="8"/>
  <c r="M25" i="8"/>
  <c r="L25" i="8"/>
  <c r="K25" i="8"/>
  <c r="J25" i="8"/>
  <c r="I25" i="8"/>
  <c r="H25" i="8"/>
  <c r="G25" i="8"/>
  <c r="F25" i="8"/>
  <c r="G22" i="8"/>
  <c r="E22" i="8"/>
  <c r="G21" i="8"/>
  <c r="E21" i="8"/>
  <c r="AV19" i="8"/>
  <c r="AS19" i="8"/>
  <c r="AP19" i="8"/>
  <c r="AM19" i="8"/>
  <c r="AJ19" i="8"/>
  <c r="AG19" i="8"/>
  <c r="AD19" i="8"/>
  <c r="AA19" i="8"/>
  <c r="X19" i="8"/>
  <c r="U19" i="8"/>
  <c r="R19" i="8"/>
  <c r="O19" i="8"/>
  <c r="L19" i="8"/>
  <c r="I19" i="8"/>
  <c r="F19" i="8"/>
  <c r="J16" i="8"/>
  <c r="AE15" i="8"/>
  <c r="AB15" i="8"/>
  <c r="Y15" i="8"/>
  <c r="V15" i="8"/>
  <c r="S15" i="8"/>
  <c r="P15" i="8"/>
  <c r="M15" i="8"/>
  <c r="J15" i="8"/>
  <c r="G11" i="8"/>
  <c r="F11" i="8"/>
  <c r="E11" i="8"/>
  <c r="S10" i="8"/>
  <c r="R10" i="8"/>
  <c r="Q10" i="8"/>
  <c r="J10" i="8"/>
  <c r="F10" i="8"/>
  <c r="E10" i="8"/>
  <c r="F9" i="8"/>
  <c r="D9" i="8"/>
  <c r="F8" i="8"/>
  <c r="D8" i="8"/>
  <c r="F7" i="8"/>
  <c r="D7" i="8"/>
  <c r="F6" i="8"/>
  <c r="D6" i="8"/>
  <c r="F5" i="8"/>
  <c r="D5" i="8"/>
  <c r="F4" i="8"/>
  <c r="D4" i="8"/>
  <c r="M114" i="7"/>
  <c r="L114" i="7"/>
  <c r="K114" i="7"/>
  <c r="J114" i="7"/>
  <c r="I114" i="7"/>
  <c r="H114" i="7"/>
  <c r="G114" i="7"/>
  <c r="F114" i="7"/>
  <c r="E114" i="7"/>
  <c r="D114" i="7"/>
  <c r="C114" i="7"/>
  <c r="B114" i="7"/>
  <c r="N113" i="7"/>
  <c r="N112" i="7"/>
  <c r="N111" i="7"/>
  <c r="N110" i="7"/>
  <c r="N109" i="7"/>
  <c r="N108" i="7"/>
  <c r="N107" i="7"/>
  <c r="N106" i="7"/>
  <c r="N103" i="7"/>
  <c r="N102" i="7"/>
  <c r="N101" i="7"/>
  <c r="N100" i="7"/>
  <c r="N99" i="7"/>
  <c r="N98" i="7"/>
  <c r="N97" i="7"/>
  <c r="N96" i="7"/>
  <c r="N93" i="7"/>
  <c r="N92" i="7"/>
  <c r="N91" i="7"/>
  <c r="N90" i="7"/>
  <c r="N89" i="7"/>
  <c r="N88" i="7"/>
  <c r="N87" i="7"/>
  <c r="N86" i="7"/>
  <c r="F71" i="7"/>
  <c r="E71" i="7"/>
  <c r="D71" i="7"/>
  <c r="C71" i="7"/>
  <c r="B71" i="7"/>
  <c r="M60" i="7"/>
  <c r="L60" i="7"/>
  <c r="K60" i="7"/>
  <c r="J60" i="7"/>
  <c r="I60" i="7"/>
  <c r="H60" i="7"/>
  <c r="G60" i="7"/>
  <c r="F60" i="7"/>
  <c r="E60" i="7"/>
  <c r="D60" i="7"/>
  <c r="C60" i="7"/>
  <c r="B60" i="7"/>
  <c r="F59" i="7"/>
  <c r="C58" i="7"/>
  <c r="M57" i="7"/>
  <c r="L57" i="7"/>
  <c r="K57" i="7"/>
  <c r="J57" i="7"/>
  <c r="I57" i="7"/>
  <c r="H57" i="7"/>
  <c r="G57" i="7"/>
  <c r="F57" i="7"/>
  <c r="E57" i="7"/>
  <c r="D57" i="7"/>
  <c r="C57" i="7"/>
  <c r="B57" i="7"/>
  <c r="M56" i="7"/>
  <c r="L56" i="7"/>
  <c r="K56" i="7"/>
  <c r="J56" i="7"/>
  <c r="I56" i="7"/>
  <c r="H56" i="7"/>
  <c r="G56" i="7"/>
  <c r="F56" i="7"/>
  <c r="E56" i="7"/>
  <c r="D56" i="7"/>
  <c r="C56" i="7"/>
  <c r="B56" i="7"/>
  <c r="M55" i="7"/>
  <c r="L55" i="7"/>
  <c r="K55" i="7"/>
  <c r="J55" i="7"/>
  <c r="I55" i="7"/>
  <c r="H55" i="7"/>
  <c r="G55" i="7"/>
  <c r="F55" i="7"/>
  <c r="E55" i="7"/>
  <c r="D55" i="7"/>
  <c r="C55" i="7"/>
  <c r="B55" i="7"/>
  <c r="M54" i="7"/>
  <c r="L54" i="7"/>
  <c r="K54" i="7"/>
  <c r="J54" i="7"/>
  <c r="I54" i="7"/>
  <c r="H54" i="7"/>
  <c r="G54" i="7"/>
  <c r="F54" i="7"/>
  <c r="E54" i="7"/>
  <c r="D54" i="7"/>
  <c r="C54" i="7"/>
  <c r="B54" i="7"/>
  <c r="M53" i="7"/>
  <c r="L53" i="7"/>
  <c r="K53" i="7"/>
  <c r="J53" i="7"/>
  <c r="I53" i="7"/>
  <c r="H53" i="7"/>
  <c r="G53" i="7"/>
  <c r="F53" i="7"/>
  <c r="E53" i="7"/>
  <c r="D53" i="7"/>
  <c r="C53" i="7"/>
  <c r="B53" i="7"/>
  <c r="M52" i="7"/>
  <c r="L52" i="7"/>
  <c r="K52" i="7"/>
  <c r="J52" i="7"/>
  <c r="I52" i="7"/>
  <c r="H52" i="7"/>
  <c r="G52" i="7"/>
  <c r="F52" i="7"/>
  <c r="E52" i="7"/>
  <c r="D52" i="7"/>
  <c r="C52" i="7"/>
  <c r="B52" i="7"/>
  <c r="M51" i="7"/>
  <c r="L51" i="7"/>
  <c r="K51" i="7"/>
  <c r="J51" i="7"/>
  <c r="I51" i="7"/>
  <c r="H51" i="7"/>
  <c r="G51" i="7"/>
  <c r="F51" i="7"/>
  <c r="E51" i="7"/>
  <c r="D51" i="7"/>
  <c r="C51" i="7"/>
  <c r="B51" i="7"/>
  <c r="M50" i="7"/>
  <c r="L50" i="7"/>
  <c r="K50" i="7"/>
  <c r="J50" i="7"/>
  <c r="I50" i="7"/>
  <c r="H50" i="7"/>
  <c r="G50" i="7"/>
  <c r="F50" i="7"/>
  <c r="E50" i="7"/>
  <c r="D50" i="7"/>
  <c r="C50" i="7"/>
  <c r="B50" i="7"/>
  <c r="K44" i="7"/>
  <c r="J44" i="7"/>
  <c r="I44" i="7"/>
  <c r="H44" i="7"/>
  <c r="G44" i="7"/>
  <c r="F44" i="7"/>
  <c r="E44" i="7"/>
  <c r="D44" i="7"/>
  <c r="C44" i="7"/>
  <c r="B44" i="7"/>
  <c r="K43" i="7"/>
  <c r="J43" i="7"/>
  <c r="I43" i="7"/>
  <c r="H43" i="7"/>
  <c r="G43" i="7"/>
  <c r="F43" i="7"/>
  <c r="E43" i="7"/>
  <c r="D43" i="7"/>
  <c r="C43" i="7"/>
  <c r="B43" i="7"/>
  <c r="K42" i="7"/>
  <c r="J42" i="7"/>
  <c r="I42" i="7"/>
  <c r="H42" i="7"/>
  <c r="G42" i="7"/>
  <c r="F42" i="7"/>
  <c r="E42" i="7"/>
  <c r="D42" i="7"/>
  <c r="C42" i="7"/>
  <c r="B42" i="7"/>
  <c r="K41" i="7"/>
  <c r="J41" i="7"/>
  <c r="I41" i="7"/>
  <c r="H41" i="7"/>
  <c r="G41" i="7"/>
  <c r="F41" i="7"/>
  <c r="E41" i="7"/>
  <c r="D41" i="7"/>
  <c r="C41" i="7"/>
  <c r="B41" i="7"/>
  <c r="K40" i="7"/>
  <c r="J40" i="7"/>
  <c r="I40" i="7"/>
  <c r="H40" i="7"/>
  <c r="G40" i="7"/>
  <c r="F40" i="7"/>
  <c r="E40" i="7"/>
  <c r="D40" i="7"/>
  <c r="C40" i="7"/>
  <c r="B40" i="7"/>
  <c r="K39" i="7"/>
  <c r="J39" i="7"/>
  <c r="I39" i="7"/>
  <c r="H39" i="7"/>
  <c r="G39" i="7"/>
  <c r="F39" i="7"/>
  <c r="E39" i="7"/>
  <c r="D39" i="7"/>
  <c r="C39" i="7"/>
  <c r="B39" i="7"/>
  <c r="K38" i="7"/>
  <c r="J38" i="7"/>
  <c r="I38" i="7"/>
  <c r="H38" i="7"/>
  <c r="G38" i="7"/>
  <c r="F38" i="7"/>
  <c r="E38" i="7"/>
  <c r="D38" i="7"/>
  <c r="C38" i="7"/>
  <c r="B38" i="7"/>
  <c r="K37" i="7"/>
  <c r="J37" i="7"/>
  <c r="I37" i="7"/>
  <c r="H37" i="7"/>
  <c r="G37" i="7"/>
  <c r="F37" i="7"/>
  <c r="E37" i="7"/>
  <c r="D37" i="7"/>
  <c r="C37" i="7"/>
  <c r="B37" i="7"/>
  <c r="E36" i="7"/>
  <c r="K32" i="7"/>
  <c r="K31" i="7"/>
  <c r="K30" i="7"/>
  <c r="K29" i="7"/>
  <c r="K28" i="7"/>
  <c r="K27" i="7"/>
  <c r="K26" i="7"/>
  <c r="K25" i="7"/>
  <c r="E24" i="7"/>
  <c r="M21" i="7"/>
  <c r="L21" i="7"/>
  <c r="K21" i="7"/>
  <c r="J21" i="7"/>
  <c r="I21" i="7"/>
  <c r="H21" i="7"/>
  <c r="B21" i="7"/>
  <c r="M20" i="7"/>
  <c r="L20" i="7"/>
  <c r="K20" i="7"/>
  <c r="J20" i="7"/>
  <c r="I20" i="7"/>
  <c r="H20" i="7"/>
  <c r="B20" i="7"/>
  <c r="M19" i="7"/>
  <c r="L19" i="7"/>
  <c r="K19" i="7"/>
  <c r="J19" i="7"/>
  <c r="I19" i="7"/>
  <c r="H19" i="7"/>
  <c r="B19" i="7"/>
  <c r="M18" i="7"/>
  <c r="L18" i="7"/>
  <c r="K18" i="7"/>
  <c r="J18" i="7"/>
  <c r="I18" i="7"/>
  <c r="H18" i="7"/>
  <c r="G18" i="7"/>
  <c r="F18" i="7"/>
  <c r="E18" i="7"/>
  <c r="D18" i="7"/>
  <c r="C18" i="7"/>
  <c r="B18" i="7"/>
  <c r="M17" i="7"/>
  <c r="L17" i="7"/>
  <c r="K17" i="7"/>
  <c r="J17" i="7"/>
  <c r="I17" i="7"/>
  <c r="H17" i="7"/>
  <c r="G17" i="7"/>
  <c r="F17" i="7"/>
  <c r="E17" i="7"/>
  <c r="D17" i="7"/>
  <c r="C17" i="7"/>
  <c r="B17" i="7"/>
  <c r="M16" i="7"/>
  <c r="L16" i="7"/>
  <c r="K16" i="7"/>
  <c r="J16" i="7"/>
  <c r="I16" i="7"/>
  <c r="H16" i="7"/>
  <c r="G16" i="7"/>
  <c r="F16" i="7"/>
  <c r="E16" i="7"/>
  <c r="D16" i="7"/>
  <c r="C16" i="7"/>
  <c r="B16" i="7"/>
  <c r="H14" i="7"/>
  <c r="G14" i="7"/>
  <c r="F14" i="7"/>
  <c r="E14" i="7"/>
  <c r="D14" i="7"/>
  <c r="C14" i="7"/>
  <c r="E5" i="7"/>
  <c r="L21" i="6"/>
  <c r="F21" i="6"/>
  <c r="L17" i="6"/>
  <c r="F17" i="6"/>
  <c r="G3" i="6"/>
  <c r="S24" i="4"/>
  <c r="R24" i="4"/>
  <c r="M22" i="4"/>
  <c r="L22" i="4"/>
  <c r="K22" i="4"/>
  <c r="J22" i="4"/>
  <c r="I22" i="4"/>
  <c r="H22" i="4"/>
  <c r="G22" i="4"/>
  <c r="F22" i="4"/>
  <c r="E22" i="4"/>
  <c r="D22" i="4"/>
  <c r="C22" i="4"/>
  <c r="B22" i="4"/>
  <c r="M21" i="4"/>
  <c r="L21" i="4"/>
  <c r="K21" i="4"/>
  <c r="J21" i="4"/>
  <c r="I21" i="4"/>
  <c r="H21" i="4"/>
  <c r="G21" i="4"/>
  <c r="F21" i="4"/>
  <c r="E21" i="4"/>
  <c r="D21" i="4"/>
  <c r="C21" i="4"/>
  <c r="B21" i="4"/>
  <c r="M20" i="4"/>
  <c r="L20" i="4"/>
  <c r="K20" i="4"/>
  <c r="J20" i="4"/>
  <c r="I20" i="4"/>
  <c r="H20" i="4"/>
  <c r="G20" i="4"/>
  <c r="F20" i="4"/>
  <c r="E20" i="4"/>
  <c r="D20" i="4"/>
  <c r="C20" i="4"/>
  <c r="B20" i="4"/>
  <c r="M19" i="4"/>
  <c r="L19" i="4"/>
  <c r="K19" i="4"/>
  <c r="J19" i="4"/>
  <c r="I19" i="4"/>
  <c r="H19" i="4"/>
  <c r="G19" i="4"/>
  <c r="F19" i="4"/>
  <c r="E19" i="4"/>
  <c r="D19" i="4"/>
  <c r="C19" i="4"/>
  <c r="B19" i="4"/>
  <c r="M18" i="4"/>
  <c r="L18" i="4"/>
  <c r="K18" i="4"/>
  <c r="J18" i="4"/>
  <c r="I18" i="4"/>
  <c r="H18" i="4"/>
  <c r="G18" i="4"/>
  <c r="F18" i="4"/>
  <c r="E18" i="4"/>
  <c r="D18" i="4"/>
  <c r="M17" i="4"/>
  <c r="L17" i="4"/>
  <c r="K17" i="4"/>
  <c r="J17" i="4"/>
  <c r="I17" i="4"/>
  <c r="H17" i="4"/>
  <c r="G17" i="4"/>
  <c r="F17" i="4"/>
  <c r="E17" i="4"/>
  <c r="D17" i="4"/>
  <c r="C17" i="4"/>
  <c r="B17" i="4"/>
  <c r="S16" i="4"/>
  <c r="R16" i="4"/>
  <c r="M14" i="4"/>
  <c r="L14" i="4"/>
  <c r="K14" i="4"/>
  <c r="J14" i="4"/>
  <c r="I14" i="4"/>
  <c r="H14" i="4"/>
  <c r="G14" i="4"/>
  <c r="F14" i="4"/>
  <c r="E14" i="4"/>
  <c r="D14" i="4"/>
  <c r="C14" i="4"/>
  <c r="B14" i="4"/>
  <c r="M13" i="4"/>
  <c r="L13" i="4"/>
  <c r="K13" i="4"/>
  <c r="J13" i="4"/>
  <c r="I13" i="4"/>
  <c r="H13" i="4"/>
  <c r="G13" i="4"/>
  <c r="F13" i="4"/>
  <c r="E13" i="4"/>
  <c r="D13" i="4"/>
  <c r="M12" i="4"/>
  <c r="L12" i="4"/>
  <c r="K12" i="4"/>
  <c r="J12" i="4"/>
  <c r="I12" i="4"/>
  <c r="H12" i="4"/>
  <c r="G12" i="4"/>
  <c r="F12" i="4"/>
  <c r="E12" i="4"/>
  <c r="D12" i="4"/>
  <c r="C12" i="4"/>
  <c r="B12" i="4"/>
  <c r="M11" i="4"/>
  <c r="L11" i="4"/>
  <c r="K11" i="4"/>
  <c r="J11" i="4"/>
  <c r="I11" i="4"/>
  <c r="H11" i="4"/>
  <c r="G11" i="4"/>
  <c r="F11" i="4"/>
  <c r="E11" i="4"/>
  <c r="D11" i="4"/>
  <c r="C11" i="4"/>
  <c r="B11" i="4"/>
  <c r="M10" i="4"/>
  <c r="L10" i="4"/>
  <c r="K10" i="4"/>
  <c r="J10" i="4"/>
  <c r="I10" i="4"/>
  <c r="H10" i="4"/>
  <c r="G10" i="4"/>
  <c r="F10" i="4"/>
  <c r="E10" i="4"/>
  <c r="D10" i="4"/>
  <c r="C10" i="4"/>
  <c r="B10" i="4"/>
  <c r="M9" i="4"/>
  <c r="L9" i="4"/>
  <c r="K9" i="4"/>
  <c r="J9" i="4"/>
  <c r="I9" i="4"/>
  <c r="H9" i="4"/>
  <c r="G9" i="4"/>
  <c r="F9" i="4"/>
  <c r="E9" i="4"/>
  <c r="D9" i="4"/>
  <c r="C9" i="4"/>
  <c r="B9" i="4"/>
  <c r="M8" i="4"/>
  <c r="L8" i="4"/>
  <c r="K8" i="4"/>
  <c r="J8" i="4"/>
  <c r="I8" i="4"/>
  <c r="H8" i="4"/>
  <c r="G8" i="4"/>
  <c r="F8" i="4"/>
  <c r="E8" i="4"/>
  <c r="D8" i="4"/>
  <c r="C8" i="4"/>
  <c r="B8" i="4"/>
  <c r="S7" i="4"/>
  <c r="R7" i="4"/>
  <c r="D5" i="4"/>
  <c r="F4" i="4"/>
  <c r="E4" i="4"/>
  <c r="D4" i="4"/>
  <c r="C4" i="4"/>
  <c r="B4" i="4"/>
  <c r="J2" i="4"/>
  <c r="G33" i="3"/>
  <c r="G32" i="3"/>
  <c r="J24" i="3"/>
  <c r="C24" i="3"/>
  <c r="J23" i="3"/>
  <c r="C23" i="3"/>
  <c r="J22" i="3"/>
  <c r="C22" i="3"/>
  <c r="J21" i="3"/>
  <c r="C21" i="3"/>
  <c r="J20" i="3"/>
  <c r="C20" i="3"/>
  <c r="J19" i="3"/>
  <c r="C19" i="3"/>
  <c r="J18" i="3"/>
  <c r="C18" i="3"/>
  <c r="J17" i="3"/>
  <c r="C17" i="3"/>
  <c r="J16" i="3"/>
  <c r="C16" i="3"/>
  <c r="J15" i="3"/>
  <c r="C15" i="3"/>
  <c r="J14" i="3"/>
  <c r="C14" i="3"/>
  <c r="J13" i="3"/>
  <c r="C13" i="3"/>
  <c r="J12" i="3"/>
  <c r="C12" i="3"/>
  <c r="J11" i="3"/>
  <c r="C11" i="3"/>
  <c r="J8" i="3"/>
  <c r="C8" i="3"/>
  <c r="J7" i="3"/>
  <c r="C7" i="3"/>
  <c r="J6" i="3"/>
  <c r="C6" i="3"/>
  <c r="E4" i="2"/>
  <c r="B4" i="2" a="1"/>
  <c r="T218" i="1"/>
  <c r="S218" i="1"/>
  <c r="R218" i="1"/>
  <c r="Q218" i="1"/>
  <c r="P218" i="1"/>
  <c r="O218" i="1"/>
  <c r="N218" i="1"/>
  <c r="M218" i="1"/>
  <c r="L218" i="1"/>
  <c r="K218" i="1"/>
  <c r="J218" i="1"/>
  <c r="I218" i="1"/>
  <c r="J215" i="1"/>
  <c r="AK206" i="1"/>
  <c r="AI206" i="1"/>
  <c r="J204" i="1"/>
  <c r="L201" i="1"/>
  <c r="K199" i="1"/>
  <c r="N198" i="1"/>
  <c r="L198" i="1"/>
  <c r="H198" i="1"/>
  <c r="I197" i="1"/>
  <c r="T196" i="1"/>
  <c r="S196" i="1"/>
  <c r="R196" i="1"/>
  <c r="Q196" i="1"/>
  <c r="P196" i="1"/>
  <c r="O196" i="1"/>
  <c r="N196" i="1"/>
  <c r="H196" i="1"/>
  <c r="O195" i="1"/>
  <c r="AI187" i="1"/>
  <c r="AH187" i="1"/>
  <c r="AG187" i="1"/>
  <c r="AF187" i="1"/>
  <c r="AE187" i="1"/>
  <c r="AD187" i="1"/>
  <c r="AC187" i="1"/>
  <c r="AB187" i="1"/>
  <c r="AA187" i="1"/>
  <c r="Z187" i="1"/>
  <c r="Y187" i="1"/>
  <c r="X187" i="1"/>
  <c r="T187" i="1"/>
  <c r="S187" i="1"/>
  <c r="R187" i="1"/>
  <c r="Q187" i="1"/>
  <c r="P187" i="1"/>
  <c r="O187" i="1"/>
  <c r="N187" i="1"/>
  <c r="M187" i="1"/>
  <c r="L187" i="1"/>
  <c r="K187" i="1"/>
  <c r="AK186" i="1"/>
  <c r="V186" i="1"/>
  <c r="AK184" i="1"/>
  <c r="J184" i="1"/>
  <c r="I184" i="1"/>
  <c r="AK182" i="1"/>
  <c r="V182" i="1"/>
  <c r="AK180" i="1"/>
  <c r="J180" i="1"/>
  <c r="I180" i="1"/>
  <c r="AK178" i="1"/>
  <c r="V178" i="1"/>
  <c r="AK176" i="1"/>
  <c r="V176" i="1"/>
  <c r="AK171" i="1"/>
  <c r="AK169" i="1"/>
  <c r="T169" i="1"/>
  <c r="S169" i="1"/>
  <c r="R169" i="1"/>
  <c r="Q169" i="1"/>
  <c r="P169" i="1"/>
  <c r="O169" i="1"/>
  <c r="N169" i="1"/>
  <c r="L169" i="1"/>
  <c r="J169" i="1"/>
  <c r="I169" i="1"/>
  <c r="AK168" i="1"/>
  <c r="T168" i="1"/>
  <c r="S168" i="1"/>
  <c r="R168" i="1"/>
  <c r="Q168" i="1"/>
  <c r="P168" i="1"/>
  <c r="O168" i="1"/>
  <c r="N168" i="1"/>
  <c r="M168" i="1"/>
  <c r="L168" i="1"/>
  <c r="K168" i="1"/>
  <c r="J168" i="1"/>
  <c r="I168" i="1"/>
  <c r="AK166" i="1"/>
  <c r="V166" i="1"/>
  <c r="AK165" i="1"/>
  <c r="V165" i="1"/>
  <c r="AK164" i="1"/>
  <c r="V164" i="1"/>
  <c r="AK163" i="1"/>
  <c r="V163" i="1"/>
  <c r="AK160" i="1"/>
  <c r="V160" i="1"/>
  <c r="AK159" i="1"/>
  <c r="V159" i="1"/>
  <c r="AK158" i="1"/>
  <c r="V158" i="1"/>
  <c r="AK157" i="1"/>
  <c r="T157" i="1"/>
  <c r="S157" i="1"/>
  <c r="R157" i="1"/>
  <c r="Q157" i="1"/>
  <c r="P157" i="1"/>
  <c r="O157" i="1"/>
  <c r="N157" i="1"/>
  <c r="AK156" i="1"/>
  <c r="V156" i="1"/>
  <c r="AK155" i="1"/>
  <c r="V155" i="1"/>
  <c r="AK154" i="1"/>
  <c r="T154" i="1"/>
  <c r="S154" i="1"/>
  <c r="R154" i="1"/>
  <c r="Q154" i="1"/>
  <c r="P154" i="1"/>
  <c r="O154" i="1"/>
  <c r="N154" i="1"/>
  <c r="M154" i="1"/>
  <c r="L154" i="1"/>
  <c r="K154" i="1"/>
  <c r="J154" i="1"/>
  <c r="I154" i="1"/>
  <c r="AK153" i="1"/>
  <c r="AK152" i="1"/>
  <c r="V152" i="1"/>
  <c r="AK151" i="1"/>
  <c r="T151" i="1"/>
  <c r="S151" i="1"/>
  <c r="R151" i="1"/>
  <c r="Q151" i="1"/>
  <c r="P151" i="1"/>
  <c r="O151" i="1"/>
  <c r="N151" i="1"/>
  <c r="M151" i="1"/>
  <c r="L151" i="1"/>
  <c r="K151" i="1"/>
  <c r="J151" i="1"/>
  <c r="I151" i="1"/>
  <c r="V150" i="1"/>
  <c r="AK149" i="1"/>
  <c r="V149" i="1"/>
  <c r="AK148" i="1"/>
  <c r="V148" i="1"/>
  <c r="AK147" i="1"/>
  <c r="V147" i="1"/>
  <c r="AK146" i="1"/>
  <c r="V146" i="1"/>
  <c r="AK145" i="1"/>
  <c r="V145" i="1"/>
  <c r="AK144" i="1"/>
  <c r="V144" i="1"/>
  <c r="AK143" i="1"/>
  <c r="V143" i="1"/>
  <c r="AK142" i="1"/>
  <c r="V142" i="1"/>
  <c r="AK141" i="1"/>
  <c r="V141" i="1"/>
  <c r="AK140" i="1"/>
  <c r="V140" i="1"/>
  <c r="AK139" i="1"/>
  <c r="V139" i="1"/>
  <c r="AK138" i="1"/>
  <c r="V138" i="1"/>
  <c r="AK137" i="1"/>
  <c r="V137" i="1"/>
  <c r="AK136" i="1"/>
  <c r="V136" i="1"/>
  <c r="AK135" i="1"/>
  <c r="V135" i="1"/>
  <c r="AK134" i="1"/>
  <c r="V134" i="1"/>
  <c r="AK133" i="1"/>
  <c r="V133" i="1"/>
  <c r="AK132" i="1"/>
  <c r="V132" i="1"/>
  <c r="AK131" i="1"/>
  <c r="V131" i="1"/>
  <c r="AK130" i="1"/>
  <c r="V130" i="1"/>
  <c r="AK129" i="1"/>
  <c r="V129" i="1"/>
  <c r="AK128" i="1"/>
  <c r="T128" i="1"/>
  <c r="S128" i="1"/>
  <c r="R128" i="1"/>
  <c r="Q128" i="1"/>
  <c r="P128" i="1"/>
  <c r="O128" i="1"/>
  <c r="N128" i="1"/>
  <c r="M128" i="1"/>
  <c r="L128" i="1"/>
  <c r="K128" i="1"/>
  <c r="J128" i="1"/>
  <c r="I128" i="1"/>
  <c r="AK126" i="1"/>
  <c r="V126" i="1"/>
  <c r="AK125" i="1"/>
  <c r="T125" i="1"/>
  <c r="S125" i="1"/>
  <c r="R125" i="1"/>
  <c r="Q125" i="1"/>
  <c r="P125" i="1"/>
  <c r="O125" i="1"/>
  <c r="N125" i="1"/>
  <c r="M125" i="1"/>
  <c r="L125" i="1"/>
  <c r="K125" i="1"/>
  <c r="J125" i="1"/>
  <c r="I125" i="1"/>
  <c r="AK124" i="1"/>
  <c r="V124" i="1"/>
  <c r="AK123" i="1"/>
  <c r="V123" i="1"/>
  <c r="AK122" i="1"/>
  <c r="V122" i="1"/>
  <c r="AK121" i="1"/>
  <c r="V121" i="1"/>
  <c r="AK120" i="1"/>
  <c r="V120" i="1"/>
  <c r="AK119" i="1"/>
  <c r="V119" i="1"/>
  <c r="AK118" i="1"/>
  <c r="K118" i="1"/>
  <c r="AK117" i="1"/>
  <c r="V117" i="1"/>
  <c r="AK116" i="1"/>
  <c r="V116" i="1"/>
  <c r="AK115" i="1"/>
  <c r="I115" i="1"/>
  <c r="AK114" i="1"/>
  <c r="K114" i="1"/>
  <c r="AK113" i="1"/>
  <c r="V113" i="1"/>
  <c r="AK112" i="1"/>
  <c r="V112" i="1"/>
  <c r="F112" i="1"/>
  <c r="AK111" i="1"/>
  <c r="V111" i="1"/>
  <c r="F111" i="1"/>
  <c r="AK110" i="1"/>
  <c r="V110" i="1"/>
  <c r="F110" i="1"/>
  <c r="AK109" i="1"/>
  <c r="V109" i="1"/>
  <c r="F109" i="1"/>
  <c r="AK108" i="1"/>
  <c r="V108" i="1"/>
  <c r="F108" i="1"/>
  <c r="AK107" i="1"/>
  <c r="V107" i="1"/>
  <c r="AK106" i="1"/>
  <c r="T106" i="1"/>
  <c r="S106" i="1"/>
  <c r="R106" i="1"/>
  <c r="Q106" i="1"/>
  <c r="P106" i="1"/>
  <c r="O106" i="1"/>
  <c r="N106" i="1"/>
  <c r="M106" i="1"/>
  <c r="L106" i="1"/>
  <c r="K106" i="1"/>
  <c r="J106" i="1"/>
  <c r="I106" i="1"/>
  <c r="V105" i="1"/>
  <c r="AK104" i="1"/>
  <c r="V104" i="1"/>
  <c r="AK103" i="1"/>
  <c r="V103" i="1"/>
  <c r="AK102" i="1"/>
  <c r="V102" i="1"/>
  <c r="AK101" i="1"/>
  <c r="V101" i="1"/>
  <c r="AK100" i="1"/>
  <c r="V100" i="1"/>
  <c r="AK99" i="1"/>
  <c r="V99" i="1"/>
  <c r="AK98" i="1"/>
  <c r="V98" i="1"/>
  <c r="AK97" i="1"/>
  <c r="V97" i="1"/>
  <c r="AK96" i="1"/>
  <c r="V96" i="1"/>
  <c r="AK95" i="1"/>
  <c r="V95" i="1"/>
  <c r="AK94" i="1"/>
  <c r="V94" i="1"/>
  <c r="AK93" i="1"/>
  <c r="T93" i="1"/>
  <c r="S93" i="1"/>
  <c r="R93" i="1"/>
  <c r="Q93" i="1"/>
  <c r="P93" i="1"/>
  <c r="O93" i="1"/>
  <c r="N93" i="1"/>
  <c r="M93" i="1"/>
  <c r="L93" i="1"/>
  <c r="K93" i="1"/>
  <c r="J93" i="1"/>
  <c r="I93" i="1"/>
  <c r="V91" i="1"/>
  <c r="AK90" i="1"/>
  <c r="V90" i="1"/>
  <c r="AK89" i="1"/>
  <c r="V89" i="1"/>
  <c r="AK88" i="1"/>
  <c r="V88" i="1"/>
  <c r="AK87" i="1"/>
  <c r="T87" i="1"/>
  <c r="S87" i="1"/>
  <c r="R87" i="1"/>
  <c r="Q87" i="1"/>
  <c r="P87" i="1"/>
  <c r="O87" i="1"/>
  <c r="N87" i="1"/>
  <c r="M87" i="1"/>
  <c r="L87" i="1"/>
  <c r="K87" i="1"/>
  <c r="J87" i="1"/>
  <c r="I87" i="1"/>
  <c r="V86" i="1"/>
  <c r="AK85" i="1"/>
  <c r="V85" i="1"/>
  <c r="AK84" i="1"/>
  <c r="V84" i="1"/>
  <c r="AK83" i="1"/>
  <c r="V83" i="1"/>
  <c r="AK82" i="1"/>
  <c r="V82" i="1"/>
  <c r="AK81" i="1"/>
  <c r="T81" i="1"/>
  <c r="S81" i="1"/>
  <c r="R81" i="1"/>
  <c r="Q81" i="1"/>
  <c r="P81" i="1"/>
  <c r="O81" i="1"/>
  <c r="N81" i="1"/>
  <c r="M81" i="1"/>
  <c r="L81" i="1"/>
  <c r="K81" i="1"/>
  <c r="J81" i="1"/>
  <c r="I81" i="1"/>
  <c r="V80" i="1"/>
  <c r="AK79" i="1"/>
  <c r="V79" i="1"/>
  <c r="AK78" i="1"/>
  <c r="V78" i="1"/>
  <c r="AK77" i="1"/>
  <c r="V77" i="1"/>
  <c r="AK76" i="1"/>
  <c r="V76" i="1"/>
  <c r="AK75" i="1"/>
  <c r="T75" i="1"/>
  <c r="S75" i="1"/>
  <c r="R75" i="1"/>
  <c r="Q75" i="1"/>
  <c r="P75" i="1"/>
  <c r="O75" i="1"/>
  <c r="N75" i="1"/>
  <c r="M75" i="1"/>
  <c r="L75" i="1"/>
  <c r="K75" i="1"/>
  <c r="J75" i="1"/>
  <c r="I75" i="1"/>
  <c r="AK74" i="1"/>
  <c r="V74" i="1"/>
  <c r="AK73" i="1"/>
  <c r="T73" i="1"/>
  <c r="S73" i="1"/>
  <c r="R73" i="1"/>
  <c r="Q73" i="1"/>
  <c r="P73" i="1"/>
  <c r="O73" i="1"/>
  <c r="N73" i="1"/>
  <c r="M73" i="1"/>
  <c r="L73" i="1"/>
  <c r="K73" i="1"/>
  <c r="J73" i="1"/>
  <c r="I73" i="1"/>
  <c r="V72" i="1"/>
  <c r="AK71" i="1"/>
  <c r="V71" i="1"/>
  <c r="AK70" i="1"/>
  <c r="T70" i="1"/>
  <c r="S70" i="1"/>
  <c r="R70" i="1"/>
  <c r="Q70" i="1"/>
  <c r="P70" i="1"/>
  <c r="O70" i="1"/>
  <c r="N70" i="1"/>
  <c r="M70" i="1"/>
  <c r="L70" i="1"/>
  <c r="K70" i="1"/>
  <c r="J70" i="1"/>
  <c r="I70" i="1"/>
  <c r="AK69" i="1"/>
  <c r="V69" i="1"/>
  <c r="AK68" i="1"/>
  <c r="V68" i="1"/>
  <c r="AK67" i="1"/>
  <c r="V67" i="1"/>
  <c r="AK66" i="1"/>
  <c r="V66" i="1"/>
  <c r="AK65" i="1"/>
  <c r="V65" i="1"/>
  <c r="AK64" i="1"/>
  <c r="V64" i="1"/>
  <c r="AK63" i="1"/>
  <c r="V63" i="1"/>
  <c r="AK62" i="1"/>
  <c r="V62" i="1"/>
  <c r="AK61" i="1"/>
  <c r="V61" i="1"/>
  <c r="AK60" i="1"/>
  <c r="V60" i="1"/>
  <c r="AK59" i="1"/>
  <c r="V59" i="1"/>
  <c r="AK58" i="1"/>
  <c r="T58" i="1"/>
  <c r="S58" i="1"/>
  <c r="R58" i="1"/>
  <c r="Q58" i="1"/>
  <c r="P58" i="1"/>
  <c r="O58" i="1"/>
  <c r="N58" i="1"/>
  <c r="M58" i="1"/>
  <c r="L58" i="1"/>
  <c r="K58" i="1"/>
  <c r="J58" i="1"/>
  <c r="I58" i="1"/>
  <c r="V57" i="1"/>
  <c r="V56" i="1"/>
  <c r="AK55" i="1"/>
  <c r="V55" i="1"/>
  <c r="AK54" i="1"/>
  <c r="V54" i="1"/>
  <c r="AK53" i="1"/>
  <c r="K53" i="1"/>
  <c r="AK52" i="1"/>
  <c r="K52" i="1"/>
  <c r="J52" i="1"/>
  <c r="I52" i="1"/>
  <c r="AK51" i="1"/>
  <c r="V51" i="1"/>
  <c r="AK50" i="1"/>
  <c r="V50" i="1"/>
  <c r="AK49" i="1"/>
  <c r="V49" i="1"/>
  <c r="AK48" i="1"/>
  <c r="V48" i="1"/>
  <c r="AK47" i="1"/>
  <c r="V47" i="1"/>
  <c r="AK46" i="1"/>
  <c r="T46" i="1"/>
  <c r="S46" i="1"/>
  <c r="R46" i="1"/>
  <c r="Q46" i="1"/>
  <c r="P46" i="1"/>
  <c r="O46" i="1"/>
  <c r="N46" i="1"/>
  <c r="L46" i="1"/>
  <c r="K46" i="1"/>
  <c r="J46" i="1"/>
  <c r="I46" i="1"/>
  <c r="AK42" i="1"/>
  <c r="AK41" i="1"/>
  <c r="V41" i="1"/>
  <c r="AK40" i="1"/>
  <c r="AK38" i="1"/>
  <c r="J38" i="1"/>
  <c r="AK37" i="1"/>
  <c r="T37" i="1"/>
  <c r="S37" i="1"/>
  <c r="R37" i="1"/>
  <c r="Q37" i="1"/>
  <c r="P37" i="1"/>
  <c r="O37" i="1"/>
  <c r="N37" i="1"/>
  <c r="M37" i="1"/>
  <c r="L37" i="1"/>
  <c r="K37" i="1"/>
  <c r="J37" i="1"/>
  <c r="I37" i="1"/>
  <c r="AK36" i="1"/>
  <c r="AK35" i="1"/>
  <c r="I35" i="1"/>
  <c r="AK34" i="1"/>
  <c r="V34" i="1"/>
  <c r="AK33" i="1"/>
  <c r="V33" i="1"/>
  <c r="AK32" i="1"/>
  <c r="V32" i="1"/>
  <c r="AK31" i="1"/>
  <c r="V31" i="1"/>
  <c r="AK30" i="1"/>
  <c r="V30" i="1"/>
  <c r="AK29" i="1"/>
  <c r="V29" i="1"/>
  <c r="AK28" i="1"/>
  <c r="V28" i="1"/>
  <c r="AK27" i="1"/>
  <c r="V27" i="1"/>
  <c r="AK26" i="1"/>
  <c r="K26" i="1"/>
  <c r="AK25" i="1"/>
  <c r="V25" i="1"/>
  <c r="AK24" i="1"/>
  <c r="V24" i="1"/>
  <c r="AK23" i="1"/>
  <c r="V23" i="1"/>
  <c r="AK22" i="1"/>
  <c r="V22" i="1"/>
  <c r="AK21" i="1"/>
  <c r="V21" i="1"/>
  <c r="AK20" i="1"/>
  <c r="T20" i="1"/>
  <c r="S20" i="1"/>
  <c r="R20" i="1"/>
  <c r="Q20" i="1"/>
  <c r="P20" i="1"/>
  <c r="O20" i="1"/>
  <c r="N20" i="1"/>
  <c r="M20" i="1"/>
  <c r="L20" i="1"/>
  <c r="K20" i="1"/>
  <c r="J20" i="1"/>
  <c r="I20" i="1"/>
  <c r="AK19" i="1"/>
  <c r="V19" i="1"/>
  <c r="AK18" i="1"/>
  <c r="V18" i="1"/>
  <c r="AK17" i="1"/>
  <c r="V17" i="1"/>
  <c r="AK16" i="1"/>
  <c r="V16" i="1"/>
  <c r="AK15" i="1"/>
  <c r="V15" i="1"/>
  <c r="AK14" i="1"/>
  <c r="V14" i="1"/>
  <c r="AK13" i="1"/>
  <c r="V13" i="1"/>
  <c r="AK12" i="1"/>
  <c r="V12" i="1"/>
  <c r="AK11" i="1"/>
  <c r="V11" i="1"/>
  <c r="AK10" i="1"/>
  <c r="V10" i="1"/>
  <c r="AK9" i="1"/>
  <c r="V9" i="1"/>
  <c r="AK8" i="1"/>
  <c r="V8" i="1"/>
  <c r="AK7" i="1"/>
  <c r="T7" i="1"/>
  <c r="S7" i="1"/>
  <c r="R7" i="1"/>
  <c r="Q7" i="1"/>
  <c r="P7" i="1"/>
  <c r="O7" i="1"/>
  <c r="N7" i="1"/>
  <c r="M7" i="1"/>
  <c r="L7" i="1"/>
  <c r="K7" i="1"/>
  <c r="J7" i="1"/>
  <c r="I7" i="1"/>
  <c r="AI4" i="1"/>
  <c r="AH4" i="1"/>
  <c r="AG4" i="1"/>
  <c r="AF4" i="1"/>
  <c r="AE4" i="1"/>
  <c r="AD4" i="1"/>
  <c r="AC4" i="1"/>
  <c r="AB4" i="1"/>
  <c r="AA4" i="1"/>
  <c r="Z4" i="1"/>
  <c r="Y4" i="1"/>
  <c r="X4" i="1"/>
  <c r="AK3" i="1"/>
  <c r="I6" i="10" l="1"/>
  <c r="I4" i="10" s="1"/>
  <c r="J6" i="10"/>
  <c r="K7" i="11"/>
  <c r="I7" i="11"/>
  <c r="L7" i="11"/>
  <c r="J7" i="11"/>
  <c r="V46" i="1"/>
  <c r="O4" i="4"/>
  <c r="AK173" i="1"/>
  <c r="M7" i="11"/>
  <c r="J6" i="9"/>
  <c r="I6" i="9"/>
  <c r="B5" i="4"/>
  <c r="C5" i="4"/>
  <c r="O10" i="4"/>
  <c r="O9" i="4"/>
  <c r="O8" i="4"/>
  <c r="O22" i="4"/>
  <c r="O21" i="4"/>
  <c r="O20" i="4"/>
  <c r="O19" i="4"/>
  <c r="O14" i="4"/>
  <c r="O12" i="4"/>
  <c r="O11" i="4"/>
  <c r="O17" i="4"/>
  <c r="N20" i="16"/>
  <c r="L62" i="13"/>
  <c r="O10" i="12"/>
  <c r="M10" i="12"/>
  <c r="K10" i="12"/>
  <c r="H5" i="4"/>
  <c r="Q220" i="1"/>
  <c r="O220" i="1"/>
  <c r="K220" i="1"/>
  <c r="N62" i="13"/>
  <c r="M62" i="13"/>
  <c r="K62" i="13"/>
  <c r="J62" i="13"/>
  <c r="N10" i="12"/>
  <c r="L10" i="12"/>
  <c r="O9" i="12" s="1"/>
  <c r="F5" i="4"/>
  <c r="J5" i="4"/>
  <c r="M5" i="4"/>
  <c r="T220" i="1"/>
  <c r="R220" i="1"/>
  <c r="P220" i="1"/>
  <c r="M220" i="1"/>
  <c r="I220" i="1"/>
  <c r="AI209" i="1"/>
  <c r="E5" i="4"/>
  <c r="L5" i="4"/>
  <c r="J220" i="1"/>
  <c r="AK207" i="1"/>
  <c r="K5" i="4"/>
  <c r="S220" i="1"/>
  <c r="N220" i="1"/>
  <c r="L220" i="1"/>
  <c r="I5" i="4"/>
  <c r="G5" i="4"/>
  <c r="T209" i="1"/>
  <c r="K28" i="27"/>
  <c r="J28" i="27"/>
  <c r="I28" i="27"/>
  <c r="H28" i="27"/>
  <c r="G28" i="27"/>
  <c r="F28" i="27"/>
  <c r="E28" i="27"/>
  <c r="D28" i="27"/>
  <c r="C28" i="27"/>
  <c r="L26" i="27"/>
  <c r="K15" i="27"/>
  <c r="J15" i="27"/>
  <c r="I15" i="27"/>
  <c r="H15" i="27"/>
  <c r="G15" i="27"/>
  <c r="F15" i="27"/>
  <c r="E15" i="27"/>
  <c r="D15" i="27"/>
  <c r="C15" i="27"/>
  <c r="K14" i="27"/>
  <c r="K16" i="27" s="1"/>
  <c r="J14" i="27"/>
  <c r="J16" i="27" s="1"/>
  <c r="I14" i="27"/>
  <c r="I16" i="27" s="1"/>
  <c r="H14" i="27"/>
  <c r="H16" i="27" s="1"/>
  <c r="G14" i="27"/>
  <c r="G16" i="27" s="1"/>
  <c r="F14" i="27"/>
  <c r="F16" i="27" s="1"/>
  <c r="E14" i="27"/>
  <c r="E16" i="27" s="1"/>
  <c r="D14" i="27"/>
  <c r="D16" i="27" s="1"/>
  <c r="C14" i="27"/>
  <c r="K11" i="27"/>
  <c r="J11" i="27"/>
  <c r="I11" i="27"/>
  <c r="H11" i="27"/>
  <c r="G11" i="27"/>
  <c r="F11" i="27"/>
  <c r="E11" i="27"/>
  <c r="D11" i="27"/>
  <c r="C11" i="27"/>
  <c r="K10" i="27"/>
  <c r="K12" i="27" s="1"/>
  <c r="J10" i="27"/>
  <c r="J12" i="27" s="1"/>
  <c r="I10" i="27"/>
  <c r="I12" i="27" s="1"/>
  <c r="H10" i="27"/>
  <c r="H12" i="27" s="1"/>
  <c r="G10" i="27"/>
  <c r="G12" i="27" s="1"/>
  <c r="F10" i="27"/>
  <c r="F12" i="27" s="1"/>
  <c r="E10" i="27"/>
  <c r="E12" i="27" s="1"/>
  <c r="D10" i="27"/>
  <c r="D12" i="27" s="1"/>
  <c r="C10" i="27"/>
  <c r="L6" i="27"/>
  <c r="L5" i="27"/>
  <c r="M3" i="27"/>
  <c r="I7" i="26"/>
  <c r="G6" i="26"/>
  <c r="J5" i="26"/>
  <c r="K5" i="26" s="1"/>
  <c r="L5" i="26" s="1"/>
  <c r="J4" i="26"/>
  <c r="O9" i="23"/>
  <c r="N9" i="23"/>
  <c r="M9" i="23"/>
  <c r="L9" i="23"/>
  <c r="K9" i="23"/>
  <c r="J9" i="23"/>
  <c r="I9" i="23"/>
  <c r="H9" i="23"/>
  <c r="G9" i="23"/>
  <c r="F9" i="23"/>
  <c r="E9" i="23"/>
  <c r="D9" i="23"/>
  <c r="P9" i="23" s="1"/>
  <c r="AN85" i="22"/>
  <c r="AN80" i="22" s="1"/>
  <c r="AH85" i="22"/>
  <c r="S81" i="22"/>
  <c r="Q81" i="22"/>
  <c r="AB80" i="22"/>
  <c r="U80" i="22"/>
  <c r="AM76" i="22"/>
  <c r="AK76" i="22"/>
  <c r="AI76" i="22"/>
  <c r="AG76" i="22"/>
  <c r="AE76" i="22"/>
  <c r="AC76" i="22"/>
  <c r="AA76" i="22"/>
  <c r="Y76" i="22"/>
  <c r="W76" i="22"/>
  <c r="V76" i="22"/>
  <c r="U76" i="22"/>
  <c r="U77" i="22" s="1"/>
  <c r="S76" i="22"/>
  <c r="S77" i="22" s="1"/>
  <c r="Q76" i="22"/>
  <c r="Q77" i="22" s="1"/>
  <c r="J63" i="22"/>
  <c r="J64" i="22" s="1"/>
  <c r="U56" i="22"/>
  <c r="K46" i="22"/>
  <c r="J40" i="22"/>
  <c r="F40" i="22"/>
  <c r="F41" i="22" s="1"/>
  <c r="E40" i="22"/>
  <c r="D40" i="22"/>
  <c r="AH189" i="1"/>
  <c r="V184" i="1"/>
  <c r="V180" i="1"/>
  <c r="L25" i="22"/>
  <c r="N25" i="22" s="1"/>
  <c r="P25" i="22" s="1"/>
  <c r="R25" i="22" s="1"/>
  <c r="T25" i="22" s="1"/>
  <c r="V25" i="22" s="1"/>
  <c r="K25" i="22"/>
  <c r="M25" i="22" s="1"/>
  <c r="O25" i="22" s="1"/>
  <c r="Q25" i="22" s="1"/>
  <c r="S25" i="22" s="1"/>
  <c r="U25" i="22" s="1"/>
  <c r="L24" i="22"/>
  <c r="N24" i="22" s="1"/>
  <c r="P24" i="22" s="1"/>
  <c r="R24" i="22" s="1"/>
  <c r="T24" i="22" s="1"/>
  <c r="V24" i="22" s="1"/>
  <c r="K24" i="22"/>
  <c r="J20" i="22"/>
  <c r="C50" i="16"/>
  <c r="C51" i="16" s="1"/>
  <c r="G4" i="11"/>
  <c r="B4" i="2"/>
  <c r="L4" i="22"/>
  <c r="K4" i="22"/>
  <c r="O1" i="22"/>
  <c r="E44" i="21"/>
  <c r="G43" i="21"/>
  <c r="H43" i="21" s="1"/>
  <c r="I37" i="21"/>
  <c r="H37" i="21"/>
  <c r="G37" i="21"/>
  <c r="I36" i="21" s="1"/>
  <c r="H34" i="21"/>
  <c r="M8" i="20"/>
  <c r="G6" i="20"/>
  <c r="H5" i="20"/>
  <c r="I5" i="20" s="1"/>
  <c r="J5" i="20" s="1"/>
  <c r="K5" i="20" s="1"/>
  <c r="M8" i="19"/>
  <c r="G6" i="19"/>
  <c r="H5" i="19"/>
  <c r="I5" i="19" s="1"/>
  <c r="J5" i="19" s="1"/>
  <c r="K5" i="19" s="1"/>
  <c r="K5" i="18"/>
  <c r="F3" i="18"/>
  <c r="G3" i="18" s="1"/>
  <c r="H3" i="18" s="1"/>
  <c r="I3" i="18" s="1"/>
  <c r="AA19" i="17"/>
  <c r="U19" i="17"/>
  <c r="AC16" i="17"/>
  <c r="AD16" i="17" s="1"/>
  <c r="I10" i="17"/>
  <c r="H10" i="17"/>
  <c r="E10" i="17"/>
  <c r="D10" i="17"/>
  <c r="C10" i="17"/>
  <c r="V9" i="17"/>
  <c r="U9" i="17"/>
  <c r="U10" i="17" s="1"/>
  <c r="S9" i="17"/>
  <c r="R9" i="17"/>
  <c r="R10" i="17" s="1"/>
  <c r="J9" i="17"/>
  <c r="G9" i="17"/>
  <c r="G10" i="17" s="1"/>
  <c r="F9" i="17"/>
  <c r="F10" i="17" s="1"/>
  <c r="W8" i="17"/>
  <c r="T8" i="17"/>
  <c r="T9" i="17" s="1"/>
  <c r="K8" i="17"/>
  <c r="W5" i="17"/>
  <c r="T5" i="17"/>
  <c r="L5" i="17"/>
  <c r="J5" i="17"/>
  <c r="P4" i="17"/>
  <c r="Q4" i="17" s="1"/>
  <c r="R4" i="17" s="1"/>
  <c r="S4" i="17" s="1"/>
  <c r="T4" i="17" s="1"/>
  <c r="U4" i="17" s="1"/>
  <c r="V4" i="17" s="1"/>
  <c r="W4" i="17" s="1"/>
  <c r="X4" i="17" s="1"/>
  <c r="Y4" i="17" s="1"/>
  <c r="Z4" i="17" s="1"/>
  <c r="AA4" i="17" s="1"/>
  <c r="AB4" i="17" s="1"/>
  <c r="AC4" i="17" s="1"/>
  <c r="AD4" i="17" s="1"/>
  <c r="AE4" i="17" s="1"/>
  <c r="AF4" i="17" s="1"/>
  <c r="AG4" i="17" s="1"/>
  <c r="AH4" i="17" s="1"/>
  <c r="AI4" i="17" s="1"/>
  <c r="AJ4" i="17" s="1"/>
  <c r="AK4" i="17" s="1"/>
  <c r="AL4" i="17" s="1"/>
  <c r="C59" i="16"/>
  <c r="C60" i="16" s="1"/>
  <c r="C56" i="16"/>
  <c r="C52" i="16"/>
  <c r="C53" i="16" s="1"/>
  <c r="H2" i="10"/>
  <c r="H2" i="9"/>
  <c r="E69" i="8"/>
  <c r="AF189" i="1"/>
  <c r="G43" i="16"/>
  <c r="H42" i="16"/>
  <c r="J41" i="16"/>
  <c r="I41" i="16"/>
  <c r="I40" i="16"/>
  <c r="AJ38" i="16"/>
  <c r="AH38" i="16"/>
  <c r="AF38" i="16"/>
  <c r="AD38" i="16"/>
  <c r="AB38" i="16"/>
  <c r="Z38" i="16"/>
  <c r="X38" i="16"/>
  <c r="V38" i="16"/>
  <c r="T38" i="16"/>
  <c r="H38" i="16"/>
  <c r="N36" i="16"/>
  <c r="M35" i="16"/>
  <c r="K35" i="16"/>
  <c r="I35" i="16"/>
  <c r="G32" i="16"/>
  <c r="J28" i="16"/>
  <c r="J38" i="16" s="1"/>
  <c r="I25" i="16"/>
  <c r="L20" i="16"/>
  <c r="J17" i="16"/>
  <c r="I17" i="16"/>
  <c r="C11" i="16"/>
  <c r="L9" i="16"/>
  <c r="G7" i="16"/>
  <c r="E6" i="16"/>
  <c r="D11" i="16" s="1"/>
  <c r="F11" i="16" s="1"/>
  <c r="AC189" i="1"/>
  <c r="Y189" i="1"/>
  <c r="H37" i="15"/>
  <c r="H38" i="15" s="1"/>
  <c r="H39" i="15" s="1"/>
  <c r="H40" i="15" s="1"/>
  <c r="H41" i="15" s="1"/>
  <c r="H42" i="15" s="1"/>
  <c r="H43" i="15" s="1"/>
  <c r="H44" i="15" s="1"/>
  <c r="H45" i="15" s="1"/>
  <c r="H46" i="15" s="1"/>
  <c r="H47" i="15" s="1"/>
  <c r="H48" i="15" s="1"/>
  <c r="H49" i="15" s="1"/>
  <c r="H50" i="15" s="1"/>
  <c r="H51" i="15" s="1"/>
  <c r="H52" i="15" s="1"/>
  <c r="H53" i="15" s="1"/>
  <c r="H54" i="15" s="1"/>
  <c r="H55" i="15" s="1"/>
  <c r="H56" i="15" s="1"/>
  <c r="H57" i="15" s="1"/>
  <c r="G37" i="15"/>
  <c r="G38" i="15" s="1"/>
  <c r="G39" i="15" s="1"/>
  <c r="G40" i="15" s="1"/>
  <c r="G41" i="15" s="1"/>
  <c r="G42" i="15" s="1"/>
  <c r="G43" i="15" s="1"/>
  <c r="G44" i="15" s="1"/>
  <c r="G45" i="15" s="1"/>
  <c r="G46" i="15" s="1"/>
  <c r="G47" i="15" s="1"/>
  <c r="G48" i="15" s="1"/>
  <c r="G49" i="15" s="1"/>
  <c r="G50" i="15" s="1"/>
  <c r="G51" i="15" s="1"/>
  <c r="G52" i="15" s="1"/>
  <c r="G53" i="15" s="1"/>
  <c r="G54" i="15" s="1"/>
  <c r="F37" i="15"/>
  <c r="F38" i="15" s="1"/>
  <c r="F39" i="15" s="1"/>
  <c r="F40" i="15" s="1"/>
  <c r="F41" i="15" s="1"/>
  <c r="F42" i="15" s="1"/>
  <c r="F43" i="15" s="1"/>
  <c r="F44" i="15" s="1"/>
  <c r="F45" i="15" s="1"/>
  <c r="F46" i="15" s="1"/>
  <c r="F47" i="15" s="1"/>
  <c r="F48" i="15" s="1"/>
  <c r="F49" i="15" s="1"/>
  <c r="F50" i="15" s="1"/>
  <c r="F51" i="15" s="1"/>
  <c r="F52" i="15" s="1"/>
  <c r="C25" i="15"/>
  <c r="D24" i="15"/>
  <c r="F24" i="15" s="1"/>
  <c r="H24" i="15" s="1"/>
  <c r="H23" i="15"/>
  <c r="I23" i="15" s="1"/>
  <c r="I25" i="15" s="1"/>
  <c r="E23" i="15"/>
  <c r="E25" i="15" s="1"/>
  <c r="H21" i="15"/>
  <c r="J21" i="15" s="1"/>
  <c r="L21" i="15" s="1"/>
  <c r="N21" i="15" s="1"/>
  <c r="R13" i="15"/>
  <c r="V35" i="16" s="1" a="1"/>
  <c r="P13" i="15"/>
  <c r="T35" i="16" s="1" a="1"/>
  <c r="N13" i="15"/>
  <c r="R35" i="16" s="1" a="1"/>
  <c r="L13" i="15"/>
  <c r="P35" i="16" s="1" a="1"/>
  <c r="J13" i="15"/>
  <c r="N35" i="16" s="1" a="1"/>
  <c r="F10" i="15"/>
  <c r="H10" i="15" s="1"/>
  <c r="J10" i="15" s="1"/>
  <c r="L10" i="15" s="1"/>
  <c r="N10" i="15" s="1"/>
  <c r="P10" i="15" s="1"/>
  <c r="R10" i="15" s="1"/>
  <c r="F9" i="15"/>
  <c r="E9" i="15"/>
  <c r="F7" i="15"/>
  <c r="E7" i="15"/>
  <c r="E11" i="15" s="1"/>
  <c r="D7" i="15"/>
  <c r="C7" i="15"/>
  <c r="C11" i="15" s="1"/>
  <c r="F6" i="15"/>
  <c r="H6" i="15" s="1"/>
  <c r="J6" i="15" s="1"/>
  <c r="L6" i="15" s="1"/>
  <c r="N6" i="15" s="1"/>
  <c r="P6" i="15" s="1"/>
  <c r="R6" i="15" s="1"/>
  <c r="H5" i="15"/>
  <c r="E5" i="15"/>
  <c r="F4" i="15"/>
  <c r="J3" i="15"/>
  <c r="H1" i="15"/>
  <c r="J1" i="15" s="1"/>
  <c r="L1" i="15" s="1"/>
  <c r="N1" i="15" s="1"/>
  <c r="E30" i="14"/>
  <c r="G17" i="14"/>
  <c r="D9" i="14"/>
  <c r="D8" i="14"/>
  <c r="D15" i="14" s="1"/>
  <c r="C6" i="14"/>
  <c r="C5" i="14"/>
  <c r="C15" i="14" s="1"/>
  <c r="E15" i="14" s="1"/>
  <c r="F66" i="13"/>
  <c r="X65" i="13"/>
  <c r="X64" i="13"/>
  <c r="X63" i="13"/>
  <c r="J4" i="12"/>
  <c r="H2" i="11"/>
  <c r="G4" i="10"/>
  <c r="F4" i="9"/>
  <c r="G4" i="9" s="1"/>
  <c r="H4" i="9" s="1"/>
  <c r="I61" i="13"/>
  <c r="B39" i="13"/>
  <c r="B40" i="13" s="1"/>
  <c r="B41" i="13" s="1"/>
  <c r="B42" i="13" s="1"/>
  <c r="B26" i="13"/>
  <c r="B27" i="13" s="1"/>
  <c r="B28" i="13" s="1"/>
  <c r="B29" i="13" s="1"/>
  <c r="B30" i="13" s="1"/>
  <c r="B31" i="13" s="1"/>
  <c r="B32" i="13" s="1"/>
  <c r="B33" i="13" s="1"/>
  <c r="U21" i="13"/>
  <c r="U59" i="13" s="1"/>
  <c r="T21" i="13"/>
  <c r="T59" i="13" s="1"/>
  <c r="S21" i="13"/>
  <c r="S59" i="13" s="1"/>
  <c r="R21" i="13"/>
  <c r="R59" i="13" s="1"/>
  <c r="Q21" i="13"/>
  <c r="Q59" i="13" s="1"/>
  <c r="P21" i="13"/>
  <c r="P59" i="13" s="1"/>
  <c r="O21" i="13"/>
  <c r="O59" i="13" s="1"/>
  <c r="N21" i="13"/>
  <c r="N59" i="13" s="1"/>
  <c r="M21" i="13"/>
  <c r="M59" i="13" s="1"/>
  <c r="L21" i="13"/>
  <c r="L59" i="13" s="1"/>
  <c r="K21" i="13"/>
  <c r="K59" i="13" s="1"/>
  <c r="J21" i="13"/>
  <c r="J59" i="13" s="1"/>
  <c r="G21" i="13"/>
  <c r="G59" i="13" s="1"/>
  <c r="N19" i="13"/>
  <c r="N37" i="21" s="1"/>
  <c r="M19" i="13"/>
  <c r="L19" i="13"/>
  <c r="L37" i="21" s="1"/>
  <c r="K19" i="13"/>
  <c r="K37" i="21" s="1"/>
  <c r="J19" i="13"/>
  <c r="I17" i="13"/>
  <c r="H12" i="13"/>
  <c r="H21" i="13" s="1"/>
  <c r="H59" i="13" s="1"/>
  <c r="G8" i="13"/>
  <c r="F8" i="13"/>
  <c r="Y7" i="13"/>
  <c r="Y6" i="13"/>
  <c r="Y5" i="13"/>
  <c r="I4" i="13"/>
  <c r="I12" i="13" s="1"/>
  <c r="I21" i="13" s="1"/>
  <c r="I59" i="13" s="1"/>
  <c r="N6" i="12"/>
  <c r="G5" i="12"/>
  <c r="E5" i="12"/>
  <c r="M201" i="1"/>
  <c r="N201" i="1" s="1"/>
  <c r="O201" i="1" s="1"/>
  <c r="P201" i="1" s="1"/>
  <c r="Q201" i="1" s="1"/>
  <c r="R201" i="1" s="1"/>
  <c r="S201" i="1" s="1"/>
  <c r="T201" i="1" s="1"/>
  <c r="J187" i="1"/>
  <c r="L59" i="8"/>
  <c r="M59" i="8" s="1"/>
  <c r="B59" i="8"/>
  <c r="C59" i="8" s="1"/>
  <c r="D59" i="8" s="1"/>
  <c r="E59" i="8" s="1"/>
  <c r="F59" i="8" s="1"/>
  <c r="G59" i="8" s="1"/>
  <c r="H59" i="8" s="1"/>
  <c r="I59" i="8" s="1"/>
  <c r="F49" i="8"/>
  <c r="G49" i="8" s="1"/>
  <c r="H49" i="8" s="1"/>
  <c r="I49" i="8" s="1"/>
  <c r="J49" i="8" s="1"/>
  <c r="C47" i="8"/>
  <c r="D47" i="8" s="1"/>
  <c r="E47" i="8" s="1"/>
  <c r="F47" i="8" s="1"/>
  <c r="G47" i="8" s="1"/>
  <c r="H47" i="8" s="1"/>
  <c r="I47" i="8" s="1"/>
  <c r="J47" i="8" s="1"/>
  <c r="K47" i="8" s="1"/>
  <c r="L47" i="8" s="1"/>
  <c r="M47" i="8" s="1"/>
  <c r="B57" i="8" s="1"/>
  <c r="C57" i="8" s="1"/>
  <c r="D57" i="8" s="1"/>
  <c r="E57" i="8" s="1"/>
  <c r="F57" i="8" s="1"/>
  <c r="G57" i="8" s="1"/>
  <c r="H57" i="8" s="1"/>
  <c r="I57" i="8" s="1"/>
  <c r="J57" i="8" s="1"/>
  <c r="K57" i="8" s="1"/>
  <c r="L57" i="8" s="1"/>
  <c r="M57" i="8" s="1"/>
  <c r="B67" i="8" s="1"/>
  <c r="C67" i="8" s="1"/>
  <c r="D67" i="8" s="1"/>
  <c r="E67" i="8" s="1"/>
  <c r="F67" i="8" s="1"/>
  <c r="G67" i="8" s="1"/>
  <c r="J39" i="8"/>
  <c r="K39" i="8" s="1"/>
  <c r="L39" i="8" s="1"/>
  <c r="M39" i="8" s="1"/>
  <c r="B49" i="8" s="1"/>
  <c r="C49" i="8" s="1"/>
  <c r="D39" i="8"/>
  <c r="E39" i="8" s="1"/>
  <c r="F39" i="8" s="1"/>
  <c r="G39" i="8" s="1"/>
  <c r="D38" i="8"/>
  <c r="E38" i="8" s="1"/>
  <c r="F38" i="8" s="1"/>
  <c r="G38" i="8" s="1"/>
  <c r="H38" i="8" s="1"/>
  <c r="I38" i="8" s="1"/>
  <c r="J38" i="8" s="1"/>
  <c r="K38" i="8" s="1"/>
  <c r="L38" i="8" s="1"/>
  <c r="M38" i="8" s="1"/>
  <c r="B48" i="8" s="1"/>
  <c r="C48" i="8" s="1"/>
  <c r="D48" i="8" s="1"/>
  <c r="E48" i="8" s="1"/>
  <c r="F48" i="8" s="1"/>
  <c r="G48" i="8" s="1"/>
  <c r="H48" i="8" s="1"/>
  <c r="I48" i="8" s="1"/>
  <c r="J48" i="8" s="1"/>
  <c r="K48" i="8" s="1"/>
  <c r="L48" i="8" s="1"/>
  <c r="M48" i="8" s="1"/>
  <c r="B58" i="8" s="1"/>
  <c r="C58" i="8" s="1"/>
  <c r="D58" i="8" s="1"/>
  <c r="E58" i="8" s="1"/>
  <c r="F58" i="8" s="1"/>
  <c r="G58" i="8" s="1"/>
  <c r="H58" i="8" s="1"/>
  <c r="I58" i="8" s="1"/>
  <c r="J58" i="8" s="1"/>
  <c r="K58" i="8" s="1"/>
  <c r="L58" i="8" s="1"/>
  <c r="M58" i="8" s="1"/>
  <c r="B68" i="8" s="1"/>
  <c r="C68" i="8" s="1"/>
  <c r="D68" i="8" s="1"/>
  <c r="E68" i="8" s="1"/>
  <c r="F68" i="8" s="1"/>
  <c r="G68" i="8" s="1"/>
  <c r="D37" i="8"/>
  <c r="E37" i="8" s="1"/>
  <c r="F37" i="8" s="1"/>
  <c r="G37" i="8" s="1"/>
  <c r="H37" i="8" s="1"/>
  <c r="I37" i="8" s="1"/>
  <c r="J37" i="8" s="1"/>
  <c r="K37" i="8" s="1"/>
  <c r="L37" i="8" s="1"/>
  <c r="D36" i="8"/>
  <c r="E36" i="8" s="1"/>
  <c r="F36" i="8" s="1"/>
  <c r="G36" i="8" s="1"/>
  <c r="H36" i="8" s="1"/>
  <c r="I36" i="8" s="1"/>
  <c r="J36" i="8" s="1"/>
  <c r="K36" i="8" s="1"/>
  <c r="L36" i="8" s="1"/>
  <c r="M36" i="8" s="1"/>
  <c r="B46" i="8" s="1"/>
  <c r="C46" i="8" s="1"/>
  <c r="D46" i="8" s="1"/>
  <c r="E46" i="8" s="1"/>
  <c r="F46" i="8" s="1"/>
  <c r="G46" i="8" s="1"/>
  <c r="H46" i="8" s="1"/>
  <c r="I46" i="8" s="1"/>
  <c r="J46" i="8" s="1"/>
  <c r="K46" i="8" s="1"/>
  <c r="L46" i="8" s="1"/>
  <c r="M46" i="8" s="1"/>
  <c r="B56" i="8" s="1"/>
  <c r="C56" i="8" s="1"/>
  <c r="D56" i="8" s="1"/>
  <c r="E56" i="8" s="1"/>
  <c r="F56" i="8" s="1"/>
  <c r="G56" i="8" s="1"/>
  <c r="H56" i="8" s="1"/>
  <c r="I56" i="8" s="1"/>
  <c r="J56" i="8" s="1"/>
  <c r="K56" i="8" s="1"/>
  <c r="L56" i="8" s="1"/>
  <c r="M56" i="8" s="1"/>
  <c r="B66" i="8" s="1"/>
  <c r="C66" i="8" s="1"/>
  <c r="D66" i="8" s="1"/>
  <c r="E66" i="8" s="1"/>
  <c r="F66" i="8" s="1"/>
  <c r="G66" i="8" s="1"/>
  <c r="D35" i="8"/>
  <c r="E35" i="8" s="1"/>
  <c r="F35" i="8" s="1"/>
  <c r="G35" i="8" s="1"/>
  <c r="H35" i="8" s="1"/>
  <c r="I35" i="8" s="1"/>
  <c r="J35" i="8" s="1"/>
  <c r="K35" i="8" s="1"/>
  <c r="L35" i="8" s="1"/>
  <c r="M35" i="8" s="1"/>
  <c r="B45" i="8" s="1"/>
  <c r="C45" i="8" s="1"/>
  <c r="D45" i="8" s="1"/>
  <c r="E45" i="8" s="1"/>
  <c r="F45" i="8" s="1"/>
  <c r="G45" i="8" s="1"/>
  <c r="H45" i="8" s="1"/>
  <c r="I45" i="8" s="1"/>
  <c r="J45" i="8" s="1"/>
  <c r="K45" i="8" s="1"/>
  <c r="L45" i="8" s="1"/>
  <c r="M45" i="8" s="1"/>
  <c r="B55" i="8" s="1"/>
  <c r="C55" i="8" s="1"/>
  <c r="D55" i="8" s="1"/>
  <c r="E55" i="8" s="1"/>
  <c r="F55" i="8" s="1"/>
  <c r="G55" i="8" s="1"/>
  <c r="H55" i="8" s="1"/>
  <c r="I55" i="8" s="1"/>
  <c r="J55" i="8" s="1"/>
  <c r="K55" i="8" s="1"/>
  <c r="L55" i="8" s="1"/>
  <c r="M55" i="8" s="1"/>
  <c r="B65" i="8" s="1"/>
  <c r="C65" i="8" s="1"/>
  <c r="D65" i="8" s="1"/>
  <c r="E65" i="8" s="1"/>
  <c r="F65" i="8" s="1"/>
  <c r="G65" i="8" s="1"/>
  <c r="D34" i="8"/>
  <c r="E34" i="8" s="1"/>
  <c r="F34" i="8" s="1"/>
  <c r="G34" i="8" s="1"/>
  <c r="H34" i="8" s="1"/>
  <c r="I34" i="8" s="1"/>
  <c r="J34" i="8" s="1"/>
  <c r="K34" i="8" s="1"/>
  <c r="L34" i="8" s="1"/>
  <c r="M34" i="8" s="1"/>
  <c r="B44" i="8" s="1"/>
  <c r="C44" i="8" s="1"/>
  <c r="D44" i="8" s="1"/>
  <c r="E44" i="8" s="1"/>
  <c r="F44" i="8" s="1"/>
  <c r="G44" i="8" s="1"/>
  <c r="H44" i="8" s="1"/>
  <c r="I44" i="8" s="1"/>
  <c r="J44" i="8" s="1"/>
  <c r="K44" i="8" s="1"/>
  <c r="L44" i="8" s="1"/>
  <c r="M44" i="8" s="1"/>
  <c r="B54" i="8" s="1"/>
  <c r="C54" i="8" s="1"/>
  <c r="D54" i="8" s="1"/>
  <c r="E54" i="8" s="1"/>
  <c r="F54" i="8" s="1"/>
  <c r="G54" i="8" s="1"/>
  <c r="H54" i="8" s="1"/>
  <c r="I54" i="8" s="1"/>
  <c r="J54" i="8" s="1"/>
  <c r="K54" i="8" s="1"/>
  <c r="L54" i="8" s="1"/>
  <c r="M54" i="8" s="1"/>
  <c r="B64" i="8" s="1"/>
  <c r="C64" i="8" s="1"/>
  <c r="D64" i="8" s="1"/>
  <c r="E64" i="8" s="1"/>
  <c r="F64" i="8" s="1"/>
  <c r="G64" i="8" s="1"/>
  <c r="E28" i="8"/>
  <c r="J27" i="8"/>
  <c r="I27" i="8"/>
  <c r="L27" i="8" s="1"/>
  <c r="H27" i="8"/>
  <c r="J26" i="8"/>
  <c r="I26" i="8"/>
  <c r="L26" i="8" s="1"/>
  <c r="O26" i="8" s="1"/>
  <c r="R26" i="8" s="1"/>
  <c r="U26" i="8" s="1"/>
  <c r="X26" i="8" s="1"/>
  <c r="AA26" i="8" s="1"/>
  <c r="AD26" i="8" s="1"/>
  <c r="AG26" i="8" s="1"/>
  <c r="AJ26" i="8" s="1"/>
  <c r="AM26" i="8" s="1"/>
  <c r="AP26" i="8" s="1"/>
  <c r="AS26" i="8" s="1"/>
  <c r="AV26" i="8" s="1"/>
  <c r="H26" i="8"/>
  <c r="H28" i="8" s="1"/>
  <c r="E23" i="8"/>
  <c r="J22" i="8"/>
  <c r="H22" i="8"/>
  <c r="J21" i="8"/>
  <c r="H21" i="8"/>
  <c r="H23" i="8" s="1"/>
  <c r="M16" i="8"/>
  <c r="P16" i="8" s="1"/>
  <c r="S16" i="8" s="1"/>
  <c r="V16" i="8" s="1"/>
  <c r="Y16" i="8" s="1"/>
  <c r="AB16" i="8" s="1"/>
  <c r="AE16" i="8" s="1"/>
  <c r="AH16" i="8" s="1"/>
  <c r="AK16" i="8" s="1"/>
  <c r="AN16" i="8" s="1"/>
  <c r="AQ16" i="8" s="1"/>
  <c r="AT16" i="8" s="1"/>
  <c r="AW16" i="8" s="1"/>
  <c r="AW15" i="8"/>
  <c r="AT15" i="8"/>
  <c r="AQ15" i="8"/>
  <c r="I4" i="8"/>
  <c r="L4" i="8" s="1"/>
  <c r="O4" i="8" s="1"/>
  <c r="G4" i="8"/>
  <c r="E4" i="8"/>
  <c r="K204" i="1"/>
  <c r="L204" i="1" s="1"/>
  <c r="M204" i="1" s="1"/>
  <c r="N204" i="1" s="1"/>
  <c r="L199" i="1"/>
  <c r="M199" i="1" s="1"/>
  <c r="N199" i="1" s="1"/>
  <c r="O199" i="1" s="1"/>
  <c r="P199" i="1" s="1"/>
  <c r="Q199" i="1" s="1"/>
  <c r="R199" i="1" s="1"/>
  <c r="R198" i="1"/>
  <c r="J12" i="6" s="1"/>
  <c r="AA189" i="1"/>
  <c r="I187" i="1"/>
  <c r="AN15" i="8"/>
  <c r="AK15" i="8"/>
  <c r="AH15" i="8"/>
  <c r="J11" i="8"/>
  <c r="I11" i="8"/>
  <c r="L11" i="8" s="1"/>
  <c r="O11" i="8" s="1"/>
  <c r="R11" i="8" s="1"/>
  <c r="U11" i="8" s="1"/>
  <c r="X11" i="8" s="1"/>
  <c r="AA11" i="8" s="1"/>
  <c r="AD11" i="8" s="1"/>
  <c r="AG11" i="8" s="1"/>
  <c r="AJ11" i="8" s="1"/>
  <c r="AM11" i="8" s="1"/>
  <c r="AP11" i="8" s="1"/>
  <c r="AS11" i="8" s="1"/>
  <c r="AV11" i="8" s="1"/>
  <c r="H11" i="8"/>
  <c r="U10" i="8"/>
  <c r="X10" i="8" s="1"/>
  <c r="AA10" i="8" s="1"/>
  <c r="AD10" i="8" s="1"/>
  <c r="AG10" i="8" s="1"/>
  <c r="AJ10" i="8" s="1"/>
  <c r="AM10" i="8" s="1"/>
  <c r="AP10" i="8" s="1"/>
  <c r="AS10" i="8" s="1"/>
  <c r="AV10" i="8" s="1"/>
  <c r="T10" i="8"/>
  <c r="M10" i="8"/>
  <c r="I10" i="8"/>
  <c r="L10" i="8" s="1"/>
  <c r="H10" i="8"/>
  <c r="I9" i="8"/>
  <c r="L9" i="8" s="1"/>
  <c r="O9" i="8" s="1"/>
  <c r="R9" i="8" s="1"/>
  <c r="U9" i="8" s="1"/>
  <c r="X9" i="8" s="1"/>
  <c r="AA9" i="8" s="1"/>
  <c r="AD9" i="8" s="1"/>
  <c r="AG9" i="8" s="1"/>
  <c r="AJ9" i="8" s="1"/>
  <c r="AM9" i="8" s="1"/>
  <c r="AP9" i="8" s="1"/>
  <c r="AS9" i="8" s="1"/>
  <c r="AV9" i="8" s="1"/>
  <c r="G9" i="8"/>
  <c r="E9" i="8"/>
  <c r="I8" i="8"/>
  <c r="L8" i="8" s="1"/>
  <c r="O8" i="8" s="1"/>
  <c r="R8" i="8" s="1"/>
  <c r="U8" i="8" s="1"/>
  <c r="X8" i="8" s="1"/>
  <c r="AA8" i="8" s="1"/>
  <c r="AD8" i="8" s="1"/>
  <c r="AG8" i="8" s="1"/>
  <c r="AJ8" i="8" s="1"/>
  <c r="AM8" i="8" s="1"/>
  <c r="AP8" i="8" s="1"/>
  <c r="AS8" i="8" s="1"/>
  <c r="AV8" i="8" s="1"/>
  <c r="G8" i="8"/>
  <c r="E8" i="8"/>
  <c r="I7" i="8"/>
  <c r="L7" i="8" s="1"/>
  <c r="O7" i="8" s="1"/>
  <c r="R7" i="8" s="1"/>
  <c r="U7" i="8" s="1"/>
  <c r="X7" i="8" s="1"/>
  <c r="AA7" i="8" s="1"/>
  <c r="AD7" i="8" s="1"/>
  <c r="AG7" i="8" s="1"/>
  <c r="AJ7" i="8" s="1"/>
  <c r="AM7" i="8" s="1"/>
  <c r="AP7" i="8" s="1"/>
  <c r="AS7" i="8" s="1"/>
  <c r="AV7" i="8" s="1"/>
  <c r="G7" i="8"/>
  <c r="E7" i="8"/>
  <c r="I6" i="8"/>
  <c r="L6" i="8" s="1"/>
  <c r="O6" i="8" s="1"/>
  <c r="R6" i="8" s="1"/>
  <c r="U6" i="8" s="1"/>
  <c r="X6" i="8" s="1"/>
  <c r="AA6" i="8" s="1"/>
  <c r="AD6" i="8" s="1"/>
  <c r="AG6" i="8" s="1"/>
  <c r="AJ6" i="8" s="1"/>
  <c r="AM6" i="8" s="1"/>
  <c r="AP6" i="8" s="1"/>
  <c r="AS6" i="8" s="1"/>
  <c r="AV6" i="8" s="1"/>
  <c r="G6" i="8"/>
  <c r="E6" i="8"/>
  <c r="I5" i="8"/>
  <c r="L5" i="8" s="1"/>
  <c r="O5" i="8" s="1"/>
  <c r="R5" i="8" s="1"/>
  <c r="U5" i="8" s="1"/>
  <c r="X5" i="8" s="1"/>
  <c r="AA5" i="8" s="1"/>
  <c r="AD5" i="8" s="1"/>
  <c r="AG5" i="8" s="1"/>
  <c r="AJ5" i="8" s="1"/>
  <c r="AM5" i="8" s="1"/>
  <c r="AP5" i="8" s="1"/>
  <c r="AS5" i="8" s="1"/>
  <c r="AV5" i="8" s="1"/>
  <c r="G5" i="8"/>
  <c r="E5" i="8"/>
  <c r="AE7" i="4"/>
  <c r="AG189" i="1"/>
  <c r="X189" i="1"/>
  <c r="M74" i="7"/>
  <c r="L74" i="7"/>
  <c r="K74" i="7"/>
  <c r="J74" i="7"/>
  <c r="I74" i="7"/>
  <c r="H74" i="7"/>
  <c r="G74" i="7"/>
  <c r="F74" i="7"/>
  <c r="E74" i="7"/>
  <c r="D74" i="7"/>
  <c r="C74" i="7"/>
  <c r="B74" i="7"/>
  <c r="B72" i="7"/>
  <c r="C72" i="7" s="1"/>
  <c r="D72" i="7" s="1"/>
  <c r="E72" i="7" s="1"/>
  <c r="F72" i="7" s="1"/>
  <c r="M71" i="7"/>
  <c r="L71" i="7"/>
  <c r="K71" i="7"/>
  <c r="J71" i="7"/>
  <c r="I71" i="7"/>
  <c r="H71" i="7"/>
  <c r="G71" i="7"/>
  <c r="G59" i="7"/>
  <c r="H59" i="7" s="1"/>
  <c r="I59" i="7" s="1"/>
  <c r="J59" i="7" s="1"/>
  <c r="K59" i="7" s="1"/>
  <c r="L59" i="7" s="1"/>
  <c r="M59" i="7" s="1"/>
  <c r="M58" i="7"/>
  <c r="L58" i="7"/>
  <c r="K58" i="7"/>
  <c r="J58" i="7"/>
  <c r="I58" i="7"/>
  <c r="H58" i="7"/>
  <c r="G58" i="7"/>
  <c r="F58" i="7"/>
  <c r="E58" i="7"/>
  <c r="D58" i="7"/>
  <c r="O198" i="1"/>
  <c r="I12" i="6" s="1"/>
  <c r="J197" i="1"/>
  <c r="K197" i="1" s="1"/>
  <c r="L197" i="1" s="1"/>
  <c r="M197" i="1" s="1"/>
  <c r="AE189" i="1"/>
  <c r="F36" i="7"/>
  <c r="G36" i="7" s="1"/>
  <c r="H36" i="7" s="1"/>
  <c r="I36" i="7" s="1"/>
  <c r="J36" i="7" s="1"/>
  <c r="K36" i="7" s="1"/>
  <c r="L36" i="7" s="1"/>
  <c r="M36" i="7" s="1"/>
  <c r="L32" i="7"/>
  <c r="L31" i="7"/>
  <c r="L30" i="7"/>
  <c r="L29" i="7"/>
  <c r="L28" i="7"/>
  <c r="L27" i="7"/>
  <c r="L26" i="7"/>
  <c r="L25" i="7"/>
  <c r="F24" i="7"/>
  <c r="G24" i="7" s="1"/>
  <c r="H24" i="7" s="1"/>
  <c r="I24" i="7" s="1"/>
  <c r="J24" i="7" s="1"/>
  <c r="K24" i="7" s="1"/>
  <c r="L24" i="7" s="1"/>
  <c r="M24" i="7" s="1"/>
  <c r="F5" i="7"/>
  <c r="G5" i="7" s="1"/>
  <c r="H5" i="7" s="1"/>
  <c r="I5" i="7" s="1"/>
  <c r="J5" i="7" s="1"/>
  <c r="K5" i="7" s="1"/>
  <c r="L5" i="7" s="1"/>
  <c r="M5" i="7" s="1"/>
  <c r="H12" i="6"/>
  <c r="G4" i="6"/>
  <c r="G5" i="6" s="1"/>
  <c r="G12" i="6" s="1"/>
  <c r="AE24" i="4"/>
  <c r="B13" i="4"/>
  <c r="K2" i="4"/>
  <c r="L2" i="4" s="1"/>
  <c r="M2" i="4" s="1"/>
  <c r="J25" i="3"/>
  <c r="C25" i="3"/>
  <c r="I24" i="3"/>
  <c r="I23" i="3"/>
  <c r="K23" i="3" s="1"/>
  <c r="I22" i="3"/>
  <c r="K22" i="3" s="1"/>
  <c r="I21" i="3"/>
  <c r="I20" i="3"/>
  <c r="K20" i="3" s="1"/>
  <c r="I19" i="3"/>
  <c r="K19" i="3" s="1"/>
  <c r="I18" i="3"/>
  <c r="K18" i="3" s="1"/>
  <c r="I17" i="3"/>
  <c r="K17" i="3" s="1"/>
  <c r="I16" i="3"/>
  <c r="K16" i="3" s="1"/>
  <c r="I15" i="3"/>
  <c r="K15" i="3" s="1"/>
  <c r="I14" i="3"/>
  <c r="I13" i="3"/>
  <c r="I12" i="3"/>
  <c r="K12" i="3" s="1"/>
  <c r="I11" i="3"/>
  <c r="J9" i="3"/>
  <c r="C9" i="3"/>
  <c r="I8" i="3"/>
  <c r="K8" i="3" s="1"/>
  <c r="I7" i="3"/>
  <c r="K7" i="3" s="1"/>
  <c r="I6" i="3"/>
  <c r="B6" i="2"/>
  <c r="B5" i="2"/>
  <c r="T171" i="1"/>
  <c r="S171" i="1"/>
  <c r="R171" i="1"/>
  <c r="Q171" i="1"/>
  <c r="P171" i="1"/>
  <c r="O171" i="1"/>
  <c r="N171" i="1"/>
  <c r="M171" i="1"/>
  <c r="L171" i="1"/>
  <c r="K171" i="1"/>
  <c r="J171" i="1"/>
  <c r="I171" i="1"/>
  <c r="V171" i="1" s="1"/>
  <c r="V169" i="1"/>
  <c r="V168" i="1"/>
  <c r="V157" i="1"/>
  <c r="V154" i="1"/>
  <c r="V151" i="1"/>
  <c r="V128" i="1"/>
  <c r="V125" i="1"/>
  <c r="V118" i="1"/>
  <c r="V115" i="1"/>
  <c r="V114" i="1"/>
  <c r="V106" i="1"/>
  <c r="V93" i="1"/>
  <c r="V87" i="1"/>
  <c r="V81" i="1"/>
  <c r="V75" i="1"/>
  <c r="V73" i="1"/>
  <c r="V70" i="1"/>
  <c r="V58" i="1"/>
  <c r="Q198" i="1"/>
  <c r="AI189" i="1"/>
  <c r="P189" i="1"/>
  <c r="V53" i="1"/>
  <c r="V52" i="1"/>
  <c r="T40" i="1"/>
  <c r="S40" i="1"/>
  <c r="R40" i="1"/>
  <c r="Q40" i="1"/>
  <c r="P40" i="1"/>
  <c r="O40" i="1"/>
  <c r="N40" i="1"/>
  <c r="M40" i="1"/>
  <c r="L40" i="1"/>
  <c r="K40" i="1"/>
  <c r="J40" i="1"/>
  <c r="I40" i="1"/>
  <c r="V38" i="1"/>
  <c r="V37" i="1"/>
  <c r="V35" i="1"/>
  <c r="V26" i="1"/>
  <c r="V20" i="1"/>
  <c r="V7" i="1"/>
  <c r="AM3" i="1"/>
  <c r="B18" i="4"/>
  <c r="AE16" i="4"/>
  <c r="AI207" i="1"/>
  <c r="K198" i="1"/>
  <c r="N197" i="1"/>
  <c r="O197" i="1" s="1"/>
  <c r="P197" i="1" s="1"/>
  <c r="Q197" i="1" s="1"/>
  <c r="R197" i="1" s="1"/>
  <c r="S197" i="1" s="1"/>
  <c r="T197" i="1" s="1"/>
  <c r="Z189" i="1"/>
  <c r="AK187" i="1"/>
  <c r="AK189" i="1" s="1"/>
  <c r="AD189" i="1"/>
  <c r="M189" i="1"/>
  <c r="H58" i="15"/>
  <c r="H59" i="15" s="1"/>
  <c r="H60" i="15" s="1"/>
  <c r="H61" i="15" s="1"/>
  <c r="H62" i="15" s="1"/>
  <c r="H63" i="15" s="1"/>
  <c r="H64" i="15" s="1"/>
  <c r="H65" i="15" s="1"/>
  <c r="H66" i="15" s="1"/>
  <c r="H67" i="15" s="1"/>
  <c r="H68" i="15" s="1"/>
  <c r="H69" i="15" s="1"/>
  <c r="G55" i="15"/>
  <c r="G56" i="15" s="1"/>
  <c r="G57" i="15" s="1"/>
  <c r="G58" i="15" s="1"/>
  <c r="G59" i="15" s="1"/>
  <c r="G60" i="15" s="1"/>
  <c r="G61" i="15" s="1"/>
  <c r="G62" i="15" s="1"/>
  <c r="G63" i="15" s="1"/>
  <c r="G64" i="15" s="1"/>
  <c r="G65" i="15" s="1"/>
  <c r="G66" i="15" s="1"/>
  <c r="G67" i="15" s="1"/>
  <c r="G68" i="15" s="1"/>
  <c r="G69" i="15" s="1"/>
  <c r="F53" i="15"/>
  <c r="F54" i="15" s="1"/>
  <c r="F55" i="15" s="1"/>
  <c r="F56" i="15" s="1"/>
  <c r="F57" i="15" s="1"/>
  <c r="F58" i="15" s="1"/>
  <c r="F59" i="15" s="1"/>
  <c r="F60" i="15" s="1"/>
  <c r="F61" i="15" s="1"/>
  <c r="F62" i="15" s="1"/>
  <c r="F63" i="15" s="1"/>
  <c r="F64" i="15" s="1"/>
  <c r="F65" i="15" s="1"/>
  <c r="F66" i="15" s="1"/>
  <c r="F67" i="15" s="1"/>
  <c r="F68" i="15" s="1"/>
  <c r="F69" i="15" s="1"/>
  <c r="J4" i="11"/>
  <c r="K4" i="11" s="1"/>
  <c r="C18" i="4"/>
  <c r="C13" i="4"/>
  <c r="AK191" i="1"/>
  <c r="AK192" i="1" s="1"/>
  <c r="AB189" i="1"/>
  <c r="K189" i="1"/>
  <c r="J4" i="10" l="1"/>
  <c r="K4" i="10" s="1"/>
  <c r="L4" i="10" s="1"/>
  <c r="M4" i="10" s="1"/>
  <c r="I4" i="9"/>
  <c r="AK174" i="1"/>
  <c r="L6" i="11"/>
  <c r="L4" i="11" s="1"/>
  <c r="M4" i="11" s="1"/>
  <c r="N4" i="11" s="1"/>
  <c r="AK208" i="1"/>
  <c r="P20" i="16"/>
  <c r="R20" i="16" s="1"/>
  <c r="T20" i="16" s="1"/>
  <c r="V20" i="16" s="1"/>
  <c r="X20" i="16" s="1"/>
  <c r="Z20" i="16" s="1"/>
  <c r="AB20" i="16" s="1"/>
  <c r="AD20" i="16" s="1"/>
  <c r="AF20" i="16" s="1"/>
  <c r="AH20" i="16" s="1"/>
  <c r="AJ20" i="16" s="1"/>
  <c r="O6" i="12"/>
  <c r="P6" i="12" s="1"/>
  <c r="Q6" i="12" s="1"/>
  <c r="S189" i="1"/>
  <c r="V187" i="1"/>
  <c r="L189" i="1"/>
  <c r="J189" i="1"/>
  <c r="O18" i="4"/>
  <c r="O5" i="4"/>
  <c r="O13" i="4"/>
  <c r="I189" i="1"/>
  <c r="L28" i="27"/>
  <c r="C16" i="27"/>
  <c r="C12" i="27"/>
  <c r="L14" i="27"/>
  <c r="L16" i="27" s="1"/>
  <c r="L15" i="27"/>
  <c r="L10" i="27"/>
  <c r="L11" i="27"/>
  <c r="N3" i="27"/>
  <c r="M5" i="27"/>
  <c r="M6" i="27"/>
  <c r="M26" i="27"/>
  <c r="M28" i="27" s="1"/>
  <c r="K4" i="26"/>
  <c r="J7" i="26"/>
  <c r="AH80" i="22"/>
  <c r="AH83" i="22"/>
  <c r="W80" i="22"/>
  <c r="U81" i="22"/>
  <c r="W56" i="22"/>
  <c r="W55" i="22"/>
  <c r="M46" i="22"/>
  <c r="M24" i="22"/>
  <c r="K26" i="22"/>
  <c r="K27" i="22"/>
  <c r="K28" i="22"/>
  <c r="K29" i="22"/>
  <c r="K30" i="22"/>
  <c r="K31" i="22"/>
  <c r="K32" i="22"/>
  <c r="K33" i="22"/>
  <c r="K35" i="22"/>
  <c r="K36" i="22"/>
  <c r="K38" i="22"/>
  <c r="K37" i="22"/>
  <c r="N4" i="22"/>
  <c r="L6" i="22"/>
  <c r="L9" i="22"/>
  <c r="M4" i="22"/>
  <c r="K6" i="22"/>
  <c r="K7" i="22"/>
  <c r="K8" i="22"/>
  <c r="K9" i="22"/>
  <c r="K10" i="22"/>
  <c r="K11" i="22"/>
  <c r="K12" i="22"/>
  <c r="K13" i="22"/>
  <c r="K14" i="22"/>
  <c r="K15" i="22"/>
  <c r="K16" i="22"/>
  <c r="K17" i="22"/>
  <c r="K18" i="22"/>
  <c r="K19" i="22"/>
  <c r="Q1" i="22"/>
  <c r="O22" i="22"/>
  <c r="O44" i="22"/>
  <c r="N8" i="20"/>
  <c r="N7" i="20"/>
  <c r="L5" i="20"/>
  <c r="M5" i="20" s="1"/>
  <c r="N5" i="20" s="1"/>
  <c r="O5" i="20" s="1"/>
  <c r="P5" i="20" s="1"/>
  <c r="N8" i="19"/>
  <c r="N7" i="19"/>
  <c r="L5" i="19"/>
  <c r="M5" i="19" s="1"/>
  <c r="L5" i="18"/>
  <c r="L4" i="18"/>
  <c r="J3" i="18"/>
  <c r="K3" i="18" s="1"/>
  <c r="L3" i="18" s="1"/>
  <c r="M3" i="18" s="1"/>
  <c r="N3" i="18" s="1"/>
  <c r="AE16" i="17"/>
  <c r="AF16" i="17" s="1"/>
  <c r="AG16" i="17" s="1"/>
  <c r="X8" i="17"/>
  <c r="W9" i="17"/>
  <c r="L8" i="17"/>
  <c r="K9" i="17"/>
  <c r="W10" i="17"/>
  <c r="W3" i="17"/>
  <c r="T10" i="17"/>
  <c r="T12" i="17"/>
  <c r="U13" i="17"/>
  <c r="X13" i="17" s="1"/>
  <c r="U2" i="17"/>
  <c r="M5" i="17"/>
  <c r="O5" i="17"/>
  <c r="K5" i="17"/>
  <c r="K10" i="17" s="1"/>
  <c r="J10" i="17"/>
  <c r="D60" i="16"/>
  <c r="C61" i="16"/>
  <c r="C62" i="16" s="1"/>
  <c r="C63" i="16" s="1"/>
  <c r="I42" i="16"/>
  <c r="J42" i="16"/>
  <c r="K41" i="16"/>
  <c r="L41" i="16"/>
  <c r="K40" i="16"/>
  <c r="I43" i="16"/>
  <c r="K25" i="16"/>
  <c r="I32" i="16"/>
  <c r="K17" i="16"/>
  <c r="L17" i="16"/>
  <c r="E11" i="16"/>
  <c r="G11" i="16"/>
  <c r="N9" i="16"/>
  <c r="L28" i="16"/>
  <c r="L38" i="16" s="1"/>
  <c r="W35" i="16"/>
  <c r="V35" i="16"/>
  <c r="U35" i="16"/>
  <c r="T35" i="16"/>
  <c r="S35" i="16"/>
  <c r="R35" i="16"/>
  <c r="Q35" i="16"/>
  <c r="P35" i="16"/>
  <c r="O35" i="16"/>
  <c r="N35" i="16"/>
  <c r="G9" i="15"/>
  <c r="H9" i="15"/>
  <c r="I5" i="15"/>
  <c r="H7" i="15"/>
  <c r="H4" i="15"/>
  <c r="G3" i="15"/>
  <c r="L3" i="15"/>
  <c r="J5" i="15"/>
  <c r="J23" i="15"/>
  <c r="G15" i="14"/>
  <c r="G21" i="14" s="1"/>
  <c r="E21" i="14"/>
  <c r="Y65" i="13"/>
  <c r="G65" i="13"/>
  <c r="Y64" i="13"/>
  <c r="G64" i="13"/>
  <c r="Y63" i="13"/>
  <c r="G63" i="13"/>
  <c r="G66" i="13" s="1"/>
  <c r="J61" i="13"/>
  <c r="C42" i="13"/>
  <c r="B43" i="13"/>
  <c r="B44" i="13" s="1"/>
  <c r="B45" i="13" s="1"/>
  <c r="C33" i="13"/>
  <c r="B34" i="13"/>
  <c r="B35" i="13" s="1"/>
  <c r="B36" i="13" s="1"/>
  <c r="C36" i="13" s="1"/>
  <c r="M37" i="21"/>
  <c r="O36" i="21" s="1"/>
  <c r="J37" i="21"/>
  <c r="L36" i="21" s="1"/>
  <c r="M18" i="13"/>
  <c r="I62" i="13"/>
  <c r="I14" i="13"/>
  <c r="Z7" i="13"/>
  <c r="H7" i="13"/>
  <c r="Z6" i="13"/>
  <c r="H6" i="13"/>
  <c r="Z5" i="13"/>
  <c r="H5" i="13"/>
  <c r="H8" i="13" s="1"/>
  <c r="B54" i="13" s="1"/>
  <c r="K27" i="8"/>
  <c r="M27" i="8"/>
  <c r="N27" i="8" s="1"/>
  <c r="K26" i="8"/>
  <c r="K28" i="8" s="1"/>
  <c r="M26" i="8"/>
  <c r="K22" i="8"/>
  <c r="M22" i="8"/>
  <c r="K21" i="8"/>
  <c r="K23" i="8" s="1"/>
  <c r="M21" i="8"/>
  <c r="H4" i="8"/>
  <c r="J4" i="8"/>
  <c r="N203" i="1"/>
  <c r="O204" i="1"/>
  <c r="P204" i="1" s="1"/>
  <c r="Q204" i="1" s="1"/>
  <c r="R204" i="1" s="1"/>
  <c r="S204" i="1" s="1"/>
  <c r="T204" i="1" s="1"/>
  <c r="K11" i="8"/>
  <c r="M11" i="8"/>
  <c r="H9" i="8"/>
  <c r="J9" i="8"/>
  <c r="H8" i="8"/>
  <c r="J8" i="8"/>
  <c r="H7" i="8"/>
  <c r="J7" i="8"/>
  <c r="H6" i="8"/>
  <c r="J6" i="8"/>
  <c r="H5" i="8"/>
  <c r="J5" i="8"/>
  <c r="V10" i="12"/>
  <c r="U19" i="13"/>
  <c r="T7" i="11"/>
  <c r="AF13" i="15"/>
  <c r="AJ35" i="16" s="1" a="1"/>
  <c r="T6" i="9"/>
  <c r="T6" i="10"/>
  <c r="U10" i="12"/>
  <c r="T19" i="13"/>
  <c r="T37" i="21" s="1"/>
  <c r="U37" i="21" s="1"/>
  <c r="AD13" i="15"/>
  <c r="AH35" i="16" s="1" a="1"/>
  <c r="S6" i="9"/>
  <c r="S7" i="11"/>
  <c r="S6" i="10"/>
  <c r="T10" i="12"/>
  <c r="S19" i="13"/>
  <c r="S37" i="21" s="1"/>
  <c r="R6" i="9"/>
  <c r="R6" i="10"/>
  <c r="R7" i="11"/>
  <c r="AB13" i="15"/>
  <c r="AF35" i="16" s="1" a="1"/>
  <c r="S10" i="12"/>
  <c r="R19" i="13"/>
  <c r="R37" i="21" s="1"/>
  <c r="U36" i="21" s="1"/>
  <c r="Z13" i="15"/>
  <c r="AD35" i="16" s="1" a="1"/>
  <c r="Q6" i="10"/>
  <c r="Q7" i="11"/>
  <c r="Q6" i="9"/>
  <c r="R10" i="12"/>
  <c r="U9" i="12" s="1"/>
  <c r="Q19" i="13"/>
  <c r="Q37" i="21" s="1"/>
  <c r="X13" i="15"/>
  <c r="AB35" i="16" s="1" a="1"/>
  <c r="P6" i="9"/>
  <c r="P6" i="10"/>
  <c r="P7" i="11"/>
  <c r="Q10" i="12"/>
  <c r="P19" i="13"/>
  <c r="O6" i="9"/>
  <c r="O7" i="11"/>
  <c r="V13" i="15"/>
  <c r="Z35" i="16" s="1" a="1"/>
  <c r="O6" i="10"/>
  <c r="P10" i="12"/>
  <c r="O19" i="13"/>
  <c r="O37" i="21" s="1"/>
  <c r="T13" i="15"/>
  <c r="N6" i="9"/>
  <c r="N7" i="11"/>
  <c r="O6" i="11" s="1"/>
  <c r="N6" i="10"/>
  <c r="N4" i="10" s="1"/>
  <c r="M32" i="7"/>
  <c r="L44" i="7"/>
  <c r="M31" i="7"/>
  <c r="L43" i="7"/>
  <c r="M30" i="7"/>
  <c r="L42" i="7"/>
  <c r="M29" i="7"/>
  <c r="L41" i="7"/>
  <c r="M28" i="7"/>
  <c r="L40" i="7"/>
  <c r="M27" i="7"/>
  <c r="L39" i="7"/>
  <c r="M26" i="7"/>
  <c r="L38" i="7"/>
  <c r="M25" i="7"/>
  <c r="L37" i="7"/>
  <c r="G15" i="6"/>
  <c r="G16" i="6"/>
  <c r="H16" i="6" s="1"/>
  <c r="I16" i="6" s="1"/>
  <c r="J16" i="6" s="1"/>
  <c r="G19" i="6"/>
  <c r="G20" i="6"/>
  <c r="H20" i="6" s="1"/>
  <c r="I20" i="6" s="1"/>
  <c r="J20" i="6" s="1"/>
  <c r="K11" i="3"/>
  <c r="I25" i="3"/>
  <c r="K25" i="3" s="1"/>
  <c r="K6" i="3"/>
  <c r="I9" i="3"/>
  <c r="K9" i="3" s="1"/>
  <c r="AM171" i="1"/>
  <c r="AN171" i="1" s="1"/>
  <c r="V207" i="1"/>
  <c r="T194" i="1"/>
  <c r="W168" i="1"/>
  <c r="AM168" i="1"/>
  <c r="AN168" i="1" s="1"/>
  <c r="B24" i="3"/>
  <c r="W157" i="1"/>
  <c r="AM157" i="1"/>
  <c r="AN157" i="1" s="1"/>
  <c r="B23" i="3"/>
  <c r="D23" i="3" s="1"/>
  <c r="F23" i="3" s="1"/>
  <c r="W154" i="1"/>
  <c r="AM154" i="1"/>
  <c r="B22" i="3"/>
  <c r="W151" i="1"/>
  <c r="AM151" i="1"/>
  <c r="AN151" i="1" s="1"/>
  <c r="B21" i="3"/>
  <c r="D21" i="3" s="1"/>
  <c r="F21" i="3" s="1"/>
  <c r="W128" i="1"/>
  <c r="AM128" i="1"/>
  <c r="AN128" i="1" s="1"/>
  <c r="B20" i="3"/>
  <c r="D20" i="3" s="1"/>
  <c r="F20" i="3" s="1"/>
  <c r="W125" i="1"/>
  <c r="AM125" i="1"/>
  <c r="W106" i="1"/>
  <c r="AM106" i="1"/>
  <c r="AN106" i="1" s="1"/>
  <c r="B19" i="3"/>
  <c r="D19" i="3" s="1"/>
  <c r="F19" i="3" s="1"/>
  <c r="W93" i="1"/>
  <c r="AM93" i="1"/>
  <c r="AN93" i="1" s="1"/>
  <c r="B18" i="3"/>
  <c r="D18" i="3" s="1"/>
  <c r="F18" i="3" s="1"/>
  <c r="W87" i="1"/>
  <c r="AM87" i="1"/>
  <c r="AN87" i="1" s="1"/>
  <c r="B17" i="3"/>
  <c r="D17" i="3" s="1"/>
  <c r="F17" i="3" s="1"/>
  <c r="W81" i="1"/>
  <c r="AM81" i="1"/>
  <c r="AN81" i="1" s="1"/>
  <c r="B16" i="3"/>
  <c r="D16" i="3" s="1"/>
  <c r="F16" i="3" s="1"/>
  <c r="W75" i="1"/>
  <c r="AM75" i="1"/>
  <c r="AN75" i="1" s="1"/>
  <c r="B15" i="3"/>
  <c r="D15" i="3" s="1"/>
  <c r="F15" i="3" s="1"/>
  <c r="W73" i="1"/>
  <c r="AM73" i="1"/>
  <c r="AN73" i="1" s="1"/>
  <c r="B14" i="3"/>
  <c r="D14" i="3" s="1"/>
  <c r="F14" i="3" s="1"/>
  <c r="W70" i="1"/>
  <c r="AM70" i="1"/>
  <c r="AN70" i="1" s="1"/>
  <c r="B13" i="3"/>
  <c r="D13" i="3" s="1"/>
  <c r="F13" i="3" s="1"/>
  <c r="W58" i="1"/>
  <c r="AM58" i="1"/>
  <c r="AN58" i="1" s="1"/>
  <c r="B12" i="3"/>
  <c r="D12" i="3" s="1"/>
  <c r="F12" i="3" s="1"/>
  <c r="W46" i="1"/>
  <c r="AM46" i="1"/>
  <c r="AN46" i="1" s="1"/>
  <c r="B11" i="3"/>
  <c r="T41" i="1"/>
  <c r="M4" i="4" s="1"/>
  <c r="M3" i="4"/>
  <c r="T219" i="1"/>
  <c r="T221" i="1" s="1"/>
  <c r="S41" i="1"/>
  <c r="L4" i="4" s="1"/>
  <c r="S42" i="1"/>
  <c r="S173" i="1" s="1"/>
  <c r="L3" i="4"/>
  <c r="L6" i="4" s="1"/>
  <c r="S219" i="1"/>
  <c r="S221" i="1" s="1"/>
  <c r="R41" i="1"/>
  <c r="K4" i="4" s="1"/>
  <c r="K3" i="4"/>
  <c r="K6" i="4" s="1"/>
  <c r="R219" i="1"/>
  <c r="R221" i="1" s="1"/>
  <c r="Q41" i="1"/>
  <c r="J4" i="4" s="1"/>
  <c r="J3" i="4"/>
  <c r="Q219" i="1"/>
  <c r="Q221" i="1" s="1"/>
  <c r="P41" i="1"/>
  <c r="I4" i="4" s="1"/>
  <c r="I3" i="4"/>
  <c r="P219" i="1"/>
  <c r="P221" i="1" s="1"/>
  <c r="O41" i="1"/>
  <c r="H4" i="4" s="1"/>
  <c r="H3" i="4"/>
  <c r="H6" i="4" s="1"/>
  <c r="O219" i="1"/>
  <c r="O221" i="1" s="1"/>
  <c r="N41" i="1"/>
  <c r="G4" i="4" s="1"/>
  <c r="G3" i="4"/>
  <c r="N219" i="1"/>
  <c r="N221" i="1" s="1"/>
  <c r="M42" i="1"/>
  <c r="M173" i="1" s="1"/>
  <c r="F3" i="4"/>
  <c r="F6" i="4" s="1"/>
  <c r="M219" i="1"/>
  <c r="M221" i="1" s="1"/>
  <c r="AO40" i="1"/>
  <c r="L42" i="1"/>
  <c r="L173" i="1" s="1"/>
  <c r="E3" i="4"/>
  <c r="E6" i="4" s="1"/>
  <c r="L219" i="1"/>
  <c r="L221" i="1" s="1"/>
  <c r="AO32" i="1"/>
  <c r="K42" i="1"/>
  <c r="K173" i="1" s="1"/>
  <c r="D3" i="4"/>
  <c r="D6" i="4" s="1"/>
  <c r="K219" i="1"/>
  <c r="K221" i="1" s="1"/>
  <c r="J42" i="1"/>
  <c r="J173" i="1" s="1"/>
  <c r="C3" i="4"/>
  <c r="C6" i="4" s="1"/>
  <c r="J219" i="1"/>
  <c r="J221" i="1" s="1"/>
  <c r="V40" i="1"/>
  <c r="I42" i="1"/>
  <c r="I173" i="1" s="1"/>
  <c r="B3" i="4"/>
  <c r="I219" i="1"/>
  <c r="I221" i="1" s="1"/>
  <c r="AM37" i="1"/>
  <c r="AN37" i="1" s="1"/>
  <c r="B8" i="3"/>
  <c r="D8" i="3" s="1"/>
  <c r="F8" i="3" s="1"/>
  <c r="AM20" i="1"/>
  <c r="AN20" i="1" s="1"/>
  <c r="B7" i="3"/>
  <c r="D7" i="3" s="1"/>
  <c r="F7" i="3" s="1"/>
  <c r="AM7" i="1"/>
  <c r="AN7" i="1" s="1"/>
  <c r="B6" i="3"/>
  <c r="AK209" i="1"/>
  <c r="AK210" i="1"/>
  <c r="Q189" i="1"/>
  <c r="G5" i="15"/>
  <c r="E12" i="8"/>
  <c r="K10" i="8"/>
  <c r="R4" i="8"/>
  <c r="U4" i="8" s="1"/>
  <c r="X4" i="8" s="1"/>
  <c r="AA4" i="8" s="1"/>
  <c r="AD4" i="8" s="1"/>
  <c r="AG4" i="8" s="1"/>
  <c r="AJ4" i="8" s="1"/>
  <c r="AM4" i="8" s="1"/>
  <c r="AP4" i="8" s="1"/>
  <c r="AS4" i="8" s="1"/>
  <c r="AV4" i="8" s="1"/>
  <c r="S199" i="1"/>
  <c r="T199" i="1" s="1"/>
  <c r="R189" i="1"/>
  <c r="O189" i="1"/>
  <c r="N189" i="1"/>
  <c r="V189" i="1"/>
  <c r="G72" i="7"/>
  <c r="H72" i="7" s="1"/>
  <c r="I72" i="7" s="1"/>
  <c r="J72" i="7" s="1"/>
  <c r="K72" i="7" s="1"/>
  <c r="L72" i="7" s="1"/>
  <c r="M72" i="7" s="1"/>
  <c r="N72" i="7" s="1"/>
  <c r="J53" i="22"/>
  <c r="J60" i="22" s="1"/>
  <c r="I34" i="21"/>
  <c r="J34" i="21" s="1"/>
  <c r="V10" i="17"/>
  <c r="J24" i="15"/>
  <c r="L24" i="15" s="1"/>
  <c r="N24" i="15" s="1"/>
  <c r="P24" i="15" s="1"/>
  <c r="R24" i="15" s="1"/>
  <c r="N10" i="8"/>
  <c r="T189" i="1"/>
  <c r="AD19" i="17"/>
  <c r="S10" i="17"/>
  <c r="I43" i="21"/>
  <c r="J43" i="21" s="1"/>
  <c r="G23" i="15"/>
  <c r="G25" i="15" s="1"/>
  <c r="J4" i="9" l="1"/>
  <c r="K4" i="9" s="1"/>
  <c r="L4" i="9" s="1"/>
  <c r="M4" i="9" s="1"/>
  <c r="O42" i="1"/>
  <c r="O173" i="1" s="1"/>
  <c r="T42" i="1"/>
  <c r="T173" i="1" s="1"/>
  <c r="R42" i="1"/>
  <c r="R173" i="1" s="1"/>
  <c r="T36" i="16"/>
  <c r="M6" i="4"/>
  <c r="R6" i="11"/>
  <c r="R9" i="12"/>
  <c r="R6" i="12" s="1"/>
  <c r="S6" i="12" s="1"/>
  <c r="T6" i="12" s="1"/>
  <c r="U6" i="12" s="1"/>
  <c r="V6" i="12" s="1"/>
  <c r="O4" i="11"/>
  <c r="P4" i="11" s="1"/>
  <c r="Q4" i="11" s="1"/>
  <c r="R4" i="11" s="1"/>
  <c r="S4" i="11" s="1"/>
  <c r="T4" i="11" s="1"/>
  <c r="G6" i="4"/>
  <c r="N42" i="1"/>
  <c r="N173" i="1" s="1"/>
  <c r="O3" i="4"/>
  <c r="Q42" i="1"/>
  <c r="Q173" i="1" s="1"/>
  <c r="P42" i="1"/>
  <c r="P173" i="1" s="1"/>
  <c r="AK211" i="1"/>
  <c r="AK212" i="1" s="1"/>
  <c r="I6" i="4"/>
  <c r="J6" i="4"/>
  <c r="O3" i="27"/>
  <c r="N5" i="27"/>
  <c r="N6" i="27"/>
  <c r="N26" i="27"/>
  <c r="M10" i="27"/>
  <c r="M11" i="27"/>
  <c r="M14" i="27"/>
  <c r="M15" i="27"/>
  <c r="L4" i="26"/>
  <c r="L7" i="26" s="1"/>
  <c r="K7" i="26"/>
  <c r="Y80" i="22"/>
  <c r="W81" i="22"/>
  <c r="Y56" i="22"/>
  <c r="AA56" i="22" s="1"/>
  <c r="AC56" i="22" s="1"/>
  <c r="AC55" i="22"/>
  <c r="AC70" i="22" s="1"/>
  <c r="X24" i="22"/>
  <c r="Z24" i="22" s="1"/>
  <c r="AB24" i="22" s="1"/>
  <c r="AD24" i="22" s="1"/>
  <c r="AF24" i="22" s="1"/>
  <c r="AH24" i="22" s="1"/>
  <c r="X25" i="22"/>
  <c r="Z25" i="22" s="1"/>
  <c r="AB25" i="22" s="1"/>
  <c r="AD25" i="22" s="1"/>
  <c r="AF25" i="22" s="1"/>
  <c r="AH25" i="22" s="1"/>
  <c r="W25" i="22"/>
  <c r="Y25" i="22" s="1"/>
  <c r="AA25" i="22" s="1"/>
  <c r="AC25" i="22" s="1"/>
  <c r="AE25" i="22" s="1"/>
  <c r="AG25" i="22" s="1"/>
  <c r="W70" i="22"/>
  <c r="O46" i="22"/>
  <c r="O24" i="22"/>
  <c r="M26" i="22"/>
  <c r="M27" i="22"/>
  <c r="M28" i="22"/>
  <c r="M29" i="22"/>
  <c r="M30" i="22"/>
  <c r="M31" i="22"/>
  <c r="M32" i="22"/>
  <c r="M33" i="22"/>
  <c r="M35" i="22"/>
  <c r="M37" i="22"/>
  <c r="M38" i="22"/>
  <c r="M36" i="22"/>
  <c r="P4" i="22"/>
  <c r="N6" i="22"/>
  <c r="N9" i="22"/>
  <c r="O4" i="22"/>
  <c r="M6" i="22"/>
  <c r="M7" i="22"/>
  <c r="M8" i="22"/>
  <c r="M9" i="22"/>
  <c r="M10" i="22"/>
  <c r="M11" i="22"/>
  <c r="M12" i="22"/>
  <c r="M13" i="22"/>
  <c r="M14" i="22"/>
  <c r="M15" i="22"/>
  <c r="M16" i="22"/>
  <c r="M17" i="22"/>
  <c r="M18" i="22"/>
  <c r="M19" i="22"/>
  <c r="S1" i="22"/>
  <c r="Q22" i="22"/>
  <c r="Q44" i="22"/>
  <c r="O8" i="20"/>
  <c r="P8" i="20" s="1"/>
  <c r="Q8" i="20" s="1"/>
  <c r="Q7" i="20"/>
  <c r="Q5" i="20" s="1"/>
  <c r="R5" i="20" s="1"/>
  <c r="S5" i="20" s="1"/>
  <c r="O8" i="19"/>
  <c r="P8" i="19" s="1"/>
  <c r="Q8" i="19" s="1"/>
  <c r="Q7" i="19"/>
  <c r="M5" i="18"/>
  <c r="N5" i="18" s="1"/>
  <c r="O5" i="18" s="1"/>
  <c r="O4" i="18"/>
  <c r="O3" i="18" s="1"/>
  <c r="P3" i="18" s="1"/>
  <c r="Q3" i="18" s="1"/>
  <c r="AH16" i="17"/>
  <c r="AI16" i="17" s="1"/>
  <c r="AJ16" i="17" s="1"/>
  <c r="AK16" i="17" s="1"/>
  <c r="AL16" i="17" s="1"/>
  <c r="AJ19" i="17"/>
  <c r="Y8" i="17"/>
  <c r="X9" i="17"/>
  <c r="M8" i="17"/>
  <c r="L9" i="17"/>
  <c r="L10" i="17" s="1"/>
  <c r="X14" i="17"/>
  <c r="X5" i="17"/>
  <c r="X12" i="17"/>
  <c r="N5" i="17"/>
  <c r="P5" i="17"/>
  <c r="D63" i="16"/>
  <c r="C64" i="16"/>
  <c r="C65" i="16" s="1"/>
  <c r="C66" i="16" s="1"/>
  <c r="C67" i="16" s="1"/>
  <c r="C68" i="16" s="1"/>
  <c r="C69" i="16" s="1"/>
  <c r="K42" i="16"/>
  <c r="L42" i="16"/>
  <c r="M41" i="16"/>
  <c r="N41" i="16"/>
  <c r="M40" i="16"/>
  <c r="K43" i="16"/>
  <c r="M25" i="16"/>
  <c r="K32" i="16"/>
  <c r="M17" i="16"/>
  <c r="N17" i="16"/>
  <c r="I11" i="16"/>
  <c r="G30" i="16"/>
  <c r="P9" i="16"/>
  <c r="N28" i="16"/>
  <c r="N38" i="16" s="1"/>
  <c r="I9" i="15"/>
  <c r="J9" i="15"/>
  <c r="I3" i="15"/>
  <c r="I7" i="15" s="1"/>
  <c r="I11" i="15" s="1"/>
  <c r="J4" i="15"/>
  <c r="N3" i="15"/>
  <c r="L5" i="15"/>
  <c r="L23" i="15"/>
  <c r="M23" i="15" s="1"/>
  <c r="M25" i="15" s="1"/>
  <c r="K5" i="15"/>
  <c r="J7" i="15"/>
  <c r="G23" i="14"/>
  <c r="G25" i="14"/>
  <c r="E23" i="14"/>
  <c r="E25" i="14"/>
  <c r="Z65" i="13"/>
  <c r="H65" i="13"/>
  <c r="Z64" i="13"/>
  <c r="H64" i="13"/>
  <c r="Z63" i="13"/>
  <c r="H63" i="13"/>
  <c r="H66" i="13" s="1"/>
  <c r="K61" i="13"/>
  <c r="C45" i="13"/>
  <c r="D13" i="13" s="1"/>
  <c r="F13" i="13" s="1"/>
  <c r="F15" i="13" s="1"/>
  <c r="B46" i="13"/>
  <c r="B47" i="13" s="1"/>
  <c r="B48" i="13" s="1"/>
  <c r="C48" i="13" s="1"/>
  <c r="G13" i="13" s="1"/>
  <c r="AA7" i="13"/>
  <c r="I7" i="13"/>
  <c r="AA6" i="13"/>
  <c r="I6" i="13"/>
  <c r="AA5" i="13"/>
  <c r="I5" i="13"/>
  <c r="I8" i="13" s="1"/>
  <c r="N26" i="8"/>
  <c r="N28" i="8" s="1"/>
  <c r="P26" i="8"/>
  <c r="N22" i="8"/>
  <c r="P22" i="8"/>
  <c r="N21" i="8"/>
  <c r="N23" i="8" s="1"/>
  <c r="P21" i="8"/>
  <c r="K4" i="8"/>
  <c r="K12" i="8" s="1"/>
  <c r="M4" i="8"/>
  <c r="O17" i="13"/>
  <c r="O203" i="1"/>
  <c r="N202" i="1"/>
  <c r="N11" i="8"/>
  <c r="P11" i="8"/>
  <c r="K9" i="8"/>
  <c r="M9" i="8"/>
  <c r="K8" i="8"/>
  <c r="M8" i="8"/>
  <c r="K7" i="8"/>
  <c r="M7" i="8"/>
  <c r="K6" i="8"/>
  <c r="M6" i="8"/>
  <c r="K5" i="8"/>
  <c r="M5" i="8"/>
  <c r="AK35" i="16"/>
  <c r="AJ35" i="16"/>
  <c r="AI35" i="16"/>
  <c r="AH35" i="16"/>
  <c r="AG35" i="16"/>
  <c r="AF35" i="16"/>
  <c r="AE35" i="16"/>
  <c r="AD35" i="16"/>
  <c r="AC35" i="16"/>
  <c r="AB35" i="16"/>
  <c r="P37" i="21"/>
  <c r="R36" i="21" s="1"/>
  <c r="S18" i="13"/>
  <c r="AA35" i="16"/>
  <c r="Z35" i="16"/>
  <c r="AF36" i="16" s="1"/>
  <c r="T10" i="15"/>
  <c r="V10" i="15" s="1"/>
  <c r="X10" i="15" s="1"/>
  <c r="Z10" i="15" s="1"/>
  <c r="AB10" i="15" s="1"/>
  <c r="AD10" i="15" s="1"/>
  <c r="AF10" i="15" s="1"/>
  <c r="T6" i="15"/>
  <c r="V6" i="15" s="1"/>
  <c r="X6" i="15" s="1"/>
  <c r="Z6" i="15" s="1"/>
  <c r="AB6" i="15" s="1"/>
  <c r="AD6" i="15" s="1"/>
  <c r="AF6" i="15" s="1"/>
  <c r="X35" i="16" a="1"/>
  <c r="O4" i="10"/>
  <c r="P4" i="10" s="1"/>
  <c r="Q4" i="10" s="1"/>
  <c r="R4" i="10" s="1"/>
  <c r="S4" i="10" s="1"/>
  <c r="T4" i="10" s="1"/>
  <c r="M44" i="7"/>
  <c r="B68" i="7"/>
  <c r="M43" i="7"/>
  <c r="B67" i="7"/>
  <c r="M42" i="7"/>
  <c r="B66" i="7"/>
  <c r="M41" i="7"/>
  <c r="B65" i="7"/>
  <c r="M40" i="7"/>
  <c r="B64" i="7"/>
  <c r="M39" i="7"/>
  <c r="B63" i="7"/>
  <c r="M38" i="7"/>
  <c r="B62" i="7"/>
  <c r="M37" i="7"/>
  <c r="B61" i="7"/>
  <c r="H15" i="6"/>
  <c r="G17" i="6"/>
  <c r="H19" i="6"/>
  <c r="G21" i="6"/>
  <c r="D11" i="3"/>
  <c r="F11" i="3" s="1"/>
  <c r="B25" i="3"/>
  <c r="D25" i="3" s="1"/>
  <c r="F25" i="3" s="1"/>
  <c r="T191" i="1"/>
  <c r="T192" i="1" s="1"/>
  <c r="T174" i="1"/>
  <c r="M7" i="4"/>
  <c r="T222" i="1"/>
  <c r="S174" i="1"/>
  <c r="S191" i="1"/>
  <c r="S192" i="1" s="1"/>
  <c r="L7" i="4"/>
  <c r="S222" i="1"/>
  <c r="R191" i="1"/>
  <c r="R192" i="1" s="1"/>
  <c r="R174" i="1"/>
  <c r="K7" i="4"/>
  <c r="R222" i="1"/>
  <c r="Q222" i="1"/>
  <c r="P191" i="1"/>
  <c r="P192" i="1" s="1"/>
  <c r="P174" i="1"/>
  <c r="I7" i="4"/>
  <c r="P222" i="1"/>
  <c r="O174" i="1"/>
  <c r="O191" i="1"/>
  <c r="O192" i="1" s="1"/>
  <c r="H7" i="4"/>
  <c r="O222" i="1"/>
  <c r="N174" i="1"/>
  <c r="N191" i="1"/>
  <c r="N192" i="1" s="1"/>
  <c r="G7" i="4"/>
  <c r="N222" i="1"/>
  <c r="M174" i="1"/>
  <c r="M191" i="1"/>
  <c r="M192" i="1" s="1"/>
  <c r="F7" i="4"/>
  <c r="M222" i="1"/>
  <c r="L191" i="1"/>
  <c r="L192" i="1" s="1"/>
  <c r="L174" i="1"/>
  <c r="E7" i="4"/>
  <c r="L222" i="1"/>
  <c r="K193" i="1"/>
  <c r="K191" i="1"/>
  <c r="K192" i="1" s="1"/>
  <c r="K174" i="1"/>
  <c r="D7" i="4"/>
  <c r="K222" i="1"/>
  <c r="J174" i="1"/>
  <c r="J191" i="1"/>
  <c r="J192" i="1" s="1"/>
  <c r="C7" i="4"/>
  <c r="C15" i="4"/>
  <c r="J222" i="1"/>
  <c r="AM40" i="1"/>
  <c r="AN40" i="1" s="1"/>
  <c r="V42" i="1"/>
  <c r="V206" i="1"/>
  <c r="V208" i="1" s="1"/>
  <c r="T193" i="1"/>
  <c r="T206" i="1" s="1"/>
  <c r="T207" i="1" s="1"/>
  <c r="V1" i="1"/>
  <c r="I191" i="1"/>
  <c r="I192" i="1" s="1"/>
  <c r="I174" i="1"/>
  <c r="B6" i="4"/>
  <c r="O6" i="4" s="1"/>
  <c r="I222" i="1"/>
  <c r="D6" i="3"/>
  <c r="F6" i="3" s="1"/>
  <c r="B9" i="3"/>
  <c r="D9" i="3" s="1"/>
  <c r="F9" i="3" s="1"/>
  <c r="K34" i="21"/>
  <c r="L34" i="21" s="1"/>
  <c r="M34" i="21" s="1"/>
  <c r="N34" i="21" s="1"/>
  <c r="O34" i="21" s="1"/>
  <c r="P34" i="21" s="1"/>
  <c r="Q34" i="21" s="1"/>
  <c r="K43" i="21"/>
  <c r="L43" i="21" s="1"/>
  <c r="M43" i="21" s="1"/>
  <c r="N43" i="21" s="1"/>
  <c r="O43" i="21" s="1"/>
  <c r="P43" i="21" s="1"/>
  <c r="Q43" i="21" s="1"/>
  <c r="N4" i="9"/>
  <c r="O4" i="9" s="1"/>
  <c r="P4" i="9" s="1"/>
  <c r="Q4" i="9" s="1"/>
  <c r="R4" i="9" s="1"/>
  <c r="S4" i="9" s="1"/>
  <c r="T4" i="9" s="1"/>
  <c r="U4" i="11"/>
  <c r="T24" i="15"/>
  <c r="V24" i="15" s="1"/>
  <c r="X24" i="15" s="1"/>
  <c r="Z24" i="15" s="1"/>
  <c r="AB24" i="15" s="1"/>
  <c r="AD24" i="15" s="1"/>
  <c r="AF24" i="15" s="1"/>
  <c r="W6" i="12"/>
  <c r="AG19" i="17"/>
  <c r="N5" i="19"/>
  <c r="O5" i="19" s="1"/>
  <c r="P5" i="19" s="1"/>
  <c r="Q5" i="19" s="1"/>
  <c r="R5" i="19" s="1"/>
  <c r="S5" i="19" s="1"/>
  <c r="K23" i="15"/>
  <c r="K25" i="15" s="1"/>
  <c r="G7" i="15"/>
  <c r="G11" i="15" s="1"/>
  <c r="P18" i="13"/>
  <c r="D29" i="14"/>
  <c r="E29" i="14" s="1"/>
  <c r="E32" i="14" s="1"/>
  <c r="G32" i="14" s="1"/>
  <c r="L12" i="27"/>
  <c r="L40" i="22"/>
  <c r="L53" i="22" s="1"/>
  <c r="H12" i="8"/>
  <c r="L20" i="22"/>
  <c r="J7" i="4" l="1"/>
  <c r="O7" i="4"/>
  <c r="U4" i="9"/>
  <c r="R34" i="21"/>
  <c r="S34" i="21" s="1"/>
  <c r="T34" i="21" s="1"/>
  <c r="U34" i="21" s="1"/>
  <c r="I15" i="4"/>
  <c r="G15" i="4"/>
  <c r="E15" i="4"/>
  <c r="Q174" i="1"/>
  <c r="Q191" i="1"/>
  <c r="Q192" i="1" s="1"/>
  <c r="Q223" i="1"/>
  <c r="Q224" i="1" s="1"/>
  <c r="Q226" i="1" s="1"/>
  <c r="R43" i="21"/>
  <c r="S43" i="21" s="1"/>
  <c r="T43" i="21" s="1"/>
  <c r="U43" i="21" s="1"/>
  <c r="O5" i="27"/>
  <c r="N10" i="27"/>
  <c r="N11" i="27"/>
  <c r="O11" i="27" s="1"/>
  <c r="O6" i="27"/>
  <c r="N14" i="27"/>
  <c r="N15" i="27"/>
  <c r="O15" i="27" s="1"/>
  <c r="O26" i="27"/>
  <c r="O28" i="27" s="1"/>
  <c r="N28" i="27"/>
  <c r="AA80" i="22"/>
  <c r="Y81" i="22"/>
  <c r="AE56" i="22"/>
  <c r="AG56" i="22" s="1"/>
  <c r="AI56" i="22" s="1"/>
  <c r="AK56" i="22" s="1"/>
  <c r="AM56" i="22" s="1"/>
  <c r="AI55" i="22"/>
  <c r="X76" i="22"/>
  <c r="X83" i="22"/>
  <c r="X84" i="22" s="1"/>
  <c r="Q46" i="22"/>
  <c r="Q24" i="22"/>
  <c r="O26" i="22"/>
  <c r="O27" i="22"/>
  <c r="O28" i="22"/>
  <c r="O29" i="22"/>
  <c r="O30" i="22"/>
  <c r="O31" i="22"/>
  <c r="O32" i="22"/>
  <c r="O33" i="22"/>
  <c r="O35" i="22"/>
  <c r="O36" i="22"/>
  <c r="O38" i="22"/>
  <c r="O37" i="22"/>
  <c r="R4" i="22"/>
  <c r="P6" i="22"/>
  <c r="P9" i="22"/>
  <c r="Q4" i="22"/>
  <c r="O6" i="22"/>
  <c r="O7" i="22"/>
  <c r="O8" i="22"/>
  <c r="O9" i="22"/>
  <c r="O10" i="22"/>
  <c r="O11" i="22"/>
  <c r="O12" i="22"/>
  <c r="O13" i="22"/>
  <c r="O14" i="22"/>
  <c r="O15" i="22"/>
  <c r="O16" i="22"/>
  <c r="O17" i="22"/>
  <c r="O18" i="22"/>
  <c r="O19" i="22"/>
  <c r="U1" i="22"/>
  <c r="S22" i="22"/>
  <c r="S44" i="22"/>
  <c r="R8" i="20"/>
  <c r="S8" i="20" s="1"/>
  <c r="T8" i="20" s="1"/>
  <c r="U8" i="20" s="1"/>
  <c r="V8" i="20" s="1"/>
  <c r="R8" i="19"/>
  <c r="S8" i="19" s="1"/>
  <c r="T8" i="19" s="1"/>
  <c r="U8" i="19" s="1"/>
  <c r="V8" i="19" s="1"/>
  <c r="P5" i="18"/>
  <c r="Q5" i="18" s="1"/>
  <c r="R5" i="18" s="1"/>
  <c r="S5" i="18" s="1"/>
  <c r="T5" i="18" s="1"/>
  <c r="Z8" i="17"/>
  <c r="Y9" i="17"/>
  <c r="N8" i="17"/>
  <c r="M9" i="17"/>
  <c r="M10" i="17" s="1"/>
  <c r="Y5" i="17"/>
  <c r="X10" i="17"/>
  <c r="X3" i="17"/>
  <c r="Q5" i="17"/>
  <c r="D69" i="16"/>
  <c r="E16" i="16" s="1"/>
  <c r="G16" i="16" s="1"/>
  <c r="G18" i="16" s="1"/>
  <c r="G31" i="16" s="1"/>
  <c r="G33" i="16" s="1"/>
  <c r="C70" i="16"/>
  <c r="C71" i="16" s="1"/>
  <c r="I16" i="16" s="1"/>
  <c r="M42" i="16"/>
  <c r="N42" i="16"/>
  <c r="O41" i="16"/>
  <c r="P41" i="16"/>
  <c r="O40" i="16"/>
  <c r="M43" i="16"/>
  <c r="O25" i="16"/>
  <c r="M32" i="16"/>
  <c r="O17" i="16"/>
  <c r="P17" i="16"/>
  <c r="K11" i="16"/>
  <c r="I30" i="16"/>
  <c r="R9" i="16"/>
  <c r="R28" i="16" s="1"/>
  <c r="R38" i="16" s="1"/>
  <c r="P28" i="16"/>
  <c r="P38" i="16" s="1"/>
  <c r="K9" i="15"/>
  <c r="L9" i="15"/>
  <c r="K3" i="15"/>
  <c r="K7" i="15" s="1"/>
  <c r="K11" i="15" s="1"/>
  <c r="L4" i="15"/>
  <c r="P3" i="15"/>
  <c r="N5" i="15"/>
  <c r="N23" i="15"/>
  <c r="O23" i="15" s="1"/>
  <c r="O25" i="15" s="1"/>
  <c r="M5" i="15"/>
  <c r="L7" i="15"/>
  <c r="AA65" i="13"/>
  <c r="I65" i="13"/>
  <c r="AA64" i="13"/>
  <c r="I64" i="13"/>
  <c r="AA63" i="13"/>
  <c r="I63" i="13"/>
  <c r="L61" i="13"/>
  <c r="F22" i="13"/>
  <c r="B55" i="13"/>
  <c r="B56" i="13" s="1"/>
  <c r="H13" i="13"/>
  <c r="G15" i="13"/>
  <c r="G22" i="13" s="1"/>
  <c r="AB7" i="13"/>
  <c r="J7" i="13"/>
  <c r="AB6" i="13"/>
  <c r="J6" i="13"/>
  <c r="AB5" i="13"/>
  <c r="J5" i="13"/>
  <c r="Q26" i="8"/>
  <c r="Q28" i="8" s="1"/>
  <c r="S26" i="8"/>
  <c r="Q22" i="8"/>
  <c r="S22" i="8"/>
  <c r="Q21" i="8"/>
  <c r="Q23" i="8" s="1"/>
  <c r="S21" i="8"/>
  <c r="N4" i="8"/>
  <c r="P4" i="8"/>
  <c r="O62" i="13"/>
  <c r="O14" i="13"/>
  <c r="O202" i="1"/>
  <c r="P17" i="13"/>
  <c r="P203" i="1"/>
  <c r="Q11" i="8"/>
  <c r="S11" i="8"/>
  <c r="N9" i="8"/>
  <c r="P9" i="8"/>
  <c r="N8" i="8"/>
  <c r="P8" i="8"/>
  <c r="N7" i="8"/>
  <c r="P7" i="8"/>
  <c r="N6" i="8"/>
  <c r="P6" i="8"/>
  <c r="N5" i="8"/>
  <c r="P5" i="8"/>
  <c r="Y35" i="16"/>
  <c r="X35" i="16"/>
  <c r="Z36" i="16" s="1"/>
  <c r="C68" i="7"/>
  <c r="B82" i="7"/>
  <c r="B81" i="7"/>
  <c r="C67" i="7"/>
  <c r="B69" i="7"/>
  <c r="B83" i="7" s="1"/>
  <c r="B80" i="7"/>
  <c r="C66" i="7"/>
  <c r="B79" i="7"/>
  <c r="C65" i="7"/>
  <c r="B78" i="7"/>
  <c r="C64" i="7"/>
  <c r="B77" i="7"/>
  <c r="C63" i="7"/>
  <c r="B76" i="7"/>
  <c r="C62" i="7"/>
  <c r="B75" i="7"/>
  <c r="C61" i="7"/>
  <c r="I15" i="6"/>
  <c r="H17" i="6"/>
  <c r="I19" i="6"/>
  <c r="H21" i="6"/>
  <c r="I23" i="4"/>
  <c r="I24" i="4" s="1"/>
  <c r="I16" i="4"/>
  <c r="G16" i="4"/>
  <c r="C16" i="4"/>
  <c r="AM42" i="1"/>
  <c r="AN42" i="1" s="1"/>
  <c r="V173" i="1"/>
  <c r="V191" i="1" s="1"/>
  <c r="V210" i="1"/>
  <c r="V209" i="1"/>
  <c r="B7" i="4"/>
  <c r="M12" i="27"/>
  <c r="M16" i="27"/>
  <c r="U4" i="10"/>
  <c r="T223" i="1"/>
  <c r="T224" i="1" s="1"/>
  <c r="T226" i="1" s="1"/>
  <c r="K15" i="4"/>
  <c r="J15" i="4"/>
  <c r="O223" i="1"/>
  <c r="O224" i="1" s="1"/>
  <c r="O226" i="1" s="1"/>
  <c r="L223" i="1"/>
  <c r="L224" i="1" s="1"/>
  <c r="V43" i="21"/>
  <c r="D15" i="4"/>
  <c r="I223" i="1"/>
  <c r="I224" i="1" s="1"/>
  <c r="I226" i="1" s="1"/>
  <c r="G34" i="14"/>
  <c r="G35" i="14" s="1"/>
  <c r="E34" i="14"/>
  <c r="E35" i="14" s="1"/>
  <c r="L15" i="4"/>
  <c r="R223" i="1"/>
  <c r="R224" i="1" s="1"/>
  <c r="R226" i="1" s="1"/>
  <c r="P223" i="1"/>
  <c r="P224" i="1" s="1"/>
  <c r="P226" i="1" s="1"/>
  <c r="K223" i="1"/>
  <c r="K224" i="1" s="1"/>
  <c r="M15" i="4"/>
  <c r="S223" i="1"/>
  <c r="S224" i="1" s="1"/>
  <c r="S226" i="1" s="1"/>
  <c r="F15" i="4"/>
  <c r="N44" i="7"/>
  <c r="H15" i="4"/>
  <c r="N223" i="1"/>
  <c r="N224" i="1" s="1"/>
  <c r="N226" i="1" s="1"/>
  <c r="J223" i="1"/>
  <c r="J224" i="1" s="1"/>
  <c r="V34" i="21"/>
  <c r="N40" i="22"/>
  <c r="N53" i="22" s="1"/>
  <c r="N20" i="22"/>
  <c r="M223" i="1"/>
  <c r="M224" i="1" s="1"/>
  <c r="M226" i="1" s="1"/>
  <c r="G23" i="4" l="1"/>
  <c r="G24" i="4" s="1"/>
  <c r="E16" i="4"/>
  <c r="O10" i="27"/>
  <c r="N12" i="27"/>
  <c r="O12" i="27" s="1"/>
  <c r="O14" i="27"/>
  <c r="N16" i="27"/>
  <c r="O16" i="27" s="1"/>
  <c r="O19" i="27" s="1"/>
  <c r="O22" i="27" s="1"/>
  <c r="AC80" i="22"/>
  <c r="AA81" i="22"/>
  <c r="AJ25" i="22"/>
  <c r="AL25" i="22" s="1"/>
  <c r="AN25" i="22" s="1"/>
  <c r="AI25" i="22"/>
  <c r="AK25" i="22" s="1"/>
  <c r="AM25" i="22" s="1"/>
  <c r="AJ24" i="22"/>
  <c r="AL24" i="22" s="1"/>
  <c r="AN24" i="22" s="1"/>
  <c r="AI70" i="22"/>
  <c r="AJ83" i="22" s="1"/>
  <c r="AL83" i="22" s="1"/>
  <c r="AN83" i="22" s="1"/>
  <c r="W77" i="22"/>
  <c r="Z76" i="22"/>
  <c r="S46" i="22"/>
  <c r="S24" i="22"/>
  <c r="Q26" i="22"/>
  <c r="Q27" i="22"/>
  <c r="Q28" i="22"/>
  <c r="Q29" i="22"/>
  <c r="Q30" i="22"/>
  <c r="Q31" i="22"/>
  <c r="Q32" i="22"/>
  <c r="Q33" i="22"/>
  <c r="Q35" i="22"/>
  <c r="Q36" i="22"/>
  <c r="Q37" i="22"/>
  <c r="Q38" i="22"/>
  <c r="T4" i="22"/>
  <c r="R6" i="22"/>
  <c r="R9" i="22"/>
  <c r="S4" i="22"/>
  <c r="Q6" i="22"/>
  <c r="Q7" i="22"/>
  <c r="Q8" i="22"/>
  <c r="Q9" i="22"/>
  <c r="Q10" i="22"/>
  <c r="Q11" i="22"/>
  <c r="Q12" i="22"/>
  <c r="Q13" i="22"/>
  <c r="Q14" i="22"/>
  <c r="Q15" i="22"/>
  <c r="Q16" i="22"/>
  <c r="Q17" i="22"/>
  <c r="Q18" i="22"/>
  <c r="Q19" i="22"/>
  <c r="U22" i="22"/>
  <c r="U44" i="22"/>
  <c r="AA8" i="17"/>
  <c r="Z9" i="17"/>
  <c r="O8" i="17"/>
  <c r="N9" i="17"/>
  <c r="N10" i="17" s="1"/>
  <c r="Z5" i="17"/>
  <c r="Y10" i="17"/>
  <c r="R2" i="17"/>
  <c r="K16" i="16"/>
  <c r="I18" i="16"/>
  <c r="I31" i="16" s="1"/>
  <c r="I33" i="16" s="1"/>
  <c r="O42" i="16"/>
  <c r="P42" i="16"/>
  <c r="Q41" i="16"/>
  <c r="R41" i="16"/>
  <c r="Q40" i="16"/>
  <c r="O43" i="16"/>
  <c r="Q25" i="16"/>
  <c r="O32" i="16"/>
  <c r="Q17" i="16"/>
  <c r="R17" i="16"/>
  <c r="M11" i="16"/>
  <c r="K30" i="16"/>
  <c r="M9" i="15"/>
  <c r="N9" i="15"/>
  <c r="M3" i="15"/>
  <c r="M7" i="15" s="1"/>
  <c r="N4" i="15"/>
  <c r="R3" i="15"/>
  <c r="P5" i="15"/>
  <c r="P23" i="15"/>
  <c r="Q23" i="15" s="1"/>
  <c r="Q25" i="15" s="1"/>
  <c r="O5" i="15"/>
  <c r="N7" i="15"/>
  <c r="AB65" i="13"/>
  <c r="J65" i="13"/>
  <c r="AB64" i="13"/>
  <c r="J64" i="13"/>
  <c r="AB63" i="13"/>
  <c r="J63" i="13"/>
  <c r="J66" i="13" s="1"/>
  <c r="M61" i="13"/>
  <c r="I13" i="13"/>
  <c r="H15" i="13"/>
  <c r="H22" i="13" s="1"/>
  <c r="AC7" i="13"/>
  <c r="K7" i="13"/>
  <c r="AC6" i="13"/>
  <c r="K6" i="13"/>
  <c r="AC5" i="13"/>
  <c r="K5" i="13"/>
  <c r="K8" i="13" s="1"/>
  <c r="T26" i="8"/>
  <c r="T28" i="8" s="1"/>
  <c r="V26" i="8"/>
  <c r="T22" i="8"/>
  <c r="V22" i="8"/>
  <c r="T21" i="8"/>
  <c r="T23" i="8" s="1"/>
  <c r="V21" i="8"/>
  <c r="Q4" i="8"/>
  <c r="Q12" i="8" s="1"/>
  <c r="S4" i="8"/>
  <c r="P62" i="13"/>
  <c r="P14" i="13"/>
  <c r="P202" i="1"/>
  <c r="Q203" i="1"/>
  <c r="Q17" i="13"/>
  <c r="T11" i="8"/>
  <c r="V11" i="8"/>
  <c r="Q9" i="8"/>
  <c r="S9" i="8"/>
  <c r="Q8" i="8"/>
  <c r="S8" i="8"/>
  <c r="Q7" i="8"/>
  <c r="S7" i="8"/>
  <c r="Q6" i="8"/>
  <c r="S6" i="8"/>
  <c r="Q5" i="8"/>
  <c r="S5" i="8"/>
  <c r="D68" i="7"/>
  <c r="C82" i="7"/>
  <c r="C81" i="7"/>
  <c r="D67" i="7"/>
  <c r="C69" i="7"/>
  <c r="C83" i="7" s="1"/>
  <c r="C80" i="7"/>
  <c r="D66" i="7"/>
  <c r="C79" i="7"/>
  <c r="D65" i="7"/>
  <c r="C78" i="7"/>
  <c r="D64" i="7"/>
  <c r="C77" i="7"/>
  <c r="D63" i="7"/>
  <c r="C76" i="7"/>
  <c r="D62" i="7"/>
  <c r="B84" i="7"/>
  <c r="C75" i="7"/>
  <c r="D61" i="7"/>
  <c r="J15" i="6"/>
  <c r="J17" i="6" s="1"/>
  <c r="K17" i="6" s="1"/>
  <c r="I17" i="6"/>
  <c r="J19" i="6"/>
  <c r="J21" i="6" s="1"/>
  <c r="K21" i="6" s="1"/>
  <c r="I21" i="6"/>
  <c r="V174" i="1"/>
  <c r="AM173" i="1"/>
  <c r="AN173" i="1" s="1"/>
  <c r="K23" i="4"/>
  <c r="K24" i="4" s="1"/>
  <c r="K16" i="4"/>
  <c r="J23" i="4"/>
  <c r="J24" i="4" s="1"/>
  <c r="J16" i="4"/>
  <c r="D16" i="4"/>
  <c r="D23" i="4"/>
  <c r="D24" i="4" s="1"/>
  <c r="L23" i="4"/>
  <c r="L24" i="4" s="1"/>
  <c r="L16" i="4"/>
  <c r="M23" i="4"/>
  <c r="M24" i="4" s="1"/>
  <c r="M16" i="4"/>
  <c r="F16" i="4"/>
  <c r="H16" i="4"/>
  <c r="H23" i="4"/>
  <c r="H24" i="4" s="1"/>
  <c r="C23" i="4"/>
  <c r="C24" i="4" s="1"/>
  <c r="V211" i="1"/>
  <c r="V212" i="1" s="1"/>
  <c r="B15" i="4"/>
  <c r="O15" i="4" s="1"/>
  <c r="P20" i="22"/>
  <c r="P40" i="22"/>
  <c r="P53" i="22" s="1"/>
  <c r="T7" i="19"/>
  <c r="T5" i="19" s="1"/>
  <c r="R4" i="18"/>
  <c r="R3" i="18" s="1"/>
  <c r="J8" i="13"/>
  <c r="I66" i="13"/>
  <c r="N12" i="8"/>
  <c r="T7" i="20"/>
  <c r="T5" i="20" s="1"/>
  <c r="E23" i="4" l="1"/>
  <c r="E24" i="4" s="1"/>
  <c r="M11" i="15"/>
  <c r="C84" i="7"/>
  <c r="AE80" i="22"/>
  <c r="AC81" i="22"/>
  <c r="Y77" i="22"/>
  <c r="AB76" i="22"/>
  <c r="U46" i="22"/>
  <c r="U24" i="22"/>
  <c r="S26" i="22"/>
  <c r="S27" i="22"/>
  <c r="S28" i="22"/>
  <c r="S29" i="22"/>
  <c r="S30" i="22"/>
  <c r="S31" i="22"/>
  <c r="S32" i="22"/>
  <c r="S33" i="22"/>
  <c r="S35" i="22"/>
  <c r="S38" i="22"/>
  <c r="S36" i="22"/>
  <c r="S37" i="22"/>
  <c r="V4" i="22"/>
  <c r="T6" i="22"/>
  <c r="T9" i="22"/>
  <c r="U4" i="22"/>
  <c r="S6" i="22"/>
  <c r="S7" i="22"/>
  <c r="S8" i="22"/>
  <c r="S9" i="22"/>
  <c r="S10" i="22"/>
  <c r="S11" i="22"/>
  <c r="S12" i="22"/>
  <c r="S13" i="22"/>
  <c r="S14" i="22"/>
  <c r="S15" i="22"/>
  <c r="S16" i="22"/>
  <c r="S17" i="22"/>
  <c r="S18" i="22"/>
  <c r="S19" i="22"/>
  <c r="AB8" i="17"/>
  <c r="AA9" i="17"/>
  <c r="P8" i="17"/>
  <c r="O9" i="17"/>
  <c r="O10" i="17" s="1"/>
  <c r="AA5" i="17"/>
  <c r="Z10" i="17"/>
  <c r="M16" i="16"/>
  <c r="K18" i="16"/>
  <c r="K31" i="16" s="1"/>
  <c r="K33" i="16" s="1"/>
  <c r="Q42" i="16"/>
  <c r="R42" i="16"/>
  <c r="S41" i="16"/>
  <c r="T41" i="16"/>
  <c r="S40" i="16"/>
  <c r="Q43" i="16"/>
  <c r="S25" i="16"/>
  <c r="Q32" i="16"/>
  <c r="S17" i="16"/>
  <c r="T17" i="16"/>
  <c r="O11" i="16"/>
  <c r="M30" i="16"/>
  <c r="O9" i="15"/>
  <c r="P9" i="15"/>
  <c r="O3" i="15"/>
  <c r="O7" i="15" s="1"/>
  <c r="O11" i="15" s="1"/>
  <c r="P4" i="15"/>
  <c r="T3" i="15"/>
  <c r="R5" i="15"/>
  <c r="R23" i="15"/>
  <c r="S23" i="15" s="1"/>
  <c r="S25" i="15" s="1"/>
  <c r="Q5" i="15"/>
  <c r="P7" i="15"/>
  <c r="AC65" i="13"/>
  <c r="K65" i="13"/>
  <c r="AC64" i="13"/>
  <c r="K64" i="13"/>
  <c r="AC63" i="13"/>
  <c r="K63" i="13"/>
  <c r="N61" i="13"/>
  <c r="J13" i="13"/>
  <c r="I15" i="13"/>
  <c r="I22" i="13" s="1"/>
  <c r="AD7" i="13"/>
  <c r="L7" i="13"/>
  <c r="AD6" i="13"/>
  <c r="L6" i="13"/>
  <c r="AD5" i="13"/>
  <c r="L5" i="13"/>
  <c r="W26" i="8"/>
  <c r="W28" i="8" s="1"/>
  <c r="Y26" i="8"/>
  <c r="W22" i="8"/>
  <c r="Y22" i="8"/>
  <c r="W21" i="8"/>
  <c r="Y21" i="8"/>
  <c r="T4" i="8"/>
  <c r="V4" i="8"/>
  <c r="R17" i="13"/>
  <c r="Q202" i="1"/>
  <c r="R203" i="1"/>
  <c r="Q62" i="13"/>
  <c r="Q14" i="13"/>
  <c r="W11" i="8"/>
  <c r="Y11" i="8"/>
  <c r="T9" i="8"/>
  <c r="V9" i="8"/>
  <c r="T8" i="8"/>
  <c r="V8" i="8"/>
  <c r="T7" i="8"/>
  <c r="V7" i="8"/>
  <c r="T6" i="8"/>
  <c r="V6" i="8"/>
  <c r="T5" i="8"/>
  <c r="V5" i="8"/>
  <c r="E68" i="7"/>
  <c r="D82" i="7"/>
  <c r="D81" i="7"/>
  <c r="E67" i="7"/>
  <c r="D69" i="7"/>
  <c r="D83" i="7" s="1"/>
  <c r="D80" i="7"/>
  <c r="E66" i="7"/>
  <c r="D79" i="7"/>
  <c r="E65" i="7"/>
  <c r="D78" i="7"/>
  <c r="E64" i="7"/>
  <c r="D77" i="7"/>
  <c r="E63" i="7"/>
  <c r="D76" i="7"/>
  <c r="E62" i="7"/>
  <c r="D75" i="7"/>
  <c r="E61" i="7"/>
  <c r="V192" i="1"/>
  <c r="AM191" i="1"/>
  <c r="AN191" i="1" s="1"/>
  <c r="B16" i="4"/>
  <c r="O16" i="4"/>
  <c r="U5" i="19"/>
  <c r="V5" i="19" s="1"/>
  <c r="S3" i="18"/>
  <c r="T3" i="18" s="1"/>
  <c r="W5" i="20"/>
  <c r="U5" i="20"/>
  <c r="V5" i="20" s="1"/>
  <c r="R40" i="22"/>
  <c r="R53" i="22" s="1"/>
  <c r="F23" i="4"/>
  <c r="F24" i="4" s="1"/>
  <c r="R20" i="22"/>
  <c r="D84" i="7" l="1"/>
  <c r="K66" i="13"/>
  <c r="L8" i="13"/>
  <c r="AG80" i="22"/>
  <c r="AE81" i="22"/>
  <c r="AA77" i="22"/>
  <c r="AD76" i="22"/>
  <c r="W46" i="22"/>
  <c r="W24" i="22"/>
  <c r="U26" i="22"/>
  <c r="U27" i="22"/>
  <c r="U28" i="22"/>
  <c r="U29" i="22"/>
  <c r="U30" i="22"/>
  <c r="U31" i="22"/>
  <c r="U32" i="22"/>
  <c r="U33" i="22"/>
  <c r="U35" i="22"/>
  <c r="U36" i="22"/>
  <c r="U37" i="22"/>
  <c r="U38" i="22"/>
  <c r="X4" i="22"/>
  <c r="V6" i="22"/>
  <c r="V9" i="22"/>
  <c r="W4" i="22"/>
  <c r="U6" i="22"/>
  <c r="U7" i="22"/>
  <c r="U8" i="22"/>
  <c r="U9" i="22"/>
  <c r="U10" i="22"/>
  <c r="U11" i="22"/>
  <c r="U12" i="22"/>
  <c r="U13" i="22"/>
  <c r="U14" i="22"/>
  <c r="U15" i="22"/>
  <c r="U16" i="22"/>
  <c r="U17" i="22"/>
  <c r="U18" i="22"/>
  <c r="U19" i="22"/>
  <c r="AC8" i="17"/>
  <c r="AB9" i="17"/>
  <c r="Q8" i="17"/>
  <c r="Q9" i="17" s="1"/>
  <c r="Q10" i="17" s="1"/>
  <c r="P9" i="17"/>
  <c r="P10" i="17" s="1"/>
  <c r="AB5" i="17"/>
  <c r="AA10" i="17"/>
  <c r="AA2" i="17"/>
  <c r="AA3" i="17"/>
  <c r="O16" i="16"/>
  <c r="M18" i="16"/>
  <c r="M31" i="16" s="1"/>
  <c r="M33" i="16" s="1"/>
  <c r="S42" i="16"/>
  <c r="T42" i="16"/>
  <c r="U41" i="16"/>
  <c r="V41" i="16"/>
  <c r="U40" i="16"/>
  <c r="S43" i="16"/>
  <c r="U25" i="16"/>
  <c r="S32" i="16"/>
  <c r="U17" i="16"/>
  <c r="V17" i="16"/>
  <c r="Q11" i="16"/>
  <c r="O30" i="16"/>
  <c r="Q9" i="15"/>
  <c r="R9" i="15"/>
  <c r="Q3" i="15"/>
  <c r="Q7" i="15" s="1"/>
  <c r="Q11" i="15" s="1"/>
  <c r="R4" i="15"/>
  <c r="V3" i="15"/>
  <c r="T5" i="15"/>
  <c r="T23" i="15"/>
  <c r="U23" i="15" s="1"/>
  <c r="U25" i="15" s="1"/>
  <c r="S5" i="15"/>
  <c r="R7" i="15"/>
  <c r="AD65" i="13"/>
  <c r="L65" i="13"/>
  <c r="AD64" i="13"/>
  <c r="L64" i="13"/>
  <c r="AD63" i="13"/>
  <c r="L63" i="13"/>
  <c r="L66" i="13" s="1"/>
  <c r="O61" i="13"/>
  <c r="K13" i="13"/>
  <c r="J15" i="13"/>
  <c r="J22" i="13" s="1"/>
  <c r="AE7" i="13"/>
  <c r="M7" i="13"/>
  <c r="AE6" i="13"/>
  <c r="M6" i="13"/>
  <c r="AE5" i="13"/>
  <c r="M5" i="13"/>
  <c r="Z26" i="8"/>
  <c r="Z28" i="8" s="1"/>
  <c r="AB26" i="8"/>
  <c r="Z22" i="8"/>
  <c r="AB22" i="8"/>
  <c r="Z21" i="8"/>
  <c r="Z23" i="8" s="1"/>
  <c r="AB21" i="8"/>
  <c r="W4" i="8"/>
  <c r="Y4" i="8"/>
  <c r="R62" i="13"/>
  <c r="R14" i="13"/>
  <c r="R202" i="1"/>
  <c r="S17" i="13"/>
  <c r="S203" i="1"/>
  <c r="Z11" i="8"/>
  <c r="AB11" i="8"/>
  <c r="W9" i="8"/>
  <c r="Y9" i="8"/>
  <c r="W8" i="8"/>
  <c r="Y8" i="8"/>
  <c r="W7" i="8"/>
  <c r="Y7" i="8"/>
  <c r="W6" i="8"/>
  <c r="Y6" i="8"/>
  <c r="W5" i="8"/>
  <c r="Y5" i="8"/>
  <c r="F68" i="7"/>
  <c r="E82" i="7"/>
  <c r="E81" i="7"/>
  <c r="F67" i="7"/>
  <c r="E69" i="7"/>
  <c r="E83" i="7" s="1"/>
  <c r="E80" i="7"/>
  <c r="F66" i="7"/>
  <c r="E79" i="7"/>
  <c r="F65" i="7"/>
  <c r="E78" i="7"/>
  <c r="F64" i="7"/>
  <c r="E77" i="7"/>
  <c r="F63" i="7"/>
  <c r="E76" i="7"/>
  <c r="F62" i="7"/>
  <c r="E75" i="7"/>
  <c r="F61" i="7"/>
  <c r="T40" i="22"/>
  <c r="T20" i="22"/>
  <c r="W5" i="19"/>
  <c r="B23" i="4"/>
  <c r="O23" i="4" s="1"/>
  <c r="O24" i="4" s="1"/>
  <c r="W23" i="8"/>
  <c r="T12" i="8"/>
  <c r="U3" i="18"/>
  <c r="M8" i="13" l="1"/>
  <c r="AI80" i="22"/>
  <c r="AG81" i="22"/>
  <c r="AC77" i="22"/>
  <c r="AF76" i="22"/>
  <c r="Y46" i="22"/>
  <c r="Y24" i="22"/>
  <c r="W26" i="22"/>
  <c r="W27" i="22"/>
  <c r="W28" i="22"/>
  <c r="W29" i="22"/>
  <c r="W30" i="22"/>
  <c r="W31" i="22"/>
  <c r="W32" i="22"/>
  <c r="W33" i="22"/>
  <c r="W35" i="22"/>
  <c r="W37" i="22"/>
  <c r="W38" i="22"/>
  <c r="W36" i="22"/>
  <c r="Z4" i="22"/>
  <c r="X6" i="22"/>
  <c r="X9" i="22"/>
  <c r="Y4" i="22"/>
  <c r="W6" i="22"/>
  <c r="W7" i="22"/>
  <c r="W8" i="22"/>
  <c r="W9" i="22"/>
  <c r="W10" i="22"/>
  <c r="W11" i="22"/>
  <c r="W12" i="22"/>
  <c r="W13" i="22"/>
  <c r="W14" i="22"/>
  <c r="W15" i="22"/>
  <c r="W16" i="22"/>
  <c r="W17" i="22"/>
  <c r="W18" i="22"/>
  <c r="W19" i="22"/>
  <c r="AD8" i="17"/>
  <c r="AC9" i="17"/>
  <c r="AC5" i="17"/>
  <c r="AB10" i="17"/>
  <c r="Q16" i="16"/>
  <c r="O18" i="16"/>
  <c r="O31" i="16" s="1"/>
  <c r="O33" i="16" s="1"/>
  <c r="U42" i="16"/>
  <c r="V42" i="16"/>
  <c r="W41" i="16"/>
  <c r="X41" i="16"/>
  <c r="W40" i="16"/>
  <c r="U43" i="16"/>
  <c r="W25" i="16"/>
  <c r="U32" i="16"/>
  <c r="W17" i="16"/>
  <c r="X17" i="16"/>
  <c r="S11" i="16"/>
  <c r="Q30" i="16"/>
  <c r="S9" i="15"/>
  <c r="T9" i="15"/>
  <c r="S3" i="15"/>
  <c r="S7" i="15" s="1"/>
  <c r="S11" i="15" s="1"/>
  <c r="T4" i="15"/>
  <c r="X3" i="15"/>
  <c r="V5" i="15"/>
  <c r="V23" i="15"/>
  <c r="W23" i="15" s="1"/>
  <c r="W25" i="15" s="1"/>
  <c r="U5" i="15"/>
  <c r="T7" i="15"/>
  <c r="AE65" i="13"/>
  <c r="M65" i="13"/>
  <c r="AE64" i="13"/>
  <c r="M64" i="13"/>
  <c r="AE63" i="13"/>
  <c r="M63" i="13"/>
  <c r="M66" i="13" s="1"/>
  <c r="P61" i="13"/>
  <c r="L13" i="13"/>
  <c r="K15" i="13"/>
  <c r="K22" i="13" s="1"/>
  <c r="AF7" i="13"/>
  <c r="N7" i="13"/>
  <c r="AF6" i="13"/>
  <c r="N6" i="13"/>
  <c r="AF5" i="13"/>
  <c r="N5" i="13"/>
  <c r="AC26" i="8"/>
  <c r="AC28" i="8" s="1"/>
  <c r="AE26" i="8"/>
  <c r="AC22" i="8"/>
  <c r="AE22" i="8"/>
  <c r="AC21" i="8"/>
  <c r="AE21" i="8"/>
  <c r="Z4" i="8"/>
  <c r="AB4" i="8"/>
  <c r="S62" i="13"/>
  <c r="S14" i="13"/>
  <c r="S202" i="1"/>
  <c r="T203" i="1"/>
  <c r="T17" i="13"/>
  <c r="AC11" i="8"/>
  <c r="AE11" i="8"/>
  <c r="Z9" i="8"/>
  <c r="AB9" i="8"/>
  <c r="Z8" i="8"/>
  <c r="AB8" i="8"/>
  <c r="Z7" i="8"/>
  <c r="AB7" i="8"/>
  <c r="Z6" i="8"/>
  <c r="AB6" i="8"/>
  <c r="Z5" i="8"/>
  <c r="AB5" i="8"/>
  <c r="G68" i="7"/>
  <c r="F82" i="7"/>
  <c r="F81" i="7"/>
  <c r="G67" i="7"/>
  <c r="F69" i="7"/>
  <c r="F83" i="7" s="1"/>
  <c r="F80" i="7"/>
  <c r="G66" i="7"/>
  <c r="F79" i="7"/>
  <c r="G65" i="7"/>
  <c r="F78" i="7"/>
  <c r="G64" i="7"/>
  <c r="F77" i="7"/>
  <c r="G63" i="7"/>
  <c r="F76" i="7"/>
  <c r="G62" i="7"/>
  <c r="E84" i="7"/>
  <c r="F75" i="7"/>
  <c r="G61" i="7"/>
  <c r="B24" i="4"/>
  <c r="W12" i="8"/>
  <c r="T53" i="22"/>
  <c r="V40" i="22"/>
  <c r="V53" i="22" s="1"/>
  <c r="V20" i="22"/>
  <c r="N8" i="13" l="1"/>
  <c r="AK80" i="22"/>
  <c r="AI81" i="22"/>
  <c r="AE77" i="22"/>
  <c r="AH76" i="22"/>
  <c r="AA46" i="22"/>
  <c r="AA24" i="22"/>
  <c r="Y26" i="22"/>
  <c r="Y27" i="22"/>
  <c r="Y28" i="22"/>
  <c r="Y29" i="22"/>
  <c r="Y30" i="22"/>
  <c r="Y31" i="22"/>
  <c r="Y32" i="22"/>
  <c r="Y33" i="22"/>
  <c r="Y35" i="22"/>
  <c r="Y36" i="22"/>
  <c r="Y38" i="22"/>
  <c r="Y37" i="22"/>
  <c r="AB4" i="22"/>
  <c r="Z6" i="22"/>
  <c r="Z9" i="22"/>
  <c r="AA4" i="22"/>
  <c r="Y6" i="22"/>
  <c r="Y7" i="22"/>
  <c r="Y8" i="22"/>
  <c r="Y9" i="22"/>
  <c r="Y10" i="22"/>
  <c r="Y11" i="22"/>
  <c r="Y12" i="22"/>
  <c r="Y13" i="22"/>
  <c r="Y14" i="22"/>
  <c r="Y15" i="22"/>
  <c r="Y16" i="22"/>
  <c r="Y17" i="22"/>
  <c r="Y18" i="22"/>
  <c r="Y19" i="22"/>
  <c r="AE8" i="17"/>
  <c r="AD9" i="17"/>
  <c r="AD5" i="17"/>
  <c r="AC10" i="17"/>
  <c r="S16" i="16"/>
  <c r="Q18" i="16"/>
  <c r="Q31" i="16" s="1"/>
  <c r="Q33" i="16" s="1"/>
  <c r="W42" i="16"/>
  <c r="X42" i="16"/>
  <c r="Y41" i="16"/>
  <c r="Z41" i="16"/>
  <c r="Y40" i="16"/>
  <c r="W43" i="16"/>
  <c r="Y25" i="16"/>
  <c r="W32" i="16"/>
  <c r="Y17" i="16"/>
  <c r="Z17" i="16"/>
  <c r="U11" i="16"/>
  <c r="S30" i="16"/>
  <c r="U9" i="15"/>
  <c r="V9" i="15"/>
  <c r="U3" i="15"/>
  <c r="U7" i="15" s="1"/>
  <c r="U11" i="15" s="1"/>
  <c r="V4" i="15"/>
  <c r="Z3" i="15"/>
  <c r="X5" i="15"/>
  <c r="X23" i="15"/>
  <c r="Y23" i="15" s="1"/>
  <c r="Y25" i="15" s="1"/>
  <c r="W5" i="15"/>
  <c r="V7" i="15"/>
  <c r="AF65" i="13"/>
  <c r="N65" i="13"/>
  <c r="AF64" i="13"/>
  <c r="N64" i="13"/>
  <c r="AF63" i="13"/>
  <c r="N63" i="13"/>
  <c r="N66" i="13" s="1"/>
  <c r="Q61" i="13"/>
  <c r="M13" i="13"/>
  <c r="L15" i="13"/>
  <c r="L22" i="13" s="1"/>
  <c r="AG7" i="13"/>
  <c r="O7" i="13"/>
  <c r="AG6" i="13"/>
  <c r="O6" i="13"/>
  <c r="AG5" i="13"/>
  <c r="O5" i="13"/>
  <c r="O8" i="13" s="1"/>
  <c r="AF26" i="8"/>
  <c r="AF28" i="8" s="1"/>
  <c r="AH26" i="8"/>
  <c r="AF22" i="8"/>
  <c r="AH22" i="8"/>
  <c r="AF21" i="8"/>
  <c r="AF23" i="8" s="1"/>
  <c r="AH21" i="8"/>
  <c r="AC4" i="8"/>
  <c r="AE4" i="8"/>
  <c r="U17" i="13"/>
  <c r="I32" i="3"/>
  <c r="T202" i="1"/>
  <c r="I33" i="3" s="1"/>
  <c r="T62" i="13"/>
  <c r="T14" i="13"/>
  <c r="AF11" i="8"/>
  <c r="AH11" i="8"/>
  <c r="AC9" i="8"/>
  <c r="AE9" i="8"/>
  <c r="AC8" i="8"/>
  <c r="AE8" i="8"/>
  <c r="AC7" i="8"/>
  <c r="AE7" i="8"/>
  <c r="AC6" i="8"/>
  <c r="AE6" i="8"/>
  <c r="AC5" i="8"/>
  <c r="AE5" i="8"/>
  <c r="H68" i="7"/>
  <c r="G82" i="7"/>
  <c r="G81" i="7"/>
  <c r="H67" i="7"/>
  <c r="G69" i="7"/>
  <c r="G83" i="7" s="1"/>
  <c r="G80" i="7"/>
  <c r="H66" i="7"/>
  <c r="G79" i="7"/>
  <c r="H65" i="7"/>
  <c r="G78" i="7"/>
  <c r="H64" i="7"/>
  <c r="G77" i="7"/>
  <c r="H63" i="7"/>
  <c r="G76" i="7"/>
  <c r="H62" i="7"/>
  <c r="G75" i="7"/>
  <c r="H61" i="7"/>
  <c r="AC23" i="8"/>
  <c r="F84" i="7"/>
  <c r="X40" i="22"/>
  <c r="X20" i="22"/>
  <c r="Z12" i="8"/>
  <c r="G84" i="7" l="1"/>
  <c r="AC12" i="8"/>
  <c r="AM80" i="22"/>
  <c r="AK81" i="22"/>
  <c r="AG77" i="22"/>
  <c r="AJ76" i="22"/>
  <c r="AC46" i="22"/>
  <c r="AC24" i="22"/>
  <c r="AA26" i="22"/>
  <c r="AA27" i="22"/>
  <c r="AA28" i="22"/>
  <c r="AA29" i="22"/>
  <c r="AA30" i="22"/>
  <c r="AA31" i="22"/>
  <c r="AA32" i="22"/>
  <c r="AA33" i="22"/>
  <c r="AA35" i="22"/>
  <c r="AA37" i="22"/>
  <c r="AA38" i="22"/>
  <c r="AA36" i="22"/>
  <c r="AD4" i="22"/>
  <c r="AB6" i="22"/>
  <c r="AB9" i="22"/>
  <c r="AC4" i="22"/>
  <c r="AA6" i="22"/>
  <c r="AA7" i="22"/>
  <c r="AA8" i="22"/>
  <c r="AA9" i="22"/>
  <c r="AA10" i="22"/>
  <c r="AA11" i="22"/>
  <c r="AA12" i="22"/>
  <c r="AA13" i="22"/>
  <c r="AA14" i="22"/>
  <c r="AA15" i="22"/>
  <c r="AA16" i="22"/>
  <c r="AA17" i="22"/>
  <c r="AA18" i="22"/>
  <c r="AA19" i="22"/>
  <c r="AF8" i="17"/>
  <c r="AE9" i="17"/>
  <c r="AE5" i="17"/>
  <c r="AD10" i="17"/>
  <c r="AD2" i="17"/>
  <c r="AD3" i="17"/>
  <c r="U16" i="16"/>
  <c r="S18" i="16"/>
  <c r="S31" i="16" s="1"/>
  <c r="S33" i="16" s="1"/>
  <c r="Y42" i="16"/>
  <c r="Z42" i="16"/>
  <c r="AA41" i="16"/>
  <c r="AB41" i="16"/>
  <c r="AA40" i="16"/>
  <c r="AA25" i="16"/>
  <c r="Y32" i="16"/>
  <c r="AA17" i="16"/>
  <c r="AB17" i="16"/>
  <c r="W11" i="16"/>
  <c r="U30" i="16"/>
  <c r="W9" i="15"/>
  <c r="X9" i="15"/>
  <c r="W3" i="15"/>
  <c r="W7" i="15" s="1"/>
  <c r="W11" i="15" s="1"/>
  <c r="X4" i="15"/>
  <c r="AB3" i="15"/>
  <c r="Z5" i="15"/>
  <c r="Z23" i="15"/>
  <c r="AA23" i="15" s="1"/>
  <c r="AA25" i="15" s="1"/>
  <c r="Y5" i="15"/>
  <c r="X7" i="15"/>
  <c r="AG65" i="13"/>
  <c r="O65" i="13"/>
  <c r="AG64" i="13"/>
  <c r="O64" i="13"/>
  <c r="AG63" i="13"/>
  <c r="O63" i="13"/>
  <c r="R61" i="13"/>
  <c r="N13" i="13"/>
  <c r="M15" i="13"/>
  <c r="M22" i="13" s="1"/>
  <c r="AH7" i="13"/>
  <c r="P7" i="13"/>
  <c r="AH6" i="13"/>
  <c r="P6" i="13"/>
  <c r="AH5" i="13"/>
  <c r="P5" i="13"/>
  <c r="AI26" i="8"/>
  <c r="AI28" i="8" s="1"/>
  <c r="AK26" i="8"/>
  <c r="AI22" i="8"/>
  <c r="AK22" i="8"/>
  <c r="AI21" i="8"/>
  <c r="AI23" i="8" s="1"/>
  <c r="AK21" i="8"/>
  <c r="AF4" i="8"/>
  <c r="AH4" i="8"/>
  <c r="U62" i="13"/>
  <c r="V62" i="13" s="1"/>
  <c r="U14" i="13"/>
  <c r="V14" i="13" s="1"/>
  <c r="AI11" i="8"/>
  <c r="AK11" i="8"/>
  <c r="AF9" i="8"/>
  <c r="AH9" i="8"/>
  <c r="AF8" i="8"/>
  <c r="AH8" i="8"/>
  <c r="AF7" i="8"/>
  <c r="AH7" i="8"/>
  <c r="AF6" i="8"/>
  <c r="AH6" i="8"/>
  <c r="AF5" i="8"/>
  <c r="AH5" i="8"/>
  <c r="I68" i="7"/>
  <c r="H82" i="7"/>
  <c r="H81" i="7"/>
  <c r="I67" i="7"/>
  <c r="H69" i="7"/>
  <c r="H83" i="7" s="1"/>
  <c r="H80" i="7"/>
  <c r="I66" i="7"/>
  <c r="H79" i="7"/>
  <c r="I65" i="7"/>
  <c r="H78" i="7"/>
  <c r="I64" i="7"/>
  <c r="H77" i="7"/>
  <c r="I63" i="7"/>
  <c r="H76" i="7"/>
  <c r="I62" i="7"/>
  <c r="H75" i="7"/>
  <c r="I61" i="7"/>
  <c r="Z40" i="22"/>
  <c r="Z20" i="22"/>
  <c r="X53" i="22"/>
  <c r="Y43" i="16" l="1"/>
  <c r="P8" i="13"/>
  <c r="AP80" i="22"/>
  <c r="AM81" i="22"/>
  <c r="AO81" i="22" s="1"/>
  <c r="AI77" i="22"/>
  <c r="AL76" i="22"/>
  <c r="AE46" i="22"/>
  <c r="AE24" i="22"/>
  <c r="AC26" i="22"/>
  <c r="AC27" i="22"/>
  <c r="AC28" i="22"/>
  <c r="AC29" i="22"/>
  <c r="AC30" i="22"/>
  <c r="AC31" i="22"/>
  <c r="AC32" i="22"/>
  <c r="AC33" i="22"/>
  <c r="AC35" i="22"/>
  <c r="AC36" i="22"/>
  <c r="AC38" i="22"/>
  <c r="AC37" i="22"/>
  <c r="AF4" i="22"/>
  <c r="AD6" i="22"/>
  <c r="AD9" i="22"/>
  <c r="AE4" i="22"/>
  <c r="AC6" i="22"/>
  <c r="AC7" i="22"/>
  <c r="AC8" i="22"/>
  <c r="AC9" i="22"/>
  <c r="AC10" i="22"/>
  <c r="AC11" i="22"/>
  <c r="AC12" i="22"/>
  <c r="AC13" i="22"/>
  <c r="AC14" i="22"/>
  <c r="AC15" i="22"/>
  <c r="AC16" i="22"/>
  <c r="AC17" i="22"/>
  <c r="AC18" i="22"/>
  <c r="AC19" i="22"/>
  <c r="AG8" i="17"/>
  <c r="AF9" i="17"/>
  <c r="AF5" i="17"/>
  <c r="AE10" i="17"/>
  <c r="W16" i="16"/>
  <c r="U18" i="16"/>
  <c r="U31" i="16" s="1"/>
  <c r="U33" i="16" s="1"/>
  <c r="AA42" i="16"/>
  <c r="AB42" i="16"/>
  <c r="AC41" i="16"/>
  <c r="AD41" i="16"/>
  <c r="AC40" i="16"/>
  <c r="AC25" i="16"/>
  <c r="AA32" i="16"/>
  <c r="AC17" i="16"/>
  <c r="AD17" i="16"/>
  <c r="Y11" i="16"/>
  <c r="W30" i="16"/>
  <c r="Y9" i="15"/>
  <c r="Z9" i="15"/>
  <c r="Y3" i="15"/>
  <c r="Y7" i="15" s="1"/>
  <c r="Y11" i="15" s="1"/>
  <c r="Z4" i="15"/>
  <c r="AD3" i="15"/>
  <c r="AB5" i="15"/>
  <c r="AB23" i="15"/>
  <c r="AC23" i="15" s="1"/>
  <c r="AC25" i="15" s="1"/>
  <c r="AA5" i="15"/>
  <c r="Z7" i="15"/>
  <c r="AH65" i="13"/>
  <c r="P65" i="13"/>
  <c r="AH64" i="13"/>
  <c r="P64" i="13"/>
  <c r="AH63" i="13"/>
  <c r="P63" i="13"/>
  <c r="P66" i="13" s="1"/>
  <c r="S61" i="13"/>
  <c r="O13" i="13"/>
  <c r="N15" i="13"/>
  <c r="N22" i="13" s="1"/>
  <c r="AI7" i="13"/>
  <c r="Q7" i="13"/>
  <c r="AI6" i="13"/>
  <c r="Q6" i="13"/>
  <c r="AI5" i="13"/>
  <c r="Q5" i="13"/>
  <c r="AL26" i="8"/>
  <c r="AL28" i="8" s="1"/>
  <c r="AN26" i="8"/>
  <c r="AL22" i="8"/>
  <c r="AN22" i="8"/>
  <c r="AL21" i="8"/>
  <c r="AL23" i="8" s="1"/>
  <c r="AN21" i="8"/>
  <c r="AI4" i="8"/>
  <c r="AK4" i="8"/>
  <c r="AL11" i="8"/>
  <c r="AN11" i="8"/>
  <c r="AI9" i="8"/>
  <c r="AK9" i="8"/>
  <c r="AI8" i="8"/>
  <c r="AK8" i="8"/>
  <c r="AI7" i="8"/>
  <c r="AK7" i="8"/>
  <c r="AI6" i="8"/>
  <c r="AK6" i="8"/>
  <c r="AI5" i="8"/>
  <c r="AK5" i="8"/>
  <c r="J68" i="7"/>
  <c r="I82" i="7"/>
  <c r="I81" i="7"/>
  <c r="J67" i="7"/>
  <c r="I69" i="7"/>
  <c r="I83" i="7" s="1"/>
  <c r="I80" i="7"/>
  <c r="J66" i="7"/>
  <c r="I79" i="7"/>
  <c r="J65" i="7"/>
  <c r="I78" i="7"/>
  <c r="J64" i="7"/>
  <c r="I77" i="7"/>
  <c r="J63" i="7"/>
  <c r="I76" i="7"/>
  <c r="J62" i="7"/>
  <c r="H84" i="7"/>
  <c r="I75" i="7"/>
  <c r="J61" i="7"/>
  <c r="AB20" i="22"/>
  <c r="AF12" i="8"/>
  <c r="Z53" i="22"/>
  <c r="O66" i="13"/>
  <c r="AB40" i="22"/>
  <c r="AB53" i="22" s="1"/>
  <c r="Q8" i="13" l="1"/>
  <c r="AA43" i="16"/>
  <c r="I84" i="7"/>
  <c r="AI12" i="8"/>
  <c r="AK77" i="22"/>
  <c r="AN76" i="22"/>
  <c r="AM77" i="22" s="1"/>
  <c r="AG46" i="22"/>
  <c r="AG24" i="22"/>
  <c r="AE26" i="22"/>
  <c r="AE27" i="22"/>
  <c r="AE28" i="22"/>
  <c r="AE29" i="22"/>
  <c r="AE30" i="22"/>
  <c r="AE31" i="22"/>
  <c r="AE32" i="22"/>
  <c r="AE33" i="22"/>
  <c r="AE35" i="22"/>
  <c r="AE37" i="22"/>
  <c r="AE38" i="22"/>
  <c r="AE36" i="22"/>
  <c r="AH4" i="22"/>
  <c r="AF6" i="22"/>
  <c r="AF9" i="22"/>
  <c r="AG4" i="22"/>
  <c r="AE6" i="22"/>
  <c r="AE7" i="22"/>
  <c r="AE8" i="22"/>
  <c r="AE9" i="22"/>
  <c r="AE10" i="22"/>
  <c r="AE11" i="22"/>
  <c r="AE12" i="22"/>
  <c r="AE13" i="22"/>
  <c r="AE14" i="22"/>
  <c r="AE15" i="22"/>
  <c r="AE16" i="22"/>
  <c r="AE17" i="22"/>
  <c r="AE18" i="22"/>
  <c r="AE19" i="22"/>
  <c r="AH8" i="17"/>
  <c r="AG9" i="17"/>
  <c r="AG5" i="17"/>
  <c r="AF10" i="17"/>
  <c r="Y16" i="16"/>
  <c r="W18" i="16"/>
  <c r="W31" i="16" s="1"/>
  <c r="W33" i="16" s="1"/>
  <c r="AC42" i="16"/>
  <c r="AD42" i="16"/>
  <c r="AE41" i="16"/>
  <c r="AF41" i="16"/>
  <c r="AE40" i="16"/>
  <c r="AE25" i="16"/>
  <c r="AC32" i="16"/>
  <c r="AE17" i="16"/>
  <c r="AF17" i="16"/>
  <c r="AA11" i="16"/>
  <c r="Y30" i="16"/>
  <c r="AA9" i="15"/>
  <c r="AB9" i="15"/>
  <c r="AA3" i="15"/>
  <c r="AA7" i="15" s="1"/>
  <c r="AB4" i="15"/>
  <c r="AF3" i="15"/>
  <c r="AD5" i="15"/>
  <c r="AD23" i="15"/>
  <c r="AE23" i="15" s="1"/>
  <c r="AE25" i="15" s="1"/>
  <c r="AC5" i="15"/>
  <c r="AB7" i="15"/>
  <c r="AI65" i="13"/>
  <c r="Q65" i="13"/>
  <c r="AI64" i="13"/>
  <c r="Q64" i="13"/>
  <c r="AI63" i="13"/>
  <c r="Q63" i="13"/>
  <c r="Q66" i="13" s="1"/>
  <c r="T61" i="13"/>
  <c r="P13" i="13"/>
  <c r="O15" i="13"/>
  <c r="O22" i="13" s="1"/>
  <c r="AJ7" i="13"/>
  <c r="R7" i="13"/>
  <c r="AJ6" i="13"/>
  <c r="R6" i="13"/>
  <c r="AJ5" i="13"/>
  <c r="R5" i="13"/>
  <c r="AO26" i="8"/>
  <c r="AO28" i="8" s="1"/>
  <c r="AQ26" i="8"/>
  <c r="AO22" i="8"/>
  <c r="AQ22" i="8"/>
  <c r="AO21" i="8"/>
  <c r="AO23" i="8" s="1"/>
  <c r="AQ21" i="8"/>
  <c r="AL4" i="8"/>
  <c r="AN4" i="8"/>
  <c r="AO11" i="8"/>
  <c r="AQ11" i="8"/>
  <c r="AL9" i="8"/>
  <c r="AN9" i="8"/>
  <c r="AL8" i="8"/>
  <c r="AN8" i="8"/>
  <c r="AL7" i="8"/>
  <c r="AN7" i="8"/>
  <c r="AL6" i="8"/>
  <c r="AN6" i="8"/>
  <c r="AL5" i="8"/>
  <c r="AN5" i="8"/>
  <c r="K68" i="7"/>
  <c r="J82" i="7"/>
  <c r="J81" i="7"/>
  <c r="K67" i="7"/>
  <c r="J69" i="7"/>
  <c r="J83" i="7" s="1"/>
  <c r="J80" i="7"/>
  <c r="K66" i="7"/>
  <c r="J79" i="7"/>
  <c r="K65" i="7"/>
  <c r="J78" i="7"/>
  <c r="K64" i="7"/>
  <c r="J77" i="7"/>
  <c r="K63" i="7"/>
  <c r="J76" i="7"/>
  <c r="K62" i="7"/>
  <c r="J75" i="7"/>
  <c r="J84" i="7" s="1"/>
  <c r="K61" i="7"/>
  <c r="AD20" i="22"/>
  <c r="AD40" i="22"/>
  <c r="AD53" i="22" s="1"/>
  <c r="AA11" i="15" l="1"/>
  <c r="R8" i="13"/>
  <c r="AC43" i="16"/>
  <c r="AI46" i="22"/>
  <c r="AI24" i="22"/>
  <c r="AG26" i="22"/>
  <c r="AG27" i="22"/>
  <c r="AG28" i="22"/>
  <c r="AG29" i="22"/>
  <c r="AG30" i="22"/>
  <c r="AG31" i="22"/>
  <c r="AG32" i="22"/>
  <c r="AG33" i="22"/>
  <c r="AG35" i="22"/>
  <c r="AG36" i="22"/>
  <c r="AG37" i="22"/>
  <c r="AG38" i="22"/>
  <c r="AJ4" i="22"/>
  <c r="AH6" i="22"/>
  <c r="AH9" i="22"/>
  <c r="AI4" i="22"/>
  <c r="AG6" i="22"/>
  <c r="AG7" i="22"/>
  <c r="AG8" i="22"/>
  <c r="AG9" i="22"/>
  <c r="AG10" i="22"/>
  <c r="AG11" i="22"/>
  <c r="AG12" i="22"/>
  <c r="AG13" i="22"/>
  <c r="AG14" i="22"/>
  <c r="AG15" i="22"/>
  <c r="AG16" i="22"/>
  <c r="AG17" i="22"/>
  <c r="AG18" i="22"/>
  <c r="AG19" i="22"/>
  <c r="AI8" i="17"/>
  <c r="AH9" i="17"/>
  <c r="AH5" i="17"/>
  <c r="AG10" i="17"/>
  <c r="AG2" i="17"/>
  <c r="AG3" i="17"/>
  <c r="AA16" i="16"/>
  <c r="Y18" i="16"/>
  <c r="Y31" i="16" s="1"/>
  <c r="Y33" i="16" s="1"/>
  <c r="AE42" i="16"/>
  <c r="AF42" i="16"/>
  <c r="AG41" i="16"/>
  <c r="AH41" i="16"/>
  <c r="AG40" i="16"/>
  <c r="AE43" i="16"/>
  <c r="AG25" i="16"/>
  <c r="AE32" i="16"/>
  <c r="AG17" i="16"/>
  <c r="AH17" i="16"/>
  <c r="AC11" i="16"/>
  <c r="AA30" i="16"/>
  <c r="AC9" i="15"/>
  <c r="AD9" i="15"/>
  <c r="AC3" i="15"/>
  <c r="AC7" i="15" s="1"/>
  <c r="AC11" i="15" s="1"/>
  <c r="AD4" i="15"/>
  <c r="AF5" i="15"/>
  <c r="AF23" i="15"/>
  <c r="AG23" i="15" s="1"/>
  <c r="AG25" i="15" s="1"/>
  <c r="AE5" i="15"/>
  <c r="AD7" i="15"/>
  <c r="AJ65" i="13"/>
  <c r="R65" i="13"/>
  <c r="AJ64" i="13"/>
  <c r="R64" i="13"/>
  <c r="AJ63" i="13"/>
  <c r="R63" i="13"/>
  <c r="R66" i="13" s="1"/>
  <c r="U61" i="13"/>
  <c r="Q13" i="13"/>
  <c r="P15" i="13"/>
  <c r="P22" i="13" s="1"/>
  <c r="AK7" i="13"/>
  <c r="S7" i="13"/>
  <c r="AK6" i="13"/>
  <c r="S6" i="13"/>
  <c r="AK5" i="13"/>
  <c r="S5" i="13"/>
  <c r="S8" i="13" s="1"/>
  <c r="AR26" i="8"/>
  <c r="AR28" i="8" s="1"/>
  <c r="AT26" i="8"/>
  <c r="AR22" i="8"/>
  <c r="AT22" i="8"/>
  <c r="AR21" i="8"/>
  <c r="AR23" i="8" s="1"/>
  <c r="AT21" i="8"/>
  <c r="AO4" i="8"/>
  <c r="AQ4" i="8"/>
  <c r="AR11" i="8"/>
  <c r="AT11" i="8"/>
  <c r="AO9" i="8"/>
  <c r="AQ9" i="8"/>
  <c r="AO8" i="8"/>
  <c r="AQ8" i="8"/>
  <c r="AO7" i="8"/>
  <c r="AQ7" i="8"/>
  <c r="AO6" i="8"/>
  <c r="AQ6" i="8"/>
  <c r="AO5" i="8"/>
  <c r="AQ5" i="8"/>
  <c r="L68" i="7"/>
  <c r="K82" i="7"/>
  <c r="K81" i="7"/>
  <c r="L67" i="7"/>
  <c r="K69" i="7"/>
  <c r="K83" i="7" s="1"/>
  <c r="K80" i="7"/>
  <c r="L66" i="7"/>
  <c r="K79" i="7"/>
  <c r="L65" i="7"/>
  <c r="K78" i="7"/>
  <c r="L64" i="7"/>
  <c r="K77" i="7"/>
  <c r="L63" i="7"/>
  <c r="K76" i="7"/>
  <c r="L62" i="7"/>
  <c r="K75" i="7"/>
  <c r="L61" i="7"/>
  <c r="AL12" i="8"/>
  <c r="AO77" i="22"/>
  <c r="AF40" i="22"/>
  <c r="AF20" i="22"/>
  <c r="AK46" i="22" l="1"/>
  <c r="AK24" i="22"/>
  <c r="AI26" i="22"/>
  <c r="AI27" i="22"/>
  <c r="AI28" i="22"/>
  <c r="AI29" i="22"/>
  <c r="AI30" i="22"/>
  <c r="AI31" i="22"/>
  <c r="AI32" i="22"/>
  <c r="AI33" i="22"/>
  <c r="AI35" i="22"/>
  <c r="AI38" i="22"/>
  <c r="AI36" i="22"/>
  <c r="AI37" i="22"/>
  <c r="AL4" i="22"/>
  <c r="AJ6" i="22"/>
  <c r="AJ9" i="22"/>
  <c r="AK4" i="22"/>
  <c r="AI6" i="22"/>
  <c r="AI7" i="22"/>
  <c r="AI8" i="22"/>
  <c r="AI9" i="22"/>
  <c r="AI10" i="22"/>
  <c r="AI11" i="22"/>
  <c r="AI12" i="22"/>
  <c r="AI13" i="22"/>
  <c r="AI14" i="22"/>
  <c r="AI15" i="22"/>
  <c r="AI16" i="22"/>
  <c r="AI17" i="22"/>
  <c r="AI18" i="22"/>
  <c r="AI19" i="22"/>
  <c r="AJ8" i="17"/>
  <c r="AI9" i="17"/>
  <c r="AI5" i="17"/>
  <c r="AH10" i="17"/>
  <c r="AC16" i="16"/>
  <c r="AA18" i="16"/>
  <c r="AA31" i="16" s="1"/>
  <c r="AA33" i="16" s="1"/>
  <c r="AG42" i="16"/>
  <c r="AH42" i="16"/>
  <c r="AI41" i="16"/>
  <c r="AJ41" i="16"/>
  <c r="AK41" i="16" s="1"/>
  <c r="AL41" i="16" s="1"/>
  <c r="AI40" i="16"/>
  <c r="AG43" i="16"/>
  <c r="AI25" i="16"/>
  <c r="AG32" i="16"/>
  <c r="AI17" i="16"/>
  <c r="AJ17" i="16"/>
  <c r="AK17" i="16" s="1"/>
  <c r="AL17" i="16" s="1"/>
  <c r="AE11" i="16"/>
  <c r="AC30" i="16"/>
  <c r="AE9" i="15"/>
  <c r="AF9" i="15"/>
  <c r="AG9" i="15" s="1"/>
  <c r="AE3" i="15"/>
  <c r="AE7" i="15" s="1"/>
  <c r="AF4" i="15"/>
  <c r="AG3" i="15" s="1"/>
  <c r="AG5" i="15"/>
  <c r="AF7" i="15"/>
  <c r="AK65" i="13"/>
  <c r="S65" i="13"/>
  <c r="AK64" i="13"/>
  <c r="S64" i="13"/>
  <c r="AK63" i="13"/>
  <c r="S63" i="13"/>
  <c r="V61" i="13"/>
  <c r="R13" i="13"/>
  <c r="Q15" i="13"/>
  <c r="Q22" i="13" s="1"/>
  <c r="AL7" i="13"/>
  <c r="T7" i="13"/>
  <c r="AL6" i="13"/>
  <c r="T6" i="13"/>
  <c r="AL5" i="13"/>
  <c r="T5" i="13"/>
  <c r="T8" i="13" s="1"/>
  <c r="AU26" i="8"/>
  <c r="AU28" i="8" s="1"/>
  <c r="AW26" i="8"/>
  <c r="AX26" i="8" s="1"/>
  <c r="AX28" i="8" s="1"/>
  <c r="AU22" i="8"/>
  <c r="AW22" i="8"/>
  <c r="AX22" i="8" s="1"/>
  <c r="AU21" i="8"/>
  <c r="AU23" i="8" s="1"/>
  <c r="AW21" i="8"/>
  <c r="AX21" i="8" s="1"/>
  <c r="AX23" i="8" s="1"/>
  <c r="AR4" i="8"/>
  <c r="AT4" i="8"/>
  <c r="AU11" i="8"/>
  <c r="AW11" i="8"/>
  <c r="AX11" i="8" s="1"/>
  <c r="AR9" i="8"/>
  <c r="AT9" i="8"/>
  <c r="AR8" i="8"/>
  <c r="AT8" i="8"/>
  <c r="AR7" i="8"/>
  <c r="AT7" i="8"/>
  <c r="AR6" i="8"/>
  <c r="AT6" i="8"/>
  <c r="AR5" i="8"/>
  <c r="AT5" i="8"/>
  <c r="M68" i="7"/>
  <c r="L82" i="7"/>
  <c r="L81" i="7"/>
  <c r="M67" i="7"/>
  <c r="L69" i="7"/>
  <c r="L83" i="7" s="1"/>
  <c r="L80" i="7"/>
  <c r="M66" i="7"/>
  <c r="L79" i="7"/>
  <c r="M65" i="7"/>
  <c r="L78" i="7"/>
  <c r="M64" i="7"/>
  <c r="L77" i="7"/>
  <c r="M63" i="7"/>
  <c r="L76" i="7"/>
  <c r="M62" i="7"/>
  <c r="K84" i="7"/>
  <c r="L75" i="7"/>
  <c r="M61" i="7"/>
  <c r="AO12" i="8"/>
  <c r="AF53" i="22"/>
  <c r="AH20" i="22"/>
  <c r="AH40" i="22"/>
  <c r="AH53" i="22" s="1"/>
  <c r="S66" i="13" l="1"/>
  <c r="AE11" i="15"/>
  <c r="AM46" i="22"/>
  <c r="AM24" i="22"/>
  <c r="AK26" i="22"/>
  <c r="AK27" i="22"/>
  <c r="AK28" i="22"/>
  <c r="AK29" i="22"/>
  <c r="AK30" i="22"/>
  <c r="AK31" i="22"/>
  <c r="AK32" i="22"/>
  <c r="AK33" i="22"/>
  <c r="AK35" i="22"/>
  <c r="AK36" i="22"/>
  <c r="AK37" i="22"/>
  <c r="AK38" i="22"/>
  <c r="AN4" i="22"/>
  <c r="AL6" i="22"/>
  <c r="AL9" i="22"/>
  <c r="AM4" i="22"/>
  <c r="AK6" i="22"/>
  <c r="AK7" i="22"/>
  <c r="AK8" i="22"/>
  <c r="AK9" i="22"/>
  <c r="AK10" i="22"/>
  <c r="AK11" i="22"/>
  <c r="AK12" i="22"/>
  <c r="AK13" i="22"/>
  <c r="AK14" i="22"/>
  <c r="AK15" i="22"/>
  <c r="AK16" i="22"/>
  <c r="AK17" i="22"/>
  <c r="AK18" i="22"/>
  <c r="AK19" i="22"/>
  <c r="AK8" i="17"/>
  <c r="AJ9" i="17"/>
  <c r="AJ5" i="17"/>
  <c r="AI10" i="17"/>
  <c r="AE16" i="16"/>
  <c r="AC18" i="16"/>
  <c r="AC31" i="16" s="1"/>
  <c r="AC33" i="16" s="1"/>
  <c r="AI42" i="16"/>
  <c r="AJ42" i="16"/>
  <c r="AK42" i="16" s="1"/>
  <c r="AL42" i="16" s="1"/>
  <c r="AK40" i="16"/>
  <c r="AI43" i="16"/>
  <c r="AK25" i="16"/>
  <c r="AI32" i="16"/>
  <c r="AG11" i="16"/>
  <c r="AE30" i="16"/>
  <c r="AL65" i="13"/>
  <c r="U65" i="13" s="1"/>
  <c r="V65" i="13" s="1"/>
  <c r="T65" i="13"/>
  <c r="AL64" i="13"/>
  <c r="U64" i="13" s="1"/>
  <c r="V64" i="13" s="1"/>
  <c r="T64" i="13"/>
  <c r="AL63" i="13"/>
  <c r="U63" i="13" s="1"/>
  <c r="T63" i="13"/>
  <c r="T66" i="13" s="1"/>
  <c r="S13" i="13"/>
  <c r="R15" i="13"/>
  <c r="R22" i="13" s="1"/>
  <c r="AM7" i="13"/>
  <c r="U7" i="13"/>
  <c r="V7" i="13" s="1"/>
  <c r="AM6" i="13"/>
  <c r="U6" i="13"/>
  <c r="V6" i="13" s="1"/>
  <c r="AM5" i="13"/>
  <c r="U5" i="13"/>
  <c r="AU4" i="8"/>
  <c r="AW4" i="8"/>
  <c r="AX4" i="8" s="1"/>
  <c r="AU9" i="8"/>
  <c r="AW9" i="8"/>
  <c r="AX9" i="8" s="1"/>
  <c r="AU8" i="8"/>
  <c r="AW8" i="8"/>
  <c r="AX8" i="8" s="1"/>
  <c r="AU7" i="8"/>
  <c r="AW7" i="8"/>
  <c r="AX7" i="8" s="1"/>
  <c r="AU6" i="8"/>
  <c r="AW6" i="8"/>
  <c r="AX6" i="8" s="1"/>
  <c r="AU5" i="8"/>
  <c r="AW5" i="8"/>
  <c r="AX5" i="8" s="1"/>
  <c r="N68" i="7"/>
  <c r="M82" i="7"/>
  <c r="N82" i="7" s="1"/>
  <c r="N67" i="7"/>
  <c r="M69" i="7"/>
  <c r="M83" i="7" s="1"/>
  <c r="N83" i="7" s="1"/>
  <c r="M81" i="7"/>
  <c r="N81" i="7" s="1"/>
  <c r="M80" i="7"/>
  <c r="N80" i="7" s="1"/>
  <c r="N66" i="7"/>
  <c r="M79" i="7"/>
  <c r="N79" i="7" s="1"/>
  <c r="N65" i="7"/>
  <c r="M78" i="7"/>
  <c r="N78" i="7" s="1"/>
  <c r="N64" i="7"/>
  <c r="M77" i="7"/>
  <c r="N77" i="7" s="1"/>
  <c r="N63" i="7"/>
  <c r="M76" i="7"/>
  <c r="N76" i="7" s="1"/>
  <c r="N62" i="7"/>
  <c r="M75" i="7"/>
  <c r="N61" i="7"/>
  <c r="AG7" i="15"/>
  <c r="AG11" i="15" s="1"/>
  <c r="AH11" i="15" s="1"/>
  <c r="AJ20" i="22"/>
  <c r="AY28" i="8"/>
  <c r="N75" i="7"/>
  <c r="L84" i="7"/>
  <c r="AJ40" i="22"/>
  <c r="AJ53" i="22" s="1"/>
  <c r="AY23" i="8"/>
  <c r="AR12" i="8"/>
  <c r="O82" i="7" l="1"/>
  <c r="P82" i="7" s="1"/>
  <c r="AU12" i="8"/>
  <c r="M84" i="7"/>
  <c r="N84" i="7" s="1"/>
  <c r="N116" i="7" s="1"/>
  <c r="AM26" i="22"/>
  <c r="AM27" i="22"/>
  <c r="AM28" i="22"/>
  <c r="AM29" i="22"/>
  <c r="AM30" i="22"/>
  <c r="AM31" i="22"/>
  <c r="AM32" i="22"/>
  <c r="AM33" i="22"/>
  <c r="AM35" i="22"/>
  <c r="AM37" i="22"/>
  <c r="AM38" i="22"/>
  <c r="AM36" i="22"/>
  <c r="AN6" i="22"/>
  <c r="AN9" i="22"/>
  <c r="AM6" i="22"/>
  <c r="AM7" i="22"/>
  <c r="AM8" i="22"/>
  <c r="AM9" i="22"/>
  <c r="AM10" i="22"/>
  <c r="AM11" i="22"/>
  <c r="AM12" i="22"/>
  <c r="AM13" i="22"/>
  <c r="AM14" i="22"/>
  <c r="AM15" i="22"/>
  <c r="AM16" i="22"/>
  <c r="AM17" i="22"/>
  <c r="AM18" i="22"/>
  <c r="AM19" i="22"/>
  <c r="AL8" i="17"/>
  <c r="AL9" i="17" s="1"/>
  <c r="AK9" i="17"/>
  <c r="AK5" i="17"/>
  <c r="AJ10" i="17"/>
  <c r="AJ2" i="17"/>
  <c r="AJ3" i="17"/>
  <c r="AG16" i="16"/>
  <c r="AE18" i="16"/>
  <c r="AE31" i="16" s="1"/>
  <c r="AE33" i="16" s="1"/>
  <c r="AL40" i="16"/>
  <c r="AK43" i="16"/>
  <c r="AL43" i="16" s="1"/>
  <c r="AL25" i="16"/>
  <c r="AK32" i="16"/>
  <c r="AL32" i="16" s="1"/>
  <c r="AI11" i="16"/>
  <c r="AG30" i="16"/>
  <c r="U66" i="13"/>
  <c r="V66" i="13" s="1"/>
  <c r="V63" i="13"/>
  <c r="T13" i="13"/>
  <c r="S15" i="13"/>
  <c r="S22" i="13" s="1"/>
  <c r="V5" i="13"/>
  <c r="U8" i="13"/>
  <c r="AL20" i="22"/>
  <c r="AX12" i="8"/>
  <c r="AY12" i="8" s="1"/>
  <c r="AL40" i="22"/>
  <c r="AL53" i="22" s="1"/>
  <c r="AL5" i="17" l="1"/>
  <c r="AL10" i="17" s="1"/>
  <c r="AK10" i="17"/>
  <c r="AM10" i="17" s="1"/>
  <c r="AI16" i="16"/>
  <c r="AG18" i="16"/>
  <c r="AG31" i="16" s="1"/>
  <c r="AG33" i="16" s="1"/>
  <c r="AK11" i="16"/>
  <c r="AI30" i="16"/>
  <c r="U13" i="13"/>
  <c r="T15" i="13"/>
  <c r="T22" i="13" s="1"/>
  <c r="AN20" i="22"/>
  <c r="AN40" i="22"/>
  <c r="AN53" i="22" s="1"/>
  <c r="AK16" i="16" l="1"/>
  <c r="AI18" i="16"/>
  <c r="AI31" i="16" s="1"/>
  <c r="AI33" i="16" s="1"/>
  <c r="AL11" i="16"/>
  <c r="AK30" i="16"/>
  <c r="V13" i="13"/>
  <c r="U15" i="13"/>
  <c r="U22" i="13" s="1"/>
  <c r="V22" i="13" s="1"/>
  <c r="AO53" i="22"/>
  <c r="AL16" i="16" l="1"/>
  <c r="AK18" i="16"/>
  <c r="AL30" i="16"/>
  <c r="AL18" i="16" l="1"/>
  <c r="AK31" i="16"/>
  <c r="AK33" i="16" l="1"/>
  <c r="AL33" i="16" s="1"/>
  <c r="AL3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Usuario Administrador</author>
  </authors>
  <commentList>
    <comment ref="AA16" authorId="0" shapeId="0" xr:uid="{00000000-0006-0000-0000-000001000000}">
      <text>
        <r>
          <rPr>
            <sz val="11"/>
            <color theme="1"/>
            <rFont val="Aptos Narrow"/>
            <scheme val="minor"/>
          </rPr>
          <t>======
ID#AAAB8DFxHoU
silvina.rodriguez    (2025-11-12 14:55:23)
precio= 50% valor trx PAMI
cantidad=5% acumulativo mensual sobre PAMI</t>
        </r>
      </text>
    </comment>
    <comment ref="D23" authorId="0" shapeId="0" xr:uid="{00000000-0006-0000-0000-000002000000}">
      <text>
        <r>
          <rPr>
            <sz val="11"/>
            <color theme="1"/>
            <rFont val="Aptos Narrow"/>
            <scheme val="minor"/>
          </rPr>
          <t>======
ID#AAAB8DFxHkU
silvina.rodriguez    (2026-03-12 14:32:38)
son los que se cierran despues del 28/02/2026</t>
        </r>
      </text>
    </comment>
    <comment ref="I23" authorId="0" shapeId="0" xr:uid="{00000000-0006-0000-0000-000003000000}">
      <text>
        <r>
          <rPr>
            <sz val="11"/>
            <color theme="1"/>
            <rFont val="Aptos Narrow"/>
            <scheme val="minor"/>
          </rPr>
          <t>======
ID#AAAB8DFxHoA
silvina.rodriguez    (2026-03-12 14:32:38)
son los que se cierran despues del 28/02/2026</t>
        </r>
      </text>
    </comment>
    <comment ref="J23" authorId="0" shapeId="0" xr:uid="{00000000-0006-0000-0000-000004000000}">
      <text>
        <r>
          <rPr>
            <sz val="11"/>
            <color theme="1"/>
            <rFont val="Aptos Narrow"/>
            <scheme val="minor"/>
          </rPr>
          <t>======
ID#AAAB8DFxHqw
silvina.rodriguez    (2026-03-12 14:32:38)
son los que se cierran despues del 28/02/2026</t>
        </r>
      </text>
    </comment>
    <comment ref="J25" authorId="0" shapeId="0" xr:uid="{00000000-0006-0000-0000-000005000000}">
      <text>
        <r>
          <rPr>
            <sz val="11"/>
            <color theme="1"/>
            <rFont val="Aptos Narrow"/>
            <scheme val="minor"/>
          </rPr>
          <t>======
ID#AAAB8DFxHnM
silvina.rodriguez    (2026-03-12 14:32:38)
en febrero no hay facturación
efecto reversión previ + alta de enero vs facturación real</t>
        </r>
      </text>
    </comment>
    <comment ref="I26" authorId="0" shapeId="0" xr:uid="{00000000-0006-0000-0000-000006000000}">
      <text>
        <r>
          <rPr>
            <sz val="11"/>
            <color theme="1"/>
            <rFont val="Aptos Narrow"/>
            <scheme val="minor"/>
          </rPr>
          <t>======
ID#AAAB8DFxHnQ
silvina.rodriguez    (2026-03-12 14:32:38)
se va a facturar en febrero con la documentación cerrada por Luis</t>
        </r>
      </text>
    </comment>
    <comment ref="J26" authorId="0" shapeId="0" xr:uid="{00000000-0006-0000-0000-000007000000}">
      <text>
        <r>
          <rPr>
            <sz val="11"/>
            <color theme="1"/>
            <rFont val="Aptos Narrow"/>
            <scheme val="minor"/>
          </rPr>
          <t>======
ID#AAAB8DFxHqk
silvina.rodriguez    (2026-03-12 14:32:38)
se negocio un 25% de aumento</t>
        </r>
      </text>
    </comment>
    <comment ref="J35" authorId="0" shapeId="0" xr:uid="{00000000-0006-0000-0000-000008000000}">
      <text>
        <r>
          <rPr>
            <sz val="11"/>
            <color theme="1"/>
            <rFont val="Aptos Narrow"/>
            <scheme val="minor"/>
          </rPr>
          <t>======
ID#AAAB8DFxHog
None    (2026-05-20 19:20:50)
start up enero y febrero</t>
        </r>
      </text>
    </comment>
    <comment ref="J53" authorId="0" shapeId="0" xr:uid="{00000000-0006-0000-0000-000009000000}">
      <text>
        <r>
          <rPr>
            <sz val="11"/>
            <color theme="1"/>
            <rFont val="Aptos Narrow"/>
            <scheme val="minor"/>
          </rPr>
          <t>======
ID#AAAB8DFxHkw
silvina.rodriguez    (2026-03-12 14:32:38)
38 hs</t>
        </r>
      </text>
    </comment>
    <comment ref="K53" authorId="0" shapeId="0" xr:uid="{00000000-0006-0000-0000-00000A000000}">
      <text>
        <r>
          <rPr>
            <sz val="11"/>
            <color theme="1"/>
            <rFont val="Aptos Narrow"/>
            <scheme val="minor"/>
          </rPr>
          <t>======
ID#AAAB8DFxHnE
silvina.rodriguez    (2026-05-20 19:20:50)
24 hs</t>
        </r>
      </text>
    </comment>
    <comment ref="J61" authorId="0" shapeId="0" xr:uid="{00000000-0006-0000-0000-00000B000000}">
      <text>
        <r>
          <rPr>
            <sz val="11"/>
            <color theme="1"/>
            <rFont val="Aptos Narrow"/>
            <scheme val="minor"/>
          </rPr>
          <t>======
ID#AAAB8DFxHp8
silvina.rodriguez    (2026-03-12 14:32:38)
se habia provisionado 1 mes de más</t>
        </r>
      </text>
    </comment>
    <comment ref="K61" authorId="0" shapeId="0" xr:uid="{00000000-0006-0000-0000-00000C000000}">
      <text>
        <r>
          <rPr>
            <sz val="11"/>
            <color theme="1"/>
            <rFont val="Aptos Narrow"/>
            <scheme val="minor"/>
          </rPr>
          <t>======
ID#AAAB8DFxHqU
silvina.rodriguez    (2026-05-20 19:20:50)
se contrataron 40 licencias por 1 año hasta feb27</t>
        </r>
      </text>
    </comment>
    <comment ref="K64" authorId="0" shapeId="0" xr:uid="{00000000-0006-0000-0000-00000D000000}">
      <text>
        <r>
          <rPr>
            <sz val="11"/>
            <color theme="1"/>
            <rFont val="Aptos Narrow"/>
            <scheme val="minor"/>
          </rPr>
          <t>======
ID#AAAB8DFxHlc
silvina.rodriguez    (2026-05-20 19:20:50)
a partir de abril se suman 2 licencias</t>
        </r>
      </text>
    </comment>
    <comment ref="F65" authorId="0" shapeId="0" xr:uid="{00000000-0006-0000-0000-00000E000000}">
      <text>
        <r>
          <rPr>
            <sz val="11"/>
            <color theme="1"/>
            <rFont val="Aptos Narrow"/>
            <scheme val="minor"/>
          </rPr>
          <t>======
ID#AAAB8DFxHp4
silvina.rodriguez    (2025-11-10 19:29:26)
conector para la descentralizar la BD</t>
        </r>
      </text>
    </comment>
    <comment ref="F67" authorId="0" shapeId="0" xr:uid="{00000000-0006-0000-0000-00000F000000}">
      <text>
        <r>
          <rPr>
            <sz val="11"/>
            <color theme="1"/>
            <rFont val="Aptos Narrow"/>
            <scheme val="minor"/>
          </rPr>
          <t>======
ID#AAAB8DFxHoM
silvina.rodriguez    (2025-11-13 19:04:38)
definido por IA:
costo=50% del valor de la trx de presentac digitales</t>
        </r>
      </text>
    </comment>
    <comment ref="F71" authorId="0" shapeId="0" xr:uid="{00000000-0006-0000-0000-000010000000}">
      <text>
        <r>
          <rPr>
            <sz val="11"/>
            <color theme="1"/>
            <rFont val="Aptos Narrow"/>
            <scheme val="minor"/>
          </rPr>
          <t>======
ID#AAAB8DFxHkQ
silvina.rodriguez    (2025-11-10 19:29:26)
Amortización año de Alta completo</t>
        </r>
      </text>
    </comment>
    <comment ref="F77" authorId="0" shapeId="0" xr:uid="{00000000-0006-0000-0000-000011000000}">
      <text>
        <r>
          <rPr>
            <sz val="11"/>
            <color theme="1"/>
            <rFont val="Aptos Narrow"/>
            <scheme val="minor"/>
          </rPr>
          <t>======
ID#AAAB8DFxHlo
silvina.rodriguez    (2025-11-13 19:04:38)
validar con el negro (validado OK con Norberto por Lucas)</t>
        </r>
      </text>
    </comment>
    <comment ref="I84" authorId="0" shapeId="0" xr:uid="{00000000-0006-0000-0000-000012000000}">
      <text>
        <r>
          <rPr>
            <sz val="11"/>
            <color theme="1"/>
            <rFont val="Aptos Narrow"/>
            <scheme val="minor"/>
          </rPr>
          <t>======
ID#AAAB8DFxHqo
silvina.rodriguez    (2026-03-12 14:32:38)
estimación de la provisión
a revisar en febrero</t>
        </r>
      </text>
    </comment>
    <comment ref="J85" authorId="0" shapeId="0" xr:uid="{00000000-0006-0000-0000-000013000000}">
      <text>
        <r>
          <rPr>
            <sz val="11"/>
            <color theme="1"/>
            <rFont val="Aptos Narrow"/>
            <scheme val="minor"/>
          </rPr>
          <t>======
ID#AAAB8DFxHng
silvina.rodriguez    (2026-03-12 14:32:38)
en enero se generó una provisión que duplicó el costo del mes, por lo que se compensa en febrero
costo promedio del mes 3,6 millones $</t>
        </r>
      </text>
    </comment>
    <comment ref="I94" authorId="0" shapeId="0" xr:uid="{00000000-0006-0000-0000-000014000000}">
      <text>
        <r>
          <rPr>
            <sz val="11"/>
            <color theme="1"/>
            <rFont val="Aptos Narrow"/>
            <scheme val="minor"/>
          </rPr>
          <t>======
ID#AAAB8DFxHlM
silvina.rodriguez    (2026-03-12 14:32:38)
en agosto 2025 se descargó el costo total a resultado (hasta agosto 2026 no se recibe costo)</t>
        </r>
      </text>
    </comment>
    <comment ref="C96" authorId="0" shapeId="0" xr:uid="{00000000-0006-0000-0000-000015000000}">
      <text>
        <r>
          <rPr>
            <sz val="11"/>
            <color theme="1"/>
            <rFont val="Aptos Narrow"/>
            <scheme val="minor"/>
          </rPr>
          <t>======
ID#AAAB8DFxHmc
silvina.rodriguez    (2026-03-12 14:32:38)
ERDOZAIN JORGE</t>
        </r>
      </text>
    </comment>
    <comment ref="I96" authorId="0" shapeId="0" xr:uid="{00000000-0006-0000-0000-000016000000}">
      <text>
        <r>
          <rPr>
            <sz val="11"/>
            <color theme="1"/>
            <rFont val="Aptos Narrow"/>
            <scheme val="minor"/>
          </rPr>
          <t>======
ID#AAAB8DFxHlk
silvina.rodriguez    (2026-03-12 14:32:38)
Contrato con Santiago Latorre</t>
        </r>
      </text>
    </comment>
    <comment ref="J96" authorId="0" shapeId="0" xr:uid="{00000000-0006-0000-0000-000017000000}">
      <text>
        <r>
          <rPr>
            <sz val="11"/>
            <color theme="1"/>
            <rFont val="Aptos Narrow"/>
            <scheme val="minor"/>
          </rPr>
          <t>======
ID#AAAB8DFxHqA
silvina.rodriguez    (2026-03-12 14:32:38)
certificaciones de WS por MS Seguridad</t>
        </r>
      </text>
    </comment>
    <comment ref="I118" authorId="0" shapeId="0" xr:uid="{00000000-0006-0000-0000-000018000000}">
      <text>
        <r>
          <rPr>
            <sz val="11"/>
            <color theme="1"/>
            <rFont val="Aptos Narrow"/>
            <scheme val="minor"/>
          </rPr>
          <t>======
ID#AAAB8DFxHnk
silvina.rodriguez    (2026-03-12 14:32:38)
patente galo y Dani</t>
        </r>
      </text>
    </comment>
    <comment ref="K118" authorId="0" shapeId="0" xr:uid="{00000000-0006-0000-0000-000019000000}">
      <text>
        <r>
          <rPr>
            <sz val="11"/>
            <color theme="1"/>
            <rFont val="Aptos Narrow"/>
            <scheme val="minor"/>
          </rPr>
          <t>======
ID#AAAB8DFxHmU
silvina.rodriguez    (2026-05-20 19:20:50)
patentes y service 1,676</t>
        </r>
      </text>
    </comment>
    <comment ref="M122" authorId="1" shapeId="0" xr:uid="{2D740D11-5322-45D5-ACC2-AFE89EE29356}">
      <text>
        <r>
          <rPr>
            <b/>
            <sz val="9"/>
            <color indexed="81"/>
            <rFont val="Tahoma"/>
            <charset val="1"/>
          </rPr>
          <t>Usuario Administrador:</t>
        </r>
        <r>
          <rPr>
            <sz val="9"/>
            <color indexed="81"/>
            <rFont val="Tahoma"/>
            <charset val="1"/>
          </rPr>
          <t xml:space="preserve">
Reajuste de la poliza one shot sin considerar la baja de un auto</t>
        </r>
      </text>
    </comment>
    <comment ref="L124" authorId="0" shapeId="0" xr:uid="{00000000-0006-0000-0000-00001A000000}">
      <text>
        <r>
          <rPr>
            <sz val="11"/>
            <color theme="1"/>
            <rFont val="Aptos Narrow"/>
            <scheme val="minor"/>
          </rPr>
          <t>======
ID#AAAB8DFxHl4
Lucas Hojman    (2026-05-26 13:04:02)
DOS MESES</t>
        </r>
      </text>
    </comment>
    <comment ref="I134" authorId="0" shapeId="0" xr:uid="{00000000-0006-0000-0000-00001B000000}">
      <text>
        <r>
          <rPr>
            <sz val="11"/>
            <color theme="1"/>
            <rFont val="Aptos Narrow"/>
            <scheme val="minor"/>
          </rPr>
          <t>======
ID#AAAB8DFxHmA
silvina.rodriguez    (2026-03-12 14:32:38)
considera el costo hasta diciembre 2026</t>
        </r>
      </text>
    </comment>
    <comment ref="J149" authorId="0" shapeId="0" xr:uid="{00000000-0006-0000-0000-00001C000000}">
      <text>
        <r>
          <rPr>
            <sz val="11"/>
            <color theme="1"/>
            <rFont val="Aptos Narrow"/>
            <scheme val="minor"/>
          </rPr>
          <t>======
ID#AAAB8DFxHqg
silvina.rodriguez    (2026-03-12 14:32:38)
Emilia Ene-Feb</t>
        </r>
      </text>
    </comment>
    <comment ref="I178" authorId="0" shapeId="0" xr:uid="{00000000-0006-0000-0000-00001D000000}">
      <text>
        <r>
          <rPr>
            <sz val="11"/>
            <color theme="1"/>
            <rFont val="Aptos Narrow"/>
            <scheme val="minor"/>
          </rPr>
          <t>======
ID#AAAB8DFxHok
silvina.rodriguez    (2026-03-12 14:32:38)
LP&amp;A,BGH,Atentus</t>
        </r>
      </text>
    </comment>
    <comment ref="I180" authorId="0" shapeId="0" xr:uid="{00000000-0006-0000-0000-00001E000000}">
      <text>
        <r>
          <rPr>
            <sz val="11"/>
            <color theme="1"/>
            <rFont val="Aptos Narrow"/>
            <scheme val="minor"/>
          </rPr>
          <t>======
ID#AAAB8DFxHpI
silvina.rodriguez    (2026-03-12 14:32:38)
+192.200.000 intereses prestamos accionistas
-4.456.889,85 resul por tenencia (depreciac del USD)
+50,344,699 intereses FCI</t>
        </r>
      </text>
    </comment>
    <comment ref="J180" authorId="0" shapeId="0" xr:uid="{00000000-0006-0000-0000-00001F000000}">
      <text>
        <r>
          <rPr>
            <sz val="11"/>
            <color theme="1"/>
            <rFont val="Aptos Narrow"/>
            <scheme val="minor"/>
          </rPr>
          <t>======
ID#AAAB8DFxHmI
silvina.rodriguez    (2026-03-12 14:32:38)
+173.600.000 intereses prestamos accionistas
-13,370,670 resul por tenencia (depreciac del USD)
+58,071,566 resultado FCI</t>
        </r>
      </text>
    </comment>
    <comment ref="I184" authorId="0" shapeId="0" xr:uid="{00000000-0006-0000-0000-000020000000}">
      <text>
        <r>
          <rPr>
            <sz val="11"/>
            <color theme="1"/>
            <rFont val="Aptos Narrow"/>
            <scheme val="minor"/>
          </rPr>
          <t>======
ID#AAAB8DFxHkY
silvina.rodriguez    (2026-03-12 14:32:38)
2.686.117,68 imp de sellos contrato alquiler +
12.622.308 tasa de seg e higiene</t>
        </r>
      </text>
    </comment>
    <comment ref="J184" authorId="0" shapeId="0" xr:uid="{00000000-0006-0000-0000-000021000000}">
      <text>
        <r>
          <rPr>
            <sz val="11"/>
            <color theme="1"/>
            <rFont val="Aptos Narrow"/>
            <scheme val="minor"/>
          </rPr>
          <t>======
ID#AAAB8DFxHlw
silvina.rodriguez    (2026-03-12 14:32:38)
Tasa de Seguridad e Higiene Feb 13Millones - 900mil pesos de recupero de imp sellos dueño del piso</t>
        </r>
      </text>
    </comment>
    <comment ref="K184" authorId="0" shapeId="0" xr:uid="{00000000-0006-0000-0000-000022000000}">
      <text>
        <r>
          <rPr>
            <sz val="11"/>
            <color theme="1"/>
            <rFont val="Aptos Narrow"/>
            <scheme val="minor"/>
          </rPr>
          <t>======
ID#AAAB8DFxHl0
silvina.rodriguez    (2026-05-20 19:20:50)
TISH</t>
        </r>
      </text>
    </comment>
    <comment ref="J202" authorId="0" shapeId="0" xr:uid="{00000000-0006-0000-0000-000023000000}">
      <text>
        <r>
          <rPr>
            <sz val="11"/>
            <color theme="1"/>
            <rFont val="Aptos Narrow"/>
            <scheme val="minor"/>
          </rPr>
          <t>======
ID#AAAB8DFxHlA
silvina.rodriguez    (2026-03-12 14:32:38)
cotización rava bursatil 28/02/26</t>
        </r>
      </text>
    </comment>
    <comment ref="M226" authorId="0" shapeId="0" xr:uid="{00000000-0006-0000-0000-000024000000}">
      <text>
        <r>
          <rPr>
            <sz val="11"/>
            <color theme="1"/>
            <rFont val="Aptos Narrow"/>
            <scheme val="minor"/>
          </rPr>
          <t>======
ID#AAAB8DFxHos
silvina.rodriguez    (2025-11-18 16:07:01)
el 66% del Imp DyC es costo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G11" authorId="0" shapeId="0" xr:uid="{00000000-0006-0000-0500-000001000000}">
      <text>
        <r>
          <rPr>
            <sz val="11"/>
            <color theme="1"/>
            <rFont val="Aptos Narrow"/>
            <scheme val="minor"/>
          </rPr>
          <t>======
ID#AAAB8DFxHqQ
silvina.rodriguez    (2025-11-25 12:02:44)
ipc trimestral + performance</t>
        </r>
      </text>
    </comment>
    <comment ref="G12" authorId="0" shapeId="0" xr:uid="{00000000-0006-0000-0500-000002000000}">
      <text>
        <r>
          <rPr>
            <sz val="11"/>
            <color theme="1"/>
            <rFont val="Aptos Narrow"/>
            <scheme val="minor"/>
          </rPr>
          <t>======
ID#AAAB8DFxHn4
silvina.rodriguez    (2025-11-25 12:02:44)
ipc trimestral + performance</t>
        </r>
      </text>
    </comment>
    <comment ref="H12" authorId="0" shapeId="0" xr:uid="{00000000-0006-0000-0500-000003000000}">
      <text>
        <r>
          <rPr>
            <sz val="11"/>
            <color theme="1"/>
            <rFont val="Aptos Narrow"/>
            <scheme val="minor"/>
          </rPr>
          <t>======
ID#AAAB8DFxHmo
silvina.rodriguez    (2025-11-25 12:02:44)
ipc trimestral</t>
        </r>
      </text>
    </comment>
    <comment ref="I12" authorId="0" shapeId="0" xr:uid="{00000000-0006-0000-0500-000004000000}">
      <text>
        <r>
          <rPr>
            <sz val="11"/>
            <color theme="1"/>
            <rFont val="Aptos Narrow"/>
            <scheme val="minor"/>
          </rPr>
          <t>======
ID#AAAB8DFxHqs
silvina.rodriguez    (2025-11-25 12:02:44)
ipc trimestral</t>
        </r>
      </text>
    </comment>
    <comment ref="J12" authorId="0" shapeId="0" xr:uid="{00000000-0006-0000-0500-000005000000}">
      <text>
        <r>
          <rPr>
            <sz val="11"/>
            <color theme="1"/>
            <rFont val="Aptos Narrow"/>
            <scheme val="minor"/>
          </rPr>
          <t>======
ID#AAAB8DFxHqI
silvina.rodriguez    (2025-11-25 12:02:44)
ipc trimestral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69" authorId="0" shapeId="0" xr:uid="{00000000-0006-0000-0600-000001000000}">
      <text>
        <r>
          <rPr>
            <sz val="11"/>
            <color theme="1"/>
            <rFont val="Aptos Narrow"/>
            <scheme val="minor"/>
          </rPr>
          <t>======
ID#AAAB8DFxHlU
silvina.rodriguez    (2025-11-10 19:29:26)
precio= 50% valor trx PAMI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G11" authorId="0" shapeId="0" xr:uid="{00000000-0006-0000-0700-000001000000}">
      <text>
        <r>
          <rPr>
            <sz val="11"/>
            <color theme="1"/>
            <rFont val="Aptos Narrow"/>
            <scheme val="minor"/>
          </rPr>
          <t>======
ID#AAAB8DFxHmM
silvina.rodriguez    (2025-11-10 19:29:26)
se considera 1% de incremento sobre base Junio25</t>
        </r>
      </text>
    </comment>
    <comment ref="J11" authorId="0" shapeId="0" xr:uid="{00000000-0006-0000-0700-000002000000}">
      <text>
        <r>
          <rPr>
            <sz val="11"/>
            <color theme="1"/>
            <rFont val="Aptos Narrow"/>
            <scheme val="minor"/>
          </rPr>
          <t>======
ID#AAAB8DFxHp0
silvina.rodriguez    (2025-11-10 19:29:26)
se considera 1% de incremento sobre base Junio25</t>
        </r>
      </text>
    </comment>
    <comment ref="M11" authorId="0" shapeId="0" xr:uid="{00000000-0006-0000-0700-000003000000}">
      <text>
        <r>
          <rPr>
            <sz val="11"/>
            <color theme="1"/>
            <rFont val="Aptos Narrow"/>
            <scheme val="minor"/>
          </rPr>
          <t>======
ID#AAAB8DFxHpU
silvina.rodriguez    (2025-11-10 19:29:26)
se considera 1% de incremento sobre base Junio25</t>
        </r>
      </text>
    </comment>
    <comment ref="G26" authorId="0" shapeId="0" xr:uid="{00000000-0006-0000-0700-000004000000}">
      <text>
        <r>
          <rPr>
            <sz val="11"/>
            <color theme="1"/>
            <rFont val="Aptos Narrow"/>
            <scheme val="minor"/>
          </rPr>
          <t>======
ID#AAAB8DFxHoc
silvina.rodriguez    (2025-11-10 19:29:26)
se considera 1% de incremento sobre base Junio25</t>
        </r>
      </text>
    </comment>
    <comment ref="J26" authorId="0" shapeId="0" xr:uid="{00000000-0006-0000-0700-000005000000}">
      <text>
        <r>
          <rPr>
            <sz val="11"/>
            <color theme="1"/>
            <rFont val="Aptos Narrow"/>
            <scheme val="minor"/>
          </rPr>
          <t>======
ID#AAAB8DFxHlg
silvina.rodriguez    (2025-11-10 19:29:26)
se considera 1% de incremento sobre base Junio25</t>
        </r>
      </text>
    </comment>
    <comment ref="M26" authorId="0" shapeId="0" xr:uid="{00000000-0006-0000-0700-000006000000}">
      <text>
        <r>
          <rPr>
            <sz val="11"/>
            <color theme="1"/>
            <rFont val="Aptos Narrow"/>
            <scheme val="minor"/>
          </rPr>
          <t>======
ID#AAAB8DFxHno
silvina.rodriguez    (2025-11-10 19:29:26)
se considera 1% de incremento sobre base Junio25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13" authorId="0" shapeId="0" xr:uid="{00000000-0006-0000-0C00-000001000000}">
      <text>
        <r>
          <rPr>
            <sz val="11"/>
            <color theme="1"/>
            <rFont val="Aptos Narrow"/>
            <scheme val="minor"/>
          </rPr>
          <t>======
ID#AAAB8DFxHpo
Raffioni, Lisandro Martin    (2025-11-10 19:29:26)
Se ajusta trimestralmente por IPC CABA, según acuerdo. Valor vigente para Julio, Agosto y Septiembre 2025.</t>
        </r>
      </text>
    </comment>
    <comment ref="B17" authorId="0" shapeId="0" xr:uid="{00000000-0006-0000-0C00-000002000000}">
      <text>
        <r>
          <rPr>
            <sz val="11"/>
            <color theme="1"/>
            <rFont val="Aptos Narrow"/>
            <scheme val="minor"/>
          </rPr>
          <t>======
ID#AAAB8DFxHpk
Raffioni, Lisandro Martin    (2025-11-10 19:29:26)
Valor Dólar BNA 15-10-
2025</t>
        </r>
      </text>
    </comment>
    <comment ref="G61" authorId="0" shapeId="0" xr:uid="{00000000-0006-0000-0C00-000003000000}">
      <text>
        <r>
          <rPr>
            <sz val="11"/>
            <color theme="1"/>
            <rFont val="Aptos Narrow"/>
            <scheme val="minor"/>
          </rPr>
          <t>======
ID#AAAB8DFxHmE
silvina.rodriguez    (2025-11-10 19:29:26)
surge del seguimiento de Licha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6" authorId="0" shapeId="0" xr:uid="{00000000-0006-0000-0E00-000001000000}">
      <text>
        <r>
          <rPr>
            <sz val="11"/>
            <color theme="1"/>
            <rFont val="Aptos Narrow"/>
            <scheme val="minor"/>
          </rPr>
          <t>======
ID#AAAB8DFxHpw
Raffioni, Lisandro    (2025-11-10 19:29:26)
Ajuste Trimestralmente. Este valor se mantiene Julio, Agosto y Septiembre 2025</t>
        </r>
      </text>
    </comment>
    <comment ref="B9" authorId="0" shapeId="0" xr:uid="{00000000-0006-0000-0E00-000002000000}">
      <text>
        <r>
          <rPr>
            <sz val="11"/>
            <color theme="1"/>
            <rFont val="Aptos Narrow"/>
            <scheme val="minor"/>
          </rPr>
          <t>======
ID#AAAB8DFxHls
Raffioni, Lisandro Martin    (2025-11-10 19:29:26)
2200 cupones por caja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20" authorId="0" shapeId="0" xr:uid="{00000000-0006-0000-0F00-000001000000}">
      <text>
        <r>
          <rPr>
            <sz val="11"/>
            <color theme="1"/>
            <rFont val="Aptos Narrow"/>
            <scheme val="minor"/>
          </rPr>
          <t>======
ID#AAAB8DFxHn8
Raffioni, Lisandro Martin    (2025-11-10 19:29:26)
Valor Dólar BNA 15-10
-25</t>
        </r>
      </text>
    </comment>
    <comment ref="E42" authorId="0" shapeId="0" xr:uid="{00000000-0006-0000-0F00-000002000000}">
      <text>
        <r>
          <rPr>
            <sz val="11"/>
            <color theme="1"/>
            <rFont val="Aptos Narrow"/>
            <scheme val="minor"/>
          </rPr>
          <t>======
ID#AAAB8DFxHnw
silvina.rodriguez    (2025-11-10 19:29:26)
valor hasta 25.000 trxs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X5" authorId="0" shapeId="0" xr:uid="{00000000-0006-0000-1000-000001000000}">
      <text>
        <r>
          <rPr>
            <sz val="11"/>
            <color theme="1"/>
            <rFont val="Aptos Narrow"/>
            <scheme val="minor"/>
          </rPr>
          <t>======
ID#AAAB8DFxHm4
silvina.rodriguez    (2025-11-10 19:29:26)
cerrado por Dani Bañares (sin formalizar al 05/11/2025)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L5" authorId="0" shapeId="0" xr:uid="{00000000-0006-0000-1500-000001000000}">
      <text>
        <r>
          <rPr>
            <sz val="11"/>
            <color theme="1"/>
            <rFont val="Aptos Narrow"/>
            <scheme val="minor"/>
          </rPr>
          <t>======
ID#AAAB8DFxHmQ
silvina.rodriguez    (2025-11-12 16:56:54)
definido por Licha sobre base sept25</t>
        </r>
      </text>
    </comment>
    <comment ref="N5" authorId="0" shapeId="0" xr:uid="{00000000-0006-0000-1500-000002000000}">
      <text>
        <r>
          <rPr>
            <sz val="11"/>
            <color theme="1"/>
            <rFont val="Aptos Narrow"/>
            <scheme val="minor"/>
          </rPr>
          <t>======
ID#AAAB8DFxHo8
silvina.rodriguez    (2025-11-12 16:56:54)
definido por Licha sobre base sept25</t>
        </r>
      </text>
    </comment>
    <comment ref="P5" authorId="0" shapeId="0" xr:uid="{00000000-0006-0000-1500-000003000000}">
      <text>
        <r>
          <rPr>
            <sz val="11"/>
            <color theme="1"/>
            <rFont val="Aptos Narrow"/>
            <scheme val="minor"/>
          </rPr>
          <t>======
ID#AAAB8DFxHow
silvina.rodriguez    (2025-11-12 16:56:54)
definido por Licha sobre base sept25</t>
        </r>
      </text>
    </comment>
    <comment ref="R5" authorId="0" shapeId="0" xr:uid="{00000000-0006-0000-1500-000004000000}">
      <text>
        <r>
          <rPr>
            <sz val="11"/>
            <color theme="1"/>
            <rFont val="Aptos Narrow"/>
            <scheme val="minor"/>
          </rPr>
          <t>======
ID#AAAB8DFxHqM
silvina.rodriguez    (2025-11-12 16:56:54)
definido por Licha sobre base sept25</t>
        </r>
      </text>
    </comment>
    <comment ref="T5" authorId="0" shapeId="0" xr:uid="{00000000-0006-0000-1500-000005000000}">
      <text>
        <r>
          <rPr>
            <sz val="11"/>
            <color theme="1"/>
            <rFont val="Aptos Narrow"/>
            <scheme val="minor"/>
          </rPr>
          <t>======
ID#AAAB8DFxHoo
silvina.rodriguez    (2025-11-12 16:56:54)
definido por Licha sobre base sept25</t>
        </r>
      </text>
    </comment>
    <comment ref="V5" authorId="0" shapeId="0" xr:uid="{00000000-0006-0000-1500-000006000000}">
      <text>
        <r>
          <rPr>
            <sz val="11"/>
            <color theme="1"/>
            <rFont val="Aptos Narrow"/>
            <scheme val="minor"/>
          </rPr>
          <t>======
ID#AAAB8DFxHkc
silvina.rodriguez    (2025-11-12 16:56:54)
definido por Licha sobre base sept25</t>
        </r>
      </text>
    </comment>
    <comment ref="X5" authorId="0" shapeId="0" xr:uid="{00000000-0006-0000-1500-000007000000}">
      <text>
        <r>
          <rPr>
            <sz val="11"/>
            <color theme="1"/>
            <rFont val="Aptos Narrow"/>
            <scheme val="minor"/>
          </rPr>
          <t>======
ID#AAAB8DFxHnc
silvina.rodriguez    (2025-11-12 16:56:54)
definido por Licha sobre base sept25</t>
        </r>
      </text>
    </comment>
    <comment ref="Z5" authorId="0" shapeId="0" xr:uid="{00000000-0006-0000-1500-000008000000}">
      <text>
        <r>
          <rPr>
            <sz val="11"/>
            <color theme="1"/>
            <rFont val="Aptos Narrow"/>
            <scheme val="minor"/>
          </rPr>
          <t>======
ID#AAAB8DFxHoI
silvina.rodriguez    (2025-11-12 16:56:54)
definido por Licha sobre base sept25</t>
        </r>
      </text>
    </comment>
    <comment ref="AB5" authorId="0" shapeId="0" xr:uid="{00000000-0006-0000-1500-000009000000}">
      <text>
        <r>
          <rPr>
            <sz val="11"/>
            <color theme="1"/>
            <rFont val="Aptos Narrow"/>
            <scheme val="minor"/>
          </rPr>
          <t>======
ID#AAAB8DFxHl8
silvina.rodriguez    (2025-11-12 16:56:54)
definido por Licha sobre base sept25</t>
        </r>
      </text>
    </comment>
    <comment ref="AD5" authorId="0" shapeId="0" xr:uid="{00000000-0006-0000-1500-00000A000000}">
      <text>
        <r>
          <rPr>
            <sz val="11"/>
            <color theme="1"/>
            <rFont val="Aptos Narrow"/>
            <scheme val="minor"/>
          </rPr>
          <t>======
ID#AAAB8DFxHmw
silvina.rodriguez    (2025-11-12 16:56:54)
definido por Licha sobre base sept25</t>
        </r>
      </text>
    </comment>
    <comment ref="AF5" authorId="0" shapeId="0" xr:uid="{00000000-0006-0000-1500-00000B000000}">
      <text>
        <r>
          <rPr>
            <sz val="11"/>
            <color theme="1"/>
            <rFont val="Aptos Narrow"/>
            <scheme val="minor"/>
          </rPr>
          <t>======
ID#AAAB8DFxHpM
silvina.rodriguez    (2025-11-12 16:56:54)
definido por Licha sobre base sept25</t>
        </r>
      </text>
    </comment>
    <comment ref="AH5" authorId="0" shapeId="0" xr:uid="{00000000-0006-0000-1500-00000C000000}">
      <text>
        <r>
          <rPr>
            <sz val="11"/>
            <color theme="1"/>
            <rFont val="Aptos Narrow"/>
            <scheme val="minor"/>
          </rPr>
          <t>======
ID#AAAB8DFxHpA
silvina.rodriguez    (2025-11-12 16:56:54)
definido por Licha sobre base sept25</t>
        </r>
      </text>
    </comment>
    <comment ref="AJ5" authorId="0" shapeId="0" xr:uid="{00000000-0006-0000-1500-00000D000000}">
      <text>
        <r>
          <rPr>
            <sz val="11"/>
            <color theme="1"/>
            <rFont val="Aptos Narrow"/>
            <scheme val="minor"/>
          </rPr>
          <t>======
ID#AAAB8DFxHkk
silvina.rodriguez    (2025-11-12 16:56:54)
definido por Licha sobre base sept25</t>
        </r>
      </text>
    </comment>
    <comment ref="AL5" authorId="0" shapeId="0" xr:uid="{00000000-0006-0000-1500-00000E000000}">
      <text>
        <r>
          <rPr>
            <sz val="11"/>
            <color theme="1"/>
            <rFont val="Aptos Narrow"/>
            <scheme val="minor"/>
          </rPr>
          <t>======
ID#AAAB8DFxHns
silvina.rodriguez    (2025-11-12 16:56:54)
definido por Licha sobre base sept25</t>
        </r>
      </text>
    </comment>
    <comment ref="AN5" authorId="0" shapeId="0" xr:uid="{00000000-0006-0000-1500-00000F000000}">
      <text>
        <r>
          <rPr>
            <sz val="11"/>
            <color theme="1"/>
            <rFont val="Aptos Narrow"/>
            <scheme val="minor"/>
          </rPr>
          <t>======
ID#AAAB8DFxHnU
silvina.rodriguez    (2025-11-12 16:56:54)
definido por Licha sobre base sept25</t>
        </r>
      </text>
    </comment>
    <comment ref="K24" authorId="0" shapeId="0" xr:uid="{00000000-0006-0000-1500-000010000000}">
      <text>
        <r>
          <rPr>
            <sz val="11"/>
            <color theme="1"/>
            <rFont val="Aptos Narrow"/>
            <scheme val="minor"/>
          </rPr>
          <t>======
ID#AAAB8DFxHlQ
silvina.rodriguez    (2025-11-12 16:56:54)
1 a 50,000</t>
        </r>
      </text>
    </comment>
    <comment ref="L24" authorId="0" shapeId="0" xr:uid="{00000000-0006-0000-1500-000011000000}">
      <text>
        <r>
          <rPr>
            <sz val="11"/>
            <color theme="1"/>
            <rFont val="Aptos Narrow"/>
            <scheme val="minor"/>
          </rPr>
          <t>======
ID#AAAB8DFxHnA
silvina.rodriguez    (2025-11-12 16:56:54)
100,001 a 200,000</t>
        </r>
      </text>
    </comment>
    <comment ref="Q24" authorId="0" shapeId="0" xr:uid="{00000000-0006-0000-1500-000012000000}">
      <text>
        <r>
          <rPr>
            <sz val="11"/>
            <color theme="1"/>
            <rFont val="Aptos Narrow"/>
            <scheme val="minor"/>
          </rPr>
          <t>======
ID#AAAB8DFxHps
silvina.rodriguez    (2025-11-12 16:56:54)
1 a 50,000</t>
        </r>
      </text>
    </comment>
    <comment ref="R24" authorId="0" shapeId="0" xr:uid="{00000000-0006-0000-1500-000013000000}">
      <text>
        <r>
          <rPr>
            <sz val="11"/>
            <color theme="1"/>
            <rFont val="Aptos Narrow"/>
            <scheme val="minor"/>
          </rPr>
          <t>======
ID#AAAB8DFxHnY
silvina.rodriguez    (2025-11-12 16:56:54)
1 a 50,000</t>
        </r>
      </text>
    </comment>
    <comment ref="W24" authorId="0" shapeId="0" xr:uid="{00000000-0006-0000-1500-000014000000}">
      <text>
        <r>
          <rPr>
            <sz val="11"/>
            <color theme="1"/>
            <rFont val="Aptos Narrow"/>
            <scheme val="minor"/>
          </rPr>
          <t>======
ID#AAAB8DFxHlE
silvina.rodriguez    (2025-11-12 16:56:54)
1 a 50,000</t>
        </r>
      </text>
    </comment>
    <comment ref="X24" authorId="0" shapeId="0" xr:uid="{00000000-0006-0000-1500-000015000000}">
      <text>
        <r>
          <rPr>
            <sz val="11"/>
            <color theme="1"/>
            <rFont val="Aptos Narrow"/>
            <scheme val="minor"/>
          </rPr>
          <t>======
ID#AAAB8DFxHpE
silvina.rodriguez    (2025-11-12 16:56:54)
1 a 50,000</t>
        </r>
      </text>
    </comment>
    <comment ref="AC24" authorId="0" shapeId="0" xr:uid="{00000000-0006-0000-1500-000016000000}">
      <text>
        <r>
          <rPr>
            <sz val="11"/>
            <color theme="1"/>
            <rFont val="Aptos Narrow"/>
            <scheme val="minor"/>
          </rPr>
          <t>======
ID#AAAB8DFxHmk
silvina.rodriguez    (2025-11-12 16:56:54)
1 a 50,000</t>
        </r>
      </text>
    </comment>
    <comment ref="AD24" authorId="0" shapeId="0" xr:uid="{00000000-0006-0000-1500-000017000000}">
      <text>
        <r>
          <rPr>
            <sz val="11"/>
            <color theme="1"/>
            <rFont val="Aptos Narrow"/>
            <scheme val="minor"/>
          </rPr>
          <t>======
ID#AAAB8DFxHo0
silvina.rodriguez    (2025-11-12 16:56:54)
1 a 50,000</t>
        </r>
      </text>
    </comment>
    <comment ref="AI24" authorId="0" shapeId="0" xr:uid="{00000000-0006-0000-1500-000018000000}">
      <text>
        <r>
          <rPr>
            <sz val="11"/>
            <color theme="1"/>
            <rFont val="Aptos Narrow"/>
            <scheme val="minor"/>
          </rPr>
          <t>======
ID#AAAB8DFxHm8
silvina.rodriguez    (2025-11-12 16:56:54)
1 a 50,000</t>
        </r>
      </text>
    </comment>
    <comment ref="AJ24" authorId="0" shapeId="0" xr:uid="{00000000-0006-0000-1500-000019000000}">
      <text>
        <r>
          <rPr>
            <sz val="11"/>
            <color theme="1"/>
            <rFont val="Aptos Narrow"/>
            <scheme val="minor"/>
          </rPr>
          <t>======
ID#AAAB8DFxHkg
silvina.rodriguez    (2025-11-12 16:56:54)
1 a 50,000</t>
        </r>
      </text>
    </comment>
    <comment ref="K25" authorId="0" shapeId="0" xr:uid="{00000000-0006-0000-1500-00001A000000}">
      <text>
        <r>
          <rPr>
            <sz val="11"/>
            <color theme="1"/>
            <rFont val="Aptos Narrow"/>
            <scheme val="minor"/>
          </rPr>
          <t>======
ID#AAAB8DFxHqc
silvina.rodriguez    (2025-11-12 16:56:54)
50,001 a 100,000</t>
        </r>
      </text>
    </comment>
    <comment ref="L25" authorId="0" shapeId="0" xr:uid="{00000000-0006-0000-1500-00001B000000}">
      <text>
        <r>
          <rPr>
            <sz val="11"/>
            <color theme="1"/>
            <rFont val="Aptos Narrow"/>
            <scheme val="minor"/>
          </rPr>
          <t>======
ID#AAAB8DFxHms
silvina.rodriguez    (2025-11-12 16:56:54)
200,001 a 300,000</t>
        </r>
      </text>
    </comment>
    <comment ref="AC25" authorId="0" shapeId="0" xr:uid="{00000000-0006-0000-1500-00001C000000}">
      <text>
        <r>
          <rPr>
            <sz val="11"/>
            <color theme="1"/>
            <rFont val="Aptos Narrow"/>
            <scheme val="minor"/>
          </rPr>
          <t>======
ID#AAAB8DFxHko
silvina.rodriguez    (2025-11-12 16:56:54)
1 a 50,000</t>
        </r>
      </text>
    </comment>
    <comment ref="AD25" authorId="0" shapeId="0" xr:uid="{00000000-0006-0000-1500-00001D000000}">
      <text>
        <r>
          <rPr>
            <sz val="11"/>
            <color theme="1"/>
            <rFont val="Aptos Narrow"/>
            <scheme val="minor"/>
          </rPr>
          <t>======
ID#AAAB8DFxHpQ
silvina.rodriguez    (2025-11-12 16:56:54)
1 a 50,000</t>
        </r>
      </text>
    </comment>
    <comment ref="AI25" authorId="0" shapeId="0" xr:uid="{00000000-0006-0000-1500-00001E000000}">
      <text>
        <r>
          <rPr>
            <sz val="11"/>
            <color theme="1"/>
            <rFont val="Aptos Narrow"/>
            <scheme val="minor"/>
          </rPr>
          <t>======
ID#AAAB8DFxHoQ
silvina.rodriguez    (2025-11-12 16:56:54)
1 a 50,000</t>
        </r>
      </text>
    </comment>
    <comment ref="AJ25" authorId="0" shapeId="0" xr:uid="{00000000-0006-0000-1500-00001F000000}">
      <text>
        <r>
          <rPr>
            <sz val="11"/>
            <color theme="1"/>
            <rFont val="Aptos Narrow"/>
            <scheme val="minor"/>
          </rPr>
          <t>======
ID#AAAB8DFxHn0
silvina.rodriguez    (2025-11-12 16:56:54)
1 a 50,000</t>
        </r>
      </text>
    </comment>
    <comment ref="X85" authorId="0" shapeId="0" xr:uid="{00000000-0006-0000-1500-000020000000}">
      <text>
        <r>
          <rPr>
            <sz val="11"/>
            <color theme="1"/>
            <rFont val="Aptos Narrow"/>
            <scheme val="minor"/>
          </rPr>
          <t>======
ID#AAAB8DFxHlI
silvina.rodriguez    (2025-11-18 15:22:20)
126$ + ipc trimestral acum (4,6%)</t>
        </r>
      </text>
    </comment>
    <comment ref="Z85" authorId="0" shapeId="0" xr:uid="{00000000-0006-0000-1500-000021000000}">
      <text>
        <r>
          <rPr>
            <sz val="11"/>
            <color theme="1"/>
            <rFont val="Aptos Narrow"/>
            <scheme val="minor"/>
          </rPr>
          <t>======
ID#AAAB8DFxHo4
silvina.rodriguez    (2025-11-18 15:22:20)
137 (precio sin descuento por ipc trimestral acum 1,046)</t>
        </r>
      </text>
    </comment>
    <comment ref="AD85" authorId="0" shapeId="0" xr:uid="{00000000-0006-0000-1500-000022000000}">
      <text>
        <r>
          <rPr>
            <sz val="11"/>
            <color theme="1"/>
            <rFont val="Aptos Narrow"/>
            <scheme val="minor"/>
          </rPr>
          <t>======
ID#AAAB8DFxHpc
silvina.rodriguez    (2025-11-18 15:22:20)
143 * ipc trimestral (1,046)</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3" authorId="0" shapeId="0" xr:uid="{00000000-0006-0000-1600-000001000000}">
      <text>
        <r>
          <rPr>
            <sz val="11"/>
            <color theme="1"/>
            <rFont val="Aptos Narrow"/>
            <scheme val="minor"/>
          </rPr>
          <t>======
ID#AAAB8DFxHoE
lisandro.raffioni    (2025-11-25 12:02:44)
Piloto</t>
        </r>
      </text>
    </comment>
    <comment ref="E3" authorId="0" shapeId="0" xr:uid="{00000000-0006-0000-1600-000002000000}">
      <text>
        <r>
          <rPr>
            <sz val="11"/>
            <color theme="1"/>
            <rFont val="Aptos Narrow"/>
            <scheme val="minor"/>
          </rPr>
          <t>======
ID#AAAB8DFxHlY
lisandro.raffioni    (2025-11-25 12:02:44)
Piloto</t>
        </r>
      </text>
    </comment>
    <comment ref="F3" authorId="0" shapeId="0" xr:uid="{00000000-0006-0000-1600-000003000000}">
      <text>
        <r>
          <rPr>
            <sz val="11"/>
            <color theme="1"/>
            <rFont val="Aptos Narrow"/>
            <scheme val="minor"/>
          </rPr>
          <t>======
ID#AAAB8DFxHkM
lisandro.raffioni    (2025-11-25 12:02:44)
Piloto</t>
        </r>
      </text>
    </comment>
    <comment ref="D4" authorId="0" shapeId="0" xr:uid="{00000000-0006-0000-1600-000004000000}">
      <text>
        <r>
          <rPr>
            <sz val="11"/>
            <color theme="1"/>
            <rFont val="Aptos Narrow"/>
            <scheme val="minor"/>
          </rPr>
          <t>======
ID#AAAB8DFxHqE
lisandro.raffioni    (2025-11-25 12:02:44)
Piloto</t>
        </r>
      </text>
    </comment>
    <comment ref="E4" authorId="0" shapeId="0" xr:uid="{00000000-0006-0000-1600-000005000000}">
      <text>
        <r>
          <rPr>
            <sz val="11"/>
            <color theme="1"/>
            <rFont val="Aptos Narrow"/>
            <scheme val="minor"/>
          </rPr>
          <t>======
ID#AAAB8DFxHm0
lisandro.raffioni    (2025-11-25 12:02:44)
Piloto</t>
        </r>
      </text>
    </comment>
    <comment ref="F4" authorId="0" shapeId="0" xr:uid="{00000000-0006-0000-1600-000006000000}">
      <text>
        <r>
          <rPr>
            <sz val="11"/>
            <color theme="1"/>
            <rFont val="Aptos Narrow"/>
            <scheme val="minor"/>
          </rPr>
          <t>======
ID#AAAB8DFxHk4
lisandro.raffioni    (2025-11-25 12:02:44)
Piloto</t>
        </r>
      </text>
    </comment>
    <comment ref="G6" authorId="0" shapeId="0" xr:uid="{00000000-0006-0000-1600-000007000000}">
      <text>
        <r>
          <rPr>
            <sz val="11"/>
            <color theme="1"/>
            <rFont val="Aptos Narrow"/>
            <scheme val="minor"/>
          </rPr>
          <t>======
ID#AAAB8DFxHpg
lisandro.raffioni    (2025-11-25 12:02:44)
Piloto</t>
        </r>
      </text>
    </comment>
    <comment ref="H6" authorId="0" shapeId="0" xr:uid="{00000000-0006-0000-1600-000008000000}">
      <text>
        <r>
          <rPr>
            <sz val="11"/>
            <color theme="1"/>
            <rFont val="Aptos Narrow"/>
            <scheme val="minor"/>
          </rPr>
          <t>======
ID#AAAB8DFxHqY
lisandro.raffioni    (2025-11-25 12:02:44)
Piloto</t>
        </r>
      </text>
    </comment>
    <comment ref="D17" authorId="0" shapeId="0" xr:uid="{00000000-0006-0000-1600-000009000000}">
      <text>
        <r>
          <rPr>
            <sz val="11"/>
            <color theme="1"/>
            <rFont val="Aptos Narrow"/>
            <scheme val="minor"/>
          </rPr>
          <t>======
ID#AAAB8DFxHoY
lisandro.raffioni    (2025-11-25 12:02:44)
Piloto</t>
        </r>
      </text>
    </comment>
    <comment ref="E17" authorId="0" shapeId="0" xr:uid="{00000000-0006-0000-1600-00000A000000}">
      <text>
        <r>
          <rPr>
            <sz val="11"/>
            <color theme="1"/>
            <rFont val="Aptos Narrow"/>
            <scheme val="minor"/>
          </rPr>
          <t>======
ID#AAAB8DFxHmY
lisandro.raffioni    (2025-11-25 12:02:44)
Piloto</t>
        </r>
      </text>
    </comment>
    <comment ref="F17" authorId="0" shapeId="0" xr:uid="{00000000-0006-0000-1600-00000B000000}">
      <text>
        <r>
          <rPr>
            <sz val="11"/>
            <color theme="1"/>
            <rFont val="Aptos Narrow"/>
            <scheme val="minor"/>
          </rPr>
          <t>======
ID#AAAB8DFxHmg
lisandro.raffioni    (2025-11-25 12:02:44)
Piloto</t>
        </r>
      </text>
    </comment>
    <comment ref="D18" authorId="0" shapeId="0" xr:uid="{00000000-0006-0000-1600-00000C000000}">
      <text>
        <r>
          <rPr>
            <sz val="11"/>
            <color theme="1"/>
            <rFont val="Aptos Narrow"/>
            <scheme val="minor"/>
          </rPr>
          <t>======
ID#AAAB8DFxHks
lisandro.raffioni    (2025-11-25 12:02:44)
Piloto</t>
        </r>
      </text>
    </comment>
    <comment ref="E18" authorId="0" shapeId="0" xr:uid="{00000000-0006-0000-1600-00000D000000}">
      <text>
        <r>
          <rPr>
            <sz val="11"/>
            <color theme="1"/>
            <rFont val="Aptos Narrow"/>
            <scheme val="minor"/>
          </rPr>
          <t>======
ID#AAAB8DFxHk8
lisandro.raffioni    (2025-11-25 12:02:44)
Piloto</t>
        </r>
      </text>
    </comment>
    <comment ref="F18" authorId="0" shapeId="0" xr:uid="{00000000-0006-0000-1600-00000E000000}">
      <text>
        <r>
          <rPr>
            <sz val="11"/>
            <color theme="1"/>
            <rFont val="Aptos Narrow"/>
            <scheme val="minor"/>
          </rPr>
          <t>======
ID#AAAB8DFxHpY
lisandro.raffioni    (2025-11-25 12:02:44)
Piloto</t>
        </r>
      </text>
    </comment>
    <comment ref="G20" authorId="0" shapeId="0" xr:uid="{00000000-0006-0000-1600-00000F000000}">
      <text>
        <r>
          <rPr>
            <sz val="11"/>
            <color theme="1"/>
            <rFont val="Aptos Narrow"/>
            <scheme val="minor"/>
          </rPr>
          <t>======
ID#AAAB8DFxHnI
lisandro.raffioni    (2025-11-25 12:02:44)
Piloto</t>
        </r>
      </text>
    </comment>
    <comment ref="H20" authorId="0" shapeId="0" xr:uid="{00000000-0006-0000-1600-000010000000}">
      <text>
        <r>
          <rPr>
            <sz val="11"/>
            <color theme="1"/>
            <rFont val="Aptos Narrow"/>
            <scheme val="minor"/>
          </rPr>
          <t>======
ID#AAAB8DFxHk0
lisandro.raffioni    (2025-11-25 12:02:44)
Piloto</t>
        </r>
      </text>
    </comment>
  </commentList>
</comments>
</file>

<file path=xl/sharedStrings.xml><?xml version="1.0" encoding="utf-8"?>
<sst xmlns="http://schemas.openxmlformats.org/spreadsheetml/2006/main" count="9427" uniqueCount="2260">
  <si>
    <t>REAL</t>
  </si>
  <si>
    <t>BDGT 2026</t>
  </si>
  <si>
    <t>GAP</t>
  </si>
  <si>
    <t>Acum May</t>
  </si>
  <si>
    <t>Ene-26</t>
  </si>
  <si>
    <t>Abr-26</t>
  </si>
  <si>
    <t>FY 2026</t>
  </si>
  <si>
    <t xml:space="preserve">Ingresos por Venta de Servicios           </t>
  </si>
  <si>
    <t>Clientes</t>
  </si>
  <si>
    <t>Farmacias</t>
  </si>
  <si>
    <t>Farmalink On Line Prepagas</t>
  </si>
  <si>
    <t>Farmalink On Line Apross</t>
  </si>
  <si>
    <t>Farmalink  On Line IOMA</t>
  </si>
  <si>
    <t>Farmalink Receta Electronica Prepagas</t>
  </si>
  <si>
    <t>Farmalink Receta Electronica Apross</t>
  </si>
  <si>
    <t>Farmalink Receta Electronica IOMA</t>
  </si>
  <si>
    <t>Farmalink On Line PAMI</t>
  </si>
  <si>
    <t>Farmalink On Line PAMI Imposiciones</t>
  </si>
  <si>
    <t>Farmalink Presentaciones Digitales</t>
  </si>
  <si>
    <t>Provincia A.R.T. S.A.</t>
  </si>
  <si>
    <t>Laboratorios</t>
  </si>
  <si>
    <t>Astrazeneca S.A.</t>
  </si>
  <si>
    <t>Avanter S.R.L</t>
  </si>
  <si>
    <t>viejos labos</t>
  </si>
  <si>
    <t>nuevos labos</t>
  </si>
  <si>
    <t>Bayer Argentina S.A.</t>
  </si>
  <si>
    <t>Ceoderma S.A.</t>
  </si>
  <si>
    <t>Iqvia Solutions Argentina</t>
  </si>
  <si>
    <t>Max Vision</t>
  </si>
  <si>
    <t>Panalab Argentina  S.A.</t>
  </si>
  <si>
    <t>Manual</t>
  </si>
  <si>
    <t>Digital</t>
  </si>
  <si>
    <t>Sidus Dermocosmética S.A</t>
  </si>
  <si>
    <t>Sidus S.A.</t>
  </si>
  <si>
    <t>Unyc S.A.</t>
  </si>
  <si>
    <t>HEALTHCARE MARKETING GROUP S</t>
  </si>
  <si>
    <t>Colgate palmolive</t>
  </si>
  <si>
    <t>Nuevos labos - LAZAR</t>
  </si>
  <si>
    <t>Medicina</t>
  </si>
  <si>
    <t>Obra Social de la Act. de Seguro</t>
  </si>
  <si>
    <t>Subtotal Ingresos</t>
  </si>
  <si>
    <t>IIBB</t>
  </si>
  <si>
    <t>Total Ingresos Netos</t>
  </si>
  <si>
    <t>incremento de la facturación vs la esperada en Bdgt</t>
  </si>
  <si>
    <t>Categoría P&amp;L</t>
  </si>
  <si>
    <t>Egresos</t>
  </si>
  <si>
    <t>Proveedores</t>
  </si>
  <si>
    <t>Rubro</t>
  </si>
  <si>
    <t>Descripción</t>
  </si>
  <si>
    <t>Desarrollo</t>
  </si>
  <si>
    <t>Acriter</t>
  </si>
  <si>
    <t>Manten. Licencias Abi</t>
  </si>
  <si>
    <t>Cost of sales</t>
  </si>
  <si>
    <t>Desarrollo .Net (80 Horas)</t>
  </si>
  <si>
    <t>Professional Fees</t>
  </si>
  <si>
    <t>Reserv (Fijo)</t>
  </si>
  <si>
    <t>Programador .NET (170 Hs)</t>
  </si>
  <si>
    <t>Programador JAVA  (170 Hs)</t>
  </si>
  <si>
    <t>Q&amp;A (40 Hs)</t>
  </si>
  <si>
    <t>Analista Líder (20 Hs)</t>
  </si>
  <si>
    <t>Reserv (Variable)</t>
  </si>
  <si>
    <t>Variable pool hs (60)</t>
  </si>
  <si>
    <t>2 Lic ABI PAMI (amort mensual)</t>
  </si>
  <si>
    <t>Depreciation</t>
  </si>
  <si>
    <t>Cloud</t>
  </si>
  <si>
    <t>Servicios Plataforma</t>
  </si>
  <si>
    <t>Alfabeta</t>
  </si>
  <si>
    <t>Manual Farmaceutico</t>
  </si>
  <si>
    <t>Atentus</t>
  </si>
  <si>
    <t>Servicio de Monitoreo Web</t>
  </si>
  <si>
    <t>BGH Partner (Aeros)</t>
  </si>
  <si>
    <t>Susc Lic Google Mens</t>
  </si>
  <si>
    <t>LP&amp;A (IBM)</t>
  </si>
  <si>
    <t>Asessment s/BD Informix (40Hs)</t>
  </si>
  <si>
    <t>LP&amp;A (Licenc. Informix)</t>
  </si>
  <si>
    <t>Soporte y Mant de las Licencias Informix Anual (12 M)</t>
  </si>
  <si>
    <t>Intertron</t>
  </si>
  <si>
    <t>Suscripción 2 Lic Visio + 28 Lic microsoft 365 + 1 Power BI</t>
  </si>
  <si>
    <t>Nexsys</t>
  </si>
  <si>
    <t>Producto CDC (data replication)</t>
  </si>
  <si>
    <t>Claude (Anthropic)</t>
  </si>
  <si>
    <t>Suscripción Mensual</t>
  </si>
  <si>
    <t>SIGEDAD (Lanmed)</t>
  </si>
  <si>
    <t>Servicio de captura transaccional</t>
  </si>
  <si>
    <t>a definir</t>
  </si>
  <si>
    <t>Desarrollo de Agentes</t>
  </si>
  <si>
    <t>ADOBE</t>
  </si>
  <si>
    <t>Licencia</t>
  </si>
  <si>
    <t>Servidores</t>
  </si>
  <si>
    <t>Servidores Lenovo</t>
  </si>
  <si>
    <t>Amortización (5 años)</t>
  </si>
  <si>
    <t>Servicios Plataforma Clouhesive</t>
  </si>
  <si>
    <t>Clouheside (DRS)</t>
  </si>
  <si>
    <t>Servicios Plataforma Clou</t>
  </si>
  <si>
    <t>Implementación 3er sitio</t>
  </si>
  <si>
    <t>Soporte Operativo</t>
  </si>
  <si>
    <t>Bapro</t>
  </si>
  <si>
    <t>Call Center (Operadores)</t>
  </si>
  <si>
    <t>IT FACTORY S.R.L</t>
  </si>
  <si>
    <t>Susc Anual Asist Remota Team Viewer</t>
  </si>
  <si>
    <t>Logisis</t>
  </si>
  <si>
    <t>CRM Contact Center (15 Licencias)</t>
  </si>
  <si>
    <t>Call Center Presentac Digitales</t>
  </si>
  <si>
    <t>Proyectos</t>
  </si>
  <si>
    <t>Avanter</t>
  </si>
  <si>
    <t>Astra-Sidus-Panalab-Biu</t>
  </si>
  <si>
    <t>Servicio CRM</t>
  </si>
  <si>
    <t>Indicom</t>
  </si>
  <si>
    <t>Astrazenaca</t>
  </si>
  <si>
    <t>Call Center</t>
  </si>
  <si>
    <t>Swhouse y Farmacias</t>
  </si>
  <si>
    <t>Iqvia</t>
  </si>
  <si>
    <t>Serv de capt y envio de Trx</t>
  </si>
  <si>
    <t>Serdata</t>
  </si>
  <si>
    <t>Panalab</t>
  </si>
  <si>
    <t>Proc de Bonos Manuales</t>
  </si>
  <si>
    <t>Ageri</t>
  </si>
  <si>
    <t>Desarrollo Token</t>
  </si>
  <si>
    <t>BZ</t>
  </si>
  <si>
    <t>Bizland TSA Original</t>
  </si>
  <si>
    <t>Manten y Soporte Plataforma</t>
  </si>
  <si>
    <t>Bizland TSA Deveng 2025</t>
  </si>
  <si>
    <t>Deveng One Shots 2025</t>
  </si>
  <si>
    <t>Bizland TSA Deveng 2026</t>
  </si>
  <si>
    <t>Deveng One Shots 2026</t>
  </si>
  <si>
    <t>Admin, Legales y Otros</t>
  </si>
  <si>
    <t>La Meridional Seguros</t>
  </si>
  <si>
    <t>Legales</t>
  </si>
  <si>
    <t>Seguro Directores y Apoderados</t>
  </si>
  <si>
    <t xml:space="preserve">Estudio Contable </t>
  </si>
  <si>
    <t>Administrativos</t>
  </si>
  <si>
    <t>Servicios Profesionales</t>
  </si>
  <si>
    <t>Estudio Legal</t>
  </si>
  <si>
    <t>Colppy</t>
  </si>
  <si>
    <t>Sistema de Gestión Contable</t>
  </si>
  <si>
    <t>Escribania Barcia/Arronda</t>
  </si>
  <si>
    <t>Copiado libros contables</t>
  </si>
  <si>
    <t>DocuSign</t>
  </si>
  <si>
    <t>Suscripción firma digital</t>
  </si>
  <si>
    <t>LSD</t>
  </si>
  <si>
    <t>Libros Sueldos Digital</t>
  </si>
  <si>
    <t>Other taxes</t>
  </si>
  <si>
    <t>Fragulia Cristina</t>
  </si>
  <si>
    <t>Tramite Habilitación Municipalidad Vte Lopez</t>
  </si>
  <si>
    <t>Envio Veloz</t>
  </si>
  <si>
    <t>Servicio de Moto</t>
  </si>
  <si>
    <t>NIC ARGENTINA</t>
  </si>
  <si>
    <t>Renovación de dominio</t>
  </si>
  <si>
    <t>Personal</t>
  </si>
  <si>
    <t>Sueldos Brutos y Cs Sociales</t>
  </si>
  <si>
    <t>5411-5412</t>
  </si>
  <si>
    <t>Sueldos (nomina actual Oct25)</t>
  </si>
  <si>
    <t>Salaries&amp;Social Security</t>
  </si>
  <si>
    <t>SAC (incl Cs Soc)</t>
  </si>
  <si>
    <t>Bonos  (incl sac y cs soc)</t>
  </si>
  <si>
    <t>Vacaciones (incl cs soc)</t>
  </si>
  <si>
    <t>Swiss Medical</t>
  </si>
  <si>
    <t>Osde</t>
  </si>
  <si>
    <t>Sueldos Brut y Cs Soc Nuevos</t>
  </si>
  <si>
    <t>Nuevos Recursos + 3</t>
  </si>
  <si>
    <t>BarrereJuliana - Natalia (RRHH)</t>
  </si>
  <si>
    <t xml:space="preserve">Honorarios administrativos    </t>
  </si>
  <si>
    <t>Edenred (Ticket Car)</t>
  </si>
  <si>
    <t>Ticket Car</t>
  </si>
  <si>
    <t>Visma Argentina (Tu recibo)</t>
  </si>
  <si>
    <t>ARAKIM- MENDEL</t>
  </si>
  <si>
    <t>Gs Administrativos Mantenimiento TC</t>
  </si>
  <si>
    <t>Rendiciones de Gs Personal</t>
  </si>
  <si>
    <t>Rendiciones de Gs Personal y patentes</t>
  </si>
  <si>
    <t>Gastos de Representación (TC)</t>
  </si>
  <si>
    <t>Almuerzos,  Varios</t>
  </si>
  <si>
    <t>Megah SRL</t>
  </si>
  <si>
    <t>Preocupacional</t>
  </si>
  <si>
    <t>JARIF S.A.</t>
  </si>
  <si>
    <t>Recruiting</t>
  </si>
  <si>
    <t>Zurich (Marsh)</t>
  </si>
  <si>
    <t>Seguro Automoviles (GM-DB)</t>
  </si>
  <si>
    <t>Santiago Latorre</t>
  </si>
  <si>
    <t>Honorarios</t>
  </si>
  <si>
    <t>Ezequiel Padilla</t>
  </si>
  <si>
    <t>Personal Extraordinario</t>
  </si>
  <si>
    <t>Indemnización</t>
  </si>
  <si>
    <t>Oficina</t>
  </si>
  <si>
    <t>Grupo Doble MF</t>
  </si>
  <si>
    <t>Alquiler  Oficina</t>
  </si>
  <si>
    <t>Office&amp;office related</t>
  </si>
  <si>
    <t>Madison</t>
  </si>
  <si>
    <t>Expensas Oficina</t>
  </si>
  <si>
    <t>ABL/ARBA</t>
  </si>
  <si>
    <t>Municipalidad</t>
  </si>
  <si>
    <t>Edenor</t>
  </si>
  <si>
    <t>Servicio de Luz</t>
  </si>
  <si>
    <t>Metrotel (CPS Comunic)</t>
  </si>
  <si>
    <t>Internet Oficina (1)</t>
  </si>
  <si>
    <t>Federación Patronal</t>
  </si>
  <si>
    <t>Seguro Incendio Edif</t>
  </si>
  <si>
    <t>Claro (AMX ARG S.A.)</t>
  </si>
  <si>
    <t>Internet Oficina (2)</t>
  </si>
  <si>
    <t>Argontech</t>
  </si>
  <si>
    <t>Alquiler impresora</t>
  </si>
  <si>
    <t>Insumos Varios</t>
  </si>
  <si>
    <t xml:space="preserve">Insumos Oficina </t>
  </si>
  <si>
    <t>ZHUO</t>
  </si>
  <si>
    <t>Servicio Dispenser Mensual</t>
  </si>
  <si>
    <t>Oportutek/Damarfu/La Solida</t>
  </si>
  <si>
    <t>Notebooks</t>
  </si>
  <si>
    <t>Proveedor celulares</t>
  </si>
  <si>
    <t>Celulares</t>
  </si>
  <si>
    <t>Seccuracy</t>
  </si>
  <si>
    <t>cursos seguridad de la información para el personal</t>
  </si>
  <si>
    <t xml:space="preserve">Proveedor notebooks y monitores </t>
  </si>
  <si>
    <t>Notebooks y Monitores</t>
  </si>
  <si>
    <t>Fiesta Fin de AÑO + Regalos</t>
  </si>
  <si>
    <t>Encuentros del personal</t>
  </si>
  <si>
    <t>arreglos y mejoras oficina</t>
  </si>
  <si>
    <t>AA Mantenimiento</t>
  </si>
  <si>
    <t>Arreglo AA (Sotille)</t>
  </si>
  <si>
    <t>Garantor</t>
  </si>
  <si>
    <t xml:space="preserve">Devengamiento Mensual </t>
  </si>
  <si>
    <t>ORG.ACUARIO</t>
  </si>
  <si>
    <t>Matafuegos y Cartelería (requisito para habilitación)</t>
  </si>
  <si>
    <t>Heuer</t>
  </si>
  <si>
    <t>5418</t>
  </si>
  <si>
    <t>Electricista</t>
  </si>
  <si>
    <t>Valenzuela Emilia</t>
  </si>
  <si>
    <t>Limpieza Oficina</t>
  </si>
  <si>
    <t>Gastos de Organización</t>
  </si>
  <si>
    <t>Impuesto al débito y al crédito</t>
  </si>
  <si>
    <t xml:space="preserve">Otros Gastos </t>
  </si>
  <si>
    <t>Comercialización</t>
  </si>
  <si>
    <t>Cloud Hesive</t>
  </si>
  <si>
    <t>Uso de la plataforma (Amazon)</t>
  </si>
  <si>
    <t>Verificación de integridad</t>
  </si>
  <si>
    <t>Netactis</t>
  </si>
  <si>
    <t>Soporte Técnico Notebooks</t>
  </si>
  <si>
    <t>Antivirus Notebooks</t>
  </si>
  <si>
    <t>Agencia Digital</t>
  </si>
  <si>
    <t>Abono Mensual</t>
  </si>
  <si>
    <t>Management</t>
  </si>
  <si>
    <t>15.000USD</t>
  </si>
  <si>
    <t>Riesgo Técnico</t>
  </si>
  <si>
    <t>no se generó provisión</t>
  </si>
  <si>
    <t>Total Egresos Operativos</t>
  </si>
  <si>
    <t>reducción del gasto vs el esperado en Bdgt</t>
  </si>
  <si>
    <t>% crecim.</t>
  </si>
  <si>
    <t>Resultado</t>
  </si>
  <si>
    <t>crecimiento del resultado vs el esperado en Bdgt</t>
  </si>
  <si>
    <t>%</t>
  </si>
  <si>
    <t>Gastos Bancarios</t>
  </si>
  <si>
    <t>other income</t>
  </si>
  <si>
    <t>Exchange rate differences</t>
  </si>
  <si>
    <t>Financing activities</t>
  </si>
  <si>
    <t>5122-5123-5125</t>
  </si>
  <si>
    <t>Interest</t>
  </si>
  <si>
    <t>5126-5711</t>
  </si>
  <si>
    <t>Other Taxes</t>
  </si>
  <si>
    <t>Income Tax</t>
  </si>
  <si>
    <t>Total de Otros Egresos</t>
  </si>
  <si>
    <t>Total de Egresos</t>
  </si>
  <si>
    <t>Ventas sin Pami, Imposic ni Present Digitales neto IIBB</t>
  </si>
  <si>
    <t>sept</t>
  </si>
  <si>
    <t>oct</t>
  </si>
  <si>
    <t>nov</t>
  </si>
  <si>
    <t>dic</t>
  </si>
  <si>
    <t>Costos sin Frontier ni Osana, sin Riesgo Técnico ni depreciaciones</t>
  </si>
  <si>
    <t>IPC</t>
  </si>
  <si>
    <t>Acumulada</t>
  </si>
  <si>
    <t>Trimestral</t>
  </si>
  <si>
    <t>Convenio Comercio</t>
  </si>
  <si>
    <t>Dólar Mep</t>
  </si>
  <si>
    <t>Dólar Oficinal (BNA)</t>
  </si>
  <si>
    <t>Ventas sin Pami (netas IIBB)</t>
  </si>
  <si>
    <t>VARIABLES (definidas por IA en Dic25</t>
  </si>
  <si>
    <t>Costos sin Frontier</t>
  </si>
  <si>
    <t>IPC mensual</t>
  </si>
  <si>
    <t>Margen Operativo</t>
  </si>
  <si>
    <t>actualizac Dolar</t>
  </si>
  <si>
    <t>Depreciaciones</t>
  </si>
  <si>
    <t>dolar BNA Enero 2026</t>
  </si>
  <si>
    <t>Otros egresos</t>
  </si>
  <si>
    <t>Dolar Mep Enero 2026</t>
  </si>
  <si>
    <t>2,5% arriba del BNA</t>
  </si>
  <si>
    <t>Margen Neto</t>
  </si>
  <si>
    <t>se suman al costo que nos factura Frontier (por definición de IA)</t>
  </si>
  <si>
    <t>continua</t>
  </si>
  <si>
    <t>a revisar con Ignacio</t>
  </si>
  <si>
    <t>nuevo a definir por IA</t>
  </si>
  <si>
    <t>CALCULO IMPUESTO AL DEBITO Y CRÉDITO BANCARIO</t>
  </si>
  <si>
    <t>Ingresos</t>
  </si>
  <si>
    <t>Subtotal</t>
  </si>
  <si>
    <t xml:space="preserve"> (para cálculo Imp Deb y Cred Banc) TOTAL</t>
  </si>
  <si>
    <t>COSTO (66%)</t>
  </si>
  <si>
    <t>El 33% se puede tomar como pago a cuenta de Anticipo de Gcias</t>
  </si>
  <si>
    <t>SE CAE EL 30/04/2026 EL CERT MIPYME</t>
  </si>
  <si>
    <t>inflación interanual estimada</t>
  </si>
  <si>
    <t>inflación interanual pres. Estado Nacional</t>
  </si>
  <si>
    <t>TRAZABILIDAD — GOLD ECONÓMICO 2026 (Ene-Abr)</t>
  </si>
  <si>
    <t>Ingresá la fila y el mes para filtrar los movimientos del Mayor</t>
  </si>
  <si>
    <t>Fila Gold →</t>
  </si>
  <si>
    <t>Mes →</t>
  </si>
  <si>
    <t>Abr</t>
  </si>
  <si>
    <t>Concepto:</t>
  </si>
  <si>
    <t>Valor Gold:</t>
  </si>
  <si>
    <t>Mes</t>
  </si>
  <si>
    <t>Concepto Gold</t>
  </si>
  <si>
    <t>Cód</t>
  </si>
  <si>
    <t>Detalle</t>
  </si>
  <si>
    <t>Débito</t>
  </si>
  <si>
    <t>Crédito</t>
  </si>
  <si>
    <t>Neto Mayor</t>
  </si>
  <si>
    <t>Valor Gold</t>
  </si>
  <si>
    <t>Diferencia</t>
  </si>
  <si>
    <t>Ene</t>
  </si>
  <si>
    <t>5111</t>
  </si>
  <si>
    <t>Farmalink S.A.</t>
  </si>
  <si>
    <t>Servicio Basico Online PREPAGAS - Noviembre 2025</t>
  </si>
  <si>
    <t>Disolución Previsión  dic25  FLK Prepagas On Line</t>
  </si>
  <si>
    <t>Disolución Previsión  nov25  FLK Prepagas On Line</t>
  </si>
  <si>
    <t>Constitución Previsión  dic25  FLK Prepagas On Line</t>
  </si>
  <si>
    <t>Constitución Previsión  ene26  FLK Prepagas On Line</t>
  </si>
  <si>
    <t>TOTAL</t>
  </si>
  <si>
    <t>Neto Mayor vs Valor Gold</t>
  </si>
  <si>
    <t>Servicio Basico Online APROSS - Noviembre 2025</t>
  </si>
  <si>
    <t>Disolución Previsión  nov25  FLK Apross On Line</t>
  </si>
  <si>
    <t>Disolución Previsión  dic25  FLK Apross On Line</t>
  </si>
  <si>
    <t>Constitución Previsión  dic25  FLK Apross On Line</t>
  </si>
  <si>
    <t>Constitución Previsión  ene26  FLK Apross On Line</t>
  </si>
  <si>
    <t>Servicio Basico Online IOMA - Noviembre 2025</t>
  </si>
  <si>
    <t>Disolución Previsión  nov25  FLK IOMA On Line</t>
  </si>
  <si>
    <t>Disolución Previsión  dic25  FLK IOMA On Line</t>
  </si>
  <si>
    <t>Constitución Previsión  dic25  FLK IOMA On Line</t>
  </si>
  <si>
    <t>Constitución Previsión  ene26  FLK IOMA On Line</t>
  </si>
  <si>
    <t>Servicio Basico Online - RECETA ELECTRONICA - PREPAGAS - Noviembre 2025</t>
  </si>
  <si>
    <t>Disolución Previsión  dic25  FLK Prepagas Receta Electronica On Line</t>
  </si>
  <si>
    <t>Disolución Previsión  nov25  FLK Prepagas Receta Electronica On Line</t>
  </si>
  <si>
    <t>Constitución Previsión  dic25  FLK Prepagas Receta Electronica On Line</t>
  </si>
  <si>
    <t>Constitución Previsión  ene26  FLK Prepagas Receta Electronica On Line</t>
  </si>
  <si>
    <t>Servicio Basico Online - RECETA ELECTRONICA - APROSS - Noviembre 2025</t>
  </si>
  <si>
    <t>Disolución Previsión  nov25  FLK Apross  Receta Electronica On Line</t>
  </si>
  <si>
    <t>Disolución Previsión  dic25  FLK Apross  Receta Electronica On Line</t>
  </si>
  <si>
    <t>Constitución Previsión  dic25  FLK Apross  Receta Electronica On Line</t>
  </si>
  <si>
    <t>Constitución Previsión  ene26  FLK Apross  Receta Electronica On Line</t>
  </si>
  <si>
    <t>Servicio Basico Online - RECETA ELECTRONICA - IOMA - Noviembre 2025</t>
  </si>
  <si>
    <t>Disolución Previsión  nov25  FLK IOMA  Receta Electronica On Line</t>
  </si>
  <si>
    <t>Disolución Previsión  dic25  FLK IOMA  Receta Electronica On Line</t>
  </si>
  <si>
    <t>Constitución Previsión  dic25  FLK IOMA  Receta Electronica On Line</t>
  </si>
  <si>
    <t>Constitución Previsión  ene26  FLK IOMA  Receta Electronica On Line</t>
  </si>
  <si>
    <t>Servicio Básico On Line - PAMI - Noviembre 2025</t>
  </si>
  <si>
    <t>Disolución Previsión  dic25  FLK PAMI On Line</t>
  </si>
  <si>
    <t>Disolución Previsión  nov25  FLK PAMI On Line</t>
  </si>
  <si>
    <t>Constitución Previsión  dic25  FLK PAMI On Line</t>
  </si>
  <si>
    <t>Constitución Previsión  ene26  FLK PAMI On Line</t>
  </si>
  <si>
    <t>Servicio Básico On Line - PAMI Imposiciones  - Noviembre 2025</t>
  </si>
  <si>
    <t>Disolución Previsión  nov25  FLK PAMI Imposiciones On Line</t>
  </si>
  <si>
    <t>Disolución Previsión  dic25  FLK PAMI Imposiciones On Line</t>
  </si>
  <si>
    <t>Constitución Previsión  dic25  FLK PAMI Imposiciones On Line</t>
  </si>
  <si>
    <t>Constitución Previsión  ene26  FLK PAMI Imposiciones On Line</t>
  </si>
  <si>
    <t>Servicio de Validación en Linea - Diciembre 2025  OC 22420</t>
  </si>
  <si>
    <t>Disolución Previsión  dic25  Pcia ART</t>
  </si>
  <si>
    <t>Constitución Previsión  ene26  Pcia ART</t>
  </si>
  <si>
    <t>Programa Elegir Salud - Diciembre 2025 OC 4550042040  PRID  KQCV952</t>
  </si>
  <si>
    <t>Disolución Previsión  dic25  Astrazeneca</t>
  </si>
  <si>
    <t>Constitución Previsión  ene26  Astrazeneca</t>
  </si>
  <si>
    <t>Servicio Transaccional Bonos Diciembre 2025</t>
  </si>
  <si>
    <t>Servicio Transaccional Dinámicas Diciembre 2025</t>
  </si>
  <si>
    <t>Serv Progr de Pacientes Diciembre 2025</t>
  </si>
  <si>
    <t>Disolución Previsión  dic25  Avanter</t>
  </si>
  <si>
    <t>Constitución Previsión  ene26  Avanter</t>
  </si>
  <si>
    <t>Programa Mas Simple Bayer - Diciembre 2025 - Pedido 750536559</t>
  </si>
  <si>
    <t>Disolución Previsión  dic25 Bayer Argentina S.A.</t>
  </si>
  <si>
    <t>Constitución Previsión  ene26 Bayer Argentina S.A.</t>
  </si>
  <si>
    <t>Servicio trx de acciones comerciales en farmacias Diciembre 2025</t>
  </si>
  <si>
    <t>Disolución Previsión  dic25  Ceoderma S.A. (Dermacare S.A)</t>
  </si>
  <si>
    <t>Constitución Previsión  ene26  Ceoderma S.A. (Dermacare S.A)</t>
  </si>
  <si>
    <t>Max Vision SRL</t>
  </si>
  <si>
    <t>Servicio de Validación en linea de Bonos - Diciembre 2025</t>
  </si>
  <si>
    <t>Disolución Previsión  dic25  Max Vision SRL</t>
  </si>
  <si>
    <t>Constitución Previsión  ene26  Max Vision SRL</t>
  </si>
  <si>
    <t>Serv de Proc de Bonos de Descuento Manual - Diciembre 2025 OC  18719</t>
  </si>
  <si>
    <t>Serv de Generac y Autoriz de Dispensa de Bonos Digitales - Diciembre 2025 OC 18719</t>
  </si>
  <si>
    <t>Disolución Previsión  dic25  Panalab</t>
  </si>
  <si>
    <t>Constitución Previsión  ene26  Panalab</t>
  </si>
  <si>
    <t>Servicio de Validación de TRX - Diciembre 2025 OC 34193</t>
  </si>
  <si>
    <t>Disolución Previsión dic25  Sidus Dermocosmetica</t>
  </si>
  <si>
    <t>Constitución Previsión ene26  Sidus Dermocosmetica</t>
  </si>
  <si>
    <t>Servicio de Validación en linea de Bonos Programa Convida Diciembre 2025</t>
  </si>
  <si>
    <t>Disolución Previsión  dic25  Sidus S.A.</t>
  </si>
  <si>
    <t>Constitución Previsión  ene26  Sidus S.A.</t>
  </si>
  <si>
    <t>Unyc S. A.</t>
  </si>
  <si>
    <t>Biu Cosmeceuticals Bonos - Diciembre 2025</t>
  </si>
  <si>
    <t>Disolución Previsión  dic25  Unyc S. A.</t>
  </si>
  <si>
    <t>Constitución Previsión  ene26  Unyc S. A.</t>
  </si>
  <si>
    <t>Validación On Line Bonos Digitales - Diciembre 2025</t>
  </si>
  <si>
    <t>Disolución Previsión dic25  Healthcare Marketing Group S.A.</t>
  </si>
  <si>
    <t>Constitución Previsión ene26  Healthcare Marketing Group S.A.</t>
  </si>
  <si>
    <t>COLGATE PALMOLIVE ARGENTINA</t>
  </si>
  <si>
    <t>Servicio de Validación de TRX - Diciembre 2025 OC 8500864937</t>
  </si>
  <si>
    <t>Disolución Previsión dic25  Colgate Palmolive Argentina S.A.</t>
  </si>
  <si>
    <t>Constitución Previsión ene26  Colgate Palmolive Argentina S.A.</t>
  </si>
  <si>
    <t>Obra Social de la Actividad</t>
  </si>
  <si>
    <t>Servicio Diciembre 2025 Abono básico hasta 70.000 trs  Ref. N°: 8000263771/6</t>
  </si>
  <si>
    <t>Disolución Previsión  dic25  Obra Social de la Act. de Seguro</t>
  </si>
  <si>
    <t>Constitución Previsión  ene26  Obra Social de la Act. de Seguro</t>
  </si>
  <si>
    <t>5612</t>
  </si>
  <si>
    <t>Prov. IIBB 2026-01</t>
  </si>
  <si>
    <t>5215</t>
  </si>
  <si>
    <t>ACRITER S.A.</t>
  </si>
  <si>
    <t>Licencias ABI 01 2026</t>
  </si>
  <si>
    <t>AJUSTE DIF CAMBIO T DTO - FC 1030</t>
  </si>
  <si>
    <t>5214</t>
  </si>
  <si>
    <t>Mant Aplicaciones 01 2026</t>
  </si>
  <si>
    <t>PAGO EN TERMINO FC 1031</t>
  </si>
  <si>
    <t>REVERSION PROV.FACT.NO REC AL 31-12-25 - RESERV</t>
  </si>
  <si>
    <t>RESERV S R L</t>
  </si>
  <si>
    <t>DIFERENCIA DE PAGO 06-01-2026</t>
  </si>
  <si>
    <t>Horas adicionales periodo diciembre 2025</t>
  </si>
  <si>
    <t>Abono mensual periodo diciembre 2025</t>
  </si>
  <si>
    <t>PROV.FACT.NO RECIB.AL 31-01-26 - RESERV</t>
  </si>
  <si>
    <t>5514</t>
  </si>
  <si>
    <t>LIC.ABI CUOTA 1 - DEV.AMORTIZ.ENE26</t>
  </si>
  <si>
    <t>LIC.ABI CUOTA 2 - DEV.AMORTIZ.ENE26</t>
  </si>
  <si>
    <t>LIC.ABI CUOTA 3 - DEV.AMORTIZ.ENE26</t>
  </si>
  <si>
    <t>5213</t>
  </si>
  <si>
    <t>ALFA BETA SISTEMAS S A</t>
  </si>
  <si>
    <t>MANUAL FARMACEUTICO - ENE26</t>
  </si>
  <si>
    <t>5218</t>
  </si>
  <si>
    <t>TRX IQVIA - NOV25</t>
  </si>
  <si>
    <t>TRX IQVIA - DIC 25</t>
  </si>
  <si>
    <t>ATENTUS ARGENTINA S.A</t>
  </si>
  <si>
    <t>SERV.MONITOREO - ENERO 2026</t>
  </si>
  <si>
    <t>REVERSION PROV.FACT.NO REC AL 31-12-25 - BGH PARTNER</t>
  </si>
  <si>
    <t>PROV.FACT.NO RECIB.AL 31-01-26 - BGH PARTNER</t>
  </si>
  <si>
    <t>REVERSION PROV.FACT.NO REC AL 31-12-25 - INTERTRON</t>
  </si>
  <si>
    <t>INTERTRON S.A.</t>
  </si>
  <si>
    <t>LIC OFFICE - ENE26 - CUOTA 2/12</t>
  </si>
  <si>
    <t>NEXSYS ARGENTINA SOCIEDAD AN</t>
  </si>
  <si>
    <t>LICENCIAS OFFICE - INTERTRON</t>
  </si>
  <si>
    <t>PROV.FACT.NO RECIB.AL 31-01-26 - INTERTRON</t>
  </si>
  <si>
    <t>Otro Pago</t>
  </si>
  <si>
    <t>ANTHROPIC - CLAUDE TEAM</t>
  </si>
  <si>
    <t>ANTHROPIC - FC 0010 - U$S 21,38 $1.494,30</t>
  </si>
  <si>
    <t>ANTHROPIC - FC 0011 - U$S 15,43 $1.494,30</t>
  </si>
  <si>
    <t>ANTHROPIC - FC 0012 - U$S 15,43 $1.494,30</t>
  </si>
  <si>
    <t>ADOBE - SUSCRIP MENSUAL</t>
  </si>
  <si>
    <t>5516</t>
  </si>
  <si>
    <t>DEVENG.ENE26-SERVIDORES LENOVO BZ CPA 06-08-25</t>
  </si>
  <si>
    <t>DEVENG ENE26-SWITCHES CATALYST BZ CPA 06-08-25</t>
  </si>
  <si>
    <t>DEVENG.ENE26-CABLES P/DC Y BAKCUP BZ CPA 06-08-25</t>
  </si>
  <si>
    <t>5212</t>
  </si>
  <si>
    <t>BAPRO MEDIOS DE PAGO S.A.</t>
  </si>
  <si>
    <t>SERVICIO CALL CENTER - ENE26</t>
  </si>
  <si>
    <t>5216</t>
  </si>
  <si>
    <t>LOGISIS IT SRL</t>
  </si>
  <si>
    <t>Servicio CRM para At Call Center IMED</t>
  </si>
  <si>
    <t>REVERSION PROV.FACT.NO REC AL 31-12-25 - AVANTER</t>
  </si>
  <si>
    <t>AVANTER SRL</t>
  </si>
  <si>
    <t>SERVICIO ASTRA - DIC25</t>
  </si>
  <si>
    <t>SERVICIO SIDUS PANALAB - DIC25</t>
  </si>
  <si>
    <t>PROV.FACT.NO RECIB.AL 31-01-26 - AVANTER</t>
  </si>
  <si>
    <t>INDICOM S.A.</t>
  </si>
  <si>
    <t>3 Puesto Call Center Con Operador, Servicio Mes De Ene-26</t>
  </si>
  <si>
    <t>REVERSION PROV.FACT.NO REC AL 31-12-25 - TRX IQVIA</t>
  </si>
  <si>
    <t>CUYO S.R.L</t>
  </si>
  <si>
    <t>Serv. Cap y Envío de trx  IQVIA</t>
  </si>
  <si>
    <t>GALBOP SRL</t>
  </si>
  <si>
    <t>BIENTEVEO SOCIEDAD DE RESPON</t>
  </si>
  <si>
    <t>GEMA DE MARCOS ANTONIO PAGLI</t>
  </si>
  <si>
    <t>SIAFWARE SRL</t>
  </si>
  <si>
    <t>MARIA JOSE PURICELLI</t>
  </si>
  <si>
    <t>V&amp;S INGENIERIA EN SISTEMAS S</t>
  </si>
  <si>
    <t>ALFANO ROBERTO NICOLAS - CEN</t>
  </si>
  <si>
    <t>PROV.FACT.NO RECIB.AL 31-01-26 - TRX IQVIA</t>
  </si>
  <si>
    <t>5219</t>
  </si>
  <si>
    <t>REVERSION PROV.FACT.NO REC AL 31-12-25 - PANALAB</t>
  </si>
  <si>
    <t>SERDATA S.A.</t>
  </si>
  <si>
    <t>FORM PANALAB</t>
  </si>
  <si>
    <t>FORM PANALAB FC 002-3001</t>
  </si>
  <si>
    <t>FORM PANALAB 2025 12</t>
  </si>
  <si>
    <t>PROV.FACT.NO RECIB.AL 31-01-26 - SERDATA</t>
  </si>
  <si>
    <t>5315</t>
  </si>
  <si>
    <t>REVERSION PROV.FACT.NO REC AL 31-12-25 - AGERI</t>
  </si>
  <si>
    <t>PROV.FACT.NO RECIB.AL 31-01-26 - AGERI</t>
  </si>
  <si>
    <t>REVERSION PROV.FACT.NO REC AL 31-12-25 - BIZLAND</t>
  </si>
  <si>
    <t>BIZLAND S.A.U.</t>
  </si>
  <si>
    <t>TSA - Servicios profesionales diciembre 25</t>
  </si>
  <si>
    <t>TSA PESOS DICIEMBRE 2025</t>
  </si>
  <si>
    <t>TSA DOLARES DICIEMBRE 2025</t>
  </si>
  <si>
    <t>FONDO DE COOPERACION TECNICA</t>
  </si>
  <si>
    <t>RENOVACION DOMINO WORLDSALUD.COM.AR</t>
  </si>
  <si>
    <t>PROV.FACT.NO RECIB.AL 31-01-26 - BIZLAND</t>
  </si>
  <si>
    <t>DEVENG.ENE26 - FORTRA LIC GOANYWHERE</t>
  </si>
  <si>
    <t>DEVENG ENE26 - RED HAT LINUX</t>
  </si>
  <si>
    <t>DEVENGAMIENTO SW - BZ-BASE 4 - ENE26</t>
  </si>
  <si>
    <t>DEVENGAMIENTO SW - BZ-TENABLE - ENE26</t>
  </si>
  <si>
    <t>DEVENGAMIENTO SW - BZ- ZMA - ENE26</t>
  </si>
  <si>
    <t>DEVENGAMIENTO BZ - JIRA BITBUCKET - ENE26</t>
  </si>
  <si>
    <t>DEVENGAMIENTO BZ - TELEXTORAGE - ENE26</t>
  </si>
  <si>
    <t>DEVENGAMIENTO BZ - FORTRA - ENE26</t>
  </si>
  <si>
    <t>DEVENGAMIENTO BZ - ZNET PRTG - ENE26</t>
  </si>
  <si>
    <t>DEVENGAMIENTO BZ - SERV NOW - ENE26</t>
  </si>
  <si>
    <t>DEVENGAMIENTO BZ - AMERICA CISCO - ENE26</t>
  </si>
  <si>
    <t>DEVENGAMIENTO BZ - MS WIND SERVER - ENE26</t>
  </si>
  <si>
    <t>DEVENGAMIENTO BZ - COMMVALT - ENE26</t>
  </si>
  <si>
    <t>5415</t>
  </si>
  <si>
    <t>VICTOR DANIEL ROMERO</t>
  </si>
  <si>
    <t>HONORARIO ENERO 2026</t>
  </si>
  <si>
    <t>REVERSION PROV.FACT.NO REC AL 31-12-25 - BARRERE JULIANA</t>
  </si>
  <si>
    <t>BARRERE MARIA JULIANA RR.HH.</t>
  </si>
  <si>
    <t>SERVICIO RR.HH - DIC 25</t>
  </si>
  <si>
    <t>5427</t>
  </si>
  <si>
    <t>JORGE ANDRES ERDOZAIN</t>
  </si>
  <si>
    <t>HONORARIOS SERVCICIOS JURÍDICOS FC 338</t>
  </si>
  <si>
    <t>MARIA CRISTINA FRAGUGLIA</t>
  </si>
  <si>
    <t>Habilitación Oficina - Inicio</t>
  </si>
  <si>
    <t>COLPPY</t>
  </si>
  <si>
    <t>Suscripcion Mensual Enero Plan Enterprise</t>
  </si>
  <si>
    <t>5411</t>
  </si>
  <si>
    <t>Asiento de sueldos 2026-01</t>
  </si>
  <si>
    <t>5412</t>
  </si>
  <si>
    <t>Provisión SAC 1er Semestre 2026 - 2026/01</t>
  </si>
  <si>
    <t>Prov. Gratificación 2026 - Dev. 2026-01</t>
  </si>
  <si>
    <t>Prov. Vacaciones 2026 - Dev. 2026-01</t>
  </si>
  <si>
    <t>5429</t>
  </si>
  <si>
    <t>SWISS MEDICAL S A</t>
  </si>
  <si>
    <t>SMA 01/2026</t>
  </si>
  <si>
    <t>DERIV.APORTES ANSES + BONIF,APORTES</t>
  </si>
  <si>
    <t>PROV.FACT.NO RECIB.AL 31-01-26 - OSDE</t>
  </si>
  <si>
    <t>5428</t>
  </si>
  <si>
    <t>HONORARIOS PROFESIONALES ENERO 2026</t>
  </si>
  <si>
    <t>5430</t>
  </si>
  <si>
    <t>EDENRED ARGENTINA S.A</t>
  </si>
  <si>
    <t>LIQUIDACION GASTOS - ENERO 2026</t>
  </si>
  <si>
    <t>5611</t>
  </si>
  <si>
    <t>retribución por gestión</t>
  </si>
  <si>
    <t>5417</t>
  </si>
  <si>
    <t>ARAKIM S. A.</t>
  </si>
  <si>
    <t>USO PLATAFORMA CMF - ENE26</t>
  </si>
  <si>
    <t>5432</t>
  </si>
  <si>
    <t>REINTEGRO DE PERSONAL MUÑOZ</t>
  </si>
  <si>
    <t>REINTEGRO DE PERSONAL BAÑARES</t>
  </si>
  <si>
    <t>5433</t>
  </si>
  <si>
    <t>REINTEGRO DE PERSONAL ESPÓSITO</t>
  </si>
  <si>
    <t>5422</t>
  </si>
  <si>
    <t>REINTEGRO COMPRA MLIBRE - FIN DE AÑO</t>
  </si>
  <si>
    <t>Gasto Ignacio TC - Nafta</t>
  </si>
  <si>
    <t>GASTOS IGNACIO TC - Almuerzo</t>
  </si>
  <si>
    <t>GASTO IGNACIO TC  - ALMUERZO</t>
  </si>
  <si>
    <t>GASTO IGNACIO TC  - CARREFOUR  COMPRA</t>
  </si>
  <si>
    <t>GASTOS ALMUERZOS IA</t>
  </si>
  <si>
    <t>5420</t>
  </si>
  <si>
    <t>DEVENGAMIENTO SEGUROS AL 31-01-36 - ZURICH 2/12</t>
  </si>
  <si>
    <t>5211</t>
  </si>
  <si>
    <t>SANTIAGO ALEJO LATORRE</t>
  </si>
  <si>
    <t>5419</t>
  </si>
  <si>
    <t>GRUPO DOBLE M F S.A.</t>
  </si>
  <si>
    <t>ALQUILER OFICINA - ENE 2026</t>
  </si>
  <si>
    <t>REVERSION PROV.FACT.NO REC AL 31-12-25 - MADISSON</t>
  </si>
  <si>
    <t>CONSORCIO PROP BME CRUZ 1810</t>
  </si>
  <si>
    <t>EXPENSAS JUAN CARLOS CRUZ 1810 12-2025</t>
  </si>
  <si>
    <t>PROV.FACT.NO RECIB.AL 31-01-26 - MADISSON</t>
  </si>
  <si>
    <t>5425</t>
  </si>
  <si>
    <t>Libro Sueldo Digital</t>
  </si>
  <si>
    <t>ABL - VICENTE LOPEZ (CH *3 Y OFICINA)</t>
  </si>
  <si>
    <t>5434</t>
  </si>
  <si>
    <t>Impuesto Sello de alquiler</t>
  </si>
  <si>
    <t>5312</t>
  </si>
  <si>
    <t>EDENOR</t>
  </si>
  <si>
    <t>LUZ OFICINA 31-12-25 AL 30-01-26</t>
  </si>
  <si>
    <t>FEDERACION PATRONAL SEGUROS</t>
  </si>
  <si>
    <t>POLIZA 1186054 ELEMENTOS DE LA OFICINA 25-01-2026 AL 25-01-2027</t>
  </si>
  <si>
    <t>DEVENG.FIANZA ALQ.OFICINA - ENERO 2026</t>
  </si>
  <si>
    <t>5314</t>
  </si>
  <si>
    <t>C.P.S.  COMUNICACIONES S.A.</t>
  </si>
  <si>
    <t>SERVICIO INTERNET - ENERO 2026</t>
  </si>
  <si>
    <t>REVERSION PROV.FACT.NO REC AL 31-12-25 - CLARO</t>
  </si>
  <si>
    <t>AMX ARGENTINA SOCIEDAD ANONI</t>
  </si>
  <si>
    <t>Servicio de Internet OF</t>
  </si>
  <si>
    <t>ARGONTECH S.R.L</t>
  </si>
  <si>
    <t>Servicio de Alquiler de impresora</t>
  </si>
  <si>
    <t>REVERSION PROV.FACT.NO REC AL 31-12-25 - COLPPY</t>
  </si>
  <si>
    <t>CORREGIR IMPUT LENOVO PAGO 16-01-2026 CERT.457</t>
  </si>
  <si>
    <t>PROV.FACT.SERV DIC25 - NO RECIBIDA</t>
  </si>
  <si>
    <t>5423</t>
  </si>
  <si>
    <t>LAVIERI HNOS</t>
  </si>
  <si>
    <t>COMPRA CAPSULAS DE CAFE</t>
  </si>
  <si>
    <t>CARREFOUR - INSUMOS OFICINA</t>
  </si>
  <si>
    <t>ZHUO TECHNOLOGIES</t>
  </si>
  <si>
    <t>Abono Mens. Dispenser agua OF</t>
  </si>
  <si>
    <t>5511</t>
  </si>
  <si>
    <t>DEVENG.ENE26-OPORTUTEK - CPA 01-25</t>
  </si>
  <si>
    <t>DEVENG ENE26-LA SOLIDA- CPA 02-25</t>
  </si>
  <si>
    <t>DEVENG ENE26-DAMARFU- CPA 02-25</t>
  </si>
  <si>
    <t>DEVENG.ENE26-QUICK SUPPLIES - CPA 04-25</t>
  </si>
  <si>
    <t>DEVENG.ENE26-LA SOLIDA- CPA 06-25</t>
  </si>
  <si>
    <t>DEVENG ENE26-LA SOLIDA- CPA 09-25</t>
  </si>
  <si>
    <t>DEVENG ENE26-LENOVO - 2 NOTEB - CPA 12-25</t>
  </si>
  <si>
    <t>5421</t>
  </si>
  <si>
    <t>LUCAS JAVIER HOJMAN</t>
  </si>
  <si>
    <t>SERVICIOS VARIOS EN OFICINA</t>
  </si>
  <si>
    <t>PARA ANULAR FC 0328</t>
  </si>
  <si>
    <t>5515</t>
  </si>
  <si>
    <t>DEVENG.ENE-26- GASTOS ORGANIZACION</t>
  </si>
  <si>
    <t>5220</t>
  </si>
  <si>
    <t>REVERSION PROV.FACT.NO REC AL 31-12-25 - FRONTIER - TECN</t>
  </si>
  <si>
    <t>FRONTIER TECHLAB</t>
  </si>
  <si>
    <t>SERVICIOS TECNOLÓGICOS DICIEMBRE</t>
  </si>
  <si>
    <t>PROV.FACT.NO RECIB.AL 31-01-26 - FRONTIER TECNO</t>
  </si>
  <si>
    <t>5221</t>
  </si>
  <si>
    <t>REVERSION PROV.FACT.NO REC AL 31-12-25 - FRONTIER - GCIA</t>
  </si>
  <si>
    <t>Servicios de Gerenciamiento</t>
  </si>
  <si>
    <t>Servicio de gerenciamiento enero 26</t>
  </si>
  <si>
    <t>BANCO CMF SOCIEDAD ANONIMA</t>
  </si>
  <si>
    <t>MANT.CTA+CERT SALDOS - BANCO - ENE26</t>
  </si>
  <si>
    <t>5121</t>
  </si>
  <si>
    <t>BGH TECH PARTNER S.A</t>
  </si>
  <si>
    <t>PAGO FC 26956</t>
  </si>
  <si>
    <t>LP ASOCIADOS S.R.L.</t>
  </si>
  <si>
    <t>PAGO FC 115</t>
  </si>
  <si>
    <t>5122</t>
  </si>
  <si>
    <t>Por resultado FCI 2026-01</t>
  </si>
  <si>
    <t>5123</t>
  </si>
  <si>
    <t>Actualización saldo cta.cte. U$S 2026-01</t>
  </si>
  <si>
    <t>5126</t>
  </si>
  <si>
    <t>Devengamiento intereses préstamos a accionistas 2026-01</t>
  </si>
  <si>
    <t>5435</t>
  </si>
  <si>
    <t>Provisión Tasa Seguridad e Higiene 2026-01</t>
  </si>
  <si>
    <t>5426</t>
  </si>
  <si>
    <t>Provisión IG 2026 - 2026-01</t>
  </si>
  <si>
    <t>Feb</t>
  </si>
  <si>
    <t>Servicio Basico Online PREPAGAS - Diciembre 2025</t>
  </si>
  <si>
    <t>Disolución Previsión  ene26  FLK Prepagas On Line</t>
  </si>
  <si>
    <t>Constitución Previsión  feb26  FLK Prepagas On Line</t>
  </si>
  <si>
    <t>Servicio Basico Online APROSS - Diciembre 2025</t>
  </si>
  <si>
    <t>Disolución Previsión  ene26  FLK Apross On Line</t>
  </si>
  <si>
    <t>Constitución Previsión  feb26  FLK Apross On Line</t>
  </si>
  <si>
    <t>Servicio Basico Online IOMA - Diciembre 2025</t>
  </si>
  <si>
    <t>Disolución Previsión  ene26  FLK IOMA On Line</t>
  </si>
  <si>
    <t>Constitución Previsión  feb26  FLK IOMA On Line</t>
  </si>
  <si>
    <t>Servicio Basico Online - RECETA ELECTRONICA - PREPAGAS - Diciembre 2025</t>
  </si>
  <si>
    <t>Disolución Previsión  ene26  FLK Prepagas Receta Electronica On Line</t>
  </si>
  <si>
    <t>Constitución Previsión  feb26  FLK Prepagas Receta Electronica On Line</t>
  </si>
  <si>
    <t>Servicio Basico Online - RECETA ELECTRONICA - APROSS - Diciembre 2025</t>
  </si>
  <si>
    <t>Disolución Previsión  ene26  FLK Apross  Receta Electronica On Line</t>
  </si>
  <si>
    <t>Constitución Previsión  feb26  FLK Apross  Receta Electronica On Line</t>
  </si>
  <si>
    <t>Servicio Basico Online - RECETA ELECTRONICA - IOMA - Diciembre 2025</t>
  </si>
  <si>
    <t>Disolución Previsión  ene26  FLK IOMA  Receta Electronica On Line</t>
  </si>
  <si>
    <t>Constitución Previsión  feb26  FLK IOMA  Receta Electronica On Line</t>
  </si>
  <si>
    <t>Servicio Básico On Line - PAMI - Diciembre 2025</t>
  </si>
  <si>
    <t>Disolución Previsión  ene26  FLK PAMI On Line</t>
  </si>
  <si>
    <t>Constitución Previsión  feb26  FLK PAMI On Line</t>
  </si>
  <si>
    <t>Servicio Básico On Line - PAMI Imposiciones  - Diciembre 2025</t>
  </si>
  <si>
    <t>Disolución Previsión  ene26  FLK PAMI Imposiciones On Line</t>
  </si>
  <si>
    <t>Constitución Previsión  feb26  FLK PAMI Imposiciones On Line</t>
  </si>
  <si>
    <t>Servicio de Validación en Linea - Enero 2026</t>
  </si>
  <si>
    <t>Disolución Previsión  ene26  Pcia ART</t>
  </si>
  <si>
    <t>Constitución Previsión  feb26  Pcia ART</t>
  </si>
  <si>
    <t>Programa Elegir Salud - Enero 2026 - OC 4550044197  PRID  KQCV952</t>
  </si>
  <si>
    <t>Disolución Previsión  ene26  Astrazeneca</t>
  </si>
  <si>
    <t>Constitución Previsión  feb26  Astrazfebca</t>
  </si>
  <si>
    <t>Servicio Transaccional - Enero 2026</t>
  </si>
  <si>
    <t>Disolución Previsión  ene26  Avanter</t>
  </si>
  <si>
    <t>Constitución Previsión  feb26  Avanter</t>
  </si>
  <si>
    <t>Programa Mas Simple Bayer - Enero 2026 - Pedido 750614669</t>
  </si>
  <si>
    <t>Disolución Previsión  ene26 Bayer Argentina S.A.</t>
  </si>
  <si>
    <t>Constitución Previsión  feb26 Bayer Argentina S.A.</t>
  </si>
  <si>
    <t>Servicio trx de acciones comerciales en farmacias  Enero 2026</t>
  </si>
  <si>
    <t>Disolución Previsión  ene26  Ceoderma S.A. (Dermacare S.A)</t>
  </si>
  <si>
    <t>Serv Transm Registros Venta Farmacias para info mercadeo Ene-Dic26 segun Carta Oferta modific N°5</t>
  </si>
  <si>
    <t>5112</t>
  </si>
  <si>
    <t>Reversión Facturación Mar26-Dic26 Iqvia Solutions Argentina</t>
  </si>
  <si>
    <t>Servicio de Validación en linea de Bonos - Enero 2026</t>
  </si>
  <si>
    <t>Disolución Previsión  ene26  Max Vision SRL</t>
  </si>
  <si>
    <t>Constitución Previsión  feb26  Max Vision SRL</t>
  </si>
  <si>
    <t>Serv de Proc de Bonos de Descuento Manual -  Enero 2026 OC 19367</t>
  </si>
  <si>
    <t>Serv de Generac y Autoriz de Dispensa de Bonos Digitales -  Enero 2026 OC 19367</t>
  </si>
  <si>
    <t>Disolución Previsión  ene26  Panalab</t>
  </si>
  <si>
    <t>Constitución Previsión  feb26  Panalab</t>
  </si>
  <si>
    <t>Disolución Previsión ene26  Sidus Dermocosmetica</t>
  </si>
  <si>
    <t>Constitución Previsión feb26  Sidus Dermocosmetica</t>
  </si>
  <si>
    <t>Servicio de Validación en linea de Bonos Programa Convida  Enero 2026</t>
  </si>
  <si>
    <t>Disolución Previsión  ene26  Sidus S.A.</t>
  </si>
  <si>
    <t>Constitución Previsión  feb26  Sidus S.A.</t>
  </si>
  <si>
    <t>Biu Cosmeceuticals Bonos -  Enero 2026</t>
  </si>
  <si>
    <t>Disolución Previsión  ene26  Unyc S. A.</t>
  </si>
  <si>
    <t>Constitución Previsión  feb26  Unyc S. A.</t>
  </si>
  <si>
    <t>Validación On Line Bonos Digitales -  Enero 2026</t>
  </si>
  <si>
    <t>Disolución Previsión ene26  Healthcare Marketing Group S.A.</t>
  </si>
  <si>
    <t>Constitución Previsión feb26  Healthcare Marketing Group S.A.</t>
  </si>
  <si>
    <t>Servicio de Validación de TRX -  Enero 2026 OC 8500880322</t>
  </si>
  <si>
    <t>Disolución Previsión ene26  Colgate Palmolive Argentina S.A.</t>
  </si>
  <si>
    <t>Constitución Previsión feb26  Colgate Palmolive Argentina S.A.</t>
  </si>
  <si>
    <t>DR LAZAR Y CIA S A QUIMICA E</t>
  </si>
  <si>
    <t>Fase 1 - Start Up - Enero 2026</t>
  </si>
  <si>
    <t>Constitución Previsión feb26  DR LAZAR Y CIA S A QUIMICA E INDUSTRIAL</t>
  </si>
  <si>
    <t>Servicio  Enero 2026 Abono básico hasta 70.000 trs  Ref. N°: 8000263771/6</t>
  </si>
  <si>
    <t>Servicio Febrero 2026 Abono básico hasta 70.000 trs  Ref. N°: 8000263771/6</t>
  </si>
  <si>
    <t>Disolución Previsión  ene26  Obra Social de la Act. de Seguro</t>
  </si>
  <si>
    <t>Constitución Previsión  feb26  Obra Social de la Act. de Seguro</t>
  </si>
  <si>
    <t>Rev. Prov. IIBB 2026-01</t>
  </si>
  <si>
    <t>DDJJ IIBB 2026-01</t>
  </si>
  <si>
    <t>Prov. IIBB 2026-02</t>
  </si>
  <si>
    <t>LIC ABI - FEB26</t>
  </si>
  <si>
    <t>PARA APLICAR FC 1033</t>
  </si>
  <si>
    <t>MANT.APLIC.NET FEB25</t>
  </si>
  <si>
    <t>PARA APLICAR FC 1034</t>
  </si>
  <si>
    <t>REVERSION PROV.FACT.NO RECIB. ENE26 - RESERV</t>
  </si>
  <si>
    <t>SERVICIO 2 RRHH - ENE26</t>
  </si>
  <si>
    <t>HORAS ADICIONALES (42) - ENE26</t>
  </si>
  <si>
    <t>CONST.PROV.COSTOS - FEB26 - RESERV</t>
  </si>
  <si>
    <t>LIC.ABI CUOTA 1 - DEV.AMORTIZ.FEB26</t>
  </si>
  <si>
    <t>LIC.ABI CUOTA 2 - DEV.AMORTIZ.FEB26</t>
  </si>
  <si>
    <t>LIC.ABI CUOTA 3 - DEV.AMORTIZ.FEB26</t>
  </si>
  <si>
    <t>MANUAL FARMACEUTICO - FEB26</t>
  </si>
  <si>
    <t>DIFERENCIA CAMBIO - PAGO FC 126</t>
  </si>
  <si>
    <t>SERV.MONITOREO REDES - FEB26</t>
  </si>
  <si>
    <t>REVERSION PROV.FACT.NO RECIB. ENE26 - BGH PARTNER</t>
  </si>
  <si>
    <t>LICENCIAS GOOGLE (33) - CUOTA 11/12</t>
  </si>
  <si>
    <t>LICENCIAS GOOGLE (34) - CUOTA 12/12</t>
  </si>
  <si>
    <t>CONST.PROV.COSTOS - FEB26 - BGH PARTNER</t>
  </si>
  <si>
    <t>REVERSION PROV.FACT.NO RECIB. ENE26 - INTERTRON</t>
  </si>
  <si>
    <t>LICENCIAS MS - FEB26</t>
  </si>
  <si>
    <t>CONST.PROV.COSTOS - FEB26 - INTERTRON</t>
  </si>
  <si>
    <t>PARA ANULAR FC 4141</t>
  </si>
  <si>
    <t>TCC - ANTHROPIC - LICENCIAS - FC 0015 - U$S 311,77</t>
  </si>
  <si>
    <t>TCC - ANTHROPIC - LICENCIAS - FC 16 - U$S 12,50</t>
  </si>
  <si>
    <t>TCC - ADOBE - CARGO MENSUAL - SUSCRIPCION</t>
  </si>
  <si>
    <t>DEVENG.FEB26-SERVIDORES LENOVO BZ CPA 06-08-25</t>
  </si>
  <si>
    <t>DEVENG FEB26-SWITCHES CATALYST BZ CPA 06-08-25</t>
  </si>
  <si>
    <t>DEVENG.FEB26-CABLES P/DC Y BAKCUP BZ CPA 06-08-25</t>
  </si>
  <si>
    <t>SERVICIO CC FARMACIAS - FEB26</t>
  </si>
  <si>
    <t>SERV.CRM CALL CENTER - FEB26</t>
  </si>
  <si>
    <t>REVERSION PROV.FACT.NO RECIB. ENE26 - AVANTER</t>
  </si>
  <si>
    <t>SERV SIDUS-PANALAB - ENERO 2025</t>
  </si>
  <si>
    <t>SERV.ASTRA + START UP NUEVO</t>
  </si>
  <si>
    <t>CONST.PROV.COSTOS - FEB26 - AVANTER</t>
  </si>
  <si>
    <t>SERV.CALL CENTER - FEB26</t>
  </si>
  <si>
    <t>REVERSION PROV.FACT.NO RECIB. ENE26 - TRX IQVIA</t>
  </si>
  <si>
    <t>LLANEZA Y ASOCIADOS S.A</t>
  </si>
  <si>
    <t>Serv. Cap y Envío de trx  IQVIA  NOV - DIC 25</t>
  </si>
  <si>
    <t>MONSERRAT ZULMA BEATRIZ</t>
  </si>
  <si>
    <t>TRX IQVIA - OCT-NOV-DIC 2025</t>
  </si>
  <si>
    <t>PLAZZA SILVIA RENE</t>
  </si>
  <si>
    <t>TRX IQVIA - JUL-DIC 2025</t>
  </si>
  <si>
    <t>NUEVA VILLA S. R. L.</t>
  </si>
  <si>
    <t>TEX IQVIA - NOV-DIC 2025</t>
  </si>
  <si>
    <t>FERNANDO ADRIAN SARTI</t>
  </si>
  <si>
    <t>TRX IQVIA - NOV-DIC 2025</t>
  </si>
  <si>
    <t>HIGH SOFT SIFACO S.R.L.</t>
  </si>
  <si>
    <t>CONST.PROV.COSTOS - TRX IQVIA 2025</t>
  </si>
  <si>
    <t>CONST.PROV.COSTOS - TRX IQVIA 2026</t>
  </si>
  <si>
    <t>REVERSION PROV.FACT.NO RECIB. ENE26 - SERDATA</t>
  </si>
  <si>
    <t>FORM.PANALAB ENE-26 57.740 A $59,27</t>
  </si>
  <si>
    <t>CONST.PROV.COSTOS - FEB26 - SERDATA</t>
  </si>
  <si>
    <t>REVERSION PROV.FACT.NO RECIB. ENE26 - AGERI</t>
  </si>
  <si>
    <t>CONST.PROV.COSTOS - FEB26 - AGERI</t>
  </si>
  <si>
    <t>REVERSION PROV.FACT.NO RECIB. ENE26 - BIZLAND</t>
  </si>
  <si>
    <t>TSA - SERV PROF - $ - A1 - ENE26</t>
  </si>
  <si>
    <t>TSA - SERV ADIC $ - A2 - ENE26</t>
  </si>
  <si>
    <t>TSA - SERV ADIC U$S - A3 - ENE26</t>
  </si>
  <si>
    <t>DOMINIO IMEDLABORATORIOS.COM.AR</t>
  </si>
  <si>
    <t>CONST.PROV.COSTOS - FEB26 - BIZLAND</t>
  </si>
  <si>
    <t>DEVENG.FEB26 - FORTRA LIC GOANYWHERE (P2025)</t>
  </si>
  <si>
    <t>DEVENG FEB26 - RED HAT LINUX (P2025)</t>
  </si>
  <si>
    <t>DEVENGAMIENTO SW - BZ-BASE 4 - FEB26 (P2025)</t>
  </si>
  <si>
    <t>DEVENGAMIENTO SW - BZ-TENABLE - FEB26 (P2025)</t>
  </si>
  <si>
    <t>DEVENGAMIENTO SW - BZ- ZMA - FEB26 (P2025)</t>
  </si>
  <si>
    <t>DEVENGAMIENTO BZ - JIRA BITBUCKET - FEB26 (P2025)</t>
  </si>
  <si>
    <t>DEVENGAMIENTO BZ - TELEXTORAGE - FEB26 (P2025)</t>
  </si>
  <si>
    <t>DEVENGAMIENTO BZ - FORTRA - FEB26 (P2025)</t>
  </si>
  <si>
    <t>DEVENGAMIENTO BZ - ZNET PRTG -FEB26 (P2025)</t>
  </si>
  <si>
    <t>DEVENGAMIENTO BZ - SERV NOW - FEB26 (P2025)</t>
  </si>
  <si>
    <t>DEVENGAMIENTO BZ - AMERICA CISCO - FEB26 (P2025)</t>
  </si>
  <si>
    <t>DEVENGAMIENTO BZ - MS WIND SERVER - FEB26 (P2025)</t>
  </si>
  <si>
    <t>DEVENGAMIENTO BZ - COMMVALT - FEB26 (P2025)</t>
  </si>
  <si>
    <t>HONORARIOS - MES DE FEBRERO 2026</t>
  </si>
  <si>
    <t>CONST.PROV.COSTOS - FEB26 - NATALIA RRHH</t>
  </si>
  <si>
    <t>HONORARIOS CERT.DOC</t>
  </si>
  <si>
    <t>SIST.ADM CONTABLE - FEB26</t>
  </si>
  <si>
    <t>LIBRO SUELDOS DIGITALES - ENE26</t>
  </si>
  <si>
    <t>Asiento de sueldos 2026-02</t>
  </si>
  <si>
    <t>Ajuste cuenta Cs. Sociales a pagar (Prepaga + ART)</t>
  </si>
  <si>
    <t>Provisión SAC 1er Semestre 2026 - 2026/02</t>
  </si>
  <si>
    <t>Prov. Gratificación 2026 - Dev. 2026-02</t>
  </si>
  <si>
    <t>Prov. Vacaciones 2026 - Dev. 2026-02</t>
  </si>
  <si>
    <t>CREDITO SOBRE FC VARIAS</t>
  </si>
  <si>
    <t>DERIVACION APOR ANSES 10/25</t>
  </si>
  <si>
    <t>SMA - FEBRERO 2026</t>
  </si>
  <si>
    <t>ND AJUSTE CUOTA ENE-26 - FC 01068637</t>
  </si>
  <si>
    <t>ND AJUSTE FC 1075993 FEB26</t>
  </si>
  <si>
    <t>NC AJ.MES ENE-26 FC 01068637</t>
  </si>
  <si>
    <t>REVERSION PROV.FACT.NO RECIB. ENE26 - OSDE</t>
  </si>
  <si>
    <t>OSDE</t>
  </si>
  <si>
    <t>SMA ENERO 2026</t>
  </si>
  <si>
    <t>CONST.PROV.COSTOS - FEB26 - OSDE</t>
  </si>
  <si>
    <t>SERVICIO TICKET CAR - FEB 2026</t>
  </si>
  <si>
    <t>LIQ.GASTOS TJCKET CAR - FEB26</t>
  </si>
  <si>
    <t>BANCO - USO PLATAFORMA - FEB25</t>
  </si>
  <si>
    <t>PARA AJUSTAR VALOR ENE 2026</t>
  </si>
  <si>
    <t>AJUSTE VALOR SERV FEBRERO 2026</t>
  </si>
  <si>
    <t>DIF CAMBIO - FACTURACION FEBRERO 2026</t>
  </si>
  <si>
    <t>TCC - GASTOS ALMUERZOS IA</t>
  </si>
  <si>
    <t>TCC- GASTOS ALMUERZOS - ADIDAS DOT - IA</t>
  </si>
  <si>
    <t>VERMUDEZ S. R. L.</t>
  </si>
  <si>
    <t>GASTOS ALMUERZOS - IA</t>
  </si>
  <si>
    <t>AJUSTE CONTAB. FC 210 VERMUDEZ</t>
  </si>
  <si>
    <t>TCC - GASTOS ALMUERZO IA - ESMERALDA</t>
  </si>
  <si>
    <t>TCC - GASTOS AL,MUERZO IA - GARDINER</t>
  </si>
  <si>
    <t>DEVENGAMIENTO SEGUROS AL 28-02-26 - ZURICH 3/12</t>
  </si>
  <si>
    <t>SERV.PROFESIONALES - FEB26</t>
  </si>
  <si>
    <t>ALQUILER OFICINA - FEB26</t>
  </si>
  <si>
    <t>REVERSION PROV.FACT.NO RECIB. ENE26 - MADISSON</t>
  </si>
  <si>
    <t>LIQ.EXPENSAS OFIC - ENE26</t>
  </si>
  <si>
    <t>CONST.PROV.COSTOS - FEB26 - MADISSON - EXPENSAS</t>
  </si>
  <si>
    <t>TCC-MUNI VL - ABL - FEB25 - COCHERA 15</t>
  </si>
  <si>
    <t>MUNI VL - ABL - OFICINA - FEB26 - TCC</t>
  </si>
  <si>
    <t>MUNI VL - ABL - COCH 16 - FEB26 - TCC</t>
  </si>
  <si>
    <t>MUNI VL - ABL - COCH 46 - FEB26 - TCC</t>
  </si>
  <si>
    <t>RECUPERO 50% GASTOS SELLADO CTO ALQ</t>
  </si>
  <si>
    <t>LUZ OFICINA - FEB26</t>
  </si>
  <si>
    <t>DEVENG.FIANZA ALQ.OFICINA - FEB2026</t>
  </si>
  <si>
    <t>SERVICIO INTERNET OFIC - FEB26</t>
  </si>
  <si>
    <t>SERVICIO INTERNET OFICINA - ENE26</t>
  </si>
  <si>
    <t>SERV.IMPRESORA - FEB26</t>
  </si>
  <si>
    <t>AJUSTE CONTABILIZACION FC 8493</t>
  </si>
  <si>
    <t>5316</t>
  </si>
  <si>
    <t>CEVEN SA</t>
  </si>
  <si>
    <t>COMPRA TV SAMSUNG 50" MONITOREO TRX</t>
  </si>
  <si>
    <t>DTO MERC.PAGO - CPA TV 50" SAMSUNG</t>
  </si>
  <si>
    <t>JOSE FRANCISCO MICHELOUD</t>
  </si>
  <si>
    <t>SOPORTE PARED - ACCESS POINT -OFICINA</t>
  </si>
  <si>
    <t>GRUPO GAUSS S.R.L.</t>
  </si>
  <si>
    <t>CPA 3 ACCESS POINT - TPLINK - OFICINA</t>
  </si>
  <si>
    <t>DTO MERC. PAGO FC ACCESS POINT+SOPORTE</t>
  </si>
  <si>
    <t>TCC - ZUNIN RODRIGO - TORNILLOS SOPORTE</t>
  </si>
  <si>
    <t>TCC - FRAVEGA - COMPRA 2 MONITORES</t>
  </si>
  <si>
    <t>SERGIO DANIEL COCIGLIO</t>
  </si>
  <si>
    <t>PROVISION MATAFUEGOS Y CARTELERIA</t>
  </si>
  <si>
    <t>HOMERO TORRES MESUR</t>
  </si>
  <si>
    <t>SERV.MOTO - ENVIO LIBRO SOCIEDADES - ENE26</t>
  </si>
  <si>
    <t>TCC - CPA MAQ. SODA - SODA STREAM</t>
  </si>
  <si>
    <t>TCC - TODO MICRO - CONV.VIDEO Y CABLES</t>
  </si>
  <si>
    <t>TCC - CARREFOUR - INSUMOS OFICINA</t>
  </si>
  <si>
    <t>DISPENSER AGUA OFICINA - FEB26</t>
  </si>
  <si>
    <t>DEVENG.FEB26-OPORTUTEK - CPA 01-25</t>
  </si>
  <si>
    <t>DEVENG FEB26-LA SOLIDA- CPA 02-25</t>
  </si>
  <si>
    <t>DEVENG FEB26-DAMARFU- CPA 02-25</t>
  </si>
  <si>
    <t>DEVENG.FEB26-QUICK SUPPLIES - CPA 04-25</t>
  </si>
  <si>
    <t>DEVENG.FEB26-LA SOLIDA- CPA 06-25</t>
  </si>
  <si>
    <t>DEVENG FEB26-LA SOLIDA- CPA 09-25</t>
  </si>
  <si>
    <t>DEVENG FEB26-LENOVO - 2 NOTEB - CPA 12-25</t>
  </si>
  <si>
    <t>GUILLERMO JORGE MARTINEZ</t>
  </si>
  <si>
    <t>SERVICIO DE MANTENIMIENTO OFICINA V.LOPEZ</t>
  </si>
  <si>
    <t>EMILIA MARTINEZ VALENZUELA</t>
  </si>
  <si>
    <t>SERV LIMPIEZA Y MANTENIMIENTO - FEB26</t>
  </si>
  <si>
    <t>DEVENG.FEB-26- GASTOS ORGANIZACION</t>
  </si>
  <si>
    <t>REVERSION PROV.FACT.NO RECIB. ENE26 - FRONTIER - TEC</t>
  </si>
  <si>
    <t>SERV.TECNOLOGICOS - ENERO 2026</t>
  </si>
  <si>
    <t>CONST.PROV.COSTOS - FEB26 - FRONTIER - TECN</t>
  </si>
  <si>
    <t>CONST.PROV.COSTOS - FEB26 - FRONTIER - GCIA</t>
  </si>
  <si>
    <t>GASTOS Y COMISIONES BANCARIAS - FEB26</t>
  </si>
  <si>
    <t>PAGO FC 13872</t>
  </si>
  <si>
    <t>PAGO FC 1448</t>
  </si>
  <si>
    <t>PAGO FC 13914</t>
  </si>
  <si>
    <t>Por resultado FCI 2026-02</t>
  </si>
  <si>
    <t>Actualización saldo cta.cte. U$S 2026-02-27</t>
  </si>
  <si>
    <t>Devengamiento intereses préstamos a accionistas 2026-02</t>
  </si>
  <si>
    <t>5711</t>
  </si>
  <si>
    <t>Ajuste Intereses TSH 2025-12 pago</t>
  </si>
  <si>
    <t>REVERSION PROV.AL 31-01-2026 - TASA SEG HIGIENE</t>
  </si>
  <si>
    <t>MUNI VL - TASA SEG HIG - ENERO 2026</t>
  </si>
  <si>
    <t>Provisión Tasa de Seguridad e Higiene 2026-02</t>
  </si>
  <si>
    <t>Provisión IG 2026 - 2026-02</t>
  </si>
  <si>
    <t>Mar</t>
  </si>
  <si>
    <t>Servicio Basico Online PREPAGAS - Enero 2026</t>
  </si>
  <si>
    <t>Disolución Previsión  feb26  FLK Prepagas On Line</t>
  </si>
  <si>
    <t>Constitución Previsión  mar26  FLK Prepagas On Line</t>
  </si>
  <si>
    <t>Servicio Basico Online APROSS - Enero 2026</t>
  </si>
  <si>
    <t>Disolución Previsión  feb26  FLK Apross On Line</t>
  </si>
  <si>
    <t>Constitución Previsión  mar26  FLK Apross On Line</t>
  </si>
  <si>
    <t>Servicio Basico Online IOMA - Enero 2026</t>
  </si>
  <si>
    <t>Disolución Previsión  feb26  FLK IOMA On Line</t>
  </si>
  <si>
    <t>Constitución Previsión  mar26  FLK IOMA On Line</t>
  </si>
  <si>
    <t>Servicio Basico Online - RECETA ELECTRONICA - PREPAGAS - Enero 2026</t>
  </si>
  <si>
    <t>Disolución Previsión  feb26  FLK Prepagas Receta Electronica On Line</t>
  </si>
  <si>
    <t>Constitución Previsión  mar26  FLK Prepagas Receta Electronica On Line</t>
  </si>
  <si>
    <t>Servicio Basico Online - RECETA ELECTRONICA - APROSS - Enero 2026</t>
  </si>
  <si>
    <t>Disolución Previsión  feb26  FLK Apross  Receta Electronica On Line</t>
  </si>
  <si>
    <t>Constitución Previsión  mar26  FLK Apross  Receta Electronica On Line</t>
  </si>
  <si>
    <t>Servicio Basico Online - RECETA ELECTRONICA - IOMA - Enero 2026</t>
  </si>
  <si>
    <t>Disolución Previsión  feb26  FLK IOMA  Receta Electronica On Line</t>
  </si>
  <si>
    <t>Constitución Previsión  mar26  FLK IOMA  Receta Electronica On Line</t>
  </si>
  <si>
    <t>Servicio Básico On Line - PAMI - Enero 2026</t>
  </si>
  <si>
    <t>Disolución Previsión  feb26  FLK PAMI On Line</t>
  </si>
  <si>
    <t>Constitución Previsión  mar26  FLK PAMI On Line</t>
  </si>
  <si>
    <t>Servicio Básico On Line - PAMI Imposiciones  - Enero 2026</t>
  </si>
  <si>
    <t>Disolución Previsión  feb26  FLK PAMI Imposiciones On Line</t>
  </si>
  <si>
    <t>Constitución Previsión  mar26  FLK PAMI Imposiciones On Line</t>
  </si>
  <si>
    <t>Servicio de Validación en Linea - Febrero 2026</t>
  </si>
  <si>
    <t>Disolución Previsión  feb26  Pcia ART</t>
  </si>
  <si>
    <t>Constitución Previsión  mar26  Pcia ART</t>
  </si>
  <si>
    <t>Programa Elegir Salud - Febrero 2026 - OC 4550044197  PRID  KKHD039</t>
  </si>
  <si>
    <t>Disolución Previsión  feb26  Astrazfebca</t>
  </si>
  <si>
    <t>Constitución Previsión  mar26  Astrazebca</t>
  </si>
  <si>
    <t>Servicio Transaccional - Febrero 2026</t>
  </si>
  <si>
    <t>Disolución Previsión  feb26  Avanter</t>
  </si>
  <si>
    <t>Constitución Previsión  mar26  Avanter</t>
  </si>
  <si>
    <t>Programa Mas Simple Bayer - Febrero 2026 - Pedido 750614669</t>
  </si>
  <si>
    <t>Disolución Previsión  feb26 Bayer Argentina S.A.</t>
  </si>
  <si>
    <t>Constitución Previsión  mar26 Bayer Argentina S.A.</t>
  </si>
  <si>
    <t>Devengamiento Facturación Mar26 Iqvia Solutions Argentina</t>
  </si>
  <si>
    <t>Servicio de Validación en línea de Bonos - Febrero 2026</t>
  </si>
  <si>
    <t>Disolución Previsión  feb26  Max Vision SRL</t>
  </si>
  <si>
    <t>Constitución Previsión  mar26  Max Vision SRL</t>
  </si>
  <si>
    <t>Serv de Proc de Bonos de Descuento Manual - Febrero 2026 OC  19367</t>
  </si>
  <si>
    <t>Serv de Generac y Autoriz de Dispensa de Bonos Digitales -  Febrero 2026 OC 19367</t>
  </si>
  <si>
    <t>Disolución Previsión  feb26  Panalab</t>
  </si>
  <si>
    <t>Constitución Previsión  mar26  Panalab</t>
  </si>
  <si>
    <t>Saldo de NC</t>
  </si>
  <si>
    <t>Servicio de Validación de TRX -  Enero 2026 OC 4500333423</t>
  </si>
  <si>
    <t>Servicio de Validación de TRX -  Febrero 2026 OC 4500333424</t>
  </si>
  <si>
    <t>Disolución Previsión feb26  Sidus Dermocosmetica</t>
  </si>
  <si>
    <t>Constitución Previsión mar26  Sidus Dermocosmetica</t>
  </si>
  <si>
    <t>Servicio de Validación en linea de Bonos Programa Convida  Febrero 2026</t>
  </si>
  <si>
    <t>Disolución Previsión  feb26  Sidus S.A.</t>
  </si>
  <si>
    <t>Constitución Previsión  mar26  Sidus S.A.</t>
  </si>
  <si>
    <t>Biu Cosmeceuticals Bonos -  Febrero 2026</t>
  </si>
  <si>
    <t>Disolución Previsión  feb26  Unyc S. A.</t>
  </si>
  <si>
    <t>Constitución Previsión  mar26  Unyc S. A.</t>
  </si>
  <si>
    <t>Validación On Line Bonos Digitales -  Febrero 2026</t>
  </si>
  <si>
    <t>Disolución Previsión feb26  Healthcare Marketing Group S.A.</t>
  </si>
  <si>
    <t>Constitución Previsión mar26  Healthcare Marketing Group S.A.</t>
  </si>
  <si>
    <t>Servicio de Validación de TRX -  Febrero 2026 OC 8500891288</t>
  </si>
  <si>
    <t>Disolución Previsión feb26  Colgate Palmolive Argentina S.A.</t>
  </si>
  <si>
    <t>Constitución Previsión mar26  Colgate Palmolive Argentina S.A.</t>
  </si>
  <si>
    <t>Piloto - Febrero 2026</t>
  </si>
  <si>
    <t>Disolución Previsión feb26  Lazar</t>
  </si>
  <si>
    <t>Constitución Previsión mar26  Lazar</t>
  </si>
  <si>
    <t>NCEA 0001-00000001 Obra Social de la Actividad del Seguro</t>
  </si>
  <si>
    <t>NCEA 0001-00000002 Obra Social de la Actividad del Seguro</t>
  </si>
  <si>
    <t>Disolución Previsión  feb26  Obra Social de la Act. de Seguro</t>
  </si>
  <si>
    <t>Constitución Previsión  mar26  Obra Social de la Act. de Seguro</t>
  </si>
  <si>
    <t>Rev. Prov. IIBB 2026-02</t>
  </si>
  <si>
    <t>DDJJ. IIBB 2026-02</t>
  </si>
  <si>
    <t>Prov. IIBB 2026-03</t>
  </si>
  <si>
    <t>MANT LIC ABI - MAR 2026</t>
  </si>
  <si>
    <t>PARA APLICAR A FC 1038</t>
  </si>
  <si>
    <t>MANT.APLIC.NET - MAR 2026</t>
  </si>
  <si>
    <t>PARA APLICAR FC 1039</t>
  </si>
  <si>
    <t>REVERTIR CONST.PROV.COSTOS - FEB26 - RESERV</t>
  </si>
  <si>
    <t>QHOM TECHNOLOGIES S.A.</t>
  </si>
  <si>
    <t>DESARROLLO TOKEN OSSEG</t>
  </si>
  <si>
    <t>SERV.DESAR 2 RECURSOS - FEB26</t>
  </si>
  <si>
    <t>POOL 38 HORAS -FEB26</t>
  </si>
  <si>
    <t>CONST.PROV.COSTOS - MAR26 - RESERV</t>
  </si>
  <si>
    <t>DEVENG.AMORTIZ. LIC.ABI - CUOTA 1 - MAR26</t>
  </si>
  <si>
    <t>DEVENG.AMORTIZ. LIC.ABI - CUOTA 2 - MAR26</t>
  </si>
  <si>
    <t>DEVENG.AMORTIZ. LIC.ABI - CUOTA 3 - MAR26</t>
  </si>
  <si>
    <t>SERV.MANUAL FARMAC, - MAR26</t>
  </si>
  <si>
    <t>TRX IQVIA - ENERO 2026</t>
  </si>
  <si>
    <t>TRX IQVIA - FEBRERO 2026</t>
  </si>
  <si>
    <t>SERV.MONITOREO REDES - MAR26</t>
  </si>
  <si>
    <t>REVERTIR CONST.PROV.COSTOS - FEB26 - BGH PARTNER</t>
  </si>
  <si>
    <t>LIC GOOGLE (34) - FEB26</t>
  </si>
  <si>
    <t>CONST.PROV.COSTOS - MAR26 - BGH PARTNER</t>
  </si>
  <si>
    <t>REVERTIR CONST.PROV.COSTOS - FEB26 - INTERTRON</t>
  </si>
  <si>
    <t>LIC OFFICE - FEB26 - CUOTA 4-12</t>
  </si>
  <si>
    <t>CONST.PROV.COSTOS - MAR26 - INTERTRON</t>
  </si>
  <si>
    <t>ANTHROPIC PBC - FC L7CZLLVN-0017 -U$S 7,03</t>
  </si>
  <si>
    <t>ANTHROPIC PBC - FC L7CZLLVN-0018 - u$s 6,42</t>
  </si>
  <si>
    <t>ANTHROPIC PBC - FC L7CZLLVN-0019 - u$s 2,76</t>
  </si>
  <si>
    <t>ANTHROPIC PBC - FC L7CZLLVN-0019 - u$s 425</t>
  </si>
  <si>
    <t>ADOBE - CUOTA SUSCRIPCION</t>
  </si>
  <si>
    <t>DEVENG.AMORTIZ. SERVIDORES LENOVO - MAR26</t>
  </si>
  <si>
    <t>DEVENG.AMORTIZ. SWITCH CATALYST - MAR26</t>
  </si>
  <si>
    <t>DEVENG.AMORTIZ. CABLES P/DC BU - MAR26</t>
  </si>
  <si>
    <t>CALL CENTER - FARMACIAS - MAR26</t>
  </si>
  <si>
    <t>SERVICIO CRM - CC - MAR 2026</t>
  </si>
  <si>
    <t>REVERTIR CONST.PROV.COSTOS - FEB26 - AVANTER</t>
  </si>
  <si>
    <t>SERVICIO ASTRA - FEB26</t>
  </si>
  <si>
    <t>SERV.PANALAB-SIDUS - FEB26</t>
  </si>
  <si>
    <t>CONST.PROV.COSTOS - MAR26 - AVANTER</t>
  </si>
  <si>
    <t>CALL CENTER - ASTRA - MAR26</t>
  </si>
  <si>
    <t>REVERTIR CONST.PROV.COSTOS - FEB26 - TRX IQVIA 2025</t>
  </si>
  <si>
    <t>REVERTIR CONST.PROV.COSTOS - FEB26 - TRX IQVIA 2026</t>
  </si>
  <si>
    <t>KELLERTAS S.C.S.</t>
  </si>
  <si>
    <t>TRX IQVIA - ENE-FEB26</t>
  </si>
  <si>
    <t>TRX IQVIA - ENE-FEB 2026</t>
  </si>
  <si>
    <t>REG.CONTAB.CERT.GAN NRO 57 DEL 23-02-2026</t>
  </si>
  <si>
    <t>ADRIANA DUMM</t>
  </si>
  <si>
    <t>TRX IQVIA - ENE A DIC 2025</t>
  </si>
  <si>
    <t>CONST.PROV.COSTOS - MAR26 - TRX IQVIA 2025-2026</t>
  </si>
  <si>
    <t>REVERTIR CONST.PROV.COSTOS - FEB26 - SERDATA</t>
  </si>
  <si>
    <t>SERV.FORM PANALAB FEB26 - 76.676 A $59,27</t>
  </si>
  <si>
    <t>CORREGIR IMPUT.PAGO A SERDATA 16-03-26</t>
  </si>
  <si>
    <t>CONST.PROV.COSTOS - MAR26 - SERDATA</t>
  </si>
  <si>
    <t>REVERTIR CONST.PROV.COSTOS - FEB26 - AGERI</t>
  </si>
  <si>
    <t>CONST.PROV.COSTOS - MAR26 - AGERI</t>
  </si>
  <si>
    <t>REVERTIR CONST.PROV.COSTOS - FEB26 - BIZLAND</t>
  </si>
  <si>
    <t>TSA - SERV PROF - $ - A1 - FEB26</t>
  </si>
  <si>
    <t>TSA - SERV PROF ADIC - $ - A2 - FEB26</t>
  </si>
  <si>
    <t>TSA - SERV. DOLARES - A3 - FEB26</t>
  </si>
  <si>
    <t>CONST.PROV.COSTOS - MAR26 - BIZLAND</t>
  </si>
  <si>
    <t>DEVENG.AMORTIZ-BZ-FORTRA-LIC GOANYWEHRE -(P2025) - MAR26</t>
  </si>
  <si>
    <t>DEVENG.AMORTIZ-BZ-RED HAT LINUX -(P2025) - MAR26</t>
  </si>
  <si>
    <t>DEVENG.AMORTIZ. BZ - RENOV BASE4 (P2025) - MAR26</t>
  </si>
  <si>
    <t>DEVENG.AMORTIZ. BZ - RENOV TENABLE (P2025) - MAR26</t>
  </si>
  <si>
    <t>DEVENG.AMORTIZ. BZ - RENOV ZMA (P2025) - MAR26</t>
  </si>
  <si>
    <t>DEVENG.AMORTIZ. BZ - RENOV JIRA (P2025) - MAR26</t>
  </si>
  <si>
    <t>DEVENG.AMORTIZ. BZ - RENOV TELEXTORAGE (P2025) - MAR26</t>
  </si>
  <si>
    <t>DEVENG.AMORTIZ. BZ - RENOV FORTRA (P2025) - MAR26</t>
  </si>
  <si>
    <t>DEVENG.AMORTIZ. BZ - RENOV ZNET PRTG (P2025) - MAR26</t>
  </si>
  <si>
    <t>DEVENG.AMORTIZ. BZ - RENOV SERV NOW (P2025) - MAR26</t>
  </si>
  <si>
    <t>DEVENG.AMORTIZ. BZ - RENOV AMERICA (P2025) - MAR26</t>
  </si>
  <si>
    <t>DEVENG.AMORTIZ. BZ - RENOV MICROSOFT (P2025) - MAR26</t>
  </si>
  <si>
    <t>DEVENG.AMORTIZ. BZ - RENOV COMMVALT (P2025) - MAR26</t>
  </si>
  <si>
    <t>LA MERIDIONAL CIA ARG DE SEG</t>
  </si>
  <si>
    <t>DIF.COTIZACION - PAGO CUOTAS</t>
  </si>
  <si>
    <t>HONORARIOS - MAR26</t>
  </si>
  <si>
    <t>HONORARIOS x AUM CAPITAL</t>
  </si>
  <si>
    <t>REVERTIR CONST.PROV.COSTOS - FEB26 - NATALIA RRHH</t>
  </si>
  <si>
    <t>HONOR.CERTIF.CIRCULAR ARCA</t>
  </si>
  <si>
    <t>SIST.ADM - MARZO 2026</t>
  </si>
  <si>
    <t>PAGO LIBRO SUELDOS DIGITALES - FEB26</t>
  </si>
  <si>
    <t>Asiento de sueldos 2026-03</t>
  </si>
  <si>
    <t>Provisión SAC 1er Semestre 2026 - 2026/03</t>
  </si>
  <si>
    <t>Prov. Gratificación 2026 - Dev. 2026-03</t>
  </si>
  <si>
    <t>Prov. Vacaciones 2026 - Dev. 2026-03</t>
  </si>
  <si>
    <t>SERV.MEDICOS ASISTENCIALES - MAR26</t>
  </si>
  <si>
    <t>DERIV.APORTES ANSES 01-11/2025</t>
  </si>
  <si>
    <t>AJUSTE CUOTA 03-26 2,9% FC 1080620</t>
  </si>
  <si>
    <t>SERV.MEDICOS ASIST - FEBRERO 2026</t>
  </si>
  <si>
    <t>REVERTIR CONST.PROV.COSTOS - FEB26 - OSDE</t>
  </si>
  <si>
    <t>CONST.PROV.COSTOS - MAR26 - OSDE</t>
  </si>
  <si>
    <t>MARIA NATALIA DOYHARZABAL</t>
  </si>
  <si>
    <t>SERV.RECURSOS HUMANOS - FEB26</t>
  </si>
  <si>
    <t>SERV.RR.HH SALDO HORAS MAR26</t>
  </si>
  <si>
    <t>SERVICIOS RR.HH - MARZO 2026</t>
  </si>
  <si>
    <t>TICKET CAR - SERVICIO MAR26</t>
  </si>
  <si>
    <t>LIQUIDACION GASTOS - MAR26</t>
  </si>
  <si>
    <t>USO PLATAF BANCO - MAR26</t>
  </si>
  <si>
    <t>NC AJUSTE FC 2078</t>
  </si>
  <si>
    <t>RENT.PERSONAL - DANIEL BAÑARES</t>
  </si>
  <si>
    <t>REINT.PERSONAL - HERNAN ESPOSITO</t>
  </si>
  <si>
    <t>REINT.PERSONAL - VIRGINIA ASCHIERI</t>
  </si>
  <si>
    <t>REINT.PERSONAL - GALO MUÑOZ</t>
  </si>
  <si>
    <t>REINT.PERSONAL - IGNACIO ALADRO</t>
  </si>
  <si>
    <t>REINT.PERSONAL - LUCAS HOJMAN</t>
  </si>
  <si>
    <t>GASTOS ALMUERZO IA - LA PANERA</t>
  </si>
  <si>
    <t>GASTOS ALMUERZO IA - ELENA PONYLINE REST</t>
  </si>
  <si>
    <t>5431</t>
  </si>
  <si>
    <t>MEGAH SRL</t>
  </si>
  <si>
    <t>EXAM.PREOCUPAC. ALEGRE EZEQUIEL</t>
  </si>
  <si>
    <t>EXAM.PREOCUP. LOBATO ANDRES</t>
  </si>
  <si>
    <t>EXAM PREOCUP - FORNES EZEQUIEL</t>
  </si>
  <si>
    <t>HONOR.SELECC. RODRIGO ALEGRE</t>
  </si>
  <si>
    <t>ANULA FC A 00002-00000179</t>
  </si>
  <si>
    <t>HONORARIOS SELECC - EZEQUIEL FORNES</t>
  </si>
  <si>
    <t>DEVENG. SEGUROS - ZURICH - AUTOS GM-DB - MAR26</t>
  </si>
  <si>
    <t>SERV.SOPORTE - MES DE MARZO 2026</t>
  </si>
  <si>
    <t>SERV.SOPORTE - AJUSTE ENE-FEB26</t>
  </si>
  <si>
    <t>ALQUILER OFICINA - MARZO 2026</t>
  </si>
  <si>
    <t>LIQ.EXPENSAS - FEBRERO 2026</t>
  </si>
  <si>
    <t>REVERTIR CONST.PROV.COSTOS - FEB26 - MADISSON - EXPENSAS</t>
  </si>
  <si>
    <t>CONST.PROV.COSTOS - MAR26 - MADISSON - EXPENSAS</t>
  </si>
  <si>
    <t>MUNI VL - PAGO ABL OFICINA - MAR26</t>
  </si>
  <si>
    <t>MUNI VL - PAGO ABL COCHERA 15 - MAR26</t>
  </si>
  <si>
    <t>MUNI VL - PAGO ABL COCHERA 16 - MAR26</t>
  </si>
  <si>
    <t>MUNI VL - PAGO ABL COCHERA 46 - MAR26</t>
  </si>
  <si>
    <t>LUZ OFICINA - MARZO 2026</t>
  </si>
  <si>
    <t>ENDOSO POLIZA 1186054 - ELEM.OFICINA</t>
  </si>
  <si>
    <t>SERV.INTERNET - MARZO 2026</t>
  </si>
  <si>
    <t>SERVICIO INTERNET - FEB26</t>
  </si>
  <si>
    <t>SERV.IMPRESORA - MAR26</t>
  </si>
  <si>
    <t>LENOVO ARGENTINA SRL</t>
  </si>
  <si>
    <t>PARA AJUSTAR CONTAB.LENOVO</t>
  </si>
  <si>
    <t>COMPRA ML - ELEMENTOS OFICINA</t>
  </si>
  <si>
    <t>SERV.DISPENSER AGUA - MAR26</t>
  </si>
  <si>
    <t>DEVENG.AMORTIZ. OPORTUTEK - 1 NTB - CPA 01-25 - MAR26</t>
  </si>
  <si>
    <t>DEVENG.AMORTIZ. LA SOLIDA - 2 NTB - CPA 02-25 - MAR26</t>
  </si>
  <si>
    <t>DEVENG.AMORTIZ. DAMARFU - 2 NTB - CPA 02-25 - MAR26</t>
  </si>
  <si>
    <t>DEVENG.AMORTIZ. QUICK SUP - 2 NTB - CPA 04-25 - MAR26</t>
  </si>
  <si>
    <t>DEVENG.AMORTIZ. LA SOLIDA - 2 NTB - CPA 06-25 - MAR26</t>
  </si>
  <si>
    <t>DEVENG.AMORTIZ. LA SOLIDA - 1 NTB - CPA 09-25 - MAR26</t>
  </si>
  <si>
    <t>DEVENG.AMORTIZ. LENOVO - 2 NTB - CPA 01-26 - MAR26</t>
  </si>
  <si>
    <t>DEVENG.AMORTIZ. LENOVO - 2 NTB - CPA 03-26 - MAR26</t>
  </si>
  <si>
    <t>SERGIO RAMON SOTTILE</t>
  </si>
  <si>
    <t>50% ANT. ARREGLO AIRE ACOND</t>
  </si>
  <si>
    <t>50% SALDO ARREGLO AIRE ACOND</t>
  </si>
  <si>
    <t>DEVENG. SEGUROS - GARANTOR - FIANZA ALQ - MAR26</t>
  </si>
  <si>
    <t>SERV.LIMP.OFICINA MAR-26</t>
  </si>
  <si>
    <t>DEVENG,AMORTIZ. GASTOS ORGANIZ. - MAR26</t>
  </si>
  <si>
    <t>REVERTIR CONST.PROV.COSTOS - FEB26 - FRONTIER - TECN</t>
  </si>
  <si>
    <t>SERV.TECNOLOGICOS - FEB26</t>
  </si>
  <si>
    <t>CONST.PROV.COSTOS - MAR26 - FRONTIER - TECN</t>
  </si>
  <si>
    <t>REVERTIR CONST.PROV.COSTOS - FEB26 - FRONTIER - GCIA</t>
  </si>
  <si>
    <t>SERV.GERENCIAMIENTO - FEB26</t>
  </si>
  <si>
    <t>CONST.PROV.COSTOS - MAR26 - FRONTIER - GCIA</t>
  </si>
  <si>
    <t>GASTOS BANCARIOS - MARZO 2026</t>
  </si>
  <si>
    <t>PAGO FC 27735 Y 27736</t>
  </si>
  <si>
    <t>PAGO FC 143</t>
  </si>
  <si>
    <t>Por resultado FCI 2026-03</t>
  </si>
  <si>
    <t>Actualización saldo cta.cte. U$S 2026-03</t>
  </si>
  <si>
    <t>Devengamiento intereses préstamos a accionistas 2026-03</t>
  </si>
  <si>
    <t>MUNI VL - PAGO TISH - FEB26</t>
  </si>
  <si>
    <t>Reversión Prov. TSH 2026-02</t>
  </si>
  <si>
    <t>Provisión TSH 2026-03</t>
  </si>
  <si>
    <t>Provisión IG 2026 - 2026-03</t>
  </si>
  <si>
    <t>Servicio Basico Online PREPAGAS - Febrero 2026</t>
  </si>
  <si>
    <t>Disolución Previsión  mar26  FLK Prepagas On Line</t>
  </si>
  <si>
    <t>Constitución Previsión  abr26  FLK Prepagas On Line</t>
  </si>
  <si>
    <t>Servicio Basico Online APROSS - Febrero 2026</t>
  </si>
  <si>
    <t>Disolución Previsión  mar26  FLK Apross On Line</t>
  </si>
  <si>
    <t>Constitución Previsión  abr26  FLK Apross On Line</t>
  </si>
  <si>
    <t>Servicio Basico Online IOMA - Febrero 2026</t>
  </si>
  <si>
    <t>Disolución Previsión  mar26  FLK IOMA On Line</t>
  </si>
  <si>
    <t>Constitución Previsión  abr26  FLK IOMA On Line</t>
  </si>
  <si>
    <t>Servicio Basico Online - RECETA ELECTRONICA - PREPAGAS - Febrero 2026</t>
  </si>
  <si>
    <t>Disolución Previsión  mar26  FLK Prepagas Receta Electronica On Line</t>
  </si>
  <si>
    <t>Constitución Previsión  abr26  FLK Prepagas Receta Electronica On Line</t>
  </si>
  <si>
    <t>Servicio Basico Online - RECETA ELECTRONICA - APROSS - Febrero 2026</t>
  </si>
  <si>
    <t>Disolución Previsión  mar26  FLK Apross  Receta Electronica On Line</t>
  </si>
  <si>
    <t>Constitución Previsión  abr26  FLK Apross  Receta Electronica On Line</t>
  </si>
  <si>
    <t>Servicio Basico Online - RECETA ELECTRONICA - IOMA - Febrero 2026</t>
  </si>
  <si>
    <t>Disolución Previsión  mar26  FLK IOMA  Receta Electronica On Line</t>
  </si>
  <si>
    <t>Constitución Previsión  abr26  FLK IOMA  Receta Electronica On Line</t>
  </si>
  <si>
    <t>Servicio Básico On Line - PAMI - Febrero 2026</t>
  </si>
  <si>
    <t>Disolución Previsión  mar26  FLK PAMI On Line</t>
  </si>
  <si>
    <t>Constitución Previsión  abr26  FLK PAMI On Line</t>
  </si>
  <si>
    <t>Servicio Básico On Line - PAMI Imposiciones  - Febrero 2026</t>
  </si>
  <si>
    <t>Disolución Previsión  mar26  FLK PAMI Imposiciones On Line</t>
  </si>
  <si>
    <t>Constitución Previsión  abr26  FLK PAMI Imposiciones On Line</t>
  </si>
  <si>
    <t>Servicio de Validación en Linea - Marzo 2026</t>
  </si>
  <si>
    <t>Disolución Previsión  mar26  Pcia ART</t>
  </si>
  <si>
    <t>Constitución Previsión  abr26  Pcia ART</t>
  </si>
  <si>
    <t>Programa Elegir Salud - Marzo 2026 - OC 4550044197  PRID  KKHD039</t>
  </si>
  <si>
    <t>Disolución Previsión  mar26  Astrazeca</t>
  </si>
  <si>
    <t>Constitución Previsión  abr26  Astrazmarca</t>
  </si>
  <si>
    <t>Servicio Transaccional - Marzo 2026</t>
  </si>
  <si>
    <t>Disolución Previsión  mar26  Avanter</t>
  </si>
  <si>
    <t>Constitución Previsión  abr26  Avanter</t>
  </si>
  <si>
    <t>Programa Mas Simple Bayer - Marzo 2026 - Pedido 750614669</t>
  </si>
  <si>
    <t>Disolución Previsión  mar26 Bayer Argentina S.A.</t>
  </si>
  <si>
    <t>Constitución Previsión  abr26 Bayer Argentina S.A.</t>
  </si>
  <si>
    <t>Devengamiento Facturación Abr26 Iqvia Solutions Argentina</t>
  </si>
  <si>
    <t>Servicio de Validación en linea de Bonos - Marzo 2026</t>
  </si>
  <si>
    <t>Disolución Previsión  mar26  Max Vision SRL</t>
  </si>
  <si>
    <t>Constitución Previsión  abr26  Max Vision SRL</t>
  </si>
  <si>
    <t>Serv de Proc de Bonos de Descuento Manual - Marzo 2026 OC  20314</t>
  </si>
  <si>
    <t>Serv de Generac y Autoriz de Dispensa de Bonos Digitales -  Marzo 2026 OC 20314</t>
  </si>
  <si>
    <t>Disolución Previsión  mar26  Panalab</t>
  </si>
  <si>
    <t>Constitución Previsión  abr26  Panalab</t>
  </si>
  <si>
    <t>Servicio de Validación de TRX -  Marzo 2026 OC 4500335755</t>
  </si>
  <si>
    <t>Disolución Previsión mar26  Sidus Dermocosmetica</t>
  </si>
  <si>
    <t>Constitución Previsión abr26  Sidus Dermocosmetica</t>
  </si>
  <si>
    <t>OC 4500334626 Start Up Marzo 2026 (cuota 1 de 2)</t>
  </si>
  <si>
    <t>Servicio de Validación en linea de Bonos Programa Convida Marzo 2026</t>
  </si>
  <si>
    <t>Disolución Previsión  mar26  Sidus S.A.</t>
  </si>
  <si>
    <t>Constitución Previsión  abr26  Sidus S.A.</t>
  </si>
  <si>
    <t>Biu Cosmeceuticals Bonos -  Marzo 2026</t>
  </si>
  <si>
    <t>Disolución Previsión  mar26  Unyc S. A.</t>
  </si>
  <si>
    <t>Constitución Previsión  abr26  Unyc S. A.</t>
  </si>
  <si>
    <t>Validación On Line Bonos Digitales -  Marzo 2026</t>
  </si>
  <si>
    <t>Validación On Line Bonos Digitales -  Marzo 2026 (Luar)</t>
  </si>
  <si>
    <t>Disolución Previsión mar26  Healthcare Marketing Group S.A.</t>
  </si>
  <si>
    <t>Constitución Previsión abr26  Healthcare abrketing Group S.A.</t>
  </si>
  <si>
    <t>Servicio de Validación de TRX -  Marzo 2026 OC 8500908832</t>
  </si>
  <si>
    <t>Disolución Previsión mar26  Colgate Palmolive Argentina S.A.</t>
  </si>
  <si>
    <t>Constitución Previsión abr26  Colgate Palmolive Argentina S.A.</t>
  </si>
  <si>
    <t>Piloto - Marzo 2026</t>
  </si>
  <si>
    <t>Disolución Previsión mar26  Lazar</t>
  </si>
  <si>
    <t>Constitución Previsión abr26  Lazar</t>
  </si>
  <si>
    <t>Servicio Marzo 2026 Abono básico hasta 70.000 trs  Ref. N°: 8000263771/6</t>
  </si>
  <si>
    <t>Disolución Previsión  mar26  Obra Social de la Act. de Seguro</t>
  </si>
  <si>
    <t>Constitución Previsión  abr26  Obra Social de la Act. de Seguro</t>
  </si>
  <si>
    <t>Rev. Prov. IIBB 2026-03</t>
  </si>
  <si>
    <t>DDJJ IIBB 2026-03</t>
  </si>
  <si>
    <t>DDJJ IIBB 2026-04</t>
  </si>
  <si>
    <t>MANT.LIC ABI - ABR26</t>
  </si>
  <si>
    <t>PARA REG.CONTAB FC 1041</t>
  </si>
  <si>
    <t>MANT.APL.NET - ABR26</t>
  </si>
  <si>
    <t>PARA REG.CONTAB FC 1042</t>
  </si>
  <si>
    <t>REVERSION PROV.COSTOS - MAR26 - RESERV</t>
  </si>
  <si>
    <t>SERVICIO RRHH - MAR26</t>
  </si>
  <si>
    <t>HS ADICIONALES (24) - MAR26</t>
  </si>
  <si>
    <t>CONST.PROV.COSTOS - ABR26 - RESERV - RRHH</t>
  </si>
  <si>
    <t>CONST.PROV.COSTOS - ABR26 - RESERV - HORAS</t>
  </si>
  <si>
    <t>DEVENG.AMORTIZ. LIC.ABI - CUOTA 1 - ABR26</t>
  </si>
  <si>
    <t>DEVENG.AMORTIZ. LIC.ABI - CUOTA 2 - ABR26</t>
  </si>
  <si>
    <t>DEVENG.AMORTIZ. LIC.ABI - CUOTA 3 - ABR26</t>
  </si>
  <si>
    <t>SERV.MANUAL FARMAC - ABR26</t>
  </si>
  <si>
    <t>SERV.MONITOREO - ABR26</t>
  </si>
  <si>
    <t>REVERSION PROV.COSTOS - MAR26 - BGH PARTNER</t>
  </si>
  <si>
    <t>LIC GOOGLE - 40 LICENCIAS CUOTA 1/12</t>
  </si>
  <si>
    <t>CONST.PROV.COSTOS - ABR26 - BGH PARTNER</t>
  </si>
  <si>
    <t>AJUSTE PAGO FC 13972</t>
  </si>
  <si>
    <t>REVERSION PROV.COSTOS - MAR26 - INTERTRON</t>
  </si>
  <si>
    <t>LICENCIAS MS - MAR26</t>
  </si>
  <si>
    <t>CONST.PROV.COSTOS - ABR26 - INTERTRON</t>
  </si>
  <si>
    <t>ANTHROPIC PBC - FC L7CZLLVN-0021 - U$S 3,15</t>
  </si>
  <si>
    <t>ANTHROPIC PBC - FC L7CZLLVN-0022 - U$S 3,14</t>
  </si>
  <si>
    <t>ANTHROPIC PBC - FC L7CZLLVN-0023 - U$S 475</t>
  </si>
  <si>
    <t>ANTHROPIC PBC - FC L7CZLLVN-0024 -U$S 419,11</t>
  </si>
  <si>
    <t>DEVENG.AMORTIZ. SERVIDORES LENOVO - ABR26</t>
  </si>
  <si>
    <t>DEVENG.AMORTIZ. SWITCH CATALYST - ABR26</t>
  </si>
  <si>
    <t>DEVENG.AMORTIZ. CABLES P/DC BU - ABR26</t>
  </si>
  <si>
    <t>SERV.CALL CENTER - FCIAS - ABR26</t>
  </si>
  <si>
    <t>SERV.CRM CALL IMED - ABR26</t>
  </si>
  <si>
    <t>REVERSION PROV.COSTOS - MAR26 - AVANTER</t>
  </si>
  <si>
    <t>SERVICIO ASTRA - MAR26</t>
  </si>
  <si>
    <t>SERVICIO SIDUS-PANALAB - MAR26</t>
  </si>
  <si>
    <t>CONST.PROV.COSTOS - ABR26 - AVANTER - ASTRA</t>
  </si>
  <si>
    <t>CONST.PROV.COSTOS - ABR26 - AVANTER - PABALAB-SIDUS</t>
  </si>
  <si>
    <t>SERV CC ASTRA - ABR26</t>
  </si>
  <si>
    <t>REVERSION PROV.COSTOS - MAR26 - TRX IQVIA 2025-2026</t>
  </si>
  <si>
    <t>PARA ANULAR FC 13981</t>
  </si>
  <si>
    <t>TRX IQVIA - ENE-FEB-MAR 26</t>
  </si>
  <si>
    <t>ESTACION 44 S.C.S.</t>
  </si>
  <si>
    <t>TRX IQVIA - ENE-FEB-MAR 2026</t>
  </si>
  <si>
    <t>TRX IQVIA - MARZO 2026</t>
  </si>
  <si>
    <t>CONST.PROV.COSTOS - ABR26 - TRX IQVIA 2025</t>
  </si>
  <si>
    <t>CONST.PROV.COSTOS - ABR26 - TRX IQVIA 2026</t>
  </si>
  <si>
    <t>REVERSION PROV.COSTOS - MAR26 - SERDATA</t>
  </si>
  <si>
    <t>SERV.FORM PANALAB 82.896 - MAR26</t>
  </si>
  <si>
    <t>CONST.PROV.COSTOS - ABR26 - SERDATA</t>
  </si>
  <si>
    <t>REVERSION PROV.COSTOS - MAR26 - AGERI</t>
  </si>
  <si>
    <t>AGERI S.R.L.</t>
  </si>
  <si>
    <t>REMISES PANALAB - REG.CTA</t>
  </si>
  <si>
    <t>REVERSION PROV.COSTOS - MAR26 - BIZLAND</t>
  </si>
  <si>
    <t>SERV TSA 2026-03 - RRHH - $ A1 - 2026-03</t>
  </si>
  <si>
    <t>SERV.TSA - 2026-03 - ADIC RRHH $ A2</t>
  </si>
  <si>
    <t>SERV.TSA - 2026-03 - MANT PLAT - U$S A3</t>
  </si>
  <si>
    <t>CONST.PROV.COSTOS - ABR26 - BIZLAND</t>
  </si>
  <si>
    <t>DEVENG.AMORTIZ-BZ-FORTRA-LIC GOANYWEHRE -(P2025) - ABR26</t>
  </si>
  <si>
    <t>DEVENG.AMORTIZ-BZ-RED HAT LINUX -(P2025) - ABR26</t>
  </si>
  <si>
    <t>DEVENG.AMORTIZ. BZ - RENOV BASE4 (P2025) - ABR26</t>
  </si>
  <si>
    <t>DEVENG.AMORTIZ. BZ - RENOV TENABLE (P2025) - ABR26</t>
  </si>
  <si>
    <t>DEVENG.AMORTIZ. BZ - RENOV ZMA (P2025) - ABR26</t>
  </si>
  <si>
    <t>DEVENG.AMORTIZ. BZ - RENOV JIRA (P2025) - ABR26</t>
  </si>
  <si>
    <t>DEVENG.AMORTIZ. BZ - RENOV TELEXTORAGE (P2025) - ABR26</t>
  </si>
  <si>
    <t>DEVENG.AMORTIZ. BZ - RENOV FORTRA (P2025) - ABR26</t>
  </si>
  <si>
    <t>DEVENG.AMORTIZ. BZ - RENOV ZNET PRTG (P2025) - ABR26</t>
  </si>
  <si>
    <t>DEVENG.AMORTIZ. BZ - RENOV SERV NOW (P2025) - ABR26</t>
  </si>
  <si>
    <t>DEVENG.AMORTIZ. BZ - RENOV AMERICA (P2025) - ABR26</t>
  </si>
  <si>
    <t>DEVENG.AMORTIZ. BZ - RENOV MICROSOFT (P2025) - ABR26</t>
  </si>
  <si>
    <t>DEVENG.AMORTIZ. BZ - RENOV COMMVALT (P2025) - ABR26</t>
  </si>
  <si>
    <t>DEVENG.AMORTIZ. BZ - RENOV FORTRA (P2026) - ABR26</t>
  </si>
  <si>
    <t>SERVICIO CONTABLE - ABRIL 2026</t>
  </si>
  <si>
    <t>HONOR.POR CARTA DOCUMENTO</t>
  </si>
  <si>
    <t>SIST ADM CONTABLE - ABR26</t>
  </si>
  <si>
    <t>LIBRO SUELDOS DIGITALES - MAR26</t>
  </si>
  <si>
    <t>Asiento de sueldos 2026-04</t>
  </si>
  <si>
    <t>Provisión SAC 1er Semestre 2026 - 2026/04</t>
  </si>
  <si>
    <t>Prov. Gratificación 2026 - Dev. 2026-04</t>
  </si>
  <si>
    <t>Prov. Vacaciones 2026 - Dev. 2026-04</t>
  </si>
  <si>
    <t>DERIV.APORTE ANSES 12/2025</t>
  </si>
  <si>
    <t>SERV.MEDICOS ASIST - ABR26</t>
  </si>
  <si>
    <t>AJUSTE CUOTA SERV 04/2026 3,2%</t>
  </si>
  <si>
    <t>CREDITO CUOTA 03 Y 04/2026 - FCs 620-459</t>
  </si>
  <si>
    <t>REVERSION PROV.COSTOS - MAR26 - OSDE</t>
  </si>
  <si>
    <t>SERV.MEDICOS ASIST - MAR26</t>
  </si>
  <si>
    <t>CONST.PROV.COSTOS - ABR26 - OSDE</t>
  </si>
  <si>
    <t>VISMA ARGENTINA S.A.</t>
  </si>
  <si>
    <t>SERV.IMP.RECIBOS - ABR26-MAR27</t>
  </si>
  <si>
    <t>SERVICIO RR.HH. - ABR26</t>
  </si>
  <si>
    <t>SERVICIO TICKET CAR - ABR26</t>
  </si>
  <si>
    <t>LIQ GASTOS -TICKET CAR - ABR 2026</t>
  </si>
  <si>
    <t>SERVICIO PLATAFORMA - ABR26</t>
  </si>
  <si>
    <t>REINTEGRO GASTOS - VIATICOS IGNACIO</t>
  </si>
  <si>
    <t>REINT.GASTOS - VIATICOS - LUCAS HOJMAN</t>
  </si>
  <si>
    <t>LO DE CARLITOS - ALMUERZO IA</t>
  </si>
  <si>
    <t>CUSTOMCELL - Atención Nicolás Campos</t>
  </si>
  <si>
    <t>GASTOS ALMUERZO Y ESTACION - IA</t>
  </si>
  <si>
    <t>GASTOS IA - ALMUERZOS Y ESTACIONAM</t>
  </si>
  <si>
    <t>HONORARIOS SELECC - ANDRES LOBATO</t>
  </si>
  <si>
    <t>DEVENG. SEGUROS - ZURICH - AUTOS GM-DB - ABR26</t>
  </si>
  <si>
    <t>SERV.PROFESIONALES - ABR26</t>
  </si>
  <si>
    <t>EZEQUIEL PADILLA</t>
  </si>
  <si>
    <t>SERV.PROFES. PRESENT.DIGITALES</t>
  </si>
  <si>
    <t>PARA ANULAR FC MAL CONTAB</t>
  </si>
  <si>
    <t>CONST.PROV.COSTOS - ABR26 - PADILLA EZEQUIEL</t>
  </si>
  <si>
    <t>ALQUILER OFICINA - ABRIL 2026</t>
  </si>
  <si>
    <t>LIQUIDACION EXPENSAS - MAR26</t>
  </si>
  <si>
    <t>REVERSION PROV.COSTOS - MAR26 - MADISSON - EXPENSAS</t>
  </si>
  <si>
    <t>CONST.PROV.COSTOS - ABR26 - MADISSON - EXPENSAS</t>
  </si>
  <si>
    <t>ABL VL - OFICINA - ABR2026</t>
  </si>
  <si>
    <t>MUNI VL - COCHERA 15 - ABR26</t>
  </si>
  <si>
    <t>MUNI VL - COCHERA 16 - ABR26</t>
  </si>
  <si>
    <t>MUNI VL - COCHERA 46 - ABR26</t>
  </si>
  <si>
    <t>5436</t>
  </si>
  <si>
    <t>ARBA - IMP INMOB - OFICINA - CUOTA 1 Y 2</t>
  </si>
  <si>
    <t>ARBA - IMP INMOB - COCH 15 - AÑO 2026</t>
  </si>
  <si>
    <t>ARBA - IMP INMOB - COCH 16 - AÑO 2026</t>
  </si>
  <si>
    <t>ARBA - IMP INMOB - COCH 46 - AÑO 2026</t>
  </si>
  <si>
    <t>CONST.PROV.COSTOS - ABR26 - EDENOR</t>
  </si>
  <si>
    <t>SERVICIO INTERNET OFICINA - MAR26</t>
  </si>
  <si>
    <t>SERVICIO INTERNET - ABR26</t>
  </si>
  <si>
    <t>CONST.PROV.COSTOS - ABR26 - CLARO</t>
  </si>
  <si>
    <t>SERVICIO IMPRESORA - ABR26</t>
  </si>
  <si>
    <t>JUST SOLUTION - CPA 7 AURICULARES</t>
  </si>
  <si>
    <t>DENDA - CPA  5 TECLADOS Y MOUSE</t>
  </si>
  <si>
    <t>PUSHKENA TEXTIL S. A.</t>
  </si>
  <si>
    <t>DOS SILLAS EJECUTIVO - OFICINA</t>
  </si>
  <si>
    <t>BRUNO DEMATTEIS</t>
  </si>
  <si>
    <t>4 ESCRITORIOS MADERA METAL</t>
  </si>
  <si>
    <t>DESCUENTO PAGO CPA 4 ESCRITORIOS</t>
  </si>
  <si>
    <t>LIMPIO OL - INSUMOS LIMPIEZA</t>
  </si>
  <si>
    <t>MILER - CPA LAMPARAS OFICINA</t>
  </si>
  <si>
    <t>MERCADO ON LINE - CPA TUBOS LUZ OFICINA</t>
  </si>
  <si>
    <t>ASOCIACION BENEFICA CULTURAL</t>
  </si>
  <si>
    <t>ALQUILER SITIO - AL,MUERZO 10-04</t>
  </si>
  <si>
    <t>CARREFOUR - INSUMOS ALMUERZO OFICINA</t>
  </si>
  <si>
    <t>PEDIDOS YA - ALMUERZO OFIC (HIELO)</t>
  </si>
  <si>
    <t>PEDIDOS YA - DESAYUNO OFICINA</t>
  </si>
  <si>
    <t>REINT GASTOS - SUPERM - NORBERTO NOGUERA</t>
  </si>
  <si>
    <t>DISPENSER AGUA OFICINA - ABR26</t>
  </si>
  <si>
    <t>DEVENG.AMORTIZ. OPORTUTEK - 1 NTB - CPA 01-25 - ABR26</t>
  </si>
  <si>
    <t>DEVENG.AMORTIZ. DAMARFU - INST SW - ABR26</t>
  </si>
  <si>
    <t>DEVENG.AMORTIZ. LA SOLIDA - 2 NTB - CPA 02-25 - ABR26</t>
  </si>
  <si>
    <t>DEVENG.AMORTIZ. DAMARFU - 2 NTB - CPA 02-25 - ABR26</t>
  </si>
  <si>
    <t>DEVENG.AMORTIZ. QUICK SUP - 2 NTB - CPA 04-25 - ABR26</t>
  </si>
  <si>
    <t>DEVENG.AMORTIZ. LA SOLIDA - 2 NTB - CPA 06-25 - ABR26</t>
  </si>
  <si>
    <t>DEVENG.AMORTIZ. LA SOLIDA - 1 NTB - CPA 09-25 - ABR26</t>
  </si>
  <si>
    <t>DEVENG.AMORTIZ. LENOVO - 2 NTB - CPA 01-26 - ABR26</t>
  </si>
  <si>
    <t>DEVENG.AMORTIZ. LENOVO - 2 NTB - CPA 03-26 - ABR26</t>
  </si>
  <si>
    <t>DEVENG. SEGUROS - GARANTOR - FIANZA ALQ - ABR26</t>
  </si>
  <si>
    <t>ALEJANDRO BRUNO HEUER Y RASC</t>
  </si>
  <si>
    <t>ELECTRICISTA - INFORME TECNICO (RES)</t>
  </si>
  <si>
    <t>CORREGIR IMPUT.FC C 201 - HEUER - ELECTRICISTA</t>
  </si>
  <si>
    <t>V</t>
  </si>
  <si>
    <t>DEVENG,AMORTIZ. GASTOS ORGANIZ. - ABR26</t>
  </si>
  <si>
    <t>REVERSION PROV.COSTOS - MAR26 - FRONTIER - TECN</t>
  </si>
  <si>
    <t>SERVICIOS TECNOLOGICOS - MAR26</t>
  </si>
  <si>
    <t>CONST.PROV.COSTOS - ABR26 - FRONTIER - TECN</t>
  </si>
  <si>
    <t>REVERSION PROV.COSTOS - MAR26 - FRONTIER - GCIA</t>
  </si>
  <si>
    <t>SERV.GERENCIAMIENTO - MAR26</t>
  </si>
  <si>
    <t>CONST.PROV.COSTOS - ABR26 - FRONTIER - GCIA</t>
  </si>
  <si>
    <t>GASTOS BANCARIOS - ABRIL 2026</t>
  </si>
  <si>
    <t>PARA PAGAR FC 13972</t>
  </si>
  <si>
    <t>PAGO FC 28129</t>
  </si>
  <si>
    <t>PAGO FC 152</t>
  </si>
  <si>
    <t>PAGO FC 14027</t>
  </si>
  <si>
    <t>PAGO FC 2311</t>
  </si>
  <si>
    <t>Por resultado FCI 2026-04</t>
  </si>
  <si>
    <t>Actualización saldo cta.cte. U$S 2026-04</t>
  </si>
  <si>
    <t>INTERESES - VEP 1617439149 - RET GAN - MUTUO</t>
  </si>
  <si>
    <t>AJUSTE REVERS.PROV.SEG E HIGIENE</t>
  </si>
  <si>
    <t>MUNI VL - TASA SEG HIG - MARZO 2026</t>
  </si>
  <si>
    <t>Prov. TSH 2026-04</t>
  </si>
  <si>
    <t>Rev. Prov. TSH 2026-03</t>
  </si>
  <si>
    <t>Provisión IG 2026 - 2026-04</t>
  </si>
  <si>
    <t>May</t>
  </si>
  <si>
    <t>Servicio Basico Online PREPAGAS - Marzo 2026</t>
  </si>
  <si>
    <t>disolución Previsión  mar26  FLK Prepagas On Line</t>
  </si>
  <si>
    <t>disolución Previsión  abr26  FLK Prepagas On Line</t>
  </si>
  <si>
    <t>Constitución Previsión  may26  FLK Prepagas On Line</t>
  </si>
  <si>
    <t>Servicio Basico Online APROSS - Marzo 2026</t>
  </si>
  <si>
    <t>disolución Previsión  mar26  FLK Apross On Line</t>
  </si>
  <si>
    <t>disolución Previsión  abr26  FLK Apross On Line</t>
  </si>
  <si>
    <t>Constitución Previsión  may26  FLK Apross On Line</t>
  </si>
  <si>
    <t>Servicio Basico Online IOMA - Marzo 2026</t>
  </si>
  <si>
    <t>disolución Previsión  mar26  FLK IOMA On Line</t>
  </si>
  <si>
    <t>disolución Previsión  abr26  FLK IOMA On Line</t>
  </si>
  <si>
    <t>Constitución Previsión  may26  FLK IOMA On Line</t>
  </si>
  <si>
    <t>Servicio Basico Online - RECETA ELECTRONICA - PREPAGAS - Marzo 2026</t>
  </si>
  <si>
    <t>disolución Previsión  mar26  FLK Prepagas Receta Electronica On Line</t>
  </si>
  <si>
    <t>disolución Previsión  abr26  FLK Prepagas Receta Electronica On Line</t>
  </si>
  <si>
    <t>Constitución Previsión  may26  FLK Prepagas Receta Electronica On Line</t>
  </si>
  <si>
    <t>Servicio Basico Online - RECETA ELECTRONICA - APROSS - Marzo 2026</t>
  </si>
  <si>
    <t>disolución Previsión  mar26  FLK Apross  Receta Electronica On Line</t>
  </si>
  <si>
    <t>disolución Previsión  abr26  FLK Apross  Receta Electronica On Line</t>
  </si>
  <si>
    <t>Constitución Previsión  may26  FLK Apross  Receta Electronica On Line</t>
  </si>
  <si>
    <t>Servicio Basico Online - RECETA ELECTRONICA - IOMA - Marzo 2026</t>
  </si>
  <si>
    <t>disolución Previsión  abr26  FLK IOMA  Receta Electronica On Line</t>
  </si>
  <si>
    <t>disolución Previsión  mar26  FLK IOMA  Receta Electronica On Line</t>
  </si>
  <si>
    <t>Constitución Previsión  may26  FLK IOMA  Receta Electronica On Line</t>
  </si>
  <si>
    <t>Servicio Básico On Line - PAMI - Marzo 2026</t>
  </si>
  <si>
    <t>disolución Previsión  mar26  FLK PAMI On Line</t>
  </si>
  <si>
    <t>disolución Previsión  abr26  FLK PAMI On Line</t>
  </si>
  <si>
    <t>Constitución Previsión  may26  FLK PAMI On Line</t>
  </si>
  <si>
    <t>Servicio Básico On Line - PAMI Imposiciones  - Marzo 2026</t>
  </si>
  <si>
    <t>disolución Previsión  mar26  FLK PAMI Imposiciones On Line</t>
  </si>
  <si>
    <t>disolución Previsión  abr26  FLK PAMI Imposiciones On Line</t>
  </si>
  <si>
    <t>Constitución Previsión  may26  FLK PAMI Imposiciones On Line</t>
  </si>
  <si>
    <t>Servicio de Validación en Linea - Abril 2026</t>
  </si>
  <si>
    <t>disolución Previsión  abr26  Pcia ART</t>
  </si>
  <si>
    <t>Constitución Previsión  may26  Pcia ART</t>
  </si>
  <si>
    <t>Programa Elegir Salud - Abril 2026 - OC 4550044197  PRID  KKHD039</t>
  </si>
  <si>
    <t>disolución Previsión  abr26  Astrazmarca</t>
  </si>
  <si>
    <t>Constitución Previsión  may26  Astrazabrca</t>
  </si>
  <si>
    <t>Servicio Transaccional - Abril 2026</t>
  </si>
  <si>
    <t>disolución Previsión  abr26  Avanter</t>
  </si>
  <si>
    <t>Constitución Previsión  may26  Avanter</t>
  </si>
  <si>
    <t>Programa Mas Simple Bayer - Abril 2026 - Pedido 750614669</t>
  </si>
  <si>
    <t>disolución Previsión  abr26 Bayer Argentina S.A.</t>
  </si>
  <si>
    <t>Constitución Previsión  may26 Bayer Argentina S.A.</t>
  </si>
  <si>
    <t>Devengamiento Facturación May26 Iqvia Solutions Argentina</t>
  </si>
  <si>
    <t>Servicio de Validación en linea de Bonos - Abril 2026</t>
  </si>
  <si>
    <t>disolución Previsión  abr26  Max Vision SRL</t>
  </si>
  <si>
    <t>Constitución Previsión  may26  Max Vision SRL</t>
  </si>
  <si>
    <t>Serv de Proc de Bonos de Descuento Manual - Abril 2026 OC  20314</t>
  </si>
  <si>
    <t>Serv de Generac y Autoriz de Dispensa de Bonos Digitales -  Abril 2026 OC 20314</t>
  </si>
  <si>
    <t>disolución Previsión  abr26  Panalab</t>
  </si>
  <si>
    <t>Constitución Previsión  may26  Panalab</t>
  </si>
  <si>
    <t>disolución Previsión abr26  Sidus Dermocosmetica</t>
  </si>
  <si>
    <t>Constitución Previsión may26  Sidus Dermocosmetica</t>
  </si>
  <si>
    <t>OC 4500334626 Start Up Abril 2026 (cuota 2 de 2)</t>
  </si>
  <si>
    <t>disolución Previsión  abr26  Sidus S.A.</t>
  </si>
  <si>
    <t>Constitución Previsión  may26  Sidus S.A.</t>
  </si>
  <si>
    <t>Biu Cosmeceuticals Bonos -  Abril 2026</t>
  </si>
  <si>
    <t>disolución Previsión  abr26  Unyc S. A.</t>
  </si>
  <si>
    <t>Constitución Previsión  may26  Unyc S. A.</t>
  </si>
  <si>
    <t>Validación On Line Bonos Digitales -  Abril 2026 (Luar y Haleon)</t>
  </si>
  <si>
    <t>disolución Previsión abr26  Healthcare abrketing Group S.A.</t>
  </si>
  <si>
    <t>Constitución Previsión may26  Healthcare mayketing Group S.A.</t>
  </si>
  <si>
    <t xml:space="preserve">COLGATE PALMOLIVE ARGENTINA </t>
  </si>
  <si>
    <t>Servicio de Validación de TRX -  Abril 2026 OC 8500925629</t>
  </si>
  <si>
    <t>disolución Previsión abr26  Colgate Palmolive Argentina S.A.</t>
  </si>
  <si>
    <t>Constitución Previsión may26  Colgate Palmolive Argentina S.A.</t>
  </si>
  <si>
    <t>disolución Previsión abr26  Lazar</t>
  </si>
  <si>
    <t>Constitución Previsión may26  Lazar</t>
  </si>
  <si>
    <t xml:space="preserve">Obra Social de la Actividad </t>
  </si>
  <si>
    <t>Servicio  Abril 2026 Abono básico hasta 70.000 trs  Ref. N°: 8000263771/6</t>
  </si>
  <si>
    <t>disolución Previsión  abr26  Obra Social de la Act. de Seguro</t>
  </si>
  <si>
    <t>Constitución Previsión  may26  Obra Social de la Act. de Seguro</t>
  </si>
  <si>
    <t>REV. DDJJ IIBB 2026-04</t>
  </si>
  <si>
    <t>PROV. DDJJ IIBB 2026-05</t>
  </si>
  <si>
    <t>MANT.LIC.ABI - MAYO 2026</t>
  </si>
  <si>
    <t>PARA APLICAR A FC 1044 LIC ABI</t>
  </si>
  <si>
    <t>MANT.APL.NET - MAYO 2026</t>
  </si>
  <si>
    <t>PARA APLICAR FC 1045 - MANT APLIC</t>
  </si>
  <si>
    <t>REVERSION PROV.COSTOS - ABR26 - RESERV - RRHH</t>
  </si>
  <si>
    <t>REVERSION PROV.COSTOS - ABR26 - RESERV - HORAS</t>
  </si>
  <si>
    <t>SERV.DESARROLLO - 2 RECURSOS - ABR26</t>
  </si>
  <si>
    <t>SERV.DESARROLLO -32 HS ADICIONALES</t>
  </si>
  <si>
    <t>CONST.PROV.COSTOS - MAY26 - RESERV - RRHH</t>
  </si>
  <si>
    <t>CONST.PROV.COSTOS - MAY26 - RESERV - HORAS</t>
  </si>
  <si>
    <t>DEVENG.AMORTIZ. LIC.ABI - CUOTA 1 - MAY26</t>
  </si>
  <si>
    <t>DEVENG.AMORTIZ. LIC.ABI - CUOTA 2 - MAY26</t>
  </si>
  <si>
    <t>DEVENG.AMORTIZ. LIC.ABI - CUOTA 3 - MAY26</t>
  </si>
  <si>
    <t>PARA AJUSTAR SALDO AMORTIZ.SW-ORIGEN(1741)</t>
  </si>
  <si>
    <t>SERV.MANUAL FARMAC - MAY26</t>
  </si>
  <si>
    <t>SERV.MONITOREO RED - ,MAYO 2026</t>
  </si>
  <si>
    <t>REVERSION PROV.COSTOS - ABR26 - BGH PARTNER</t>
  </si>
  <si>
    <t>LIC.GOOGLE - ABR26 - CUOTA 2/12</t>
  </si>
  <si>
    <t>CONST.PROV.COSTOS - MAY26 - BGH PARTNER</t>
  </si>
  <si>
    <t>40 HORAS SOPORTE INFORMIX</t>
  </si>
  <si>
    <t>REVERSION PROV.COSTOS - ABR26 - INTERTRON</t>
  </si>
  <si>
    <t>LICENCIAS MS-BI-VISIO - ABR26</t>
  </si>
  <si>
    <t>CONST.PROV.COSTOS - MAY26 - INTERTRON</t>
  </si>
  <si>
    <t>PARA REGULARIZAR SALDO CTA CTE NEXSYS</t>
  </si>
  <si>
    <t>ANTHROPIC - FC l7CZLLVN 0025</t>
  </si>
  <si>
    <t>ADOBE - CUOTA SUSCRIPCION IA</t>
  </si>
  <si>
    <t>DEVENG.AMORTIZ. SERVIDORES LENOVO - MAY26</t>
  </si>
  <si>
    <t>DEVENG.AMORTIZ. SWITCH CATALYST - MAY26</t>
  </si>
  <si>
    <t>DEVENG.AMORTIZ. CABLES P/DC BU - MAY26</t>
  </si>
  <si>
    <t>CLOUD HESIVE ARGENTINA S.A.</t>
  </si>
  <si>
    <t>SERV.PROFESIONALES - SALDO 50%</t>
  </si>
  <si>
    <t>SERV.CC FARMACIAS - MAYO 2026</t>
  </si>
  <si>
    <t>SERV.CRM CC IMED - MAY26</t>
  </si>
  <si>
    <t>REGULARIZAR SALDO CTA CTE LOGISIS</t>
  </si>
  <si>
    <t>REVERSION PROV.COSTOS - ABR26 - AVANTER - ASTRA</t>
  </si>
  <si>
    <t>REVERSION PROV.COSTOS - ABR26 - AVANTER - PABALAB-SIDUS</t>
  </si>
  <si>
    <t>SERVICIO ASTRA - ABRIL 2026</t>
  </si>
  <si>
    <t>SERV PANALAB-SIDUS - ABR26</t>
  </si>
  <si>
    <t>CONST.PROV.COSTOS - MAY26 - AVANTER - ASTRA</t>
  </si>
  <si>
    <t>CONST.PROV.COSTOS - MAY26 - AVANTER - PABALAB-SIDUS</t>
  </si>
  <si>
    <t>CC ASTRA - MAYO 2026</t>
  </si>
  <si>
    <t>REVERSION PROV.COSTOS - ABR26 - TRX IQVIA 2025</t>
  </si>
  <si>
    <t>REVERSION PROV.COSTOS - ABR26 - TRX IQVIA 2026</t>
  </si>
  <si>
    <t>TRX IQVIA - MAR-ABR 2026</t>
  </si>
  <si>
    <t>TRX IQVIA - ABRIL 2026</t>
  </si>
  <si>
    <t>TRX IQVIA - MAR-ABR2026</t>
  </si>
  <si>
    <t>RWEGULARIZAR SALDO CTA CTE PURICELLI</t>
  </si>
  <si>
    <t>CONST.PROV.COSTOS - MAY26 - TRX IQVIA 2025</t>
  </si>
  <si>
    <t>CONST.PROV.COSTOS - MAY26 - TRX IQVIA 2026</t>
  </si>
  <si>
    <t>REVERSION PROV.COSTOS - ABR26 - SERDATA</t>
  </si>
  <si>
    <t>FORM PANALAB 94.833 - ABR26</t>
  </si>
  <si>
    <t>CONST.PROV.COSTOS - MAY26 - SERDATA</t>
  </si>
  <si>
    <t>REVERSION PROV.COSTOS - ABR26 - BIZLAND</t>
  </si>
  <si>
    <t>TSA ABR-26 - SERV.PROF.RR.HH - A1</t>
  </si>
  <si>
    <t>TSA ABR26 - SERV PROF ADICION - A2</t>
  </si>
  <si>
    <t>TSA -ABR26 - SERV EN U$S - A3</t>
  </si>
  <si>
    <t>CONST.PROV.COSTOS - MAY26 - BIZLAND</t>
  </si>
  <si>
    <t>DEVENG.AMORTIZ-BZ-RED HAT LINUX -(P2025) - MAY26</t>
  </si>
  <si>
    <t>DEVENG.AMORTIZ. BZ - RENOV BASE4 (P2025) - MAY26</t>
  </si>
  <si>
    <t>DEVENG.AMORTIZ. BZ - RENOV TENABLE (P2025) - MAY26</t>
  </si>
  <si>
    <t>DEVENG.AMORTIZ. BZ - RENOV ZMA (P2025) - MAY26</t>
  </si>
  <si>
    <t>DEVENG.AMORTIZ. BZ - RENOV JIRA (P2025) - MAY26</t>
  </si>
  <si>
    <t>DEVENG.AMORTIZ. BZ - RENOV TELEXTORAGE (P2025) - MAY26</t>
  </si>
  <si>
    <t>DEVENG.AMORTIZ. BZ - RENOV FORTRA (P2025) - MAY26</t>
  </si>
  <si>
    <t>DEVENG.AMORTIZ. BZ - RENOV ZNET PRTG (P2025) - MAY26</t>
  </si>
  <si>
    <t>DEVENG.AMORTIZ. BZ - RENOV SERV NOW (P2025) - MAY26</t>
  </si>
  <si>
    <t>DEVENG.AMORTIZ. BZ - RENOV AMERICA (P2025) - MAY26</t>
  </si>
  <si>
    <t>DEVENG.AMORTIZ. BZ - RENOV MICROSOFT (P2025) - MAY26</t>
  </si>
  <si>
    <t>DEVENG.AMORTIZ. BZ - RENOV COMMVALT (P2025) - MAY26</t>
  </si>
  <si>
    <t>DEVENG.AMORTIZ. BZ - RENOV FORTRA (P2026) - MAY26</t>
  </si>
  <si>
    <t>DEVENG.AMORTIZ. BZ - RENOV SOP CISCO-AMERICA (P2026) - MAY26</t>
  </si>
  <si>
    <t xml:space="preserve">HONORARIOS MES MAYO 2026 </t>
  </si>
  <si>
    <t>SIST ADM CONTABLE - MAY0 2026</t>
  </si>
  <si>
    <t>BARCIA CARLOS DANIEL</t>
  </si>
  <si>
    <t>HONORARIOS AUM CAPITAL</t>
  </si>
  <si>
    <t>CONST.PROV.COSTOS - MAY26 - LIBRO SUELDOS DIG</t>
  </si>
  <si>
    <t>Asiento de sueldos 2026-05</t>
  </si>
  <si>
    <t>Provisión SAC 1er Semestre 2026 - 2026/05</t>
  </si>
  <si>
    <t>Prov. Gratificación 2026 - Dev. 2026-05</t>
  </si>
  <si>
    <t>Prov. Vacaciones 2026 - Dev. 2026-05</t>
  </si>
  <si>
    <t>SMA 05-2026 + AJ 04-26 + OPS 05-26</t>
  </si>
  <si>
    <t>BONIF-APORTES 04 Y 05/2026</t>
  </si>
  <si>
    <t>AJ 05/26 3,5% FC 01020-01097848</t>
  </si>
  <si>
    <t>ND ALTA EC - AJ FC 1097848</t>
  </si>
  <si>
    <t>SERV.MED.ASIST - ABR26</t>
  </si>
  <si>
    <t>REVERSION PROV.COSTOS - ABR26 - OSDE</t>
  </si>
  <si>
    <t>PLAN GALO MUÑOZ - ABRIL 2026</t>
  </si>
  <si>
    <t>SMA - MAYO 2026</t>
  </si>
  <si>
    <t>SERV.RR.HH. - MAY26</t>
  </si>
  <si>
    <t>TICKET CAR - GESTION - MAY26</t>
  </si>
  <si>
    <t>TICKET CAR - LIQ.GASTOS - MAYO 2026</t>
  </si>
  <si>
    <t>SERV.PLATAF.TECNOLOG - MAY26</t>
  </si>
  <si>
    <t>REINT.PERSONAL- ESPOSITO HERNAN - PATENTE</t>
  </si>
  <si>
    <t>REINT.PERSONAL - BAÑARES DANIEL - PATENTE</t>
  </si>
  <si>
    <t>REINT.PERSONAL - ASCHIERI VIRGINIA - PATENTE</t>
  </si>
  <si>
    <t>REINT.PERSONAL - HOJMAN LUCAS - VIATICOS</t>
  </si>
  <si>
    <t>REINT.PERSONAL - ASCHIERI VIRGINIA - VIATICOS</t>
  </si>
  <si>
    <t>ZOFIA - GASTOS AL,MUERZOS IA</t>
  </si>
  <si>
    <t>TUCSON - GASTOS ALMUERZOS IA</t>
  </si>
  <si>
    <t>GASTOS ALMUERZOS Y ESTACION - IA</t>
  </si>
  <si>
    <t>EXAMEN PREOC - VERDILE GUILLERMO</t>
  </si>
  <si>
    <t>PARA APLICAR FC 181 - CASO SR FORNES</t>
  </si>
  <si>
    <t>REGULARIZAR SALDO CTA CTE JARIF</t>
  </si>
  <si>
    <t>ZURICH ASEGURADORA ARGENTINA</t>
  </si>
  <si>
    <t>ENDOSO 01 PZA - AUMENTO SUMA MINIMA ASEG</t>
  </si>
  <si>
    <t>DEVENG. SEGUROS - ZURICH - AUTOS GM-DB - MAY26</t>
  </si>
  <si>
    <t>SERV.SOPORTE OPERACIONES - MAY26</t>
  </si>
  <si>
    <t>REVERSION PROV.COSTOS - ABR26 - PADILLA EZEQUIEL</t>
  </si>
  <si>
    <t>HONORARIOS PRES.DIGIT - ABR26</t>
  </si>
  <si>
    <t>PARA ANULAR FC 0002</t>
  </si>
  <si>
    <t>HONORARIOS PRES.DIGITALES - ABR26</t>
  </si>
  <si>
    <t>HONORARIOS - PRES.DIGIT. MAYO 2026</t>
  </si>
  <si>
    <t>ALQ.OFICINA - U$S 3156,75 - MAY 2026</t>
  </si>
  <si>
    <t>LIQUIDACION EXPENSAS - ABR 2026</t>
  </si>
  <si>
    <t>REVERSION PROV.COSTOS - ABR26 - MADISSON - EXPENSAS</t>
  </si>
  <si>
    <t>CONST.PROV.COSTOS - MAY26 - MADISSON - EXPENSAS</t>
  </si>
  <si>
    <t>MUNI VL - ABL - MAY26 - COCHERA 15</t>
  </si>
  <si>
    <t>MUNI VL - ABL - MAY26 - COCHERA 46</t>
  </si>
  <si>
    <t>MUNI VL - ABL - MAY26 - OFICINA</t>
  </si>
  <si>
    <t>MUNI VL - ABL MAYO 2026 - COCHERA 16</t>
  </si>
  <si>
    <t>REVERSION PROV.COSTOS - ABR26 - EDENOR</t>
  </si>
  <si>
    <t>LUZ OFICINA - ABR26</t>
  </si>
  <si>
    <t>CONST.PROV.COSTOS - MAY26 - EDENOR</t>
  </si>
  <si>
    <t>SERVICIO INTERNET - MAYO 2026</t>
  </si>
  <si>
    <t>REVERSION PROV.COSTOS - ABR26 - CLARO</t>
  </si>
  <si>
    <t>CONST.PROV.COSTOS - MAY26 - CLARO</t>
  </si>
  <si>
    <t>SERVICIO INTERNET - ABRIL 2026</t>
  </si>
  <si>
    <t>SERV.IMPRESORA - MAYO 2026</t>
  </si>
  <si>
    <t>CPA INSUMOS ELEM OFICINA</t>
  </si>
  <si>
    <t>COMPRA 3 CARGADORES DELL</t>
  </si>
  <si>
    <t>CONSEJ..CIENC.ECO - CERTIF BALANCE</t>
  </si>
  <si>
    <t xml:space="preserve">CORREGIR IMPUTAC.FC CARREFOUR - OFICINA </t>
  </si>
  <si>
    <t>CPA INSUMOS PARA LA OFICINA</t>
  </si>
  <si>
    <t>PEDIDOS YA - ALMUERZO OFICINA</t>
  </si>
  <si>
    <t>SERV DISPENSER AGUA OFICINA - MAY26</t>
  </si>
  <si>
    <t>DEVENG.AMORTIZ. OPORTUTEK - 1 NTB - CPA 01-25 - MAY26</t>
  </si>
  <si>
    <t>DEVENG.AMORTIZ. DAMARFU - INST SW - MAY26</t>
  </si>
  <si>
    <t>DEVENG.AMORTIZ. LA SOLIDA - 2 NTB - CPA 02-25 - MAY26</t>
  </si>
  <si>
    <t>DEVENG.AMORTIZ. DAMARFU - 2 NTB - CPA 02-25 - MAY26</t>
  </si>
  <si>
    <t>DEVENG.AMORTIZ. QUICK SUP - 2 NTB - CPA 04-25 - MAY26</t>
  </si>
  <si>
    <t>DEVENG.AMORTIZ. LA SOLIDA - 2 NTB - CPA 06-25 - MAY26</t>
  </si>
  <si>
    <t>DEVENG.AMORTIZ. LA SOLIDA - 1 NTB - CPA 09-25 - MAY26</t>
  </si>
  <si>
    <t>DEVENG.AMORTIZ. LENOVO - 2 NTB - CPA 01-26 - MAY26</t>
  </si>
  <si>
    <t>DEVENG.AMORTIZ. LENOVO - 2 NTB - CPA 03-26 - MAY26</t>
  </si>
  <si>
    <t>5424</t>
  </si>
  <si>
    <t>PLATZI - CAPACITACION U$S 1250</t>
  </si>
  <si>
    <t>DEVENG. SEGUROS - GARANTOR - FIANZA ALQ - MAY26</t>
  </si>
  <si>
    <t>INFORME TECNICO - SALDO</t>
  </si>
  <si>
    <t>SERV.LIMPIEZA OFICINA -MAYO26</t>
  </si>
  <si>
    <t>DEVENG,AMORTIZ. GASTOS ORGANIZ. - MAY26</t>
  </si>
  <si>
    <t>5416</t>
  </si>
  <si>
    <t>BCO CORP - IMP.CREDITOS - MAY26</t>
  </si>
  <si>
    <t>BCO CORP - IMP.DEBITOS - MAY26</t>
  </si>
  <si>
    <t>REVERSION PROV.COSTOS - ABR26 - FRONTIER - TECN</t>
  </si>
  <si>
    <t>SERVICIOS TECNOLOGICOS - ABR26</t>
  </si>
  <si>
    <t>FRONTIER - PAMI COMERC - CONST.PROV.COSTOS - MAY26</t>
  </si>
  <si>
    <t>REVERSION PROV.COSTOS - ABR26 - FRONTIER - GCIA</t>
  </si>
  <si>
    <t>SERV.GERENCIAMIENTO - ABR26</t>
  </si>
  <si>
    <t>FRONTIER - CLOUD - CONST.PROV.COSTOS - MAY26</t>
  </si>
  <si>
    <t>FRONTIER - DIF TC CLOUD MARZO - CONST.PROV.COSTOS - MAY26</t>
  </si>
  <si>
    <t>FRONTIER - CLOUD HS ADIC OS - CONST.PROV.COSTOS - MAY26</t>
  </si>
  <si>
    <t>FRONTIER - NETACTICS - CONST.PROV.COSTOS - MAY26</t>
  </si>
  <si>
    <t>FRONTIER - AGENCIA DIGITAL - CONST.PROV.COSTOS - MAY26</t>
  </si>
  <si>
    <t>FRONTIER - OSANA MGMT - CONST.PROV.COSTOS - MAY26</t>
  </si>
  <si>
    <t>GASTOS MANTENIM.CUENTA - MAYO 2026</t>
  </si>
  <si>
    <t>PAGO FC 28488</t>
  </si>
  <si>
    <t>PAGO FC 14094</t>
  </si>
  <si>
    <t>PAGO FC 2560</t>
  </si>
  <si>
    <t>Por resultado FCI 2026-05</t>
  </si>
  <si>
    <t>Actualización saldo cta.cte. U$S 2026-05</t>
  </si>
  <si>
    <t>5128</t>
  </si>
  <si>
    <t>INTERESES BANCARIOS GANADOS 05/2026</t>
  </si>
  <si>
    <t>MUNI VL - TASA SEG HIG - ABR26</t>
  </si>
  <si>
    <t>Prov. TSH 2026-05</t>
  </si>
  <si>
    <t>Rev. Prov. TSH 2026-04</t>
  </si>
  <si>
    <t>DDJJ Impuesto a las Ganancias 2025</t>
  </si>
  <si>
    <t>Provisión IG 2026 - 2026-05</t>
  </si>
  <si>
    <t>(al 30/09/25)</t>
  </si>
  <si>
    <t>Ventas</t>
  </si>
  <si>
    <t>Budget</t>
  </si>
  <si>
    <t>RFC</t>
  </si>
  <si>
    <t xml:space="preserve">% de </t>
  </si>
  <si>
    <t>inflación</t>
  </si>
  <si>
    <t>crecimiento</t>
  </si>
  <si>
    <t>(sin incidencia IIBB)</t>
  </si>
  <si>
    <t>FY 2025</t>
  </si>
  <si>
    <t>estimada 2026</t>
  </si>
  <si>
    <t>neto</t>
  </si>
  <si>
    <t>proyectada 2025</t>
  </si>
  <si>
    <t>Total Ventas</t>
  </si>
  <si>
    <t>Costos</t>
  </si>
  <si>
    <t>Gastos Comercializacion</t>
  </si>
  <si>
    <t>Total Costos</t>
  </si>
  <si>
    <t>Premisas Presupuesto 2026</t>
  </si>
  <si>
    <t>Variables Económicas:</t>
  </si>
  <si>
    <t>Se asume una inflación del 1,5% mensual</t>
  </si>
  <si>
    <t>Inflación Anual 19,56%</t>
  </si>
  <si>
    <t>Se inicia con un dolar BNA enero 1500 y se ajusta el 1,5% mensual</t>
  </si>
  <si>
    <t>dolar BNA ene-26</t>
  </si>
  <si>
    <t>dolar BNA dic-26</t>
  </si>
  <si>
    <t>El dolar Mep es el 2,5% por sobre el BNA</t>
  </si>
  <si>
    <t>dalor Mep ene-26</t>
  </si>
  <si>
    <t>dolar Mep dic-26</t>
  </si>
  <si>
    <t>RRHH:</t>
  </si>
  <si>
    <t>Se consideran 3 ingresos de recursos:  1 desarrollador (enero) + 1 operador (febrero) + 1 desarrollador (abril)</t>
  </si>
  <si>
    <t xml:space="preserve">se considera incremento salarial por performance en Enero del 6,5% </t>
  </si>
  <si>
    <t>se considera incremento salarial por ipc acumulado trimestral en Abril, Julio y Octubre</t>
  </si>
  <si>
    <t>Recambio Tecnológico:</t>
  </si>
  <si>
    <t>Se considera compra de notebook y monitor unicamente en los 3 casos de nuevos recursos</t>
  </si>
  <si>
    <t>Se considera recambio de celular 1 por mes</t>
  </si>
  <si>
    <t>Proveedores:</t>
  </si>
  <si>
    <t>Se prevee una reducción de la contratación del proveedor Reserv al 50% en todas sus lineas desde el mes de Julio2026</t>
  </si>
  <si>
    <t>REAL ACUM MAR</t>
  </si>
  <si>
    <t>BDGT</t>
  </si>
  <si>
    <t>BDGT ACUM MAR</t>
  </si>
  <si>
    <t>P&amp;L</t>
  </si>
  <si>
    <t>Revenue</t>
  </si>
  <si>
    <t>Sales Tax</t>
  </si>
  <si>
    <t>Gross margin</t>
  </si>
  <si>
    <t>Professional fees</t>
  </si>
  <si>
    <t>Travel</t>
  </si>
  <si>
    <t>Marketing&amp;Advertising</t>
  </si>
  <si>
    <t>Miscellaneous</t>
  </si>
  <si>
    <t>EBITDA</t>
  </si>
  <si>
    <t>Other income</t>
  </si>
  <si>
    <t>Income tax</t>
  </si>
  <si>
    <t>Net (loss) income</t>
  </si>
  <si>
    <t>Ingresos por Venta de Servicios</t>
  </si>
  <si>
    <t>Diferencia de Cambio</t>
  </si>
  <si>
    <t xml:space="preserve">Resultados Financieros - </t>
  </si>
  <si>
    <t>Resultados por tenencia</t>
  </si>
  <si>
    <t>Resultados por tenencia FCI</t>
  </si>
  <si>
    <t>Intereses ganados préstamos accionistas</t>
  </si>
  <si>
    <t>Servicios Call Center</t>
  </si>
  <si>
    <t>Mantenimiento y Soporte Plataforma</t>
  </si>
  <si>
    <t>Evolucion Desarrollo</t>
  </si>
  <si>
    <t>Mantenimiento de Licencias</t>
  </si>
  <si>
    <t>Servicios de CRM de llamadas telefonicas</t>
  </si>
  <si>
    <t>Diseño de Pagina WEB</t>
  </si>
  <si>
    <t>Servicio de Captura y Envio de transacciones</t>
  </si>
  <si>
    <t>Servicio de Formularios Panalab</t>
  </si>
  <si>
    <t>Otros general</t>
  </si>
  <si>
    <t>Energia Electrica</t>
  </si>
  <si>
    <t>Comunicaciones</t>
  </si>
  <si>
    <t>Movilidad</t>
  </si>
  <si>
    <t>Accesorios de hardware</t>
  </si>
  <si>
    <t>Sueldos y salarios administrativos</t>
  </si>
  <si>
    <t>Cargas Sociales administrativas</t>
  </si>
  <si>
    <t>Honorarios Administracion</t>
  </si>
  <si>
    <t>Comisiones y Gastos bancarios</t>
  </si>
  <si>
    <t>Gastos de Oficina</t>
  </si>
  <si>
    <t>Alquileres y Expensas</t>
  </si>
  <si>
    <t>Seguros</t>
  </si>
  <si>
    <t>Servicios de Mantenimiento y Limpieza</t>
  </si>
  <si>
    <t>Representacion</t>
  </si>
  <si>
    <t>Refrigerios y Supermercado</t>
  </si>
  <si>
    <t>Tasas Varias</t>
  </si>
  <si>
    <t>Impuesto a las ganancias</t>
  </si>
  <si>
    <t>Depreciaciones Equipos de computacion</t>
  </si>
  <si>
    <t>Depreciacion Software</t>
  </si>
  <si>
    <t>Depreciación Gastos de Organización</t>
  </si>
  <si>
    <t>Depreciación Servidores</t>
  </si>
  <si>
    <t>Servicios de terceros</t>
  </si>
  <si>
    <t>Impuestos sobre los IIBB</t>
  </si>
  <si>
    <t>Impuesto Percep. II.BB Córdoba</t>
  </si>
  <si>
    <t>Gastos de marketing</t>
  </si>
  <si>
    <t>Gastos de comercializacion.</t>
  </si>
  <si>
    <t>Impuestos Sobre Bienes Personales (Acc/Part)</t>
  </si>
  <si>
    <t>Intereses Perdidos y Multas</t>
  </si>
  <si>
    <t>Ingresos de Personal</t>
  </si>
  <si>
    <t>ipc estimado</t>
  </si>
  <si>
    <t>Meses en los que se suma</t>
  </si>
  <si>
    <t>desarrolladores</t>
  </si>
  <si>
    <t>enero y abril</t>
  </si>
  <si>
    <t>operaciones</t>
  </si>
  <si>
    <t>febrero</t>
  </si>
  <si>
    <t>dic-25</t>
  </si>
  <si>
    <t>ACTUALIZAR CANTIDAD DE LICENCIAS SEGUN INGRESOS</t>
  </si>
  <si>
    <t>Calculo Mensual de Vacaciones y Bono</t>
  </si>
  <si>
    <t>Monto Anual</t>
  </si>
  <si>
    <t>Prorrateo</t>
  </si>
  <si>
    <t>a definir por IA</t>
  </si>
  <si>
    <t>Mensual</t>
  </si>
  <si>
    <t>ajuste aplicado en cada mes</t>
  </si>
  <si>
    <t>Fuente: Mail Analia de Martin 20/11/2025</t>
  </si>
  <si>
    <t>Abr-25</t>
  </si>
  <si>
    <t>Prov. Vacaciones</t>
  </si>
  <si>
    <t>base salarial dic2025</t>
  </si>
  <si>
    <t>Prov. Vacaciones (Cargas sociales)</t>
  </si>
  <si>
    <t>Total Provi Vacaciones y Cs Sociales</t>
  </si>
  <si>
    <t>Prov. Bono 75%</t>
  </si>
  <si>
    <t>Prov. Bono (Cargas sociales)</t>
  </si>
  <si>
    <t>Total Provi Bono y Cs Sociales</t>
  </si>
  <si>
    <t>multiplicador costo total empresa por sueldo bruto</t>
  </si>
  <si>
    <t>Dias hábiles 2025</t>
  </si>
  <si>
    <t>REAL TRX 2025</t>
  </si>
  <si>
    <t>Servicio Basico Online PREPAGAS</t>
  </si>
  <si>
    <t>Servicio Basico Online APROSS</t>
  </si>
  <si>
    <t>Servicio Basico Online IOMA</t>
  </si>
  <si>
    <t>Receta Electrónica Prepagas</t>
  </si>
  <si>
    <t>Receta Electrónica Apross</t>
  </si>
  <si>
    <t>Receta Electrónica IOMA</t>
  </si>
  <si>
    <t>Servicio Basico On Line PAMI</t>
  </si>
  <si>
    <t>Servicio Basico On Line PAMI Imposiciones</t>
  </si>
  <si>
    <t>se prevee un IPC de 1,5% en Julio</t>
  </si>
  <si>
    <t>Variación estacional Prepagas 2025</t>
  </si>
  <si>
    <t>Variación estacional Apross 2025</t>
  </si>
  <si>
    <t>Variación estacional IOMA 2025</t>
  </si>
  <si>
    <t>Variación estacional Rec Elect Prepagas 2025</t>
  </si>
  <si>
    <t>Variación estacional  Rec Elect Apross 2025</t>
  </si>
  <si>
    <t>Variación estacional  Rec Elect IOMA 2025</t>
  </si>
  <si>
    <t>REAL Precio x TRX 2025</t>
  </si>
  <si>
    <t>IPC Indec mensual proyectado 2025</t>
  </si>
  <si>
    <t>REAL Facturación 2025</t>
  </si>
  <si>
    <t>Dias hábiles 2026</t>
  </si>
  <si>
    <t>BDGT TRX 2026</t>
  </si>
  <si>
    <t xml:space="preserve">  -&gt; IGUAL REAL A SEPT 2025 + RFC Q4 2025</t>
  </si>
  <si>
    <t>Presentaciones Digitales</t>
  </si>
  <si>
    <t>desde abril se considera un 5% acumulativo mensual sobre la cant de TRX Pami</t>
  </si>
  <si>
    <t>BDGT Precio x TRX 2026</t>
  </si>
  <si>
    <t>IPC Indec mensual proyectado 2026</t>
  </si>
  <si>
    <t>inflación anual</t>
  </si>
  <si>
    <t>BDGT Facturación 2026</t>
  </si>
  <si>
    <t>crec s/pres digitales</t>
  </si>
  <si>
    <t>Total Facturación BDGT FLK 2026</t>
  </si>
  <si>
    <t>Gap TRX</t>
  </si>
  <si>
    <t>Gap Precio</t>
  </si>
  <si>
    <t>Gap Facturación</t>
  </si>
  <si>
    <t>crecim c/pres digitales</t>
  </si>
  <si>
    <t>RFC 2025 (Nov25)</t>
  </si>
  <si>
    <t>Facturación Astra - Programa Elegir Salud</t>
  </si>
  <si>
    <t>Septiembre 2025 (*) Real</t>
  </si>
  <si>
    <t>Octubre 2025 RFC</t>
  </si>
  <si>
    <t>Noviembre 2025 RFC</t>
  </si>
  <si>
    <t>Diciembre 2025 RFC</t>
  </si>
  <si>
    <t>Enero 2026 RFC</t>
  </si>
  <si>
    <t>Febrero 2026 RFC</t>
  </si>
  <si>
    <t>Marzo 2026 RFC</t>
  </si>
  <si>
    <t>Abril 2026 RFC</t>
  </si>
  <si>
    <t>Mayo 2026 RFC</t>
  </si>
  <si>
    <t>Junio 2026 RFC</t>
  </si>
  <si>
    <t>Julio 2026 RFC</t>
  </si>
  <si>
    <t>Agosto 2026 RFC</t>
  </si>
  <si>
    <t>Septiembre 2026 RFC</t>
  </si>
  <si>
    <t>Octubre 2026 RFC</t>
  </si>
  <si>
    <t>Noviembre 2026 RFC</t>
  </si>
  <si>
    <t>Diciembre 2026 RFC</t>
  </si>
  <si>
    <t>Cantidad</t>
  </si>
  <si>
    <t>Precio Unit. Ago-25</t>
  </si>
  <si>
    <t>Precio Unit. Sept-25</t>
  </si>
  <si>
    <t>Total a Facturar</t>
  </si>
  <si>
    <t>Precio Unitario</t>
  </si>
  <si>
    <t>Total</t>
  </si>
  <si>
    <t xml:space="preserve">Operación </t>
  </si>
  <si>
    <t xml:space="preserve">Cápitas Activas Adicionales a 12,000 </t>
  </si>
  <si>
    <t>Auditoría basada en Alertas Tempranas</t>
  </si>
  <si>
    <t>Supervisor de Cutomer Service – Valor Horario por Recurso</t>
  </si>
  <si>
    <t>Auditoría Digital - Servicio Base (Bonificado 50%)</t>
  </si>
  <si>
    <t>Auditoría Digital - Cápitas Adicionales (Bonificado 50%)</t>
  </si>
  <si>
    <t>Operadores Call Center Beneficiarios Suma Fija Agosto (**)</t>
  </si>
  <si>
    <t>Operadores Call Center Beneficiarios (**)</t>
  </si>
  <si>
    <t>(*) Todos los items se actualizan por IPC Caba del mes anterior al de la prestación del servicio.  En el caso de Operadores Call Center, se aplica lo homologado por Convenio de Comercio.</t>
  </si>
  <si>
    <t>IPC Caba mensual proyectado</t>
  </si>
  <si>
    <t>(**) Convenio de Comercio mensual proyectado</t>
  </si>
  <si>
    <t>VALIDADO CON LUIS CONVENIO DE COMERCIO</t>
  </si>
  <si>
    <t>Costo Astra</t>
  </si>
  <si>
    <t>Septiembre 2025</t>
  </si>
  <si>
    <t>Operación</t>
  </si>
  <si>
    <t xml:space="preserve">Cápitas Activas Adicionales a 10.000 </t>
  </si>
  <si>
    <t>Total Avanter</t>
  </si>
  <si>
    <t>Operador CALL CENTER</t>
  </si>
  <si>
    <t>Monto Fijo</t>
  </si>
  <si>
    <t>Total Indicom</t>
  </si>
  <si>
    <t>Variación según IPC (mes de facturación)</t>
  </si>
  <si>
    <t>Facturación Abril 2022</t>
  </si>
  <si>
    <t>Facturación Mayo 2022</t>
  </si>
  <si>
    <t>Facturación Junio 2022</t>
  </si>
  <si>
    <t>Facturación Julio 2022</t>
  </si>
  <si>
    <t>Facturación Agosto 2022</t>
  </si>
  <si>
    <t>Facturación Septiembre 2022</t>
  </si>
  <si>
    <t>Facturación Octubre 2022</t>
  </si>
  <si>
    <t>Facturación Noviembre 2022</t>
  </si>
  <si>
    <t>Facturación Diciembre 2022</t>
  </si>
  <si>
    <t>Facturación Enero 2023</t>
  </si>
  <si>
    <t>Facturación Febrero 2023</t>
  </si>
  <si>
    <t>Facturación Marzo 2023</t>
  </si>
  <si>
    <t>IPC Abril 2022</t>
  </si>
  <si>
    <t>IPC Mayo 2022</t>
  </si>
  <si>
    <t>IPC Junio 2022</t>
  </si>
  <si>
    <t>IPC Julio 2022</t>
  </si>
  <si>
    <t>IPC Agosto 2022</t>
  </si>
  <si>
    <t>IPC Septiembre 2022</t>
  </si>
  <si>
    <t>IPC Octubre 2022</t>
  </si>
  <si>
    <t>IPC Noviembre 2022</t>
  </si>
  <si>
    <t>IPC Diciembre 2022</t>
  </si>
  <si>
    <t>IPC Enero 2023</t>
  </si>
  <si>
    <t>IPC Febrero 2023</t>
  </si>
  <si>
    <t>Concepto</t>
  </si>
  <si>
    <t>Auditoría Digital - Servicio Base</t>
  </si>
  <si>
    <t>Auditoría Digital - Cápitas Adicionales</t>
  </si>
  <si>
    <t>Facturación Abril 2023</t>
  </si>
  <si>
    <t>Facturación Mayo 2023</t>
  </si>
  <si>
    <t>Facturación Junio 2023</t>
  </si>
  <si>
    <t>Facturación Julio 2023</t>
  </si>
  <si>
    <t>Facturación Agosto 2023</t>
  </si>
  <si>
    <t>Facturación Septiembre 2023</t>
  </si>
  <si>
    <t>Facturación Octubre 2023</t>
  </si>
  <si>
    <t>Facturación Noviembre 2023</t>
  </si>
  <si>
    <t>Facturación Diciembre 2023</t>
  </si>
  <si>
    <t>Facturación Enero 2024</t>
  </si>
  <si>
    <t>Facturación Febrero 2024</t>
  </si>
  <si>
    <t>Facturación Marzo 2024</t>
  </si>
  <si>
    <t>IPC Marzo 2023</t>
  </si>
  <si>
    <t>IPC Abril 2023</t>
  </si>
  <si>
    <t>IPC Mayo 2023</t>
  </si>
  <si>
    <t>IPC Junio 2023</t>
  </si>
  <si>
    <t>IPC Julio 2023</t>
  </si>
  <si>
    <t>IPC Agosto 2023</t>
  </si>
  <si>
    <t>IPC Septiembre 2023</t>
  </si>
  <si>
    <t>IPC Octubre 2023</t>
  </si>
  <si>
    <t>IPC Noviembre 2023</t>
  </si>
  <si>
    <t>IPC Diciembre 2023</t>
  </si>
  <si>
    <t>IPC Enero 2024</t>
  </si>
  <si>
    <t>IPC Febrero 2024</t>
  </si>
  <si>
    <t>Facturación Abril 2024</t>
  </si>
  <si>
    <t>Facturación Mayo 2024</t>
  </si>
  <si>
    <t>Facturación Junio 2024</t>
  </si>
  <si>
    <t>Facturación Julio 2024</t>
  </si>
  <si>
    <t>Facturación Agosto 2024</t>
  </si>
  <si>
    <t>Facturación Septiembre 2024</t>
  </si>
  <si>
    <t>Facturación Octubre 2024</t>
  </si>
  <si>
    <t>Facturación Noviembre 2024</t>
  </si>
  <si>
    <t>Facturación Diciembre 2024</t>
  </si>
  <si>
    <t>Facturación Enero 2025</t>
  </si>
  <si>
    <t>Facturación Febrero 2025</t>
  </si>
  <si>
    <t>Facturación Marzo  2025</t>
  </si>
  <si>
    <t>IPC Marzo 2024</t>
  </si>
  <si>
    <t>IPC Abril 2024</t>
  </si>
  <si>
    <t>IPC Mayo 2024</t>
  </si>
  <si>
    <t>IPC Junio 2024</t>
  </si>
  <si>
    <t>IPC Julio 2024</t>
  </si>
  <si>
    <t>IPC Agosto 2024</t>
  </si>
  <si>
    <t>IPC Septiembre 2024</t>
  </si>
  <si>
    <t>IPC Octubre 2024</t>
  </si>
  <si>
    <t>IPC Noviembre 2024</t>
  </si>
  <si>
    <t>IPC Diciembre 2024</t>
  </si>
  <si>
    <t>IPC Enero 2025</t>
  </si>
  <si>
    <t>IPC Febrero 2025</t>
  </si>
  <si>
    <t>Facturación Abril 2025</t>
  </si>
  <si>
    <t>Facturación Mayo 2025</t>
  </si>
  <si>
    <t>Facturación Junio 2025</t>
  </si>
  <si>
    <t>Facturación Julio 2025</t>
  </si>
  <si>
    <t>Facturación Agosto 2025</t>
  </si>
  <si>
    <t>Facturación Septiembre 2025</t>
  </si>
  <si>
    <t>RFC Octubre</t>
  </si>
  <si>
    <t>RFC Noviembre</t>
  </si>
  <si>
    <t>RFC Diciembre</t>
  </si>
  <si>
    <t>IPC Marzo 2025</t>
  </si>
  <si>
    <t>IPC Abril 2025</t>
  </si>
  <si>
    <t>IPC Mayo 2025</t>
  </si>
  <si>
    <t>IPC Junio 2025</t>
  </si>
  <si>
    <t>IPC Julio 2025</t>
  </si>
  <si>
    <t>IPC Agosto 2025</t>
  </si>
  <si>
    <t>Facturación Más Simple Bayer- Septiembre 2025</t>
  </si>
  <si>
    <t>Abono Mínimo (*)</t>
  </si>
  <si>
    <t>Total Vendido</t>
  </si>
  <si>
    <t>% PVP</t>
  </si>
  <si>
    <t>Operación Servicio</t>
  </si>
  <si>
    <t>IPC Indec mensual proyectado</t>
  </si>
  <si>
    <t>(*)</t>
  </si>
  <si>
    <t>En Septiembre 2025 el valor del abono mínimo se incrementó con el mismo porcentaje de aumento que tuvieron los productos incluidos en el programa durante el último trimestre.</t>
  </si>
  <si>
    <t>COLGATE PALMOLIVE</t>
  </si>
  <si>
    <t>Estimación Facturación Licha Dic 25</t>
  </si>
  <si>
    <t>luego actualiza por IPC Mensual</t>
  </si>
  <si>
    <t>HEALTHCARE</t>
  </si>
  <si>
    <t>luego actualiza por IPC Trimestral</t>
  </si>
  <si>
    <t>Cli_id</t>
  </si>
  <si>
    <t>Conceptos</t>
  </si>
  <si>
    <t>FACTURACIÓN SIDUS FARMA</t>
  </si>
  <si>
    <t>Precio cerrado en propuesta vigente</t>
  </si>
  <si>
    <t>finaliza propuesta</t>
  </si>
  <si>
    <t>Mes 8</t>
  </si>
  <si>
    <t>mes 9</t>
  </si>
  <si>
    <t>mes 10</t>
  </si>
  <si>
    <t>mes 11</t>
  </si>
  <si>
    <t>mes 12</t>
  </si>
  <si>
    <t>Envases Aprobados</t>
  </si>
  <si>
    <t>Monto Total</t>
  </si>
  <si>
    <t>PVP Promedio</t>
  </si>
  <si>
    <t xml:space="preserve">$ Total Facturación </t>
  </si>
  <si>
    <t>Sidus Farma BONOS Dispensas</t>
  </si>
  <si>
    <t>Mínimo Facturable x Propuesta Mes 7</t>
  </si>
  <si>
    <t>TOTAL A FACTURAR</t>
  </si>
  <si>
    <t>= minimo feb</t>
  </si>
  <si>
    <t xml:space="preserve"> en mayo se actualiza por ipc indec trimestral</t>
  </si>
  <si>
    <t xml:space="preserve"> actualiza por ipc indec trimestral</t>
  </si>
  <si>
    <t>LICHA: Se reduciría el programa (LICHA AVISA NOVEDADES)</t>
  </si>
  <si>
    <t>FACTURACIÓN TRANSACCIONAL SIDUS DERMO</t>
  </si>
  <si>
    <t>Actualización Mensual por IPC Indec</t>
  </si>
  <si>
    <t>PRECIOS UNITARIOS</t>
  </si>
  <si>
    <t>Valor x TRX Septiembre 25 con IPC</t>
  </si>
  <si>
    <t>Total TRX Septiembre 2025</t>
  </si>
  <si>
    <t>Facturac Sept25</t>
  </si>
  <si>
    <t>SIDUS BONOS</t>
  </si>
  <si>
    <t>SIDUS DINAMICAS</t>
  </si>
  <si>
    <t>SIDUS CÓDIGOS DINAMICAS</t>
  </si>
  <si>
    <t>FACTURACIÓN PLATAFORMA EMISIÓN BONOS DIGITALES  (BONOS DERMO)</t>
  </si>
  <si>
    <t>Actualización Trimestral por IPC Indec</t>
  </si>
  <si>
    <t>USO DE LA PLATAFORMA</t>
  </si>
  <si>
    <t>MENSAJES WHATSAPP</t>
  </si>
  <si>
    <t>Valor dólar</t>
  </si>
  <si>
    <t>Proyección Dolar BNA</t>
  </si>
  <si>
    <t>Meses</t>
  </si>
  <si>
    <t>FACTURACIÓN TOTAL SIDUS DERMO</t>
  </si>
  <si>
    <t>Evolución IPC CABA</t>
  </si>
  <si>
    <t>Facturado</t>
  </si>
  <si>
    <t>Base Octubre 2023</t>
  </si>
  <si>
    <t>SR estimó</t>
  </si>
  <si>
    <t>MES</t>
  </si>
  <si>
    <t>FACTURACIÓN TRANSACCIONAL</t>
  </si>
  <si>
    <t>FACTURACIÓN PLATAFORMA EMISIÓN BONOS DIGITALES</t>
  </si>
  <si>
    <t>COSTO AVANTER (SIDUS DERMO)</t>
  </si>
  <si>
    <t>COSTOS UNITARIOS</t>
  </si>
  <si>
    <t>TRX Bonos</t>
  </si>
  <si>
    <t>TRX Bonos Dinamicas (hasta 25.000)</t>
  </si>
  <si>
    <t>Armado Dinamicas</t>
  </si>
  <si>
    <t>Total Costo Avanter por Sidus Dermo</t>
  </si>
  <si>
    <t>FACTURACION año 2025</t>
  </si>
  <si>
    <t>IQVIA</t>
  </si>
  <si>
    <t>WORLD SALUD</t>
  </si>
  <si>
    <t>Proyección año 2026</t>
  </si>
  <si>
    <t>Registros comprados por IQVIA</t>
  </si>
  <si>
    <t>Farmacias IQVIA</t>
  </si>
  <si>
    <t>precio unitario registros válidos farmacias Iqvia</t>
  </si>
  <si>
    <t>precio unitario registros con prescripción Iqvia (otras dispensas)</t>
  </si>
  <si>
    <t>Farmacias Wsalud</t>
  </si>
  <si>
    <t>precio unitario registro válido farmacias WS</t>
  </si>
  <si>
    <t>precio unitario registros con prescripción WS (otras dispensas)</t>
  </si>
  <si>
    <t>PROYECCIÓN</t>
  </si>
  <si>
    <t>AÑO 2025</t>
  </si>
  <si>
    <t>AÑO 2026</t>
  </si>
  <si>
    <t>Hipótesis</t>
  </si>
  <si>
    <t>Registros Farmacias</t>
  </si>
  <si>
    <t>Precio fijo Operación</t>
  </si>
  <si>
    <t>Precio farmacia nueva</t>
  </si>
  <si>
    <t>Cuantas???</t>
  </si>
  <si>
    <t>FACTURACIÓN (Registros + Operación)</t>
  </si>
  <si>
    <t>(Incremento 1,30)</t>
  </si>
  <si>
    <t>IIBB 5%</t>
  </si>
  <si>
    <t>Ventas netas de IIBB</t>
  </si>
  <si>
    <t>COSTOS año 2025</t>
  </si>
  <si>
    <t>Real ene-sep2025</t>
  </si>
  <si>
    <t>Estimado oct-dic</t>
  </si>
  <si>
    <t>SWH</t>
  </si>
  <si>
    <t>Resultado bruto</t>
  </si>
  <si>
    <t xml:space="preserve">El costo 2025 a las farmacias y a las SWHouse es de </t>
  </si>
  <si>
    <t>por registro</t>
  </si>
  <si>
    <t>considerar IPC</t>
  </si>
  <si>
    <t>Panalab Manual</t>
  </si>
  <si>
    <t xml:space="preserve"> Septiembre 2025</t>
  </si>
  <si>
    <t>Facturación Proceso Manual Panalab</t>
  </si>
  <si>
    <t>Cantidad Registros Procesados sin Acondicionamiento</t>
  </si>
  <si>
    <t>Valor unitario sin acondicionamiento Registro Septiembre 2025</t>
  </si>
  <si>
    <t>Cantidad Registros Procesados con Acondicionamiento</t>
  </si>
  <si>
    <t>Valor unitario con acondicionamiento Registro Septiembre 2025</t>
  </si>
  <si>
    <t>Cantidad Total Registros Procesados</t>
  </si>
  <si>
    <t>Total a facturar por proceso de Registros</t>
  </si>
  <si>
    <t>Cajas Utilizadas</t>
  </si>
  <si>
    <t>Valor unitario Caja Septiembre 2025</t>
  </si>
  <si>
    <t>Total Facturación</t>
  </si>
  <si>
    <t>IPC CABA mensual proyectado</t>
  </si>
  <si>
    <t>aprox</t>
  </si>
  <si>
    <t>Se toma como base la cantidad de registros procesados estimada por Licha en 135.000 a Nov-25 y sobre esa base se aplica una disminución de un 10% mensual acumulativa</t>
  </si>
  <si>
    <t>llegando a Dic-26 con un aprox de 35.000 registros procesados</t>
  </si>
  <si>
    <t>COSTOS SERDATA</t>
  </si>
  <si>
    <t>Proceso Manual Panalab</t>
  </si>
  <si>
    <t>Cantidad de Registros Procesados</t>
  </si>
  <si>
    <t>Valor Unitario</t>
  </si>
  <si>
    <t>Costo Total</t>
  </si>
  <si>
    <t>* datos históricos</t>
  </si>
  <si>
    <t>Bonos Procesados Agosto</t>
  </si>
  <si>
    <t>IPC CABA</t>
  </si>
  <si>
    <t>Valor unitario Registro Agosto 2025</t>
  </si>
  <si>
    <t>Incremento</t>
  </si>
  <si>
    <t>Bonos Procesados</t>
  </si>
  <si>
    <t>Valor unitario Registro Julio 2025</t>
  </si>
  <si>
    <t>Servicios IMED</t>
  </si>
  <si>
    <t>Factor 1</t>
  </si>
  <si>
    <t>Factor 2</t>
  </si>
  <si>
    <t>Factor 3</t>
  </si>
  <si>
    <t>Valor unitario Registro Mayo 2025</t>
  </si>
  <si>
    <t>Valor registro procesado</t>
  </si>
  <si>
    <t>Valor caja</t>
  </si>
  <si>
    <t>Valor guarda caja</t>
  </si>
  <si>
    <t>base</t>
  </si>
  <si>
    <t>FACTURACIÓN PANALAB BONOS DIGITALES (*)</t>
  </si>
  <si>
    <t>$ Total Facturación sin Mínimo</t>
  </si>
  <si>
    <t>Panalab BONOS Digitales Emisiones</t>
  </si>
  <si>
    <t>Panalab BONOS Digitales Dispensas</t>
  </si>
  <si>
    <t xml:space="preserve"> Envases</t>
  </si>
  <si>
    <t xml:space="preserve">Monto Total </t>
  </si>
  <si>
    <t xml:space="preserve">0,6 % Monto </t>
  </si>
  <si>
    <t>Facturación  Transaccional Bonos Digitales</t>
  </si>
  <si>
    <t xml:space="preserve">(*) </t>
  </si>
  <si>
    <t>Actualiza Mensual por IPC CABA</t>
  </si>
  <si>
    <t>(**)</t>
  </si>
  <si>
    <t>Actualiza Trimestral por IPC CABA  ---&gt;&gt;&gt;</t>
  </si>
  <si>
    <t>FACTURACIÓN PLATAFORMA EMISIÓN BONOS DIGITALES  (BONOS DERMO) PANALAB (**)</t>
  </si>
  <si>
    <t>Precio Total</t>
  </si>
  <si>
    <t>validar con licha</t>
  </si>
  <si>
    <t>Valor dólar  BNA</t>
  </si>
  <si>
    <t>FACTURACIÓN PANALAB BONOS PAPEL ON LINE (*)</t>
  </si>
  <si>
    <t>(1)</t>
  </si>
  <si>
    <t>Panalab BONOS Papel On Line Dispensas</t>
  </si>
  <si>
    <t>RESUMEN TOTAL FACTURACIÓN PANALAB BONOS DIGITALES Y ON LINE</t>
  </si>
  <si>
    <t xml:space="preserve">a partir del mes de enero 2026 se estima que crecerá un 10% en forma mensual </t>
  </si>
  <si>
    <t xml:space="preserve">por la caida del procesamiento manual </t>
  </si>
  <si>
    <t>BONOS DIGITALES</t>
  </si>
  <si>
    <t>PLATAFORMA EMISIÓN BONOS DIGITALES</t>
  </si>
  <si>
    <t>BONOS PAPEL ON LINE</t>
  </si>
  <si>
    <t>COSTO AVANTER (PANALAB)</t>
  </si>
  <si>
    <t>TOTAL COSTO AVANTER</t>
  </si>
  <si>
    <t>Cálculo Incremento del servicio de Bonos Dermo</t>
  </si>
  <si>
    <t>Evol IPC CABA</t>
  </si>
  <si>
    <t>IPC Abril  2024</t>
  </si>
  <si>
    <t>IPC Mayo  2024</t>
  </si>
  <si>
    <t>IPC Junio  2024</t>
  </si>
  <si>
    <t>IPC JuLio  2024</t>
  </si>
  <si>
    <t>IPC Agosto  2024</t>
  </si>
  <si>
    <t>IPC Septiembre  2024</t>
  </si>
  <si>
    <t>IPC Octubre  2024</t>
  </si>
  <si>
    <t>IPC Diciembre  2024</t>
  </si>
  <si>
    <t>IPC CABA Enero 2025</t>
  </si>
  <si>
    <t>IPC CABA Febrero 2025</t>
  </si>
  <si>
    <t>IPC CABA Marzo 2025</t>
  </si>
  <si>
    <t>IPC CABA Abril 2025</t>
  </si>
  <si>
    <t>IPC CABA Mayo 2025</t>
  </si>
  <si>
    <t>IPC CABA Junio 2025</t>
  </si>
  <si>
    <t>IPC CABA Julio 2025</t>
  </si>
  <si>
    <t>IPC CABA Agosto 2025</t>
  </si>
  <si>
    <t>IPC CABA Septiembre 2025</t>
  </si>
  <si>
    <t>Se toma como base la cantidad de emisión y dispensa de bonos y los msjes de whatsapp reales del mes de Septiembre25</t>
  </si>
  <si>
    <t>manteniendo el mismo volumen estable a diciembre 2026</t>
  </si>
  <si>
    <t>% increm. abono</t>
  </si>
  <si>
    <t>precio hasta 70.000</t>
  </si>
  <si>
    <t>Trx Mes</t>
  </si>
  <si>
    <t>Cant Trx Adic</t>
  </si>
  <si>
    <t>precio trx adic.</t>
  </si>
  <si>
    <t>Total Trx Adic a facturar</t>
  </si>
  <si>
    <t>Facturación Provincia ART- SEPTIEMBRE 2025</t>
  </si>
  <si>
    <t>Monto Vendido</t>
  </si>
  <si>
    <t>Monto a Facturar</t>
  </si>
  <si>
    <t>Indice incremento de precios medicamentos (*)</t>
  </si>
  <si>
    <t>(*) se considera ipc trimestral acumulado</t>
  </si>
  <si>
    <t xml:space="preserve">se aplica IPC trimestral acumulado </t>
  </si>
  <si>
    <t>COMPARATIVO</t>
  </si>
  <si>
    <t>precio con actualización mensual por ipc</t>
  </si>
  <si>
    <t>FACTURACIÓN CEODERMA</t>
  </si>
  <si>
    <t>Transacciones CEODERMA</t>
  </si>
  <si>
    <t>FACTURACIÓN MAX VISION</t>
  </si>
  <si>
    <t>$ Total Factur sin Mínimo</t>
  </si>
  <si>
    <t>Max Vision Bonos Transaccionados</t>
  </si>
  <si>
    <t>Facturación Bonos Mayo 2025</t>
  </si>
  <si>
    <t>Laboratorio</t>
  </si>
  <si>
    <t>$ Unitario</t>
  </si>
  <si>
    <t>$ Total</t>
  </si>
  <si>
    <t>BIU COSMECEUTICALS BONOS</t>
  </si>
  <si>
    <t>Facturación Bonos Junio 2025</t>
  </si>
  <si>
    <t>BIU COSMECEUTICALS BONOS</t>
  </si>
  <si>
    <t>Facturación Bonos Julio 2025</t>
  </si>
  <si>
    <t>Facturación Bonos Agosto 2025</t>
  </si>
  <si>
    <t>ago-25</t>
  </si>
  <si>
    <t>Facturación Bonos Septiembre 2025</t>
  </si>
  <si>
    <t xml:space="preserve"> - &gt; Se actualiza en forma trimestral por IPC CABA</t>
  </si>
  <si>
    <t>Precio</t>
  </si>
  <si>
    <t>FY2026</t>
  </si>
  <si>
    <t>COSTO AVANTER POR BIU (Bonos Septiembre 2025)</t>
  </si>
  <si>
    <t xml:space="preserve">Costo </t>
  </si>
  <si>
    <t>Escalones Facturación</t>
  </si>
  <si>
    <t>1 a 25.000</t>
  </si>
  <si>
    <t>Valores  Facturación</t>
  </si>
  <si>
    <t>Cli_ID</t>
  </si>
  <si>
    <t>Total TRX</t>
  </si>
  <si>
    <t>BIU</t>
  </si>
  <si>
    <t>Valores  Facturación</t>
  </si>
  <si>
    <t>coef ajus Q trx</t>
  </si>
  <si>
    <t>LOREAL</t>
  </si>
  <si>
    <t>EUCERIN</t>
  </si>
  <si>
    <t>OFERTAS CASASCO</t>
  </si>
  <si>
    <t>ANDROMACO</t>
  </si>
  <si>
    <t>ISDIN</t>
  </si>
  <si>
    <t>GALDERMA</t>
  </si>
  <si>
    <t>BERNABO</t>
  </si>
  <si>
    <t>EUROLAB</t>
  </si>
  <si>
    <t>CASSARA</t>
  </si>
  <si>
    <t>DINAMICAS BAGO OTC</t>
  </si>
  <si>
    <t>BONOS CAVIAHUE</t>
  </si>
  <si>
    <t>BONOS BY DERM</t>
  </si>
  <si>
    <t>BONOS BIODERMA</t>
  </si>
  <si>
    <t>BONOS FRESENIUS</t>
  </si>
  <si>
    <t>Facturación Dinámicas Septiembre 2025</t>
  </si>
  <si>
    <t>1 a 50.000</t>
  </si>
  <si>
    <t>50.001 a 100.000</t>
  </si>
  <si>
    <t>100.001 a 200.000</t>
  </si>
  <si>
    <t>200.001 a 300.000</t>
  </si>
  <si>
    <t>300.001 a 400.000</t>
  </si>
  <si>
    <t>400.001 a 600.000</t>
  </si>
  <si>
    <t>&gt;600.001</t>
  </si>
  <si>
    <t>1 y 2</t>
  </si>
  <si>
    <t>3 y 4</t>
  </si>
  <si>
    <t>Facturación Eticos Septiembre 2025</t>
  </si>
  <si>
    <t>Labo</t>
  </si>
  <si>
    <t>Programa</t>
  </si>
  <si>
    <t>Límite Cápitas Mes</t>
  </si>
  <si>
    <t>TRXs</t>
  </si>
  <si>
    <t>Cápitas</t>
  </si>
  <si>
    <t>Startup</t>
  </si>
  <si>
    <t>Cápitas Adic. a 12.000</t>
  </si>
  <si>
    <t>TEVA</t>
  </si>
  <si>
    <t>PROGRAMA TEVAcuidar</t>
  </si>
  <si>
    <t>FERRING</t>
  </si>
  <si>
    <t>BENEFICIARTE</t>
  </si>
  <si>
    <t>ROSSMORE</t>
  </si>
  <si>
    <t>ASPEN</t>
  </si>
  <si>
    <t>FARMASPEN</t>
  </si>
  <si>
    <t>NUTRICIA BAGO</t>
  </si>
  <si>
    <t>NUTRICIA SIEMPRE JUNTOS</t>
  </si>
  <si>
    <t>VARIFARMA</t>
  </si>
  <si>
    <t>PROGRAMA VARI TE ACERCA</t>
  </si>
  <si>
    <t>Total AVANTER Septiembre 2025</t>
  </si>
  <si>
    <t>en octubre se aplica incremento</t>
  </si>
  <si>
    <t>IPC indec Agosto Sept y Oct</t>
  </si>
  <si>
    <t>tabla precio viejos</t>
  </si>
  <si>
    <t>tabla precio nuevos</t>
  </si>
  <si>
    <t>septiembre (ponderado)</t>
  </si>
  <si>
    <t>enero</t>
  </si>
  <si>
    <t>ago</t>
  </si>
  <si>
    <t>sep</t>
  </si>
  <si>
    <t>por cant trx</t>
  </si>
  <si>
    <t>abril</t>
  </si>
  <si>
    <t>15% + inflación acum trimestre</t>
  </si>
  <si>
    <t>marzo</t>
  </si>
  <si>
    <t>julio</t>
  </si>
  <si>
    <t>11% + inflación acum trimestre</t>
  </si>
  <si>
    <t>126 + inflación trimestral acumulada</t>
  </si>
  <si>
    <t>octubre</t>
  </si>
  <si>
    <t>6% + inflación acum trimestre</t>
  </si>
  <si>
    <t>mayo</t>
  </si>
  <si>
    <t>pedir a Licha cant de trx enero - diciembre 2026 nuevos labos</t>
  </si>
  <si>
    <t>ene</t>
  </si>
  <si>
    <t>feb</t>
  </si>
  <si>
    <t>mar</t>
  </si>
  <si>
    <t>actualización trimestral por ipc</t>
  </si>
  <si>
    <t>=5% adic a sept</t>
  </si>
  <si>
    <t>= dic</t>
  </si>
  <si>
    <t>= nov</t>
  </si>
  <si>
    <t>=sept</t>
  </si>
  <si>
    <t>fijo hasta enero 2027</t>
  </si>
  <si>
    <t>ajuste en precio por ipc acumulado</t>
  </si>
  <si>
    <t>ajuste en precio (segun negociación)</t>
  </si>
  <si>
    <t>ajuste en trx con base sept</t>
  </si>
  <si>
    <t>PRECIO SOBRE LABOS VIEJOS</t>
  </si>
  <si>
    <t>REAL SEPT</t>
  </si>
  <si>
    <t>se considera un</t>
  </si>
  <si>
    <t>minimo de 400.000 trx aseguradas</t>
  </si>
  <si>
    <t>Q</t>
  </si>
  <si>
    <t>Precio x TRX</t>
  </si>
  <si>
    <t>mensuales (considerando el minimo a nivel semestral)</t>
  </si>
  <si>
    <t>TOTAL VIEJOS</t>
  </si>
  <si>
    <t>VIEJOS</t>
  </si>
  <si>
    <t>PRECIO SOBRE LABOS NUEVOS</t>
  </si>
  <si>
    <t>Licha calculó un crecimiento de trx por nuevos labos en 2025 de 70.000</t>
  </si>
  <si>
    <t>TOTAL NUEVOS</t>
  </si>
  <si>
    <t>se estima un crecimiento por nuevos labos en 2026 de aprox 40.000 trx</t>
  </si>
  <si>
    <t>NUEVOS</t>
  </si>
  <si>
    <t>como surge el precio de los nuevos labos</t>
  </si>
  <si>
    <t>precio inicial</t>
  </si>
  <si>
    <t>desc aplicado</t>
  </si>
  <si>
    <t>precio con desc</t>
  </si>
  <si>
    <t>LABO</t>
  </si>
  <si>
    <t>PVP PROMEDIO</t>
  </si>
  <si>
    <t>Observaciones</t>
  </si>
  <si>
    <t>SIEGFRIED  (a través de ROFINA)</t>
  </si>
  <si>
    <t>(Verde es operación en regimen)</t>
  </si>
  <si>
    <t>LAZAR</t>
  </si>
  <si>
    <t>GUEVARRA GARRE (solo una charla)</t>
  </si>
  <si>
    <t>LABO A</t>
  </si>
  <si>
    <t>LABO B</t>
  </si>
  <si>
    <t>TOTAL FACTURACIÓN NUEVOS LABOS (estimada por Licha)</t>
  </si>
  <si>
    <t>LABOS CERRADOS</t>
  </si>
  <si>
    <t>LABOS EN CONVERSACIONES</t>
  </si>
  <si>
    <t>LABOS HIPOTESIS</t>
  </si>
  <si>
    <t>Envases Mes</t>
  </si>
  <si>
    <t>PILOTO</t>
  </si>
  <si>
    <t>livechat</t>
  </si>
  <si>
    <t>agente operaciones</t>
  </si>
  <si>
    <t>labo web 2</t>
  </si>
  <si>
    <t>dashboard labo</t>
  </si>
  <si>
    <t>Status Diciembre 2025</t>
  </si>
  <si>
    <t>abr</t>
  </si>
  <si>
    <t>INTERTRON</t>
  </si>
  <si>
    <t>Valor Microsoft - actual</t>
  </si>
  <si>
    <t>Valor BI PRO - actual</t>
  </si>
  <si>
    <t>Valor VISIO - actual</t>
  </si>
  <si>
    <t>actualizacion estimada</t>
  </si>
  <si>
    <t>ene 2025</t>
  </si>
  <si>
    <t>feb 2025</t>
  </si>
  <si>
    <t>mar 2025</t>
  </si>
  <si>
    <t>abr 2025</t>
  </si>
  <si>
    <t>may 2025</t>
  </si>
  <si>
    <t>jun 2025</t>
  </si>
  <si>
    <t>jul 2025</t>
  </si>
  <si>
    <t>ago 2025</t>
  </si>
  <si>
    <t>sept 2025</t>
  </si>
  <si>
    <t>VOLUMEN</t>
  </si>
  <si>
    <t>IQVIA 50%</t>
  </si>
  <si>
    <t>WORLD SALUD 50%</t>
  </si>
  <si>
    <t>PRECIOS</t>
  </si>
  <si>
    <t>IQVIA 70%</t>
  </si>
  <si>
    <t>IQVIA 30%</t>
  </si>
  <si>
    <t>WORLD SALUD 70%</t>
  </si>
  <si>
    <t>WORLD SALUD 30%</t>
  </si>
  <si>
    <t>Fijo mensual</t>
  </si>
  <si>
    <t>Alta Farmacias</t>
  </si>
  <si>
    <t>COSTOS</t>
  </si>
  <si>
    <t>Totales</t>
  </si>
  <si>
    <t>Real</t>
  </si>
  <si>
    <t>Presupuesto</t>
  </si>
  <si>
    <t>Ene-25</t>
  </si>
  <si>
    <t>Total Ingresos</t>
  </si>
  <si>
    <t>Osana</t>
  </si>
  <si>
    <t>Total Egresos</t>
  </si>
  <si>
    <t xml:space="preserve">Dif TC 2 Meses para atras </t>
  </si>
  <si>
    <t xml:space="preserve">Hs adicionales one shot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</si>
</sst>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6" formatCode="&quot;$&quot;\ #,##0;[Red]\-&quot;$&quot;\ #,##0"/>
    <numFmt numFmtId="7" formatCode="&quot;$&quot;\ #,##0.00;\-&quot;$&quot;\ #,##0.00"/>
    <numFmt numFmtId="8" formatCode="&quot;$&quot;\ #,##0.00;[Red]\-&quot;$&quot;\ #,##0.00"/>
    <numFmt numFmtId="164" formatCode="&quot;$&quot;\ #,##0"/>
    <numFmt numFmtId="165" formatCode="&quot;$&quot;#,##0"/>
    <numFmt numFmtId="166" formatCode="[$USD]\ #,##0"/>
    <numFmt numFmtId="167" formatCode="_(&quot;$&quot;* #,##0.00_);_(&quot;$&quot;* \(#,##0.00\);_(&quot;$&quot;* &quot;-&quot;??_);_(@_)"/>
    <numFmt numFmtId="168" formatCode="&quot;$&quot;\ #,##0.00"/>
    <numFmt numFmtId="169" formatCode="0.0%"/>
    <numFmt numFmtId="170" formatCode="0.000"/>
    <numFmt numFmtId="171" formatCode="#,##0.000"/>
    <numFmt numFmtId="172" formatCode="&quot;$&quot;#,##0.00"/>
    <numFmt numFmtId="173" formatCode="#,##0.0"/>
    <numFmt numFmtId="174" formatCode="yyyy\-mm"/>
    <numFmt numFmtId="175" formatCode="#,##0_);\(#,##0\);\ \-_)\ "/>
    <numFmt numFmtId="176" formatCode="_-* #,##0.00_-;\-* #,##0.00_-;_-* &quot;-&quot;??_-;_-@"/>
    <numFmt numFmtId="177" formatCode="_(* #,##0.00_);[Red]_(* \(#,##0.00\);_(* &quot;-&quot;??_);_(@_)"/>
    <numFmt numFmtId="178" formatCode="#,##0.0000"/>
    <numFmt numFmtId="179" formatCode="&quot;$&quot;#,##0.000000"/>
    <numFmt numFmtId="180" formatCode="&quot;$&quot;\ #,##0.00;[Red]&quot;$&quot;\ \-#,##0.00"/>
    <numFmt numFmtId="181" formatCode="&quot;$&quot;\ #,##0;[Red]&quot;$&quot;\ \-#,##0"/>
    <numFmt numFmtId="182" formatCode="&quot;$&quot;#,##0.00_);[Red]\(&quot;$&quot;#,##0.00\)"/>
    <numFmt numFmtId="183" formatCode="_-[$USD]\ * #,##0.00_-;\-[$USD]\ * #,##0.00_-;_-[$USD]\ * &quot;-&quot;??_-;_-@"/>
    <numFmt numFmtId="184" formatCode="#,##0_ ;[Red]\-#,##0\ "/>
    <numFmt numFmtId="185" formatCode="[$USD]\ #,##0.00_);\([$USD]\ #,##0.00\)"/>
    <numFmt numFmtId="186" formatCode="&quot; &quot;&quot;$&quot;&quot; &quot;* #,##0&quot; &quot;;&quot;-&quot;&quot;$&quot;&quot; &quot;* #,##0&quot; &quot;;&quot; &quot;&quot;$&quot;&quot; &quot;* &quot;-&quot;#&quot; &quot;;&quot; &quot;@&quot; &quot;"/>
    <numFmt numFmtId="187" formatCode="&quot; &quot;&quot;$&quot;&quot; &quot;* #,##0.00&quot; &quot;;&quot;-&quot;&quot;$&quot;&quot; &quot;* #,##0.00&quot; &quot;;&quot; &quot;&quot;$&quot;&quot; &quot;* &quot;-&quot;#&quot; &quot;;&quot; &quot;@&quot; &quot;"/>
    <numFmt numFmtId="188" formatCode="_-&quot;$&quot;\ * #,##0_-;\-&quot;$&quot;\ * #,##0_-;_-&quot;$&quot;\ * &quot;-&quot;??_-;_-@"/>
    <numFmt numFmtId="189" formatCode="_-&quot;$&quot;\ * #,##0.00_-;\-&quot;$&quot;\ * #,##0.00_-;_-&quot;$&quot;\ * &quot;-&quot;??_-;_-@"/>
    <numFmt numFmtId="190" formatCode="_-[$USD]\ * #,##0.000_-;\-[$USD]\ * #,##0.000_-;_-[$USD]\ * &quot;-&quot;??_-;_-@"/>
    <numFmt numFmtId="191" formatCode="&quot;$&quot;\ #,##0.000;\-&quot;$&quot;\ #,##0.000"/>
    <numFmt numFmtId="192" formatCode="&quot;$&quot;#,##0_);[Red]\(&quot;$&quot;#,##0\)"/>
    <numFmt numFmtId="193" formatCode="&quot;$&quot;#,##0.0"/>
    <numFmt numFmtId="194" formatCode="[$USD]\ #,##0.00"/>
  </numFmts>
  <fonts count="57" x14ac:knownFonts="1">
    <font>
      <sz val="11"/>
      <color theme="1"/>
      <name val="Aptos Narrow"/>
      <scheme val="minor"/>
    </font>
    <font>
      <b/>
      <sz val="7"/>
      <color theme="1"/>
      <name val="Arial"/>
    </font>
    <font>
      <sz val="7"/>
      <color theme="1"/>
      <name val="Arial"/>
    </font>
    <font>
      <sz val="11"/>
      <color theme="1"/>
      <name val="Aptos Narrow"/>
    </font>
    <font>
      <b/>
      <sz val="7"/>
      <color theme="0"/>
      <name val="Arial"/>
    </font>
    <font>
      <b/>
      <sz val="7"/>
      <color rgb="FFFF0000"/>
      <name val="Arial"/>
    </font>
    <font>
      <i/>
      <sz val="7"/>
      <color theme="1"/>
      <name val="Arial"/>
    </font>
    <font>
      <sz val="7"/>
      <color theme="1"/>
      <name val="Aptos Narrow"/>
    </font>
    <font>
      <sz val="7"/>
      <color rgb="FFFF0000"/>
      <name val="Arial"/>
    </font>
    <font>
      <b/>
      <sz val="14"/>
      <color rgb="FFFF0000"/>
      <name val="Arial"/>
    </font>
    <font>
      <sz val="7"/>
      <color rgb="FF000000"/>
      <name val="Arial"/>
    </font>
    <font>
      <sz val="11"/>
      <color rgb="FFFF0000"/>
      <name val="Aptos Narrow"/>
    </font>
    <font>
      <sz val="11"/>
      <color rgb="FF000000"/>
      <name val="Aptos Narrow"/>
    </font>
    <font>
      <b/>
      <i/>
      <sz val="7"/>
      <color theme="1"/>
      <name val="Arial"/>
    </font>
    <font>
      <b/>
      <sz val="7"/>
      <color theme="1"/>
      <name val="Aptos Narrow"/>
    </font>
    <font>
      <b/>
      <u/>
      <sz val="7"/>
      <color theme="1"/>
      <name val="Arial"/>
    </font>
    <font>
      <b/>
      <sz val="11"/>
      <color theme="1"/>
      <name val="Aptos Narrow"/>
    </font>
    <font>
      <b/>
      <sz val="11"/>
      <color theme="1"/>
      <name val="Arial"/>
    </font>
    <font>
      <i/>
      <sz val="9"/>
      <color theme="1"/>
      <name val="Arial"/>
    </font>
    <font>
      <b/>
      <sz val="9"/>
      <color theme="1"/>
      <name val="Arial"/>
    </font>
    <font>
      <sz val="9"/>
      <color theme="1"/>
      <name val="Arial"/>
    </font>
    <font>
      <b/>
      <sz val="10"/>
      <color theme="1"/>
      <name val="Arial"/>
    </font>
    <font>
      <b/>
      <sz val="9"/>
      <color rgb="FFFFFFFF"/>
      <name val="Arial"/>
    </font>
    <font>
      <sz val="9"/>
      <color theme="1"/>
      <name val="Aptos Narrow"/>
    </font>
    <font>
      <sz val="8"/>
      <color theme="1"/>
      <name val="Aptos Narrow"/>
    </font>
    <font>
      <b/>
      <sz val="9"/>
      <color theme="1"/>
      <name val="Aptos Narrow"/>
    </font>
    <font>
      <b/>
      <u/>
      <sz val="11"/>
      <color theme="1"/>
      <name val="Aptos Narrow"/>
    </font>
    <font>
      <b/>
      <sz val="8"/>
      <color theme="1"/>
      <name val="Arial"/>
    </font>
    <font>
      <sz val="8"/>
      <color theme="1"/>
      <name val="Arial"/>
    </font>
    <font>
      <b/>
      <u/>
      <sz val="9"/>
      <color theme="1"/>
      <name val="Aptos Narrow"/>
    </font>
    <font>
      <u/>
      <sz val="9"/>
      <color theme="1"/>
      <name val="Aptos Narrow"/>
    </font>
    <font>
      <b/>
      <sz val="9"/>
      <color rgb="FFFF0000"/>
      <name val="Aptos Narrow"/>
    </font>
    <font>
      <b/>
      <u/>
      <sz val="9"/>
      <color theme="1"/>
      <name val="Aptos Narrow"/>
    </font>
    <font>
      <b/>
      <sz val="9"/>
      <color rgb="FFFF0000"/>
      <name val="Arial"/>
    </font>
    <font>
      <b/>
      <sz val="9"/>
      <color rgb="FF00B050"/>
      <name val="Arial"/>
    </font>
    <font>
      <b/>
      <sz val="9"/>
      <color rgb="FF000000"/>
      <name val="Arial"/>
    </font>
    <font>
      <sz val="9"/>
      <color rgb="FF000000"/>
      <name val="Arial"/>
    </font>
    <font>
      <sz val="10"/>
      <color theme="1"/>
      <name val="Arial"/>
    </font>
    <font>
      <b/>
      <sz val="10"/>
      <color rgb="FF000000"/>
      <name val="Arial"/>
    </font>
    <font>
      <sz val="10"/>
      <color rgb="FF000000"/>
      <name val="Arial"/>
    </font>
    <font>
      <sz val="10"/>
      <color rgb="FF222222"/>
      <name val="Arial"/>
    </font>
    <font>
      <sz val="9"/>
      <color rgb="FFFF0000"/>
      <name val="Arial"/>
    </font>
    <font>
      <b/>
      <sz val="12"/>
      <color theme="1"/>
      <name val="Arial"/>
    </font>
    <font>
      <b/>
      <sz val="12"/>
      <color rgb="FF000000"/>
      <name val="Arial"/>
    </font>
    <font>
      <b/>
      <i/>
      <sz val="11"/>
      <color rgb="FF000000"/>
      <name val="Aptos Narrow"/>
    </font>
    <font>
      <b/>
      <sz val="11"/>
      <color rgb="FF000000"/>
      <name val="Aptos Narrow"/>
    </font>
    <font>
      <b/>
      <sz val="11"/>
      <color rgb="FFFF0000"/>
      <name val="Aptos Narrow"/>
    </font>
    <font>
      <sz val="12"/>
      <color theme="1"/>
      <name val="Arial"/>
    </font>
    <font>
      <b/>
      <sz val="8"/>
      <color rgb="FF000000"/>
      <name val="Arial"/>
    </font>
    <font>
      <sz val="8"/>
      <color rgb="FF000000"/>
      <name val="Arial"/>
    </font>
    <font>
      <sz val="8"/>
      <color rgb="FF00B050"/>
      <name val="Arial"/>
    </font>
    <font>
      <b/>
      <u/>
      <sz val="8"/>
      <color theme="1"/>
      <name val="Arial"/>
    </font>
    <font>
      <b/>
      <sz val="8"/>
      <color rgb="FFFF0000"/>
      <name val="Arial"/>
    </font>
    <font>
      <b/>
      <i/>
      <u/>
      <sz val="11"/>
      <color rgb="FF000000"/>
      <name val="Aptos Narrow"/>
    </font>
    <font>
      <b/>
      <i/>
      <u/>
      <sz val="11"/>
      <color rgb="FF000000"/>
      <name val="Aptos Narrow"/>
    </font>
    <font>
      <sz val="9"/>
      <color indexed="81"/>
      <name val="Tahoma"/>
      <charset val="1"/>
    </font>
    <font>
      <b/>
      <sz val="9"/>
      <color indexed="81"/>
      <name val="Tahoma"/>
      <charset val="1"/>
    </font>
  </fonts>
  <fills count="49">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rgb="FF99CCFF"/>
        <bgColor rgb="FF99CCFF"/>
      </patternFill>
    </fill>
    <fill>
      <patternFill patternType="solid">
        <fgColor rgb="FFC0C0C0"/>
        <bgColor rgb="FFC0C0C0"/>
      </patternFill>
    </fill>
    <fill>
      <patternFill patternType="solid">
        <fgColor rgb="FFCCFFFF"/>
        <bgColor rgb="FFCCFFFF"/>
      </patternFill>
    </fill>
    <fill>
      <patternFill patternType="solid">
        <fgColor rgb="FFFFFFFF"/>
        <bgColor rgb="FFFFFFFF"/>
      </patternFill>
    </fill>
    <fill>
      <patternFill patternType="solid">
        <fgColor rgb="FFD6E3BC"/>
        <bgColor rgb="FFD6E3BC"/>
      </patternFill>
    </fill>
    <fill>
      <patternFill patternType="solid">
        <fgColor theme="7"/>
        <bgColor theme="7"/>
      </patternFill>
    </fill>
    <fill>
      <patternFill patternType="solid">
        <fgColor rgb="FF00FF00"/>
        <bgColor rgb="FF00FF00"/>
      </patternFill>
    </fill>
    <fill>
      <patternFill patternType="solid">
        <fgColor rgb="FFFFFFCC"/>
        <bgColor rgb="FFFFFFCC"/>
      </patternFill>
    </fill>
    <fill>
      <patternFill patternType="solid">
        <fgColor theme="5"/>
        <bgColor theme="5"/>
      </patternFill>
    </fill>
    <fill>
      <patternFill patternType="solid">
        <fgColor rgb="FFB6DDE8"/>
        <bgColor rgb="FFB6DDE8"/>
      </patternFill>
    </fill>
    <fill>
      <patternFill patternType="solid">
        <fgColor rgb="FFFFFF99"/>
        <bgColor rgb="FFFFFF99"/>
      </patternFill>
    </fill>
    <fill>
      <patternFill patternType="solid">
        <fgColor rgb="FFE2EFDA"/>
        <bgColor rgb="FFE2EFDA"/>
      </patternFill>
    </fill>
    <fill>
      <patternFill patternType="solid">
        <fgColor rgb="FF2E75B6"/>
        <bgColor rgb="FF2E75B6"/>
      </patternFill>
    </fill>
    <fill>
      <patternFill patternType="solid">
        <fgColor rgb="FF92D050"/>
        <bgColor rgb="FF92D050"/>
      </patternFill>
    </fill>
    <fill>
      <patternFill patternType="solid">
        <fgColor rgb="FFFF0000"/>
        <bgColor rgb="FFFF0000"/>
      </patternFill>
    </fill>
    <fill>
      <patternFill patternType="solid">
        <fgColor rgb="FFCAEDFB"/>
        <bgColor rgb="FFCAEDFB"/>
      </patternFill>
    </fill>
    <fill>
      <patternFill patternType="solid">
        <fgColor rgb="FFA4C2F4"/>
        <bgColor rgb="FFA4C2F4"/>
      </patternFill>
    </fill>
    <fill>
      <patternFill patternType="solid">
        <fgColor rgb="FFD8D8D8"/>
        <bgColor rgb="FFD8D8D8"/>
      </patternFill>
    </fill>
    <fill>
      <patternFill patternType="solid">
        <fgColor rgb="FFFFFF00"/>
        <bgColor rgb="FFFFFF00"/>
      </patternFill>
    </fill>
    <fill>
      <patternFill patternType="solid">
        <fgColor theme="6"/>
        <bgColor theme="6"/>
      </patternFill>
    </fill>
    <fill>
      <patternFill patternType="solid">
        <fgColor rgb="FFFDE9D9"/>
        <bgColor rgb="FFFDE9D9"/>
      </patternFill>
    </fill>
    <fill>
      <patternFill patternType="solid">
        <fgColor rgb="FFF2F2F2"/>
        <bgColor rgb="FFF2F2F2"/>
      </patternFill>
    </fill>
    <fill>
      <patternFill patternType="solid">
        <fgColor rgb="FFFFC000"/>
        <bgColor rgb="FFFFC000"/>
      </patternFill>
    </fill>
    <fill>
      <patternFill patternType="solid">
        <fgColor rgb="FFEAF1DD"/>
        <bgColor rgb="FFEAF1DD"/>
      </patternFill>
    </fill>
    <fill>
      <patternFill patternType="solid">
        <fgColor rgb="FFD99594"/>
        <bgColor rgb="FFD99594"/>
      </patternFill>
    </fill>
    <fill>
      <patternFill patternType="solid">
        <fgColor rgb="FF7F7F7F"/>
        <bgColor rgb="FF7F7F7F"/>
      </patternFill>
    </fill>
    <fill>
      <patternFill patternType="solid">
        <fgColor rgb="FFA6A6A6"/>
        <bgColor rgb="FFA6A6A6"/>
      </patternFill>
    </fill>
    <fill>
      <patternFill patternType="solid">
        <fgColor rgb="FF95B3D7"/>
        <bgColor rgb="FF95B3D7"/>
      </patternFill>
    </fill>
    <fill>
      <patternFill patternType="solid">
        <fgColor rgb="FFB8CCE4"/>
        <bgColor rgb="FFB8CCE4"/>
      </patternFill>
    </fill>
    <fill>
      <patternFill patternType="solid">
        <fgColor rgb="FFCBCBCB"/>
        <bgColor rgb="FFCBCBCB"/>
      </patternFill>
    </fill>
    <fill>
      <patternFill patternType="solid">
        <fgColor rgb="FF656565"/>
        <bgColor rgb="FF656565"/>
      </patternFill>
    </fill>
    <fill>
      <patternFill patternType="solid">
        <fgColor rgb="FF92CDDC"/>
        <bgColor rgb="FF92CDDC"/>
      </patternFill>
    </fill>
    <fill>
      <patternFill patternType="solid">
        <fgColor rgb="FF989898"/>
        <bgColor rgb="FF989898"/>
      </patternFill>
    </fill>
    <fill>
      <patternFill patternType="solid">
        <fgColor rgb="FFE5B8B7"/>
        <bgColor rgb="FFE5B8B7"/>
      </patternFill>
    </fill>
    <fill>
      <patternFill patternType="solid">
        <fgColor rgb="FFA5A5A5"/>
        <bgColor rgb="FFA5A5A5"/>
      </patternFill>
    </fill>
    <fill>
      <patternFill patternType="solid">
        <fgColor rgb="FFBFBFBF"/>
        <bgColor rgb="FFBFBFBF"/>
      </patternFill>
    </fill>
    <fill>
      <patternFill patternType="solid">
        <fgColor rgb="FFF2DBDB"/>
        <bgColor rgb="FFF2DBDB"/>
      </patternFill>
    </fill>
    <fill>
      <patternFill patternType="solid">
        <fgColor rgb="FFC0E6F5"/>
        <bgColor rgb="FFC0E6F5"/>
      </patternFill>
    </fill>
    <fill>
      <patternFill patternType="solid">
        <fgColor rgb="FFDBE5F1"/>
        <bgColor rgb="FFDBE5F1"/>
      </patternFill>
    </fill>
    <fill>
      <patternFill patternType="solid">
        <fgColor rgb="FFE5DFEC"/>
        <bgColor rgb="FFE5DFEC"/>
      </patternFill>
    </fill>
    <fill>
      <patternFill patternType="solid">
        <fgColor rgb="FF538DD5"/>
        <bgColor rgb="FF538DD5"/>
      </patternFill>
    </fill>
    <fill>
      <patternFill patternType="solid">
        <fgColor rgb="FFC5D9F1"/>
        <bgColor rgb="FFC5D9F1"/>
      </patternFill>
    </fill>
    <fill>
      <patternFill patternType="solid">
        <fgColor rgb="FF8DB4E2"/>
        <bgColor rgb="FF8DB4E2"/>
      </patternFill>
    </fill>
    <fill>
      <patternFill patternType="solid">
        <fgColor rgb="FFFBE2D5"/>
        <bgColor rgb="FFFBE2D5"/>
      </patternFill>
    </fill>
    <fill>
      <patternFill patternType="solid">
        <fgColor rgb="FF83E28E"/>
        <bgColor rgb="FF83E28E"/>
      </patternFill>
    </fill>
  </fills>
  <borders count="83">
    <border>
      <left/>
      <right/>
      <top/>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rgb="FF000000"/>
      </left>
      <right/>
      <top style="thin">
        <color rgb="FF000000"/>
      </top>
      <bottom/>
      <diagonal/>
    </border>
    <border>
      <left/>
      <right/>
      <top style="thin">
        <color rgb="FF000000"/>
      </top>
      <bottom/>
      <diagonal/>
    </border>
    <border>
      <left style="medium">
        <color rgb="FF000000"/>
      </left>
      <right style="medium">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medium">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bottom style="double">
        <color rgb="FF000000"/>
      </bottom>
      <diagonal/>
    </border>
    <border>
      <left/>
      <right/>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52"/>
  </cellStyleXfs>
  <cellXfs count="1202">
    <xf numFmtId="0" fontId="0" fillId="0" borderId="0" xfId="0" applyBorder="1"/>
    <xf numFmtId="0" fontId="1" fillId="0" borderId="0" xfId="0" applyFont="1" applyBorder="1" applyAlignment="1">
      <alignment horizontal="center"/>
    </xf>
    <xf numFmtId="0" fontId="2" fillId="0" borderId="0" xfId="0" applyFont="1" applyBorder="1"/>
    <xf numFmtId="3" fontId="2" fillId="2" borderId="1" xfId="0" applyNumberFormat="1" applyFont="1" applyFill="1" applyBorder="1" applyAlignment="1">
      <alignment horizontal="center"/>
    </xf>
    <xf numFmtId="0" fontId="1" fillId="2" borderId="1" xfId="0" applyFont="1" applyFill="1" applyBorder="1" applyAlignment="1">
      <alignment horizontal="left"/>
    </xf>
    <xf numFmtId="0" fontId="2" fillId="2" borderId="1" xfId="0" applyFont="1" applyFill="1" applyBorder="1"/>
    <xf numFmtId="164" fontId="2" fillId="0" borderId="0" xfId="0" applyNumberFormat="1" applyFont="1" applyBorder="1" applyAlignment="1">
      <alignment horizontal="right"/>
    </xf>
    <xf numFmtId="0" fontId="3" fillId="0" borderId="0" xfId="0" applyFont="1" applyBorder="1"/>
    <xf numFmtId="164" fontId="2" fillId="0" borderId="2" xfId="0" applyNumberFormat="1" applyFont="1" applyBorder="1" applyAlignment="1">
      <alignment horizontal="right"/>
    </xf>
    <xf numFmtId="0" fontId="3" fillId="0" borderId="0" xfId="0" applyFont="1" applyBorder="1" applyAlignment="1">
      <alignment horizontal="left"/>
    </xf>
    <xf numFmtId="2" fontId="2" fillId="0" borderId="0" xfId="0" applyNumberFormat="1" applyFont="1" applyBorder="1" applyAlignment="1">
      <alignment horizontal="center"/>
    </xf>
    <xf numFmtId="164" fontId="2" fillId="0" borderId="2" xfId="0" applyNumberFormat="1" applyFont="1" applyBorder="1" applyAlignment="1">
      <alignment horizontal="center"/>
    </xf>
    <xf numFmtId="0" fontId="4" fillId="2" borderId="1" xfId="0" applyFont="1" applyFill="1" applyBorder="1" applyAlignment="1">
      <alignment vertical="center"/>
    </xf>
    <xf numFmtId="164" fontId="1" fillId="2" borderId="1" xfId="0" applyNumberFormat="1" applyFont="1" applyFill="1" applyBorder="1" applyAlignment="1">
      <alignment horizontal="left" vertical="center"/>
    </xf>
    <xf numFmtId="0" fontId="5" fillId="2" borderId="1" xfId="0" applyFont="1" applyFill="1" applyBorder="1" applyAlignment="1">
      <alignment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1" fillId="2" borderId="1" xfId="0" applyFont="1" applyFill="1" applyBorder="1"/>
    <xf numFmtId="0" fontId="1" fillId="2" borderId="1" xfId="0" applyFont="1" applyFill="1" applyBorder="1" applyAlignment="1">
      <alignment horizontal="center"/>
    </xf>
    <xf numFmtId="17" fontId="1" fillId="4" borderId="1" xfId="0" applyNumberFormat="1" applyFont="1" applyFill="1" applyBorder="1" applyAlignment="1">
      <alignment horizontal="center" vertical="center"/>
    </xf>
    <xf numFmtId="17" fontId="1" fillId="4" borderId="3" xfId="0" applyNumberFormat="1" applyFont="1" applyFill="1" applyBorder="1" applyAlignment="1">
      <alignment horizontal="center" vertical="center"/>
    </xf>
    <xf numFmtId="0" fontId="5" fillId="2" borderId="1" xfId="0" applyFont="1" applyFill="1" applyBorder="1" applyAlignment="1">
      <alignment horizontal="center"/>
    </xf>
    <xf numFmtId="0" fontId="1" fillId="0" borderId="0" xfId="0" applyFont="1" applyBorder="1" applyAlignment="1">
      <alignment horizontal="center" vertical="center"/>
    </xf>
    <xf numFmtId="0" fontId="1" fillId="5" borderId="4" xfId="0" applyFont="1" applyFill="1" applyBorder="1" applyAlignment="1">
      <alignment vertical="center"/>
    </xf>
    <xf numFmtId="0" fontId="2" fillId="5" borderId="5" xfId="0" applyFont="1" applyFill="1" applyBorder="1" applyAlignment="1">
      <alignment vertical="center"/>
    </xf>
    <xf numFmtId="0" fontId="2" fillId="5" borderId="5" xfId="0" applyFont="1" applyFill="1" applyBorder="1" applyAlignment="1">
      <alignment horizontal="center" vertical="center"/>
    </xf>
    <xf numFmtId="0" fontId="6" fillId="5" borderId="5" xfId="0" applyFont="1" applyFill="1" applyBorder="1" applyAlignment="1">
      <alignment vertical="center"/>
    </xf>
    <xf numFmtId="0" fontId="2" fillId="5" borderId="1" xfId="0" applyFont="1" applyFill="1" applyBorder="1" applyAlignment="1">
      <alignment horizontal="center" vertical="center"/>
    </xf>
    <xf numFmtId="17" fontId="2" fillId="5" borderId="1" xfId="0" applyNumberFormat="1" applyFont="1" applyFill="1" applyBorder="1" applyAlignment="1">
      <alignment horizontal="right" vertical="center"/>
    </xf>
    <xf numFmtId="17" fontId="2" fillId="5" borderId="3" xfId="0" applyNumberFormat="1" applyFont="1" applyFill="1" applyBorder="1" applyAlignment="1">
      <alignment horizontal="right" vertical="center"/>
    </xf>
    <xf numFmtId="164" fontId="2" fillId="0" borderId="6" xfId="0" applyNumberFormat="1" applyFont="1" applyBorder="1" applyAlignment="1">
      <alignment horizontal="center"/>
    </xf>
    <xf numFmtId="0" fontId="1" fillId="5" borderId="7" xfId="0" applyFont="1" applyFill="1" applyBorder="1" applyAlignment="1">
      <alignment vertical="center"/>
    </xf>
    <xf numFmtId="0" fontId="1" fillId="5" borderId="1" xfId="0" applyFont="1" applyFill="1" applyBorder="1" applyAlignment="1">
      <alignment vertical="center"/>
    </xf>
    <xf numFmtId="0" fontId="1" fillId="5" borderId="1" xfId="0" applyFont="1" applyFill="1" applyBorder="1" applyAlignment="1">
      <alignment horizontal="center" vertical="center"/>
    </xf>
    <xf numFmtId="0" fontId="6" fillId="5" borderId="1" xfId="0" applyFont="1" applyFill="1" applyBorder="1" applyAlignment="1">
      <alignment vertical="center"/>
    </xf>
    <xf numFmtId="0" fontId="2" fillId="5" borderId="1" xfId="0" applyFont="1" applyFill="1" applyBorder="1" applyAlignment="1">
      <alignment horizontal="right" vertical="center"/>
    </xf>
    <xf numFmtId="0" fontId="6" fillId="5" borderId="1" xfId="0" applyFont="1" applyFill="1" applyBorder="1" applyAlignment="1">
      <alignment horizontal="right" vertical="center"/>
    </xf>
    <xf numFmtId="9" fontId="2" fillId="5" borderId="1" xfId="0" applyNumberFormat="1" applyFont="1" applyFill="1" applyBorder="1" applyAlignment="1">
      <alignment horizontal="center" vertical="center"/>
    </xf>
    <xf numFmtId="9" fontId="3" fillId="0" borderId="0" xfId="0" applyNumberFormat="1" applyFont="1" applyBorder="1"/>
    <xf numFmtId="9" fontId="2" fillId="5" borderId="3" xfId="0" applyNumberFormat="1" applyFont="1" applyFill="1" applyBorder="1" applyAlignment="1">
      <alignment horizontal="center" vertical="center"/>
    </xf>
    <xf numFmtId="9" fontId="3" fillId="0" borderId="0" xfId="0" applyNumberFormat="1" applyFont="1" applyBorder="1" applyAlignment="1">
      <alignment horizontal="left"/>
    </xf>
    <xf numFmtId="0" fontId="1" fillId="6" borderId="7" xfId="0" applyFont="1" applyFill="1" applyBorder="1" applyAlignment="1">
      <alignment horizontal="left" vertical="center"/>
    </xf>
    <xf numFmtId="0" fontId="1" fillId="6" borderId="1" xfId="0" applyFont="1" applyFill="1" applyBorder="1" applyAlignment="1">
      <alignment horizontal="center" vertical="center"/>
    </xf>
    <xf numFmtId="0" fontId="1" fillId="6" borderId="1" xfId="0" applyFont="1" applyFill="1" applyBorder="1" applyAlignment="1">
      <alignment horizontal="left" vertical="center" wrapText="1"/>
    </xf>
    <xf numFmtId="164" fontId="1" fillId="6" borderId="1" xfId="0" applyNumberFormat="1" applyFont="1" applyFill="1" applyBorder="1" applyAlignment="1">
      <alignment horizontal="right" vertical="center"/>
    </xf>
    <xf numFmtId="165" fontId="1" fillId="6" borderId="3" xfId="0" applyNumberFormat="1" applyFont="1" applyFill="1" applyBorder="1" applyAlignment="1">
      <alignment horizontal="right" vertical="center"/>
    </xf>
    <xf numFmtId="164" fontId="3" fillId="0" borderId="0" xfId="0" applyNumberFormat="1" applyFont="1" applyBorder="1" applyAlignment="1">
      <alignment horizontal="left"/>
    </xf>
    <xf numFmtId="9" fontId="7" fillId="0" borderId="0" xfId="0" applyNumberFormat="1" applyFont="1" applyBorder="1" applyAlignment="1">
      <alignment horizontal="center"/>
    </xf>
    <xf numFmtId="0" fontId="1" fillId="2" borderId="1" xfId="0" applyFont="1" applyFill="1" applyBorder="1" applyAlignment="1">
      <alignment horizontal="center" vertical="center"/>
    </xf>
    <xf numFmtId="0" fontId="1" fillId="2" borderId="7" xfId="0" applyFont="1" applyFill="1" applyBorder="1" applyAlignment="1">
      <alignment horizontal="left" vertical="center"/>
    </xf>
    <xf numFmtId="0" fontId="2" fillId="2" borderId="1" xfId="0" applyFont="1" applyFill="1" applyBorder="1" applyAlignment="1">
      <alignment horizontal="center"/>
    </xf>
    <xf numFmtId="0" fontId="2" fillId="2" borderId="1" xfId="0" applyFont="1" applyFill="1" applyBorder="1" applyAlignment="1">
      <alignment horizontal="right"/>
    </xf>
    <xf numFmtId="164" fontId="2" fillId="2" borderId="1" xfId="0" applyNumberFormat="1" applyFont="1" applyFill="1" applyBorder="1" applyAlignment="1">
      <alignment horizontal="right"/>
    </xf>
    <xf numFmtId="0" fontId="3" fillId="2" borderId="1" xfId="0" applyFont="1" applyFill="1" applyBorder="1"/>
    <xf numFmtId="164" fontId="2" fillId="2" borderId="3" xfId="0" applyNumberFormat="1" applyFont="1" applyFill="1" applyBorder="1" applyAlignment="1">
      <alignment horizontal="right"/>
    </xf>
    <xf numFmtId="0" fontId="3" fillId="2" borderId="1" xfId="0" applyFont="1" applyFill="1" applyBorder="1" applyAlignment="1">
      <alignment horizontal="left"/>
    </xf>
    <xf numFmtId="2" fontId="2" fillId="2" borderId="1" xfId="0" applyNumberFormat="1" applyFont="1" applyFill="1" applyBorder="1" applyAlignment="1">
      <alignment horizontal="center"/>
    </xf>
    <xf numFmtId="164" fontId="2" fillId="2" borderId="1" xfId="0" applyNumberFormat="1" applyFont="1" applyFill="1" applyBorder="1" applyAlignment="1">
      <alignment horizontal="center"/>
    </xf>
    <xf numFmtId="0" fontId="2" fillId="2" borderId="7" xfId="0" applyFont="1" applyFill="1" applyBorder="1"/>
    <xf numFmtId="0" fontId="2" fillId="0" borderId="8" xfId="0" applyFont="1" applyBorder="1"/>
    <xf numFmtId="0" fontId="2" fillId="0" borderId="0" xfId="0" applyFont="1" applyBorder="1" applyAlignment="1">
      <alignment horizontal="center"/>
    </xf>
    <xf numFmtId="0" fontId="2" fillId="0" borderId="0" xfId="0" applyFont="1" applyBorder="1" applyAlignment="1">
      <alignment horizontal="right"/>
    </xf>
    <xf numFmtId="0" fontId="1" fillId="6" borderId="1" xfId="0" applyFont="1" applyFill="1" applyBorder="1" applyAlignment="1">
      <alignment horizontal="left" vertical="center"/>
    </xf>
    <xf numFmtId="0" fontId="5" fillId="2" borderId="1" xfId="0" applyFont="1" applyFill="1" applyBorder="1"/>
    <xf numFmtId="0" fontId="2" fillId="2" borderId="1" xfId="0" applyFont="1" applyFill="1" applyBorder="1" applyAlignment="1">
      <alignment horizontal="left"/>
    </xf>
    <xf numFmtId="0" fontId="8" fillId="2" borderId="1" xfId="0" applyFont="1" applyFill="1" applyBorder="1" applyAlignment="1">
      <alignment horizontal="center"/>
    </xf>
    <xf numFmtId="0" fontId="9" fillId="2" borderId="1" xfId="0" applyFont="1" applyFill="1" applyBorder="1" applyAlignment="1">
      <alignment horizontal="center" wrapText="1"/>
    </xf>
    <xf numFmtId="164" fontId="2" fillId="0" borderId="0" xfId="0" applyNumberFormat="1" applyFont="1" applyBorder="1" applyAlignment="1">
      <alignment horizontal="right" vertical="center"/>
    </xf>
    <xf numFmtId="164" fontId="2" fillId="0" borderId="6" xfId="0" applyNumberFormat="1" applyFont="1" applyBorder="1" applyAlignment="1">
      <alignment horizontal="center" vertical="center"/>
    </xf>
    <xf numFmtId="0" fontId="8" fillId="2" borderId="1" xfId="0" applyFont="1" applyFill="1" applyBorder="1"/>
    <xf numFmtId="0" fontId="1" fillId="0" borderId="8" xfId="0" applyFont="1" applyBorder="1" applyAlignment="1">
      <alignment vertical="center"/>
    </xf>
    <xf numFmtId="164" fontId="1" fillId="5" borderId="1" xfId="0" applyNumberFormat="1" applyFont="1" applyFill="1" applyBorder="1" applyAlignment="1">
      <alignment horizontal="right" vertical="center"/>
    </xf>
    <xf numFmtId="164" fontId="1" fillId="5" borderId="3" xfId="0" applyNumberFormat="1" applyFont="1" applyFill="1" applyBorder="1" applyAlignment="1">
      <alignment horizontal="right" vertical="center"/>
    </xf>
    <xf numFmtId="0" fontId="1" fillId="0" borderId="0"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10" fontId="8" fillId="2" borderId="11" xfId="0" applyNumberFormat="1" applyFont="1" applyFill="1" applyBorder="1" applyAlignment="1">
      <alignment vertical="center"/>
    </xf>
    <xf numFmtId="10" fontId="8" fillId="2" borderId="1" xfId="0" applyNumberFormat="1" applyFont="1" applyFill="1" applyBorder="1" applyAlignment="1">
      <alignment vertical="center"/>
    </xf>
    <xf numFmtId="164" fontId="2" fillId="2" borderId="1" xfId="0" applyNumberFormat="1" applyFont="1" applyFill="1" applyBorder="1" applyAlignment="1">
      <alignment vertical="center"/>
    </xf>
    <xf numFmtId="164" fontId="2" fillId="2" borderId="11" xfId="0" applyNumberFormat="1" applyFont="1" applyFill="1" applyBorder="1" applyAlignment="1">
      <alignment vertical="center"/>
    </xf>
    <xf numFmtId="0" fontId="3" fillId="0" borderId="0" xfId="0" applyFont="1" applyBorder="1" applyAlignment="1">
      <alignment vertical="center"/>
    </xf>
    <xf numFmtId="164" fontId="2" fillId="2" borderId="3" xfId="0" applyNumberFormat="1" applyFont="1" applyFill="1" applyBorder="1" applyAlignment="1">
      <alignment vertical="center"/>
    </xf>
    <xf numFmtId="0" fontId="3" fillId="0" borderId="0" xfId="0" applyFont="1" applyBorder="1" applyAlignment="1">
      <alignment horizontal="left" vertical="center"/>
    </xf>
    <xf numFmtId="0" fontId="1" fillId="4" borderId="12" xfId="0" applyFont="1" applyFill="1" applyBorder="1" applyAlignment="1">
      <alignment horizontal="left" vertical="center"/>
    </xf>
    <xf numFmtId="0" fontId="1" fillId="4" borderId="13" xfId="0" applyFont="1" applyFill="1" applyBorder="1" applyAlignment="1">
      <alignment horizontal="left" vertical="center"/>
    </xf>
    <xf numFmtId="0" fontId="1" fillId="4" borderId="13" xfId="0" applyFont="1" applyFill="1" applyBorder="1" applyAlignment="1">
      <alignment horizontal="center" vertical="center"/>
    </xf>
    <xf numFmtId="164" fontId="1" fillId="4" borderId="13" xfId="0" applyNumberFormat="1" applyFont="1" applyFill="1" applyBorder="1" applyAlignment="1">
      <alignment horizontal="right" vertical="center"/>
    </xf>
    <xf numFmtId="164" fontId="1" fillId="4" borderId="11" xfId="0" applyNumberFormat="1" applyFont="1" applyFill="1" applyBorder="1" applyAlignment="1">
      <alignment horizontal="right" vertical="center"/>
    </xf>
    <xf numFmtId="164" fontId="1" fillId="4" borderId="14" xfId="0" applyNumberFormat="1" applyFont="1" applyFill="1" applyBorder="1" applyAlignment="1">
      <alignment horizontal="right" vertical="center"/>
    </xf>
    <xf numFmtId="9" fontId="2" fillId="0" borderId="0" xfId="0" applyNumberFormat="1" applyFont="1" applyBorder="1" applyAlignment="1">
      <alignment horizontal="left"/>
    </xf>
    <xf numFmtId="164" fontId="2" fillId="0" borderId="0" xfId="0" applyNumberFormat="1" applyFont="1" applyBorder="1" applyAlignment="1">
      <alignment horizontal="left" vertical="center"/>
    </xf>
    <xf numFmtId="0" fontId="2" fillId="0" borderId="10" xfId="0" applyFont="1" applyBorder="1" applyAlignment="1">
      <alignment horizontal="center"/>
    </xf>
    <xf numFmtId="164" fontId="2" fillId="0" borderId="15" xfId="0" applyNumberFormat="1" applyFont="1" applyBorder="1" applyAlignment="1">
      <alignment horizontal="right"/>
    </xf>
    <xf numFmtId="164" fontId="2" fillId="0" borderId="10" xfId="0" applyNumberFormat="1" applyFont="1" applyBorder="1" applyAlignment="1">
      <alignment horizontal="right"/>
    </xf>
    <xf numFmtId="9" fontId="2" fillId="0" borderId="10" xfId="0" applyNumberFormat="1" applyFont="1" applyBorder="1" applyAlignment="1">
      <alignment horizontal="right"/>
    </xf>
    <xf numFmtId="164" fontId="2" fillId="0" borderId="14" xfId="0" applyNumberFormat="1" applyFont="1" applyBorder="1" applyAlignment="1">
      <alignment horizontal="left"/>
    </xf>
    <xf numFmtId="164" fontId="2" fillId="0" borderId="6" xfId="0" applyNumberFormat="1" applyFont="1" applyBorder="1" applyAlignment="1">
      <alignment horizontal="right"/>
    </xf>
    <xf numFmtId="0" fontId="1" fillId="5" borderId="4" xfId="0" applyFont="1" applyFill="1" applyBorder="1" applyAlignment="1">
      <alignment horizontal="left" vertical="center"/>
    </xf>
    <xf numFmtId="0" fontId="2" fillId="5" borderId="5" xfId="0" applyFont="1" applyFill="1" applyBorder="1" applyAlignment="1">
      <alignment horizontal="left" vertical="center"/>
    </xf>
    <xf numFmtId="0" fontId="2" fillId="5" borderId="1" xfId="0" applyFont="1" applyFill="1" applyBorder="1" applyAlignment="1">
      <alignment horizontal="left" vertical="center"/>
    </xf>
    <xf numFmtId="0" fontId="2" fillId="5" borderId="7" xfId="0" applyFont="1" applyFill="1" applyBorder="1" applyAlignment="1">
      <alignment horizontal="left" vertical="center"/>
    </xf>
    <xf numFmtId="0" fontId="1" fillId="5" borderId="1" xfId="0" applyFont="1" applyFill="1" applyBorder="1" applyAlignment="1">
      <alignment horizontal="left" vertical="center"/>
    </xf>
    <xf numFmtId="0" fontId="2" fillId="5" borderId="1" xfId="0" applyFont="1" applyFill="1" applyBorder="1" applyAlignment="1">
      <alignment horizontal="left" vertical="center" wrapText="1"/>
    </xf>
    <xf numFmtId="164" fontId="1" fillId="6" borderId="3" xfId="0" applyNumberFormat="1" applyFont="1" applyFill="1" applyBorder="1" applyAlignment="1">
      <alignment horizontal="right" vertical="center"/>
    </xf>
    <xf numFmtId="166" fontId="2" fillId="2" borderId="1" xfId="0" applyNumberFormat="1" applyFont="1" applyFill="1" applyBorder="1" applyAlignment="1">
      <alignment horizontal="center"/>
    </xf>
    <xf numFmtId="9" fontId="3" fillId="2" borderId="1" xfId="0" applyNumberFormat="1" applyFont="1" applyFill="1" applyBorder="1" applyAlignment="1">
      <alignment horizontal="left"/>
    </xf>
    <xf numFmtId="165" fontId="2" fillId="2" borderId="1" xfId="0" applyNumberFormat="1" applyFont="1" applyFill="1" applyBorder="1" applyAlignment="1">
      <alignment horizontal="center"/>
    </xf>
    <xf numFmtId="165" fontId="2" fillId="0" borderId="0" xfId="0" applyNumberFormat="1" applyFont="1" applyBorder="1" applyAlignment="1">
      <alignment horizontal="center"/>
    </xf>
    <xf numFmtId="4" fontId="2" fillId="0" borderId="0" xfId="0" applyNumberFormat="1" applyFont="1" applyBorder="1" applyAlignment="1">
      <alignment horizontal="right"/>
    </xf>
    <xf numFmtId="4" fontId="2" fillId="2" borderId="1" xfId="0" applyNumberFormat="1" applyFont="1" applyFill="1" applyBorder="1" applyAlignment="1">
      <alignment horizontal="right"/>
    </xf>
    <xf numFmtId="0" fontId="10" fillId="2" borderId="1" xfId="0" applyFont="1" applyFill="1" applyBorder="1"/>
    <xf numFmtId="0" fontId="10" fillId="2" borderId="1" xfId="0" applyFont="1" applyFill="1" applyBorder="1" applyAlignment="1">
      <alignment horizontal="center"/>
    </xf>
    <xf numFmtId="165" fontId="10" fillId="2" borderId="1" xfId="0" applyNumberFormat="1" applyFont="1" applyFill="1" applyBorder="1" applyAlignment="1">
      <alignment horizontal="center"/>
    </xf>
    <xf numFmtId="164" fontId="10" fillId="2" borderId="1" xfId="0" applyNumberFormat="1" applyFont="1" applyFill="1" applyBorder="1" applyAlignment="1">
      <alignment horizontal="right"/>
    </xf>
    <xf numFmtId="0" fontId="8" fillId="2" borderId="7" xfId="0" applyFont="1" applyFill="1" applyBorder="1"/>
    <xf numFmtId="6" fontId="2" fillId="2" borderId="1" xfId="0" applyNumberFormat="1" applyFont="1" applyFill="1" applyBorder="1" applyAlignment="1">
      <alignment horizontal="right"/>
    </xf>
    <xf numFmtId="9" fontId="11" fillId="2" borderId="1" xfId="0" applyNumberFormat="1" applyFont="1" applyFill="1" applyBorder="1" applyAlignment="1">
      <alignment horizontal="left"/>
    </xf>
    <xf numFmtId="0" fontId="11" fillId="2" borderId="1" xfId="0" applyFont="1" applyFill="1" applyBorder="1"/>
    <xf numFmtId="0" fontId="6" fillId="2" borderId="1" xfId="0" applyFont="1" applyFill="1" applyBorder="1" applyAlignment="1">
      <alignment horizontal="center"/>
    </xf>
    <xf numFmtId="0" fontId="10" fillId="2" borderId="7" xfId="0" applyFont="1" applyFill="1" applyBorder="1"/>
    <xf numFmtId="0" fontId="12" fillId="2" borderId="1" xfId="0" applyFont="1" applyFill="1" applyBorder="1"/>
    <xf numFmtId="9" fontId="12" fillId="2" borderId="1" xfId="0" applyNumberFormat="1" applyFont="1" applyFill="1" applyBorder="1" applyAlignment="1">
      <alignment horizontal="left"/>
    </xf>
    <xf numFmtId="164" fontId="8" fillId="2" borderId="1" xfId="0" applyNumberFormat="1" applyFont="1" applyFill="1" applyBorder="1" applyAlignment="1">
      <alignment horizontal="right"/>
    </xf>
    <xf numFmtId="0" fontId="11" fillId="0" borderId="0" xfId="0" applyFont="1" applyBorder="1"/>
    <xf numFmtId="9" fontId="11" fillId="0" borderId="0" xfId="0" applyNumberFormat="1" applyFont="1" applyBorder="1" applyAlignment="1">
      <alignment horizontal="left"/>
    </xf>
    <xf numFmtId="164" fontId="8" fillId="2" borderId="3" xfId="0" applyNumberFormat="1" applyFont="1" applyFill="1" applyBorder="1" applyAlignment="1">
      <alignment horizontal="right"/>
    </xf>
    <xf numFmtId="167" fontId="2" fillId="2" borderId="1" xfId="0" applyNumberFormat="1" applyFont="1" applyFill="1" applyBorder="1" applyAlignment="1">
      <alignment horizontal="center"/>
    </xf>
    <xf numFmtId="9" fontId="2" fillId="2" borderId="1" xfId="0" applyNumberFormat="1" applyFont="1" applyFill="1" applyBorder="1" applyAlignment="1">
      <alignment horizontal="left"/>
    </xf>
    <xf numFmtId="168" fontId="2" fillId="2" borderId="1" xfId="0" applyNumberFormat="1" applyFont="1" applyFill="1" applyBorder="1" applyAlignment="1">
      <alignment horizontal="right"/>
    </xf>
    <xf numFmtId="165" fontId="2" fillId="2" borderId="1" xfId="0" applyNumberFormat="1" applyFont="1" applyFill="1" applyBorder="1" applyAlignment="1">
      <alignment horizontal="right"/>
    </xf>
    <xf numFmtId="0" fontId="5" fillId="2" borderId="1" xfId="0" applyFont="1" applyFill="1" applyBorder="1" applyAlignment="1">
      <alignment horizontal="center" wrapText="1"/>
    </xf>
    <xf numFmtId="0" fontId="4" fillId="0" borderId="0" xfId="0" applyFont="1" applyBorder="1" applyAlignment="1">
      <alignment horizontal="center"/>
    </xf>
    <xf numFmtId="164" fontId="2" fillId="7" borderId="1" xfId="0" applyNumberFormat="1" applyFont="1" applyFill="1" applyBorder="1" applyAlignment="1">
      <alignment horizontal="right"/>
    </xf>
    <xf numFmtId="165" fontId="4" fillId="0" borderId="0" xfId="0" applyNumberFormat="1" applyFont="1" applyBorder="1" applyAlignment="1">
      <alignment horizontal="center"/>
    </xf>
    <xf numFmtId="166" fontId="2" fillId="0" borderId="0" xfId="0" applyNumberFormat="1" applyFont="1" applyBorder="1" applyAlignment="1">
      <alignment horizontal="center"/>
    </xf>
    <xf numFmtId="168" fontId="1" fillId="6" borderId="1" xfId="0" applyNumberFormat="1" applyFont="1" applyFill="1" applyBorder="1" applyAlignment="1">
      <alignment horizontal="right" vertical="center"/>
    </xf>
    <xf numFmtId="164" fontId="2" fillId="0" borderId="0" xfId="0" applyNumberFormat="1" applyFont="1" applyBorder="1" applyAlignment="1">
      <alignment horizontal="center"/>
    </xf>
    <xf numFmtId="164" fontId="3" fillId="2" borderId="1" xfId="0" applyNumberFormat="1" applyFont="1" applyFill="1" applyBorder="1"/>
    <xf numFmtId="164" fontId="10" fillId="0" borderId="0" xfId="0" applyNumberFormat="1" applyFont="1" applyBorder="1" applyAlignment="1">
      <alignment horizontal="center"/>
    </xf>
    <xf numFmtId="169" fontId="2" fillId="0" borderId="0" xfId="0" applyNumberFormat="1" applyFont="1" applyBorder="1"/>
    <xf numFmtId="0" fontId="10" fillId="0" borderId="0" xfId="0" applyFont="1" applyBorder="1" applyAlignment="1">
      <alignment horizontal="center"/>
    </xf>
    <xf numFmtId="165" fontId="10" fillId="0" borderId="0" xfId="0" applyNumberFormat="1" applyFont="1" applyBorder="1" applyAlignment="1">
      <alignment horizontal="center"/>
    </xf>
    <xf numFmtId="10" fontId="2" fillId="2" borderId="1" xfId="0" applyNumberFormat="1" applyFont="1" applyFill="1" applyBorder="1"/>
    <xf numFmtId="0" fontId="8" fillId="2" borderId="1" xfId="0" applyFont="1" applyFill="1" applyBorder="1" applyAlignment="1">
      <alignment horizontal="center" wrapText="1"/>
    </xf>
    <xf numFmtId="9" fontId="2" fillId="0" borderId="0" xfId="0" applyNumberFormat="1" applyFont="1" applyBorder="1"/>
    <xf numFmtId="169" fontId="2" fillId="0" borderId="0" xfId="0" applyNumberFormat="1" applyFont="1" applyBorder="1" applyAlignment="1">
      <alignment horizontal="left"/>
    </xf>
    <xf numFmtId="164" fontId="2" fillId="0" borderId="0" xfId="0" applyNumberFormat="1" applyFont="1" applyBorder="1" applyAlignment="1">
      <alignment horizontal="left"/>
    </xf>
    <xf numFmtId="0" fontId="8" fillId="0" borderId="0" xfId="0" applyFont="1" applyBorder="1" applyAlignment="1">
      <alignment horizontal="center" vertical="center" wrapText="1"/>
    </xf>
    <xf numFmtId="10" fontId="2" fillId="0" borderId="0" xfId="0" applyNumberFormat="1" applyFont="1" applyBorder="1"/>
    <xf numFmtId="0" fontId="8" fillId="0" borderId="0" xfId="0" applyFont="1" applyBorder="1" applyAlignment="1">
      <alignment horizontal="center" wrapText="1"/>
    </xf>
    <xf numFmtId="164" fontId="2" fillId="2" borderId="11" xfId="0" applyNumberFormat="1" applyFont="1" applyFill="1" applyBorder="1" applyAlignment="1">
      <alignment horizontal="right"/>
    </xf>
    <xf numFmtId="0" fontId="1" fillId="4" borderId="12" xfId="0" applyFont="1" applyFill="1" applyBorder="1" applyAlignment="1">
      <alignment vertical="center"/>
    </xf>
    <xf numFmtId="0" fontId="1" fillId="4" borderId="13" xfId="0" applyFont="1" applyFill="1" applyBorder="1" applyAlignment="1">
      <alignment vertical="center"/>
    </xf>
    <xf numFmtId="0" fontId="13" fillId="0" borderId="0" xfId="0" applyFont="1" applyBorder="1" applyAlignment="1">
      <alignment horizontal="center"/>
    </xf>
    <xf numFmtId="0" fontId="6" fillId="0" borderId="0" xfId="0" applyFont="1" applyBorder="1"/>
    <xf numFmtId="0" fontId="6" fillId="0" borderId="0" xfId="0" applyFont="1" applyBorder="1" applyAlignment="1">
      <alignment horizontal="center"/>
    </xf>
    <xf numFmtId="9" fontId="2" fillId="0" borderId="0" xfId="0" applyNumberFormat="1" applyFont="1" applyBorder="1" applyAlignment="1">
      <alignment horizontal="right"/>
    </xf>
    <xf numFmtId="164" fontId="2" fillId="0" borderId="16" xfId="0" applyNumberFormat="1" applyFont="1" applyBorder="1" applyAlignment="1">
      <alignment horizontal="right"/>
    </xf>
    <xf numFmtId="9" fontId="2" fillId="0" borderId="6" xfId="0" applyNumberFormat="1" applyFont="1" applyBorder="1" applyAlignment="1">
      <alignment horizontal="right"/>
    </xf>
    <xf numFmtId="0" fontId="1" fillId="5" borderId="5" xfId="0" applyFont="1" applyFill="1" applyBorder="1" applyAlignment="1">
      <alignment vertical="center"/>
    </xf>
    <xf numFmtId="0" fontId="1" fillId="5" borderId="5" xfId="0" applyFont="1" applyFill="1" applyBorder="1" applyAlignment="1">
      <alignment horizontal="center" vertical="center"/>
    </xf>
    <xf numFmtId="164" fontId="1" fillId="5" borderId="5" xfId="0" applyNumberFormat="1" applyFont="1" applyFill="1" applyBorder="1" applyAlignment="1">
      <alignment horizontal="right" vertical="center"/>
    </xf>
    <xf numFmtId="3" fontId="3" fillId="0" borderId="0" xfId="0" applyNumberFormat="1" applyFont="1" applyBorder="1"/>
    <xf numFmtId="164" fontId="1" fillId="5" borderId="17" xfId="0" applyNumberFormat="1" applyFont="1" applyFill="1" applyBorder="1" applyAlignment="1">
      <alignment horizontal="right" vertical="center"/>
    </xf>
    <xf numFmtId="3" fontId="3" fillId="0" borderId="0" xfId="0" applyNumberFormat="1" applyFont="1" applyBorder="1" applyAlignment="1">
      <alignment horizontal="left"/>
    </xf>
    <xf numFmtId="0" fontId="1" fillId="5" borderId="18" xfId="0" applyFont="1" applyFill="1" applyBorder="1" applyAlignment="1">
      <alignment vertical="center"/>
    </xf>
    <xf numFmtId="0" fontId="1" fillId="5" borderId="11" xfId="0" applyFont="1" applyFill="1" applyBorder="1" applyAlignment="1">
      <alignment vertical="center"/>
    </xf>
    <xf numFmtId="0" fontId="1" fillId="5" borderId="11" xfId="0" applyFont="1" applyFill="1" applyBorder="1" applyAlignment="1">
      <alignment horizontal="center" vertical="center"/>
    </xf>
    <xf numFmtId="169" fontId="1" fillId="5" borderId="11" xfId="0" applyNumberFormat="1" applyFont="1" applyFill="1" applyBorder="1" applyAlignment="1">
      <alignment horizontal="right" vertical="center"/>
    </xf>
    <xf numFmtId="169" fontId="1" fillId="5" borderId="19" xfId="0" applyNumberFormat="1" applyFont="1" applyFill="1" applyBorder="1" applyAlignment="1">
      <alignment horizontal="right" vertical="center"/>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4" fontId="1" fillId="6" borderId="1" xfId="0" applyNumberFormat="1" applyFont="1" applyFill="1" applyBorder="1" applyAlignment="1">
      <alignment horizontal="right" vertical="center"/>
    </xf>
    <xf numFmtId="169" fontId="3" fillId="0" borderId="0" xfId="0" applyNumberFormat="1" applyFont="1" applyBorder="1"/>
    <xf numFmtId="169" fontId="3" fillId="0" borderId="0" xfId="0" applyNumberFormat="1" applyFont="1" applyBorder="1" applyAlignment="1">
      <alignment horizontal="left"/>
    </xf>
    <xf numFmtId="169" fontId="2" fillId="2" borderId="1" xfId="0" applyNumberFormat="1" applyFont="1" applyFill="1" applyBorder="1" applyAlignment="1">
      <alignment horizontal="left"/>
    </xf>
    <xf numFmtId="164" fontId="3" fillId="0" borderId="0" xfId="0" applyNumberFormat="1" applyFont="1" applyBorder="1"/>
    <xf numFmtId="164" fontId="2" fillId="2" borderId="19" xfId="0" applyNumberFormat="1" applyFont="1" applyFill="1" applyBorder="1" applyAlignment="1">
      <alignment horizontal="right"/>
    </xf>
    <xf numFmtId="169" fontId="2" fillId="0" borderId="0" xfId="0" applyNumberFormat="1" applyFont="1" applyBorder="1" applyAlignment="1">
      <alignment horizontal="right"/>
    </xf>
    <xf numFmtId="164" fontId="2" fillId="8" borderId="1" xfId="0" applyNumberFormat="1" applyFont="1" applyFill="1" applyBorder="1" applyAlignment="1">
      <alignment horizontal="right"/>
    </xf>
    <xf numFmtId="0" fontId="3" fillId="0" borderId="6" xfId="0" applyFont="1" applyBorder="1"/>
    <xf numFmtId="10" fontId="2" fillId="0" borderId="0" xfId="0" applyNumberFormat="1" applyFont="1" applyBorder="1" applyAlignment="1">
      <alignment horizontal="center"/>
    </xf>
    <xf numFmtId="0" fontId="7" fillId="2" borderId="1" xfId="0" applyFont="1" applyFill="1" applyBorder="1" applyAlignment="1">
      <alignment horizontal="right"/>
    </xf>
    <xf numFmtId="2" fontId="7" fillId="2" borderId="1" xfId="0" applyNumberFormat="1" applyFont="1" applyFill="1" applyBorder="1" applyAlignment="1">
      <alignment horizontal="center"/>
    </xf>
    <xf numFmtId="0" fontId="7" fillId="2" borderId="3" xfId="0" applyFont="1" applyFill="1" applyBorder="1" applyAlignment="1">
      <alignment horizontal="right"/>
    </xf>
    <xf numFmtId="0" fontId="2" fillId="2" borderId="4" xfId="0" applyFont="1" applyFill="1" applyBorder="1" applyAlignment="1">
      <alignment horizontal="center"/>
    </xf>
    <xf numFmtId="0" fontId="14" fillId="2" borderId="5" xfId="0" applyFont="1" applyFill="1" applyBorder="1" applyAlignment="1">
      <alignment horizontal="right"/>
    </xf>
    <xf numFmtId="169" fontId="2" fillId="2" borderId="5" xfId="0" applyNumberFormat="1" applyFont="1" applyFill="1" applyBorder="1" applyAlignment="1">
      <alignment horizontal="center"/>
    </xf>
    <xf numFmtId="0" fontId="3" fillId="0" borderId="20" xfId="0" applyFont="1" applyBorder="1"/>
    <xf numFmtId="169" fontId="2" fillId="2" borderId="17" xfId="0" applyNumberFormat="1" applyFont="1" applyFill="1" applyBorder="1" applyAlignment="1">
      <alignment horizontal="center"/>
    </xf>
    <xf numFmtId="0" fontId="3" fillId="0" borderId="20" xfId="0" applyFont="1" applyBorder="1" applyAlignment="1">
      <alignment horizontal="left"/>
    </xf>
    <xf numFmtId="2" fontId="2" fillId="0" borderId="20" xfId="0" applyNumberFormat="1" applyFont="1" applyBorder="1" applyAlignment="1">
      <alignment horizontal="center"/>
    </xf>
    <xf numFmtId="0" fontId="2" fillId="2" borderId="7" xfId="0" applyFont="1" applyFill="1" applyBorder="1" applyAlignment="1">
      <alignment horizontal="center"/>
    </xf>
    <xf numFmtId="0" fontId="14" fillId="2" borderId="1" xfId="0" applyFont="1" applyFill="1" applyBorder="1" applyAlignment="1">
      <alignment horizontal="right"/>
    </xf>
    <xf numFmtId="2" fontId="7" fillId="0" borderId="6" xfId="0" applyNumberFormat="1" applyFont="1" applyBorder="1" applyAlignment="1">
      <alignment horizontal="center"/>
    </xf>
    <xf numFmtId="2" fontId="7" fillId="0" borderId="0" xfId="0" applyNumberFormat="1" applyFont="1" applyBorder="1" applyAlignment="1">
      <alignment horizontal="center"/>
    </xf>
    <xf numFmtId="170" fontId="7" fillId="2" borderId="1" xfId="0" applyNumberFormat="1" applyFont="1" applyFill="1" applyBorder="1" applyAlignment="1">
      <alignment horizontal="center"/>
    </xf>
    <xf numFmtId="9" fontId="7" fillId="2" borderId="1" xfId="0" applyNumberFormat="1" applyFont="1" applyFill="1" applyBorder="1" applyAlignment="1">
      <alignment horizontal="center"/>
    </xf>
    <xf numFmtId="0" fontId="3" fillId="0" borderId="0" xfId="0" applyFont="1" applyBorder="1" applyAlignment="1">
      <alignment horizontal="center"/>
    </xf>
    <xf numFmtId="0" fontId="2" fillId="2" borderId="18" xfId="0" applyFont="1" applyFill="1" applyBorder="1" applyAlignment="1">
      <alignment horizontal="center"/>
    </xf>
    <xf numFmtId="0" fontId="14" fillId="2" borderId="11" xfId="0" applyFont="1" applyFill="1" applyBorder="1" applyAlignment="1">
      <alignment horizontal="right"/>
    </xf>
    <xf numFmtId="170" fontId="7" fillId="2" borderId="11" xfId="0" applyNumberFormat="1" applyFont="1" applyFill="1" applyBorder="1" applyAlignment="1">
      <alignment horizontal="center"/>
    </xf>
    <xf numFmtId="2" fontId="7" fillId="2" borderId="11" xfId="0" applyNumberFormat="1" applyFont="1" applyFill="1" applyBorder="1" applyAlignment="1">
      <alignment horizontal="center"/>
    </xf>
    <xf numFmtId="0" fontId="3" fillId="2" borderId="11" xfId="0" applyFont="1" applyFill="1" applyBorder="1" applyAlignment="1">
      <alignment horizontal="center"/>
    </xf>
    <xf numFmtId="2" fontId="7" fillId="2" borderId="19" xfId="0" applyNumberFormat="1" applyFont="1" applyFill="1" applyBorder="1" applyAlignment="1">
      <alignment horizontal="center"/>
    </xf>
    <xf numFmtId="0" fontId="3" fillId="2" borderId="11" xfId="0" applyFont="1" applyFill="1" applyBorder="1" applyAlignment="1">
      <alignment horizontal="left"/>
    </xf>
    <xf numFmtId="2" fontId="2" fillId="2" borderId="11" xfId="0" applyNumberFormat="1" applyFont="1" applyFill="1" applyBorder="1" applyAlignment="1">
      <alignment horizontal="center"/>
    </xf>
    <xf numFmtId="0" fontId="7" fillId="0" borderId="0" xfId="0" applyFont="1" applyBorder="1"/>
    <xf numFmtId="0" fontId="7" fillId="0" borderId="10" xfId="0" applyFont="1" applyBorder="1" applyAlignment="1">
      <alignment horizontal="center"/>
    </xf>
    <xf numFmtId="0" fontId="7" fillId="0" borderId="0" xfId="0" applyFont="1" applyBorder="1" applyAlignment="1">
      <alignment horizontal="center"/>
    </xf>
    <xf numFmtId="0" fontId="7" fillId="0" borderId="16" xfId="0" applyFont="1" applyBorder="1" applyAlignment="1">
      <alignment horizontal="center"/>
    </xf>
    <xf numFmtId="0" fontId="7" fillId="0" borderId="6" xfId="0" applyFont="1" applyBorder="1" applyAlignment="1">
      <alignment horizontal="center"/>
    </xf>
    <xf numFmtId="0" fontId="2" fillId="0" borderId="21" xfId="0" applyFont="1" applyBorder="1" applyAlignment="1">
      <alignment horizontal="center"/>
    </xf>
    <xf numFmtId="0" fontId="7" fillId="0" borderId="20" xfId="0" applyFont="1" applyBorder="1"/>
    <xf numFmtId="171" fontId="7" fillId="2" borderId="1" xfId="0" applyNumberFormat="1" applyFont="1" applyFill="1" applyBorder="1" applyAlignment="1">
      <alignment horizontal="center"/>
    </xf>
    <xf numFmtId="171" fontId="7" fillId="2" borderId="5" xfId="0" applyNumberFormat="1" applyFont="1" applyFill="1" applyBorder="1" applyAlignment="1">
      <alignment horizontal="center"/>
    </xf>
    <xf numFmtId="171" fontId="7" fillId="2" borderId="3" xfId="0" applyNumberFormat="1" applyFont="1" applyFill="1" applyBorder="1" applyAlignment="1">
      <alignment horizontal="center"/>
    </xf>
    <xf numFmtId="3" fontId="7" fillId="2" borderId="1" xfId="0" applyNumberFormat="1" applyFont="1" applyFill="1" applyBorder="1" applyAlignment="1">
      <alignment horizontal="center"/>
    </xf>
    <xf numFmtId="0" fontId="3" fillId="2" borderId="1" xfId="0" applyFont="1" applyFill="1" applyBorder="1" applyAlignment="1">
      <alignment horizontal="center"/>
    </xf>
    <xf numFmtId="3" fontId="7" fillId="2" borderId="3" xfId="0" applyNumberFormat="1" applyFont="1" applyFill="1" applyBorder="1" applyAlignment="1">
      <alignment horizontal="center"/>
    </xf>
    <xf numFmtId="164" fontId="2" fillId="2" borderId="3" xfId="0" applyNumberFormat="1" applyFont="1" applyFill="1" applyBorder="1" applyAlignment="1">
      <alignment horizontal="center"/>
    </xf>
    <xf numFmtId="3" fontId="7" fillId="2" borderId="11" xfId="0" applyNumberFormat="1" applyFont="1" applyFill="1" applyBorder="1" applyAlignment="1">
      <alignment horizontal="center"/>
    </xf>
    <xf numFmtId="3" fontId="7" fillId="2" borderId="19" xfId="0" applyNumberFormat="1" applyFont="1" applyFill="1" applyBorder="1" applyAlignment="1">
      <alignment horizontal="center"/>
    </xf>
    <xf numFmtId="0" fontId="2" fillId="0" borderId="6" xfId="0" applyFont="1" applyBorder="1" applyAlignment="1">
      <alignment horizontal="right"/>
    </xf>
    <xf numFmtId="0" fontId="2" fillId="0" borderId="6" xfId="0" applyFont="1" applyBorder="1" applyAlignment="1">
      <alignment horizontal="center"/>
    </xf>
    <xf numFmtId="0" fontId="2" fillId="0" borderId="0" xfId="0" applyFont="1" applyBorder="1" applyAlignment="1">
      <alignment horizontal="left"/>
    </xf>
    <xf numFmtId="3" fontId="2" fillId="0" borderId="0" xfId="0" applyNumberFormat="1" applyFont="1" applyBorder="1" applyAlignment="1">
      <alignment horizontal="right"/>
    </xf>
    <xf numFmtId="3" fontId="2" fillId="0" borderId="6" xfId="0" applyNumberFormat="1" applyFont="1" applyBorder="1" applyAlignment="1">
      <alignment horizontal="right"/>
    </xf>
    <xf numFmtId="169" fontId="2" fillId="2" borderId="1" xfId="0" applyNumberFormat="1" applyFont="1" applyFill="1" applyBorder="1" applyAlignment="1">
      <alignment horizontal="center"/>
    </xf>
    <xf numFmtId="17" fontId="2" fillId="0" borderId="0" xfId="0" applyNumberFormat="1" applyFont="1" applyBorder="1" applyAlignment="1">
      <alignment horizontal="right"/>
    </xf>
    <xf numFmtId="172" fontId="2" fillId="0" borderId="6" xfId="0" applyNumberFormat="1" applyFont="1" applyBorder="1" applyAlignment="1">
      <alignment horizontal="right"/>
    </xf>
    <xf numFmtId="0" fontId="15" fillId="8" borderId="22" xfId="0" applyFont="1" applyFill="1" applyBorder="1" applyAlignment="1">
      <alignment horizontal="left"/>
    </xf>
    <xf numFmtId="9" fontId="7" fillId="8" borderId="1" xfId="0" applyNumberFormat="1" applyFont="1" applyFill="1" applyBorder="1" applyAlignment="1">
      <alignment horizontal="right"/>
    </xf>
    <xf numFmtId="0" fontId="1" fillId="0" borderId="0" xfId="0" applyFont="1" applyBorder="1"/>
    <xf numFmtId="0" fontId="2" fillId="8" borderId="23" xfId="0" applyFont="1" applyFill="1" applyBorder="1" applyAlignment="1">
      <alignment horizontal="center"/>
    </xf>
    <xf numFmtId="173" fontId="2" fillId="0" borderId="0" xfId="0" applyNumberFormat="1" applyFont="1" applyBorder="1" applyAlignment="1">
      <alignment horizontal="right"/>
    </xf>
    <xf numFmtId="166" fontId="7" fillId="0" borderId="0" xfId="0" applyNumberFormat="1" applyFont="1" applyBorder="1" applyAlignment="1">
      <alignment horizontal="center"/>
    </xf>
    <xf numFmtId="0" fontId="2" fillId="8" borderId="24" xfId="0" applyFont="1" applyFill="1" applyBorder="1" applyAlignment="1">
      <alignment horizontal="center"/>
    </xf>
    <xf numFmtId="0" fontId="2" fillId="9" borderId="1" xfId="0" applyFont="1" applyFill="1" applyBorder="1" applyAlignment="1">
      <alignment horizontal="center"/>
    </xf>
    <xf numFmtId="0" fontId="2" fillId="10" borderId="1" xfId="0" applyFont="1" applyFill="1" applyBorder="1" applyAlignment="1">
      <alignment horizontal="center"/>
    </xf>
    <xf numFmtId="0" fontId="4" fillId="11" borderId="1" xfId="0" applyFont="1" applyFill="1" applyBorder="1" applyAlignment="1">
      <alignment horizontal="center" vertical="center"/>
    </xf>
    <xf numFmtId="0" fontId="1" fillId="12" borderId="1" xfId="0" applyFont="1" applyFill="1" applyBorder="1" applyAlignment="1">
      <alignment horizontal="center"/>
    </xf>
    <xf numFmtId="0" fontId="2" fillId="13" borderId="1" xfId="0" applyFont="1" applyFill="1" applyBorder="1"/>
    <xf numFmtId="0" fontId="1" fillId="13" borderId="1" xfId="0" applyFont="1" applyFill="1" applyBorder="1" applyAlignment="1">
      <alignment horizontal="center"/>
    </xf>
    <xf numFmtId="0" fontId="2" fillId="13" borderId="1" xfId="0" applyFont="1" applyFill="1" applyBorder="1" applyAlignment="1">
      <alignment horizontal="center"/>
    </xf>
    <xf numFmtId="17" fontId="2" fillId="13" borderId="1" xfId="0" applyNumberFormat="1" applyFont="1" applyFill="1" applyBorder="1" applyAlignment="1">
      <alignment horizontal="center"/>
    </xf>
    <xf numFmtId="17" fontId="2" fillId="13" borderId="3" xfId="0" applyNumberFormat="1" applyFont="1" applyFill="1" applyBorder="1" applyAlignment="1">
      <alignment horizontal="center"/>
    </xf>
    <xf numFmtId="164" fontId="2" fillId="0" borderId="25" xfId="0" applyNumberFormat="1" applyFont="1" applyBorder="1" applyAlignment="1">
      <alignment horizontal="right"/>
    </xf>
    <xf numFmtId="164" fontId="2" fillId="0" borderId="20" xfId="0" applyNumberFormat="1" applyFont="1" applyBorder="1" applyAlignment="1">
      <alignment horizontal="right"/>
    </xf>
    <xf numFmtId="164" fontId="2" fillId="0" borderId="9" xfId="0" applyNumberFormat="1" applyFont="1" applyBorder="1" applyAlignment="1">
      <alignment horizontal="right"/>
    </xf>
    <xf numFmtId="0" fontId="1" fillId="0" borderId="0" xfId="0" applyFont="1" applyBorder="1" applyAlignment="1">
      <alignment horizontal="right"/>
    </xf>
    <xf numFmtId="164" fontId="1" fillId="0" borderId="8" xfId="0" applyNumberFormat="1" applyFont="1" applyBorder="1" applyAlignment="1">
      <alignment horizontal="right"/>
    </xf>
    <xf numFmtId="164" fontId="1" fillId="0" borderId="6" xfId="0" applyNumberFormat="1" applyFont="1" applyBorder="1" applyAlignment="1">
      <alignment horizontal="right"/>
    </xf>
    <xf numFmtId="164" fontId="1" fillId="0" borderId="9" xfId="0" applyNumberFormat="1" applyFont="1" applyBorder="1" applyAlignment="1">
      <alignment horizontal="right"/>
    </xf>
    <xf numFmtId="10" fontId="2" fillId="11" borderId="1" xfId="0" applyNumberFormat="1" applyFont="1" applyFill="1" applyBorder="1" applyAlignment="1">
      <alignment horizontal="right"/>
    </xf>
    <xf numFmtId="164" fontId="2" fillId="11" borderId="26" xfId="0" applyNumberFormat="1" applyFont="1" applyFill="1" applyBorder="1" applyAlignment="1">
      <alignment horizontal="right"/>
    </xf>
    <xf numFmtId="164" fontId="2" fillId="11" borderId="3" xfId="0" applyNumberFormat="1" applyFont="1" applyFill="1" applyBorder="1" applyAlignment="1">
      <alignment horizontal="right"/>
    </xf>
    <xf numFmtId="0" fontId="1" fillId="13" borderId="1" xfId="0" applyFont="1" applyFill="1" applyBorder="1"/>
    <xf numFmtId="10" fontId="1" fillId="13" borderId="1" xfId="0" applyNumberFormat="1" applyFont="1" applyFill="1" applyBorder="1" applyAlignment="1">
      <alignment horizontal="center"/>
    </xf>
    <xf numFmtId="164" fontId="5" fillId="13" borderId="1" xfId="0" applyNumberFormat="1" applyFont="1" applyFill="1" applyBorder="1" applyAlignment="1">
      <alignment horizontal="right"/>
    </xf>
    <xf numFmtId="164" fontId="5" fillId="13" borderId="7" xfId="0" applyNumberFormat="1" applyFont="1" applyFill="1" applyBorder="1" applyAlignment="1">
      <alignment horizontal="right"/>
    </xf>
    <xf numFmtId="0" fontId="16" fillId="0" borderId="0" xfId="0" applyFont="1" applyBorder="1"/>
    <xf numFmtId="0" fontId="16" fillId="0" borderId="0" xfId="0" applyFont="1" applyBorder="1" applyAlignment="1">
      <alignment horizontal="left"/>
    </xf>
    <xf numFmtId="164" fontId="5" fillId="13" borderId="3" xfId="0" applyNumberFormat="1" applyFont="1" applyFill="1" applyBorder="1" applyAlignment="1">
      <alignment horizontal="right"/>
    </xf>
    <xf numFmtId="2" fontId="1" fillId="0" borderId="0" xfId="0" applyNumberFormat="1" applyFont="1" applyBorder="1" applyAlignment="1">
      <alignment horizontal="center"/>
    </xf>
    <xf numFmtId="0" fontId="5" fillId="0" borderId="0" xfId="0" applyFont="1" applyBorder="1" applyAlignment="1">
      <alignment horizontal="right"/>
    </xf>
    <xf numFmtId="0" fontId="2" fillId="0" borderId="8" xfId="0" applyFont="1" applyBorder="1" applyAlignment="1">
      <alignment horizontal="right"/>
    </xf>
    <xf numFmtId="0" fontId="7" fillId="2" borderId="1" xfId="0" applyFont="1" applyFill="1" applyBorder="1"/>
    <xf numFmtId="0" fontId="16" fillId="0" borderId="0" xfId="0" applyFont="1" applyBorder="1" applyAlignment="1">
      <alignment horizontal="center"/>
    </xf>
    <xf numFmtId="0" fontId="3" fillId="0" borderId="0" xfId="0" applyFont="1" applyBorder="1" applyAlignment="1">
      <alignment horizontal="right"/>
    </xf>
    <xf numFmtId="0" fontId="3" fillId="0" borderId="6" xfId="0" applyFont="1" applyBorder="1" applyAlignment="1">
      <alignment horizontal="right"/>
    </xf>
    <xf numFmtId="0" fontId="16" fillId="0" borderId="6" xfId="0" applyFont="1" applyBorder="1" applyAlignment="1">
      <alignment horizontal="center"/>
    </xf>
    <xf numFmtId="0" fontId="19" fillId="5" borderId="26" xfId="0" applyFont="1" applyFill="1" applyBorder="1" applyAlignment="1">
      <alignment horizontal="center" vertical="center" wrapText="1"/>
    </xf>
    <xf numFmtId="0" fontId="20" fillId="14" borderId="26" xfId="0" applyFont="1" applyFill="1" applyBorder="1" applyAlignment="1">
      <alignment horizontal="center" vertical="center" wrapText="1"/>
    </xf>
    <xf numFmtId="0" fontId="19" fillId="0" borderId="26" xfId="0" applyFont="1" applyBorder="1" applyAlignment="1">
      <alignment horizontal="left" vertical="center" wrapText="1"/>
    </xf>
    <xf numFmtId="0" fontId="20" fillId="0" borderId="27" xfId="0" applyFont="1" applyBorder="1"/>
    <xf numFmtId="164" fontId="21" fillId="0" borderId="26" xfId="0" applyNumberFormat="1" applyFont="1" applyBorder="1"/>
    <xf numFmtId="0" fontId="19" fillId="6" borderId="26" xfId="0" applyFont="1" applyFill="1" applyBorder="1" applyAlignment="1">
      <alignment horizontal="center" vertical="center" wrapText="1"/>
    </xf>
    <xf numFmtId="0" fontId="20" fillId="15" borderId="26" xfId="0" applyFont="1" applyFill="1" applyBorder="1" applyAlignment="1">
      <alignment horizontal="left" vertical="center" wrapText="1"/>
    </xf>
    <xf numFmtId="0" fontId="20" fillId="15" borderId="26" xfId="0" applyFont="1" applyFill="1" applyBorder="1" applyAlignment="1">
      <alignment horizontal="center" vertical="center" wrapText="1"/>
    </xf>
    <xf numFmtId="3" fontId="20" fillId="15" borderId="26" xfId="0" applyNumberFormat="1" applyFont="1" applyFill="1" applyBorder="1"/>
    <xf numFmtId="164" fontId="20" fillId="15" borderId="26" xfId="0" applyNumberFormat="1" applyFont="1" applyFill="1" applyBorder="1"/>
    <xf numFmtId="0" fontId="20" fillId="15" borderId="26" xfId="0" applyFont="1" applyFill="1" applyBorder="1"/>
    <xf numFmtId="0" fontId="20" fillId="0" borderId="26" xfId="0" applyFont="1" applyBorder="1" applyAlignment="1">
      <alignment horizontal="left" vertical="center" wrapText="1"/>
    </xf>
    <xf numFmtId="0" fontId="20" fillId="0" borderId="26" xfId="0" applyFont="1" applyBorder="1" applyAlignment="1">
      <alignment horizontal="center" vertical="center" wrapText="1"/>
    </xf>
    <xf numFmtId="3" fontId="20" fillId="0" borderId="26" xfId="0" applyNumberFormat="1" applyFont="1" applyBorder="1"/>
    <xf numFmtId="164" fontId="20" fillId="0" borderId="26" xfId="0" applyNumberFormat="1" applyFont="1" applyBorder="1"/>
    <xf numFmtId="0" fontId="20" fillId="0" borderId="26" xfId="0" applyFont="1" applyBorder="1"/>
    <xf numFmtId="0" fontId="22" fillId="16" borderId="26" xfId="0" applyFont="1" applyFill="1" applyBorder="1" applyAlignment="1">
      <alignment horizontal="center" vertical="center" wrapText="1"/>
    </xf>
    <xf numFmtId="0" fontId="22" fillId="16" borderId="26" xfId="0" applyFont="1" applyFill="1" applyBorder="1" applyAlignment="1">
      <alignment horizontal="left" vertical="center" wrapText="1"/>
    </xf>
    <xf numFmtId="0" fontId="22" fillId="16" borderId="26" xfId="0" applyFont="1" applyFill="1" applyBorder="1"/>
    <xf numFmtId="3" fontId="22" fillId="16" borderId="26" xfId="0" applyNumberFormat="1" applyFont="1" applyFill="1" applyBorder="1"/>
    <xf numFmtId="164" fontId="22" fillId="16" borderId="26" xfId="0" applyNumberFormat="1" applyFont="1" applyFill="1" applyBorder="1"/>
    <xf numFmtId="164" fontId="19" fillId="17" borderId="26" xfId="0" applyNumberFormat="1" applyFont="1" applyFill="1" applyBorder="1" applyAlignment="1">
      <alignment horizontal="center" vertical="center" wrapText="1"/>
    </xf>
    <xf numFmtId="164" fontId="19" fillId="18" borderId="26" xfId="0" applyNumberFormat="1" applyFont="1" applyFill="1" applyBorder="1" applyAlignment="1">
      <alignment horizontal="center" vertical="center" wrapText="1"/>
    </xf>
    <xf numFmtId="0" fontId="23" fillId="0" borderId="0" xfId="0" applyFont="1" applyBorder="1"/>
    <xf numFmtId="0" fontId="24" fillId="0" borderId="0" xfId="0" applyFont="1" applyBorder="1" applyAlignment="1">
      <alignment horizontal="center"/>
    </xf>
    <xf numFmtId="0" fontId="23" fillId="2" borderId="1" xfId="0" applyFont="1" applyFill="1" applyBorder="1"/>
    <xf numFmtId="0" fontId="16" fillId="19" borderId="29" xfId="0" applyFont="1" applyFill="1" applyBorder="1" applyAlignment="1">
      <alignment horizontal="center"/>
    </xf>
    <xf numFmtId="0" fontId="25" fillId="0" borderId="0" xfId="0" applyFont="1" applyBorder="1" applyAlignment="1">
      <alignment horizontal="center"/>
    </xf>
    <xf numFmtId="0" fontId="25" fillId="0" borderId="25" xfId="0" applyFont="1" applyBorder="1" applyAlignment="1">
      <alignment horizontal="center"/>
    </xf>
    <xf numFmtId="0" fontId="16" fillId="19" borderId="30" xfId="0" applyFont="1" applyFill="1" applyBorder="1" applyAlignment="1">
      <alignment horizontal="center"/>
    </xf>
    <xf numFmtId="0" fontId="25" fillId="0" borderId="0" xfId="0" quotePrefix="1" applyFont="1" applyBorder="1" applyAlignment="1">
      <alignment horizontal="center"/>
    </xf>
    <xf numFmtId="0" fontId="25" fillId="0" borderId="31" xfId="0" applyFont="1" applyBorder="1" applyAlignment="1">
      <alignment horizontal="center"/>
    </xf>
    <xf numFmtId="0" fontId="3" fillId="0" borderId="26" xfId="0" applyFont="1" applyBorder="1"/>
    <xf numFmtId="164" fontId="3" fillId="0" borderId="31" xfId="0" applyNumberFormat="1" applyFont="1" applyBorder="1"/>
    <xf numFmtId="9" fontId="23" fillId="0" borderId="0" xfId="0" applyNumberFormat="1" applyFont="1" applyBorder="1" applyAlignment="1">
      <alignment horizontal="center"/>
    </xf>
    <xf numFmtId="9" fontId="23" fillId="20" borderId="1" xfId="0" applyNumberFormat="1" applyFont="1" applyFill="1" applyBorder="1" applyAlignment="1">
      <alignment horizontal="center"/>
    </xf>
    <xf numFmtId="164" fontId="3" fillId="0" borderId="26" xfId="0" applyNumberFormat="1" applyFont="1" applyBorder="1"/>
    <xf numFmtId="0" fontId="16" fillId="19" borderId="26" xfId="0" applyFont="1" applyFill="1" applyBorder="1" applyAlignment="1">
      <alignment horizontal="center"/>
    </xf>
    <xf numFmtId="164" fontId="16" fillId="19" borderId="26" xfId="0" applyNumberFormat="1" applyFont="1" applyFill="1" applyBorder="1"/>
    <xf numFmtId="0" fontId="23" fillId="20" borderId="1" xfId="0" applyFont="1" applyFill="1" applyBorder="1"/>
    <xf numFmtId="0" fontId="3" fillId="0" borderId="15" xfId="0" applyFont="1" applyBorder="1"/>
    <xf numFmtId="0" fontId="3" fillId="0" borderId="27" xfId="0" applyFont="1" applyBorder="1"/>
    <xf numFmtId="0" fontId="16" fillId="2" borderId="1" xfId="0" applyFont="1" applyFill="1" applyBorder="1" applyAlignment="1">
      <alignment horizontal="center"/>
    </xf>
    <xf numFmtId="9" fontId="3" fillId="0" borderId="0" xfId="0" applyNumberFormat="1" applyFont="1" applyBorder="1" applyAlignment="1">
      <alignment horizontal="center"/>
    </xf>
    <xf numFmtId="164" fontId="16" fillId="2" borderId="1" xfId="0" applyNumberFormat="1" applyFont="1" applyFill="1" applyBorder="1"/>
    <xf numFmtId="0" fontId="26" fillId="0" borderId="0" xfId="0" applyFont="1" applyBorder="1"/>
    <xf numFmtId="0" fontId="27" fillId="0" borderId="0" xfId="0" applyFont="1" applyBorder="1"/>
    <xf numFmtId="0" fontId="27" fillId="0" borderId="0" xfId="0" applyFont="1" applyBorder="1" applyAlignment="1">
      <alignment horizontal="center"/>
    </xf>
    <xf numFmtId="174" fontId="27" fillId="0" borderId="10" xfId="0" applyNumberFormat="1" applyFont="1" applyBorder="1" applyAlignment="1">
      <alignment horizontal="center"/>
    </xf>
    <xf numFmtId="174" fontId="27" fillId="0" borderId="0" xfId="0" applyNumberFormat="1" applyFont="1" applyBorder="1" applyAlignment="1">
      <alignment horizontal="center"/>
    </xf>
    <xf numFmtId="0" fontId="28" fillId="4" borderId="1" xfId="0" applyFont="1" applyFill="1" applyBorder="1"/>
    <xf numFmtId="175" fontId="28" fillId="4" borderId="1" xfId="0" applyNumberFormat="1" applyFont="1" applyFill="1" applyBorder="1" applyAlignment="1">
      <alignment horizontal="right"/>
    </xf>
    <xf numFmtId="0" fontId="28" fillId="0" borderId="0" xfId="0" applyFont="1" applyBorder="1"/>
    <xf numFmtId="175" fontId="28" fillId="0" borderId="0" xfId="0" applyNumberFormat="1" applyFont="1" applyBorder="1" applyAlignment="1">
      <alignment horizontal="right"/>
    </xf>
    <xf numFmtId="175" fontId="28" fillId="4" borderId="11" xfId="0" applyNumberFormat="1" applyFont="1" applyFill="1" applyBorder="1" applyAlignment="1">
      <alignment horizontal="right"/>
    </xf>
    <xf numFmtId="175" fontId="27" fillId="0" borderId="0" xfId="0" applyNumberFormat="1" applyFont="1" applyBorder="1" applyAlignment="1">
      <alignment horizontal="right"/>
    </xf>
    <xf numFmtId="10" fontId="28" fillId="0" borderId="0" xfId="0" applyNumberFormat="1" applyFont="1" applyBorder="1" applyAlignment="1">
      <alignment horizontal="right"/>
    </xf>
    <xf numFmtId="0" fontId="28" fillId="4" borderId="11" xfId="0" applyFont="1" applyFill="1" applyBorder="1"/>
    <xf numFmtId="0" fontId="27" fillId="0" borderId="20" xfId="0" applyFont="1" applyBorder="1"/>
    <xf numFmtId="175" fontId="27" fillId="0" borderId="20" xfId="0" applyNumberFormat="1" applyFont="1" applyBorder="1" applyAlignment="1">
      <alignment horizontal="right"/>
    </xf>
    <xf numFmtId="0" fontId="28" fillId="7" borderId="1" xfId="0" applyFont="1" applyFill="1" applyBorder="1"/>
    <xf numFmtId="175" fontId="28" fillId="7" borderId="11" xfId="0" applyNumberFormat="1" applyFont="1" applyFill="1" applyBorder="1" applyAlignment="1">
      <alignment horizontal="right"/>
    </xf>
    <xf numFmtId="169" fontId="28" fillId="0" borderId="0" xfId="0" applyNumberFormat="1" applyFont="1" applyBorder="1" applyAlignment="1">
      <alignment horizontal="right"/>
    </xf>
    <xf numFmtId="10" fontId="24" fillId="0" borderId="0" xfId="0" applyNumberFormat="1" applyFont="1" applyBorder="1"/>
    <xf numFmtId="3" fontId="24" fillId="0" borderId="0" xfId="0" applyNumberFormat="1" applyFont="1" applyBorder="1"/>
    <xf numFmtId="175" fontId="3" fillId="0" borderId="0" xfId="0" applyNumberFormat="1" applyFont="1" applyBorder="1"/>
    <xf numFmtId="0" fontId="29" fillId="21" borderId="1" xfId="0" applyFont="1" applyFill="1" applyBorder="1" applyAlignment="1">
      <alignment horizontal="left"/>
    </xf>
    <xf numFmtId="0" fontId="23" fillId="21" borderId="1" xfId="0" applyFont="1" applyFill="1" applyBorder="1" applyAlignment="1">
      <alignment horizontal="center"/>
    </xf>
    <xf numFmtId="0" fontId="23" fillId="2" borderId="1" xfId="0" applyFont="1" applyFill="1" applyBorder="1" applyAlignment="1">
      <alignment horizontal="center"/>
    </xf>
    <xf numFmtId="0" fontId="25" fillId="2" borderId="1" xfId="0" applyFont="1" applyFill="1" applyBorder="1" applyAlignment="1">
      <alignment horizontal="center"/>
    </xf>
    <xf numFmtId="170" fontId="23" fillId="2" borderId="1" xfId="0" applyNumberFormat="1" applyFont="1" applyFill="1" applyBorder="1"/>
    <xf numFmtId="0" fontId="30" fillId="2" borderId="1" xfId="0" applyFont="1" applyFill="1" applyBorder="1" applyAlignment="1">
      <alignment horizontal="left"/>
    </xf>
    <xf numFmtId="166" fontId="23" fillId="2" borderId="1" xfId="0" applyNumberFormat="1" applyFont="1" applyFill="1" applyBorder="1" applyAlignment="1">
      <alignment horizontal="center"/>
    </xf>
    <xf numFmtId="17" fontId="23" fillId="2" borderId="1" xfId="0" applyNumberFormat="1" applyFont="1" applyFill="1" applyBorder="1" applyAlignment="1">
      <alignment horizontal="left"/>
    </xf>
    <xf numFmtId="164" fontId="23" fillId="2" borderId="1" xfId="0" applyNumberFormat="1" applyFont="1" applyFill="1" applyBorder="1"/>
    <xf numFmtId="0" fontId="23" fillId="2" borderId="1" xfId="0" applyFont="1" applyFill="1" applyBorder="1" applyAlignment="1">
      <alignment horizontal="left"/>
    </xf>
    <xf numFmtId="170" fontId="23" fillId="2" borderId="1" xfId="0" applyNumberFormat="1" applyFont="1" applyFill="1" applyBorder="1" applyAlignment="1">
      <alignment horizontal="center"/>
    </xf>
    <xf numFmtId="17" fontId="23" fillId="2" borderId="1" xfId="0" applyNumberFormat="1" applyFont="1" applyFill="1" applyBorder="1"/>
    <xf numFmtId="0" fontId="23" fillId="22" borderId="1" xfId="0" applyFont="1" applyFill="1" applyBorder="1" applyAlignment="1">
      <alignment horizontal="left"/>
    </xf>
    <xf numFmtId="0" fontId="23" fillId="22" borderId="1" xfId="0" applyFont="1" applyFill="1" applyBorder="1" applyAlignment="1">
      <alignment horizontal="center"/>
    </xf>
    <xf numFmtId="166" fontId="23" fillId="22" borderId="1" xfId="0" applyNumberFormat="1" applyFont="1" applyFill="1" applyBorder="1" applyAlignment="1">
      <alignment horizontal="center"/>
    </xf>
    <xf numFmtId="0" fontId="25" fillId="21" borderId="1" xfId="0" applyFont="1" applyFill="1" applyBorder="1"/>
    <xf numFmtId="0" fontId="23" fillId="21" borderId="1" xfId="0" applyFont="1" applyFill="1" applyBorder="1"/>
    <xf numFmtId="0" fontId="25" fillId="8" borderId="32" xfId="0" applyFont="1" applyFill="1" applyBorder="1" applyAlignment="1">
      <alignment horizontal="center"/>
    </xf>
    <xf numFmtId="0" fontId="31" fillId="22" borderId="1" xfId="0" applyFont="1" applyFill="1" applyBorder="1" applyAlignment="1">
      <alignment horizontal="center" vertical="center"/>
    </xf>
    <xf numFmtId="0" fontId="25" fillId="8" borderId="3" xfId="0" applyFont="1" applyFill="1" applyBorder="1" applyAlignment="1">
      <alignment horizontal="center"/>
    </xf>
    <xf numFmtId="0" fontId="31" fillId="2" borderId="1" xfId="0" applyFont="1" applyFill="1" applyBorder="1" applyAlignment="1">
      <alignment horizontal="right"/>
    </xf>
    <xf numFmtId="170" fontId="31" fillId="22" borderId="1" xfId="0" applyNumberFormat="1" applyFont="1" applyFill="1" applyBorder="1" applyAlignment="1">
      <alignment horizontal="center" vertical="center"/>
    </xf>
    <xf numFmtId="170" fontId="31" fillId="11" borderId="1" xfId="0" applyNumberFormat="1" applyFont="1" applyFill="1" applyBorder="1" applyAlignment="1">
      <alignment horizontal="center" vertical="center"/>
    </xf>
    <xf numFmtId="170" fontId="31" fillId="11" borderId="3" xfId="0" applyNumberFormat="1" applyFont="1" applyFill="1" applyBorder="1" applyAlignment="1">
      <alignment horizontal="center" vertical="center"/>
    </xf>
    <xf numFmtId="0" fontId="23" fillId="2" borderId="3" xfId="0" applyFont="1" applyFill="1" applyBorder="1"/>
    <xf numFmtId="0" fontId="32" fillId="0" borderId="0" xfId="0" applyFont="1" applyBorder="1" applyAlignment="1">
      <alignment vertical="center"/>
    </xf>
    <xf numFmtId="17" fontId="25" fillId="23" borderId="1" xfId="0" applyNumberFormat="1" applyFont="1" applyFill="1" applyBorder="1" applyAlignment="1">
      <alignment horizontal="center" vertical="center"/>
    </xf>
    <xf numFmtId="17" fontId="25" fillId="23" borderId="3" xfId="0" applyNumberFormat="1" applyFont="1" applyFill="1" applyBorder="1" applyAlignment="1">
      <alignment horizontal="center" vertical="center"/>
    </xf>
    <xf numFmtId="176" fontId="23" fillId="0" borderId="0" xfId="0" applyNumberFormat="1" applyFont="1" applyBorder="1"/>
    <xf numFmtId="177" fontId="25" fillId="24" borderId="1" xfId="0" applyNumberFormat="1" applyFont="1" applyFill="1" applyBorder="1"/>
    <xf numFmtId="3" fontId="23" fillId="2" borderId="1" xfId="0" applyNumberFormat="1" applyFont="1" applyFill="1" applyBorder="1"/>
    <xf numFmtId="3" fontId="23" fillId="2" borderId="3" xfId="0" applyNumberFormat="1" applyFont="1" applyFill="1" applyBorder="1"/>
    <xf numFmtId="0" fontId="23" fillId="23" borderId="1" xfId="0" applyFont="1" applyFill="1" applyBorder="1"/>
    <xf numFmtId="176" fontId="23" fillId="23" borderId="1" xfId="0" applyNumberFormat="1" applyFont="1" applyFill="1" applyBorder="1"/>
    <xf numFmtId="177" fontId="25" fillId="23" borderId="1" xfId="0" applyNumberFormat="1" applyFont="1" applyFill="1" applyBorder="1"/>
    <xf numFmtId="3" fontId="25" fillId="23" borderId="1" xfId="0" applyNumberFormat="1" applyFont="1" applyFill="1" applyBorder="1"/>
    <xf numFmtId="3" fontId="25" fillId="23" borderId="3" xfId="0" applyNumberFormat="1" applyFont="1" applyFill="1" applyBorder="1"/>
    <xf numFmtId="3" fontId="25" fillId="8" borderId="3" xfId="0" applyNumberFormat="1" applyFont="1" applyFill="1" applyBorder="1"/>
    <xf numFmtId="176" fontId="23" fillId="2" borderId="1" xfId="0" applyNumberFormat="1" applyFont="1" applyFill="1" applyBorder="1"/>
    <xf numFmtId="177" fontId="25" fillId="2" borderId="1" xfId="0" applyNumberFormat="1" applyFont="1" applyFill="1" applyBorder="1"/>
    <xf numFmtId="177" fontId="25" fillId="23" borderId="33" xfId="0" applyNumberFormat="1" applyFont="1" applyFill="1" applyBorder="1"/>
    <xf numFmtId="3" fontId="25" fillId="8" borderId="33" xfId="0" applyNumberFormat="1" applyFont="1" applyFill="1" applyBorder="1"/>
    <xf numFmtId="0" fontId="23" fillId="2" borderId="12" xfId="0" applyFont="1" applyFill="1" applyBorder="1"/>
    <xf numFmtId="0" fontId="23" fillId="2" borderId="13" xfId="0" applyFont="1" applyFill="1" applyBorder="1"/>
    <xf numFmtId="0" fontId="23" fillId="2" borderId="34" xfId="0" applyFont="1" applyFill="1" applyBorder="1"/>
    <xf numFmtId="0" fontId="20" fillId="0" borderId="0" xfId="0" applyFont="1" applyBorder="1"/>
    <xf numFmtId="0" fontId="20" fillId="25" borderId="26" xfId="0" applyFont="1" applyFill="1" applyBorder="1" applyAlignment="1">
      <alignment horizontal="right" vertical="center"/>
    </xf>
    <xf numFmtId="3" fontId="20" fillId="25" borderId="26" xfId="0" applyNumberFormat="1" applyFont="1" applyFill="1" applyBorder="1" applyAlignment="1">
      <alignment horizontal="center"/>
    </xf>
    <xf numFmtId="0" fontId="20" fillId="2" borderId="1" xfId="0" applyFont="1" applyFill="1" applyBorder="1" applyAlignment="1">
      <alignment horizontal="left"/>
    </xf>
    <xf numFmtId="3" fontId="20" fillId="2" borderId="1" xfId="0" applyNumberFormat="1" applyFont="1" applyFill="1" applyBorder="1" applyAlignment="1">
      <alignment horizontal="right"/>
    </xf>
    <xf numFmtId="9" fontId="20" fillId="2" borderId="1" xfId="0" applyNumberFormat="1" applyFont="1" applyFill="1" applyBorder="1" applyAlignment="1">
      <alignment horizontal="right"/>
    </xf>
    <xf numFmtId="9" fontId="19" fillId="2" borderId="1" xfId="0" applyNumberFormat="1" applyFont="1" applyFill="1" applyBorder="1" applyAlignment="1">
      <alignment horizontal="center"/>
    </xf>
    <xf numFmtId="0" fontId="19" fillId="17" borderId="26" xfId="0" applyFont="1" applyFill="1" applyBorder="1" applyAlignment="1">
      <alignment horizontal="left"/>
    </xf>
    <xf numFmtId="17" fontId="20" fillId="17" borderId="26" xfId="0" applyNumberFormat="1" applyFont="1" applyFill="1" applyBorder="1" applyAlignment="1">
      <alignment horizontal="center"/>
    </xf>
    <xf numFmtId="17" fontId="20" fillId="26" borderId="26" xfId="0" applyNumberFormat="1" applyFont="1" applyFill="1" applyBorder="1" applyAlignment="1">
      <alignment horizontal="center"/>
    </xf>
    <xf numFmtId="0" fontId="20" fillId="2" borderId="1" xfId="0" applyFont="1" applyFill="1" applyBorder="1"/>
    <xf numFmtId="0" fontId="20" fillId="2" borderId="26" xfId="0" applyFont="1" applyFill="1" applyBorder="1" applyAlignment="1">
      <alignment horizontal="left"/>
    </xf>
    <xf numFmtId="3" fontId="20" fillId="27" borderId="26" xfId="0" applyNumberFormat="1" applyFont="1" applyFill="1" applyBorder="1" applyAlignment="1">
      <alignment horizontal="right"/>
    </xf>
    <xf numFmtId="3" fontId="20" fillId="11" borderId="26" xfId="0" applyNumberFormat="1" applyFont="1" applyFill="1" applyBorder="1" applyAlignment="1">
      <alignment horizontal="right"/>
    </xf>
    <xf numFmtId="3" fontId="20" fillId="27" borderId="29" xfId="0" applyNumberFormat="1" applyFont="1" applyFill="1" applyBorder="1" applyAlignment="1">
      <alignment horizontal="right"/>
    </xf>
    <xf numFmtId="0" fontId="20" fillId="2" borderId="12" xfId="0" applyFont="1" applyFill="1" applyBorder="1" applyAlignment="1">
      <alignment horizontal="left"/>
    </xf>
    <xf numFmtId="3" fontId="20" fillId="27" borderId="34" xfId="0" applyNumberFormat="1" applyFont="1" applyFill="1" applyBorder="1" applyAlignment="1">
      <alignment horizontal="right"/>
    </xf>
    <xf numFmtId="0" fontId="20" fillId="2" borderId="4" xfId="0" applyFont="1" applyFill="1" applyBorder="1" applyAlignment="1">
      <alignment horizontal="left"/>
    </xf>
    <xf numFmtId="3" fontId="20" fillId="27" borderId="35" xfId="0" applyNumberFormat="1" applyFont="1" applyFill="1" applyBorder="1" applyAlignment="1">
      <alignment horizontal="right"/>
    </xf>
    <xf numFmtId="3" fontId="20" fillId="11" borderId="29" xfId="0" applyNumberFormat="1" applyFont="1" applyFill="1" applyBorder="1" applyAlignment="1">
      <alignment horizontal="right"/>
    </xf>
    <xf numFmtId="0" fontId="33" fillId="2" borderId="1" xfId="0" applyFont="1" applyFill="1" applyBorder="1" applyAlignment="1">
      <alignment horizontal="center"/>
    </xf>
    <xf numFmtId="178" fontId="20" fillId="2" borderId="1" xfId="0" applyNumberFormat="1" applyFont="1" applyFill="1" applyBorder="1" applyAlignment="1">
      <alignment horizontal="right"/>
    </xf>
    <xf numFmtId="0" fontId="20" fillId="2" borderId="1" xfId="0" applyFont="1" applyFill="1" applyBorder="1" applyAlignment="1">
      <alignment horizontal="right"/>
    </xf>
    <xf numFmtId="9" fontId="20" fillId="0" borderId="0" xfId="0" applyNumberFormat="1" applyFont="1" applyBorder="1"/>
    <xf numFmtId="172" fontId="20" fillId="27" borderId="26" xfId="0" applyNumberFormat="1" applyFont="1" applyFill="1" applyBorder="1" applyAlignment="1">
      <alignment horizontal="right"/>
    </xf>
    <xf numFmtId="172" fontId="20" fillId="11" borderId="26" xfId="0" applyNumberFormat="1" applyFont="1" applyFill="1" applyBorder="1" applyAlignment="1">
      <alignment horizontal="right"/>
    </xf>
    <xf numFmtId="172" fontId="20" fillId="27" borderId="29" xfId="0" applyNumberFormat="1" applyFont="1" applyFill="1" applyBorder="1" applyAlignment="1">
      <alignment horizontal="right"/>
    </xf>
    <xf numFmtId="172" fontId="20" fillId="27" borderId="34" xfId="0" applyNumberFormat="1" applyFont="1" applyFill="1" applyBorder="1" applyAlignment="1">
      <alignment horizontal="right"/>
    </xf>
    <xf numFmtId="172" fontId="20" fillId="27" borderId="35" xfId="0" applyNumberFormat="1" applyFont="1" applyFill="1" applyBorder="1" applyAlignment="1">
      <alignment horizontal="right"/>
    </xf>
    <xf numFmtId="0" fontId="19" fillId="28" borderId="26" xfId="0" applyFont="1" applyFill="1" applyBorder="1" applyAlignment="1">
      <alignment horizontal="right"/>
    </xf>
    <xf numFmtId="0" fontId="19" fillId="0" borderId="0" xfId="0" applyFont="1" applyBorder="1"/>
    <xf numFmtId="10" fontId="19" fillId="28" borderId="26" xfId="0" applyNumberFormat="1" applyFont="1" applyFill="1" applyBorder="1" applyAlignment="1">
      <alignment horizontal="center"/>
    </xf>
    <xf numFmtId="165" fontId="20" fillId="27" borderId="26" xfId="0" applyNumberFormat="1" applyFont="1" applyFill="1" applyBorder="1" applyAlignment="1">
      <alignment horizontal="right"/>
    </xf>
    <xf numFmtId="165" fontId="20" fillId="0" borderId="0" xfId="0" applyNumberFormat="1" applyFont="1" applyBorder="1"/>
    <xf numFmtId="0" fontId="20" fillId="0" borderId="36" xfId="0" applyFont="1" applyBorder="1"/>
    <xf numFmtId="0" fontId="19" fillId="0" borderId="0" xfId="0" applyFont="1" applyBorder="1" applyAlignment="1">
      <alignment horizontal="right"/>
    </xf>
    <xf numFmtId="164" fontId="19" fillId="0" borderId="0" xfId="0" applyNumberFormat="1" applyFont="1" applyBorder="1"/>
    <xf numFmtId="3" fontId="20" fillId="25" borderId="12" xfId="0" applyNumberFormat="1" applyFont="1" applyFill="1" applyBorder="1" applyAlignment="1">
      <alignment horizontal="center"/>
    </xf>
    <xf numFmtId="0" fontId="34" fillId="0" borderId="10" xfId="0" applyFont="1" applyBorder="1" applyAlignment="1">
      <alignment horizontal="right"/>
    </xf>
    <xf numFmtId="164" fontId="34" fillId="0" borderId="0" xfId="0" applyNumberFormat="1" applyFont="1" applyBorder="1"/>
    <xf numFmtId="165" fontId="34" fillId="0" borderId="0" xfId="0" applyNumberFormat="1" applyFont="1" applyBorder="1"/>
    <xf numFmtId="0" fontId="19" fillId="26" borderId="1" xfId="0" applyFont="1" applyFill="1" applyBorder="1"/>
    <xf numFmtId="17" fontId="20" fillId="26" borderId="12" xfId="0" applyNumberFormat="1" applyFont="1" applyFill="1" applyBorder="1" applyAlignment="1">
      <alignment horizontal="center"/>
    </xf>
    <xf numFmtId="3" fontId="20" fillId="2" borderId="1" xfId="0" applyNumberFormat="1" applyFont="1" applyFill="1" applyBorder="1" applyAlignment="1">
      <alignment horizontal="center"/>
    </xf>
    <xf numFmtId="0" fontId="19" fillId="2" borderId="1" xfId="0" applyFont="1" applyFill="1" applyBorder="1"/>
    <xf numFmtId="0" fontId="20" fillId="2" borderId="29" xfId="0" applyFont="1" applyFill="1" applyBorder="1" applyAlignment="1">
      <alignment horizontal="left"/>
    </xf>
    <xf numFmtId="0" fontId="33" fillId="21" borderId="11" xfId="0" applyFont="1" applyFill="1" applyBorder="1" applyAlignment="1">
      <alignment horizontal="left"/>
    </xf>
    <xf numFmtId="0" fontId="33" fillId="0" borderId="0" xfId="0" applyFont="1" applyBorder="1"/>
    <xf numFmtId="0" fontId="20" fillId="0" borderId="10" xfId="0" applyFont="1" applyBorder="1"/>
    <xf numFmtId="10" fontId="19" fillId="7" borderId="1" xfId="0" applyNumberFormat="1" applyFont="1" applyFill="1" applyBorder="1"/>
    <xf numFmtId="172" fontId="20" fillId="11" borderId="29" xfId="0" applyNumberFormat="1" applyFont="1" applyFill="1" applyBorder="1" applyAlignment="1">
      <alignment horizontal="right"/>
    </xf>
    <xf numFmtId="10" fontId="20" fillId="0" borderId="0" xfId="0" applyNumberFormat="1" applyFont="1" applyBorder="1"/>
    <xf numFmtId="10" fontId="19" fillId="25" borderId="12" xfId="0" applyNumberFormat="1" applyFont="1" applyFill="1" applyBorder="1" applyAlignment="1">
      <alignment horizontal="center"/>
    </xf>
    <xf numFmtId="0" fontId="19" fillId="25" borderId="34" xfId="0" applyFont="1" applyFill="1" applyBorder="1"/>
    <xf numFmtId="172" fontId="20" fillId="0" borderId="0" xfId="0" applyNumberFormat="1" applyFont="1" applyBorder="1"/>
    <xf numFmtId="179" fontId="20" fillId="0" borderId="0" xfId="0" applyNumberFormat="1" applyFont="1" applyBorder="1"/>
    <xf numFmtId="0" fontId="19" fillId="7" borderId="1" xfId="0" applyFont="1" applyFill="1" applyBorder="1"/>
    <xf numFmtId="165" fontId="20" fillId="11" borderId="26" xfId="0" applyNumberFormat="1" applyFont="1" applyFill="1" applyBorder="1" applyAlignment="1">
      <alignment horizontal="right"/>
    </xf>
    <xf numFmtId="165" fontId="20" fillId="11" borderId="29" xfId="0" applyNumberFormat="1" applyFont="1" applyFill="1" applyBorder="1" applyAlignment="1">
      <alignment horizontal="right"/>
    </xf>
    <xf numFmtId="9" fontId="19" fillId="0" borderId="0" xfId="0" applyNumberFormat="1" applyFont="1" applyBorder="1"/>
    <xf numFmtId="0" fontId="33" fillId="21" borderId="26" xfId="0" applyFont="1" applyFill="1" applyBorder="1" applyAlignment="1">
      <alignment horizontal="left"/>
    </xf>
    <xf numFmtId="165" fontId="33" fillId="11" borderId="26" xfId="0" applyNumberFormat="1" applyFont="1" applyFill="1" applyBorder="1" applyAlignment="1">
      <alignment horizontal="right"/>
    </xf>
    <xf numFmtId="0" fontId="19" fillId="25" borderId="34" xfId="0" applyFont="1" applyFill="1" applyBorder="1" applyAlignment="1">
      <alignment horizontal="center"/>
    </xf>
    <xf numFmtId="165" fontId="19" fillId="25" borderId="11" xfId="0" applyNumberFormat="1" applyFont="1" applyFill="1" applyBorder="1" applyAlignment="1">
      <alignment horizontal="right"/>
    </xf>
    <xf numFmtId="165" fontId="19" fillId="21" borderId="26" xfId="0" applyNumberFormat="1" applyFont="1" applyFill="1" applyBorder="1" applyAlignment="1">
      <alignment horizontal="right"/>
    </xf>
    <xf numFmtId="3" fontId="20" fillId="0" borderId="0" xfId="0" applyNumberFormat="1" applyFont="1" applyBorder="1"/>
    <xf numFmtId="0" fontId="20" fillId="2" borderId="11" xfId="0" applyFont="1" applyFill="1" applyBorder="1" applyAlignment="1">
      <alignment horizontal="left"/>
    </xf>
    <xf numFmtId="3" fontId="20" fillId="0" borderId="10" xfId="0" applyNumberFormat="1" applyFont="1" applyBorder="1"/>
    <xf numFmtId="0" fontId="20" fillId="2" borderId="5" xfId="0" applyFont="1" applyFill="1" applyBorder="1" applyAlignment="1">
      <alignment horizontal="left"/>
    </xf>
    <xf numFmtId="4" fontId="20" fillId="0" borderId="20" xfId="0" applyNumberFormat="1" applyFont="1" applyBorder="1"/>
    <xf numFmtId="4" fontId="20" fillId="0" borderId="0" xfId="0" applyNumberFormat="1" applyFont="1" applyBorder="1"/>
    <xf numFmtId="4" fontId="20" fillId="0" borderId="10" xfId="0" applyNumberFormat="1" applyFont="1" applyBorder="1"/>
    <xf numFmtId="165" fontId="19" fillId="0" borderId="0" xfId="0" applyNumberFormat="1" applyFont="1" applyBorder="1"/>
    <xf numFmtId="3" fontId="20" fillId="0" borderId="20" xfId="0" applyNumberFormat="1" applyFont="1" applyBorder="1"/>
    <xf numFmtId="0" fontId="35" fillId="21" borderId="37" xfId="0" applyFont="1" applyFill="1" applyBorder="1" applyAlignment="1">
      <alignment horizontal="center" vertical="center"/>
    </xf>
    <xf numFmtId="0" fontId="20" fillId="17" borderId="14" xfId="0" applyFont="1" applyFill="1" applyBorder="1" applyAlignment="1">
      <alignment horizontal="center" vertical="center" wrapText="1"/>
    </xf>
    <xf numFmtId="0" fontId="20" fillId="17" borderId="40" xfId="0" applyFont="1" applyFill="1" applyBorder="1" applyAlignment="1">
      <alignment horizontal="center" vertical="center" wrapText="1"/>
    </xf>
    <xf numFmtId="0" fontId="20" fillId="17" borderId="26" xfId="0" applyFont="1" applyFill="1" applyBorder="1" applyAlignment="1">
      <alignment horizontal="center" vertical="center" wrapText="1"/>
    </xf>
    <xf numFmtId="0" fontId="20" fillId="17" borderId="41" xfId="0" applyFont="1" applyFill="1" applyBorder="1" applyAlignment="1">
      <alignment horizontal="center" vertical="center" wrapText="1"/>
    </xf>
    <xf numFmtId="0" fontId="20" fillId="26" borderId="34" xfId="0" applyFont="1" applyFill="1" applyBorder="1" applyAlignment="1">
      <alignment horizontal="center" vertical="center" wrapText="1"/>
    </xf>
    <xf numFmtId="0" fontId="20" fillId="26" borderId="26" xfId="0" applyFont="1" applyFill="1" applyBorder="1" applyAlignment="1">
      <alignment horizontal="center" vertical="center" wrapText="1"/>
    </xf>
    <xf numFmtId="0" fontId="20" fillId="26" borderId="41" xfId="0" applyFont="1" applyFill="1" applyBorder="1" applyAlignment="1">
      <alignment horizontal="center" vertical="center" wrapText="1"/>
    </xf>
    <xf numFmtId="0" fontId="20" fillId="26" borderId="40" xfId="0" applyFont="1" applyFill="1" applyBorder="1" applyAlignment="1">
      <alignment horizontal="center" vertical="center" wrapText="1"/>
    </xf>
    <xf numFmtId="0" fontId="36" fillId="0" borderId="14" xfId="0" applyFont="1" applyBorder="1" applyAlignment="1">
      <alignment vertical="center"/>
    </xf>
    <xf numFmtId="0" fontId="36" fillId="0" borderId="40" xfId="0" applyFont="1" applyBorder="1" applyAlignment="1">
      <alignment horizontal="center" vertical="center"/>
    </xf>
    <xf numFmtId="180" fontId="36" fillId="0" borderId="26" xfId="0" applyNumberFormat="1" applyFont="1" applyBorder="1" applyAlignment="1">
      <alignment horizontal="right" vertical="center"/>
    </xf>
    <xf numFmtId="180" fontId="36" fillId="2" borderId="41" xfId="0" applyNumberFormat="1" applyFont="1" applyFill="1" applyBorder="1" applyAlignment="1">
      <alignment horizontal="right" vertical="center"/>
    </xf>
    <xf numFmtId="0" fontId="36" fillId="0" borderId="28" xfId="0" applyFont="1" applyBorder="1" applyAlignment="1">
      <alignment horizontal="center" vertical="center"/>
    </xf>
    <xf numFmtId="181" fontId="36" fillId="0" borderId="41" xfId="0" applyNumberFormat="1" applyFont="1" applyBorder="1" applyAlignment="1">
      <alignment horizontal="right" vertical="center"/>
    </xf>
    <xf numFmtId="0" fontId="36" fillId="0" borderId="26" xfId="0" applyFont="1" applyBorder="1" applyAlignment="1">
      <alignment horizontal="center" vertical="center"/>
    </xf>
    <xf numFmtId="3" fontId="20" fillId="0" borderId="40" xfId="0" applyNumberFormat="1" applyFont="1" applyBorder="1" applyAlignment="1">
      <alignment horizontal="center" vertical="center"/>
    </xf>
    <xf numFmtId="3" fontId="20" fillId="0" borderId="28" xfId="0" applyNumberFormat="1" applyFont="1" applyBorder="1" applyAlignment="1">
      <alignment horizontal="center" vertical="center"/>
    </xf>
    <xf numFmtId="3" fontId="20" fillId="0" borderId="26" xfId="0" applyNumberFormat="1" applyFont="1" applyBorder="1" applyAlignment="1">
      <alignment horizontal="center" vertical="center"/>
    </xf>
    <xf numFmtId="3" fontId="36" fillId="0" borderId="40" xfId="0" applyNumberFormat="1" applyFont="1" applyBorder="1" applyAlignment="1">
      <alignment horizontal="center" vertical="center"/>
    </xf>
    <xf numFmtId="3" fontId="36" fillId="0" borderId="28" xfId="0" applyNumberFormat="1" applyFont="1" applyBorder="1" applyAlignment="1">
      <alignment horizontal="center" vertical="center"/>
    </xf>
    <xf numFmtId="3" fontId="36" fillId="0" borderId="26" xfId="0" applyNumberFormat="1" applyFont="1" applyBorder="1" applyAlignment="1">
      <alignment horizontal="center" vertical="center"/>
    </xf>
    <xf numFmtId="8" fontId="36" fillId="0" borderId="26" xfId="0" applyNumberFormat="1" applyFont="1" applyBorder="1" applyAlignment="1">
      <alignment horizontal="right" vertical="center"/>
    </xf>
    <xf numFmtId="3" fontId="36" fillId="29" borderId="26" xfId="0" applyNumberFormat="1" applyFont="1" applyFill="1" applyBorder="1" applyAlignment="1">
      <alignment horizontal="right" vertical="center"/>
    </xf>
    <xf numFmtId="181" fontId="36" fillId="29" borderId="41" xfId="0" applyNumberFormat="1" applyFont="1" applyFill="1" applyBorder="1" applyAlignment="1">
      <alignment horizontal="right" vertical="center"/>
    </xf>
    <xf numFmtId="3" fontId="36" fillId="0" borderId="42" xfId="0" applyNumberFormat="1" applyFont="1" applyBorder="1" applyAlignment="1">
      <alignment horizontal="center" vertical="center"/>
    </xf>
    <xf numFmtId="3" fontId="36" fillId="29" borderId="29" xfId="0" applyNumberFormat="1" applyFont="1" applyFill="1" applyBorder="1" applyAlignment="1">
      <alignment horizontal="right" vertical="center"/>
    </xf>
    <xf numFmtId="8" fontId="36" fillId="0" borderId="25" xfId="0" applyNumberFormat="1" applyFont="1" applyBorder="1" applyAlignment="1">
      <alignment horizontal="right" vertical="center"/>
    </xf>
    <xf numFmtId="3" fontId="36" fillId="0" borderId="43" xfId="0" applyNumberFormat="1" applyFont="1" applyBorder="1" applyAlignment="1">
      <alignment horizontal="center" vertical="center"/>
    </xf>
    <xf numFmtId="180" fontId="36" fillId="27" borderId="29" xfId="0" applyNumberFormat="1" applyFont="1" applyFill="1" applyBorder="1" applyAlignment="1">
      <alignment horizontal="right" vertical="center"/>
    </xf>
    <xf numFmtId="180" fontId="36" fillId="27" borderId="26" xfId="0" applyNumberFormat="1" applyFont="1" applyFill="1" applyBorder="1" applyAlignment="1">
      <alignment horizontal="right" vertical="center"/>
    </xf>
    <xf numFmtId="0" fontId="35" fillId="17" borderId="44" xfId="0" applyFont="1" applyFill="1" applyBorder="1" applyAlignment="1">
      <alignment horizontal="center" vertical="center"/>
    </xf>
    <xf numFmtId="0" fontId="20" fillId="17" borderId="12" xfId="0" applyFont="1" applyFill="1" applyBorder="1" applyAlignment="1">
      <alignment vertical="center" wrapText="1"/>
    </xf>
    <xf numFmtId="0" fontId="20" fillId="17" borderId="13" xfId="0" applyFont="1" applyFill="1" applyBorder="1" applyAlignment="1">
      <alignment horizontal="right" vertical="center" wrapText="1"/>
    </xf>
    <xf numFmtId="0" fontId="20" fillId="17" borderId="34" xfId="0" applyFont="1" applyFill="1" applyBorder="1" applyAlignment="1">
      <alignment horizontal="right" vertical="center" wrapText="1"/>
    </xf>
    <xf numFmtId="181" fontId="35" fillId="17" borderId="45" xfId="0" applyNumberFormat="1" applyFont="1" applyFill="1" applyBorder="1" applyAlignment="1">
      <alignment horizontal="right" vertical="center"/>
    </xf>
    <xf numFmtId="180" fontId="36" fillId="11" borderId="12" xfId="0" applyNumberFormat="1" applyFont="1" applyFill="1" applyBorder="1" applyAlignment="1">
      <alignment horizontal="center" vertical="center"/>
    </xf>
    <xf numFmtId="180" fontId="36" fillId="11" borderId="34" xfId="0" applyNumberFormat="1" applyFont="1" applyFill="1" applyBorder="1" applyAlignment="1">
      <alignment horizontal="center" vertical="center"/>
    </xf>
    <xf numFmtId="181" fontId="35" fillId="11" borderId="46" xfId="0" applyNumberFormat="1" applyFont="1" applyFill="1" applyBorder="1" applyAlignment="1">
      <alignment vertical="center"/>
    </xf>
    <xf numFmtId="181" fontId="20" fillId="2" borderId="1" xfId="0" applyNumberFormat="1" applyFont="1" applyFill="1" applyBorder="1"/>
    <xf numFmtId="0" fontId="36" fillId="0" borderId="0" xfId="0" applyFont="1" applyBorder="1" applyAlignment="1">
      <alignment horizontal="left" vertical="center"/>
    </xf>
    <xf numFmtId="0" fontId="20" fillId="0" borderId="0" xfId="0" applyFont="1" applyBorder="1" applyAlignment="1">
      <alignment vertical="center" wrapText="1"/>
    </xf>
    <xf numFmtId="180" fontId="35" fillId="0" borderId="0" xfId="0" applyNumberFormat="1" applyFont="1" applyBorder="1" applyAlignment="1">
      <alignment horizontal="center" vertical="center"/>
    </xf>
    <xf numFmtId="180" fontId="36" fillId="0" borderId="0" xfId="0" applyNumberFormat="1" applyFont="1" applyBorder="1" applyAlignment="1">
      <alignment horizontal="center" vertical="center"/>
    </xf>
    <xf numFmtId="0" fontId="36" fillId="0" borderId="0" xfId="0" applyFont="1" applyBorder="1" applyAlignment="1">
      <alignment vertical="center"/>
    </xf>
    <xf numFmtId="3" fontId="20" fillId="0" borderId="0" xfId="0" applyNumberFormat="1" applyFont="1" applyBorder="1" applyAlignment="1">
      <alignment horizontal="center"/>
    </xf>
    <xf numFmtId="3" fontId="36" fillId="0" borderId="0" xfId="0" applyNumberFormat="1" applyFont="1" applyBorder="1" applyAlignment="1">
      <alignment horizontal="center" vertical="center"/>
    </xf>
    <xf numFmtId="0" fontId="36" fillId="0" borderId="0" xfId="0" applyFont="1" applyBorder="1" applyAlignment="1">
      <alignment horizontal="right" vertical="center"/>
    </xf>
    <xf numFmtId="16" fontId="20" fillId="0" borderId="0" xfId="0" applyNumberFormat="1" applyFont="1" applyBorder="1" applyAlignment="1">
      <alignment horizontal="center" vertical="center" wrapText="1"/>
    </xf>
    <xf numFmtId="0" fontId="19" fillId="27" borderId="26" xfId="0" applyFont="1" applyFill="1" applyBorder="1" applyAlignment="1">
      <alignment horizontal="center" vertical="center"/>
    </xf>
    <xf numFmtId="170" fontId="19" fillId="28" borderId="26" xfId="0" applyNumberFormat="1" applyFont="1" applyFill="1" applyBorder="1" applyAlignment="1">
      <alignment horizontal="center" vertical="center"/>
    </xf>
    <xf numFmtId="170" fontId="19" fillId="27" borderId="26" xfId="0" applyNumberFormat="1" applyFont="1" applyFill="1" applyBorder="1" applyAlignment="1">
      <alignment horizontal="center" vertical="center"/>
    </xf>
    <xf numFmtId="170" fontId="19" fillId="28" borderId="26" xfId="0" applyNumberFormat="1" applyFont="1" applyFill="1" applyBorder="1" applyAlignment="1">
      <alignment horizontal="center"/>
    </xf>
    <xf numFmtId="0" fontId="35" fillId="0" borderId="36" xfId="0" applyFont="1" applyBorder="1" applyAlignment="1">
      <alignment horizontal="center" vertical="center"/>
    </xf>
    <xf numFmtId="0" fontId="20" fillId="0" borderId="36" xfId="0" applyFont="1" applyBorder="1" applyAlignment="1">
      <alignment vertical="center" wrapText="1"/>
    </xf>
    <xf numFmtId="180" fontId="35" fillId="0" borderId="36" xfId="0" applyNumberFormat="1" applyFont="1" applyBorder="1" applyAlignment="1">
      <alignment horizontal="center" vertical="center"/>
    </xf>
    <xf numFmtId="180" fontId="36" fillId="0" borderId="36" xfId="0" applyNumberFormat="1" applyFont="1" applyBorder="1" applyAlignment="1">
      <alignment horizontal="center" vertical="center"/>
    </xf>
    <xf numFmtId="180" fontId="33" fillId="0" borderId="36" xfId="0" applyNumberFormat="1" applyFont="1" applyBorder="1" applyAlignment="1">
      <alignment horizontal="center" vertical="center"/>
    </xf>
    <xf numFmtId="0" fontId="36" fillId="0" borderId="36" xfId="0" applyFont="1" applyBorder="1" applyAlignment="1">
      <alignment vertical="center"/>
    </xf>
    <xf numFmtId="3" fontId="20" fillId="0" borderId="36" xfId="0" applyNumberFormat="1" applyFont="1" applyBorder="1" applyAlignment="1">
      <alignment horizontal="center"/>
    </xf>
    <xf numFmtId="3" fontId="36" fillId="0" borderId="36" xfId="0" applyNumberFormat="1" applyFont="1" applyBorder="1" applyAlignment="1">
      <alignment horizontal="center" vertical="center"/>
    </xf>
    <xf numFmtId="181" fontId="20" fillId="2" borderId="47" xfId="0" applyNumberFormat="1" applyFont="1" applyFill="1" applyBorder="1"/>
    <xf numFmtId="0" fontId="20" fillId="2" borderId="47" xfId="0" applyFont="1" applyFill="1" applyBorder="1"/>
    <xf numFmtId="0" fontId="35" fillId="0" borderId="10" xfId="0" applyFont="1" applyBorder="1" applyAlignment="1">
      <alignment horizontal="center" vertical="center"/>
    </xf>
    <xf numFmtId="0" fontId="35" fillId="21" borderId="1" xfId="0" applyFont="1" applyFill="1" applyBorder="1" applyAlignment="1">
      <alignment horizontal="center" vertical="center"/>
    </xf>
    <xf numFmtId="0" fontId="35" fillId="8" borderId="12" xfId="0" applyFont="1" applyFill="1" applyBorder="1" applyAlignment="1">
      <alignment horizontal="center" vertical="center"/>
    </xf>
    <xf numFmtId="0" fontId="20" fillId="8" borderId="26" xfId="0" applyFont="1" applyFill="1" applyBorder="1" applyAlignment="1">
      <alignment horizontal="center" vertical="center"/>
    </xf>
    <xf numFmtId="0" fontId="20" fillId="8" borderId="13" xfId="0" applyFont="1" applyFill="1" applyBorder="1" applyAlignment="1">
      <alignment horizontal="center" vertical="center" wrapText="1"/>
    </xf>
    <xf numFmtId="0" fontId="20" fillId="8" borderId="26" xfId="0" applyFont="1" applyFill="1" applyBorder="1" applyAlignment="1">
      <alignment horizontal="center" vertical="center" wrapText="1"/>
    </xf>
    <xf numFmtId="180" fontId="36" fillId="8" borderId="34" xfId="0" applyNumberFormat="1" applyFont="1" applyFill="1" applyBorder="1" applyAlignment="1">
      <alignment horizontal="center" vertical="center"/>
    </xf>
    <xf numFmtId="0" fontId="20" fillId="26" borderId="48" xfId="0" applyFont="1" applyFill="1" applyBorder="1" applyAlignment="1">
      <alignment horizontal="center" vertical="center" wrapText="1"/>
    </xf>
    <xf numFmtId="0" fontId="20" fillId="0" borderId="21" xfId="0" applyFont="1" applyBorder="1" applyAlignment="1">
      <alignment horizontal="right"/>
    </xf>
    <xf numFmtId="3" fontId="20" fillId="0" borderId="25" xfId="0" applyNumberFormat="1" applyFont="1" applyBorder="1" applyAlignment="1">
      <alignment horizontal="center" vertical="center"/>
    </xf>
    <xf numFmtId="180" fontId="36" fillId="0" borderId="0" xfId="0" applyNumberFormat="1" applyFont="1" applyBorder="1" applyAlignment="1">
      <alignment horizontal="right" vertical="center"/>
    </xf>
    <xf numFmtId="180" fontId="36" fillId="0" borderId="49" xfId="0" applyNumberFormat="1" applyFont="1" applyBorder="1" applyAlignment="1">
      <alignment horizontal="right" vertical="center"/>
    </xf>
    <xf numFmtId="180" fontId="36" fillId="0" borderId="43" xfId="0" applyNumberFormat="1" applyFont="1" applyBorder="1" applyAlignment="1">
      <alignment horizontal="right" vertical="center"/>
    </xf>
    <xf numFmtId="180" fontId="36" fillId="0" borderId="8" xfId="0" applyNumberFormat="1" applyFont="1" applyBorder="1" applyAlignment="1">
      <alignment horizontal="right" vertical="center"/>
    </xf>
    <xf numFmtId="181" fontId="36" fillId="0" borderId="25" xfId="0" applyNumberFormat="1" applyFont="1" applyBorder="1" applyAlignment="1">
      <alignment horizontal="right" vertical="center"/>
    </xf>
    <xf numFmtId="0" fontId="36" fillId="0" borderId="9" xfId="0" applyFont="1" applyBorder="1" applyAlignment="1">
      <alignment horizontal="right" vertical="center"/>
    </xf>
    <xf numFmtId="3" fontId="20" fillId="0" borderId="49" xfId="0" applyNumberFormat="1" applyFont="1" applyBorder="1" applyAlignment="1">
      <alignment horizontal="center" vertical="center"/>
    </xf>
    <xf numFmtId="180" fontId="36" fillId="0" borderId="50" xfId="0" applyNumberFormat="1" applyFont="1" applyBorder="1" applyAlignment="1">
      <alignment horizontal="right" vertical="center"/>
    </xf>
    <xf numFmtId="181" fontId="36" fillId="0" borderId="31" xfId="0" applyNumberFormat="1" applyFont="1" applyBorder="1" applyAlignment="1">
      <alignment horizontal="right" vertical="center"/>
    </xf>
    <xf numFmtId="3" fontId="20" fillId="0" borderId="31" xfId="0" applyNumberFormat="1" applyFont="1" applyBorder="1" applyAlignment="1">
      <alignment horizontal="center" vertical="center"/>
    </xf>
    <xf numFmtId="0" fontId="20" fillId="11" borderId="12" xfId="0" applyFont="1" applyFill="1" applyBorder="1" applyAlignment="1">
      <alignment vertical="center" wrapText="1"/>
    </xf>
    <xf numFmtId="0" fontId="20" fillId="11" borderId="34" xfId="0" applyFont="1" applyFill="1" applyBorder="1" applyAlignment="1">
      <alignment horizontal="right" vertical="center" wrapText="1"/>
    </xf>
    <xf numFmtId="181" fontId="35" fillId="11" borderId="46" xfId="0" applyNumberFormat="1" applyFont="1" applyFill="1" applyBorder="1" applyAlignment="1">
      <alignment horizontal="right" vertical="center"/>
    </xf>
    <xf numFmtId="3" fontId="20" fillId="0" borderId="0" xfId="0" applyNumberFormat="1" applyFont="1" applyBorder="1" applyAlignment="1">
      <alignment horizontal="center" vertical="center"/>
    </xf>
    <xf numFmtId="0" fontId="35" fillId="8" borderId="4" xfId="0" applyFont="1" applyFill="1" applyBorder="1" applyAlignment="1">
      <alignment horizontal="center" vertical="center"/>
    </xf>
    <xf numFmtId="0" fontId="20" fillId="8" borderId="29" xfId="0" applyFont="1" applyFill="1" applyBorder="1" applyAlignment="1">
      <alignment horizontal="center" vertical="center"/>
    </xf>
    <xf numFmtId="0" fontId="20" fillId="8" borderId="5" xfId="0" applyFont="1" applyFill="1" applyBorder="1" applyAlignment="1">
      <alignment horizontal="center" vertical="center" wrapText="1"/>
    </xf>
    <xf numFmtId="0" fontId="20" fillId="8" borderId="29" xfId="0" applyFont="1" applyFill="1" applyBorder="1" applyAlignment="1">
      <alignment horizontal="center" vertical="center" wrapText="1"/>
    </xf>
    <xf numFmtId="180" fontId="36" fillId="8" borderId="35" xfId="0" applyNumberFormat="1" applyFont="1" applyFill="1" applyBorder="1" applyAlignment="1">
      <alignment horizontal="center" vertical="center"/>
    </xf>
    <xf numFmtId="0" fontId="36" fillId="0" borderId="25" xfId="0" applyFont="1" applyBorder="1" applyAlignment="1">
      <alignment horizontal="right" vertical="center"/>
    </xf>
    <xf numFmtId="0" fontId="20" fillId="0" borderId="25" xfId="0" applyFont="1" applyBorder="1" applyAlignment="1">
      <alignment vertical="center" wrapText="1"/>
    </xf>
    <xf numFmtId="180" fontId="36" fillId="0" borderId="25" xfId="0" applyNumberFormat="1" applyFont="1" applyBorder="1" applyAlignment="1">
      <alignment horizontal="right" vertical="center"/>
    </xf>
    <xf numFmtId="180" fontId="36" fillId="27" borderId="7" xfId="0" applyNumberFormat="1" applyFont="1" applyFill="1" applyBorder="1" applyAlignment="1">
      <alignment horizontal="right" vertical="center"/>
    </xf>
    <xf numFmtId="0" fontId="20" fillId="0" borderId="49" xfId="0" applyFont="1" applyBorder="1" applyAlignment="1">
      <alignment vertical="center" wrapText="1"/>
    </xf>
    <xf numFmtId="0" fontId="35" fillId="0" borderId="0" xfId="0" applyFont="1" applyBorder="1" applyAlignment="1">
      <alignment horizontal="center" vertical="center"/>
    </xf>
    <xf numFmtId="0" fontId="19" fillId="30" borderId="30" xfId="0" applyFont="1" applyFill="1" applyBorder="1" applyAlignment="1">
      <alignment horizontal="center" vertical="center" wrapText="1"/>
    </xf>
    <xf numFmtId="0" fontId="19" fillId="30" borderId="26" xfId="0" applyFont="1" applyFill="1" applyBorder="1" applyAlignment="1">
      <alignment horizontal="center" vertical="center" wrapText="1"/>
    </xf>
    <xf numFmtId="0" fontId="19" fillId="22" borderId="26" xfId="0" applyFont="1" applyFill="1" applyBorder="1" applyAlignment="1">
      <alignment horizontal="center"/>
    </xf>
    <xf numFmtId="0" fontId="19" fillId="22" borderId="26" xfId="0" applyFont="1" applyFill="1" applyBorder="1" applyAlignment="1">
      <alignment horizontal="center" vertical="center"/>
    </xf>
    <xf numFmtId="0" fontId="19" fillId="22" borderId="12" xfId="0" applyFont="1" applyFill="1" applyBorder="1" applyAlignment="1">
      <alignment horizontal="center" vertical="center"/>
    </xf>
    <xf numFmtId="0" fontId="36" fillId="0" borderId="26" xfId="0" applyFont="1" applyBorder="1" applyAlignment="1">
      <alignment vertical="center"/>
    </xf>
    <xf numFmtId="168" fontId="20" fillId="0" borderId="26" xfId="0" applyNumberFormat="1" applyFont="1" applyBorder="1" applyAlignment="1">
      <alignment horizontal="center"/>
    </xf>
    <xf numFmtId="8" fontId="20" fillId="0" borderId="28" xfId="0" applyNumberFormat="1" applyFont="1" applyBorder="1" applyAlignment="1">
      <alignment horizontal="center"/>
    </xf>
    <xf numFmtId="8" fontId="20" fillId="0" borderId="26" xfId="0" applyNumberFormat="1" applyFont="1" applyBorder="1" applyAlignment="1">
      <alignment horizontal="center"/>
    </xf>
    <xf numFmtId="8" fontId="20" fillId="0" borderId="27" xfId="0" applyNumberFormat="1" applyFont="1" applyBorder="1" applyAlignment="1">
      <alignment horizontal="center"/>
    </xf>
    <xf numFmtId="8" fontId="20" fillId="0" borderId="26" xfId="0" applyNumberFormat="1" applyFont="1" applyBorder="1"/>
    <xf numFmtId="0" fontId="36" fillId="0" borderId="25" xfId="0" applyFont="1" applyBorder="1" applyAlignment="1">
      <alignment vertical="center"/>
    </xf>
    <xf numFmtId="168" fontId="20" fillId="0" borderId="25" xfId="0" applyNumberFormat="1" applyFont="1" applyBorder="1" applyAlignment="1">
      <alignment horizontal="center"/>
    </xf>
    <xf numFmtId="8" fontId="20" fillId="0" borderId="43" xfId="0" applyNumberFormat="1" applyFont="1" applyBorder="1" applyAlignment="1">
      <alignment horizontal="center"/>
    </xf>
    <xf numFmtId="8" fontId="20" fillId="0" borderId="25" xfId="0" applyNumberFormat="1" applyFont="1" applyBorder="1" applyAlignment="1">
      <alignment horizontal="center"/>
    </xf>
    <xf numFmtId="8" fontId="20" fillId="0" borderId="21" xfId="0" applyNumberFormat="1" applyFont="1" applyBorder="1" applyAlignment="1">
      <alignment horizontal="center"/>
    </xf>
    <xf numFmtId="0" fontId="20" fillId="22" borderId="12" xfId="0" applyFont="1" applyFill="1" applyBorder="1"/>
    <xf numFmtId="0" fontId="37" fillId="0" borderId="0" xfId="0" applyFont="1" applyBorder="1"/>
    <xf numFmtId="0" fontId="38" fillId="30" borderId="26" xfId="0" applyFont="1" applyFill="1" applyBorder="1" applyAlignment="1">
      <alignment horizontal="center" vertical="center" wrapText="1"/>
    </xf>
    <xf numFmtId="0" fontId="39" fillId="0" borderId="26" xfId="0" applyFont="1" applyBorder="1" applyAlignment="1">
      <alignment vertical="center"/>
    </xf>
    <xf numFmtId="168" fontId="39" fillId="27" borderId="26" xfId="0" applyNumberFormat="1" applyFont="1" applyFill="1" applyBorder="1" applyAlignment="1">
      <alignment horizontal="center" vertical="center"/>
    </xf>
    <xf numFmtId="164" fontId="37" fillId="0" borderId="26" xfId="0" applyNumberFormat="1" applyFont="1" applyBorder="1" applyAlignment="1">
      <alignment horizontal="center"/>
    </xf>
    <xf numFmtId="0" fontId="39" fillId="0" borderId="26" xfId="0" applyFont="1" applyBorder="1" applyAlignment="1">
      <alignment horizontal="center" vertical="center"/>
    </xf>
    <xf numFmtId="8" fontId="39" fillId="0" borderId="26" xfId="0" applyNumberFormat="1" applyFont="1" applyBorder="1" applyAlignment="1">
      <alignment horizontal="center" vertical="center"/>
    </xf>
    <xf numFmtId="6" fontId="39" fillId="0" borderId="26" xfId="0" applyNumberFormat="1" applyFont="1" applyBorder="1" applyAlignment="1">
      <alignment horizontal="center" vertical="center"/>
    </xf>
    <xf numFmtId="6" fontId="37" fillId="0" borderId="0" xfId="0" applyNumberFormat="1" applyFont="1" applyBorder="1"/>
    <xf numFmtId="0" fontId="40" fillId="0" borderId="0" xfId="0" applyFont="1" applyBorder="1"/>
    <xf numFmtId="6" fontId="39" fillId="32" borderId="26" xfId="0" applyNumberFormat="1" applyFont="1" applyFill="1" applyBorder="1" applyAlignment="1">
      <alignment horizontal="center" vertical="center"/>
    </xf>
    <xf numFmtId="170" fontId="20" fillId="21" borderId="1" xfId="0" applyNumberFormat="1" applyFont="1" applyFill="1" applyBorder="1" applyAlignment="1">
      <alignment horizontal="center"/>
    </xf>
    <xf numFmtId="0" fontId="19" fillId="8" borderId="1" xfId="0" applyFont="1" applyFill="1" applyBorder="1" applyAlignment="1">
      <alignment horizontal="left"/>
    </xf>
    <xf numFmtId="0" fontId="19" fillId="8" borderId="1" xfId="0" applyFont="1" applyFill="1" applyBorder="1"/>
    <xf numFmtId="0" fontId="19" fillId="11" borderId="7" xfId="0" applyFont="1" applyFill="1" applyBorder="1"/>
    <xf numFmtId="0" fontId="19" fillId="11" borderId="1" xfId="0" applyFont="1" applyFill="1" applyBorder="1"/>
    <xf numFmtId="0" fontId="19" fillId="8" borderId="1" xfId="0" applyFont="1" applyFill="1" applyBorder="1" applyAlignment="1">
      <alignment horizontal="center"/>
    </xf>
    <xf numFmtId="0" fontId="19" fillId="11" borderId="18" xfId="0" applyFont="1" applyFill="1" applyBorder="1" applyAlignment="1">
      <alignment horizontal="left"/>
    </xf>
    <xf numFmtId="0" fontId="19" fillId="11" borderId="1" xfId="0" applyFont="1" applyFill="1" applyBorder="1" applyAlignment="1">
      <alignment horizontal="center"/>
    </xf>
    <xf numFmtId="0" fontId="19" fillId="33" borderId="26" xfId="0" applyFont="1" applyFill="1" applyBorder="1" applyAlignment="1">
      <alignment horizontal="center" vertical="center" wrapText="1"/>
    </xf>
    <xf numFmtId="17" fontId="19" fillId="33" borderId="26" xfId="0" applyNumberFormat="1" applyFont="1" applyFill="1" applyBorder="1" applyAlignment="1">
      <alignment horizontal="center" vertical="center" wrapText="1"/>
    </xf>
    <xf numFmtId="17" fontId="20" fillId="26" borderId="30" xfId="0" applyNumberFormat="1" applyFont="1" applyFill="1" applyBorder="1" applyAlignment="1">
      <alignment horizontal="center"/>
    </xf>
    <xf numFmtId="0" fontId="20" fillId="0" borderId="26" xfId="0" applyFont="1" applyBorder="1" applyAlignment="1">
      <alignment horizontal="center"/>
    </xf>
    <xf numFmtId="3" fontId="20" fillId="0" borderId="26" xfId="0" applyNumberFormat="1" applyFont="1" applyBorder="1" applyAlignment="1">
      <alignment horizontal="center"/>
    </xf>
    <xf numFmtId="180" fontId="20" fillId="0" borderId="26" xfId="0" applyNumberFormat="1" applyFont="1" applyBorder="1" applyAlignment="1">
      <alignment horizontal="center"/>
    </xf>
    <xf numFmtId="10" fontId="20" fillId="0" borderId="26" xfId="0" applyNumberFormat="1" applyFont="1" applyBorder="1" applyAlignment="1">
      <alignment horizontal="center"/>
    </xf>
    <xf numFmtId="180" fontId="19" fillId="0" borderId="26" xfId="0" applyNumberFormat="1" applyFont="1" applyBorder="1" applyAlignment="1">
      <alignment horizontal="center"/>
    </xf>
    <xf numFmtId="168" fontId="33" fillId="27" borderId="26" xfId="0" applyNumberFormat="1" applyFont="1" applyFill="1" applyBorder="1" applyAlignment="1">
      <alignment horizontal="center"/>
    </xf>
    <xf numFmtId="6" fontId="39" fillId="21" borderId="26" xfId="0" applyNumberFormat="1" applyFont="1" applyFill="1" applyBorder="1" applyAlignment="1">
      <alignment horizontal="center" vertical="center"/>
    </xf>
    <xf numFmtId="6" fontId="20" fillId="0" borderId="0" xfId="0" applyNumberFormat="1" applyFont="1" applyBorder="1"/>
    <xf numFmtId="180" fontId="19" fillId="21" borderId="26" xfId="0" applyNumberFormat="1" applyFont="1" applyFill="1" applyBorder="1" applyAlignment="1">
      <alignment horizontal="center"/>
    </xf>
    <xf numFmtId="0" fontId="28" fillId="0" borderId="0" xfId="0" quotePrefix="1" applyFont="1" applyBorder="1" applyAlignment="1">
      <alignment horizontal="center"/>
    </xf>
    <xf numFmtId="0" fontId="28" fillId="0" borderId="0" xfId="0" quotePrefix="1" applyFont="1" applyBorder="1"/>
    <xf numFmtId="0" fontId="41" fillId="22" borderId="1" xfId="0" applyFont="1" applyFill="1" applyBorder="1" applyAlignment="1">
      <alignment vertical="center"/>
    </xf>
    <xf numFmtId="0" fontId="20" fillId="22" borderId="1" xfId="0" applyFont="1" applyFill="1" applyBorder="1" applyAlignment="1">
      <alignment vertical="center"/>
    </xf>
    <xf numFmtId="17" fontId="42" fillId="33" borderId="26" xfId="0" applyNumberFormat="1" applyFont="1" applyFill="1" applyBorder="1" applyAlignment="1">
      <alignment horizontal="center" vertical="center" wrapText="1"/>
    </xf>
    <xf numFmtId="0" fontId="42" fillId="33" borderId="26" xfId="0" applyFont="1" applyFill="1" applyBorder="1" applyAlignment="1">
      <alignment horizontal="center" vertical="center" wrapText="1"/>
    </xf>
    <xf numFmtId="17" fontId="19" fillId="26" borderId="26" xfId="0" applyNumberFormat="1" applyFont="1" applyFill="1" applyBorder="1" applyAlignment="1">
      <alignment horizontal="center" vertical="center"/>
    </xf>
    <xf numFmtId="17" fontId="19" fillId="26" borderId="12" xfId="0" applyNumberFormat="1" applyFont="1" applyFill="1" applyBorder="1" applyAlignment="1">
      <alignment horizontal="center" vertical="center"/>
    </xf>
    <xf numFmtId="17" fontId="19" fillId="2" borderId="26" xfId="0" applyNumberFormat="1" applyFont="1" applyFill="1" applyBorder="1" applyAlignment="1">
      <alignment horizontal="center" vertical="center"/>
    </xf>
    <xf numFmtId="17" fontId="19" fillId="2" borderId="12" xfId="0" applyNumberFormat="1" applyFont="1" applyFill="1" applyBorder="1" applyAlignment="1">
      <alignment horizontal="center" vertical="center"/>
    </xf>
    <xf numFmtId="0" fontId="3" fillId="0" borderId="28" xfId="0" applyFont="1" applyBorder="1" applyAlignment="1">
      <alignment horizontal="center"/>
    </xf>
    <xf numFmtId="8" fontId="3" fillId="0" borderId="26" xfId="0" applyNumberFormat="1" applyFont="1" applyBorder="1" applyAlignment="1">
      <alignment horizontal="center"/>
    </xf>
    <xf numFmtId="3" fontId="39" fillId="0" borderId="26" xfId="0" applyNumberFormat="1" applyFont="1" applyBorder="1" applyAlignment="1">
      <alignment horizontal="center" vertical="center"/>
    </xf>
    <xf numFmtId="165" fontId="3" fillId="0" borderId="0" xfId="0" applyNumberFormat="1" applyFont="1" applyBorder="1" applyAlignment="1">
      <alignment horizontal="right"/>
    </xf>
    <xf numFmtId="182" fontId="3" fillId="0" borderId="0" xfId="0" applyNumberFormat="1" applyFont="1" applyBorder="1"/>
    <xf numFmtId="0" fontId="3" fillId="0" borderId="26" xfId="0" applyFont="1" applyBorder="1" applyAlignment="1">
      <alignment horizontal="center"/>
    </xf>
    <xf numFmtId="0" fontId="3" fillId="17" borderId="13" xfId="0" applyFont="1" applyFill="1" applyBorder="1"/>
    <xf numFmtId="180" fontId="21" fillId="17" borderId="26" xfId="0" applyNumberFormat="1" applyFont="1" applyFill="1" applyBorder="1" applyAlignment="1">
      <alignment horizontal="center"/>
    </xf>
    <xf numFmtId="165" fontId="16" fillId="11" borderId="26" xfId="0" applyNumberFormat="1" applyFont="1" applyFill="1" applyBorder="1" applyAlignment="1">
      <alignment horizontal="right"/>
    </xf>
    <xf numFmtId="165" fontId="3" fillId="0" borderId="0" xfId="0" applyNumberFormat="1" applyFont="1" applyBorder="1" applyAlignment="1">
      <alignment horizontal="left"/>
    </xf>
    <xf numFmtId="165" fontId="16" fillId="0" borderId="0" xfId="0" applyNumberFormat="1" applyFont="1" applyBorder="1" applyAlignment="1">
      <alignment horizontal="right"/>
    </xf>
    <xf numFmtId="180" fontId="3" fillId="0" borderId="26" xfId="0" applyNumberFormat="1" applyFont="1" applyBorder="1" applyAlignment="1">
      <alignment horizontal="center"/>
    </xf>
    <xf numFmtId="165" fontId="3" fillId="22" borderId="1" xfId="0" applyNumberFormat="1" applyFont="1" applyFill="1" applyBorder="1" applyAlignment="1">
      <alignment horizontal="right"/>
    </xf>
    <xf numFmtId="183" fontId="3" fillId="0" borderId="26" xfId="0" applyNumberFormat="1" applyFont="1" applyBorder="1"/>
    <xf numFmtId="3" fontId="3" fillId="0" borderId="26" xfId="0" applyNumberFormat="1" applyFont="1" applyBorder="1" applyAlignment="1">
      <alignment horizontal="center"/>
    </xf>
    <xf numFmtId="165" fontId="21" fillId="11" borderId="26" xfId="0" applyNumberFormat="1" applyFont="1" applyFill="1" applyBorder="1" applyAlignment="1">
      <alignment horizontal="right"/>
    </xf>
    <xf numFmtId="0" fontId="16" fillId="21" borderId="34" xfId="0" applyFont="1" applyFill="1" applyBorder="1" applyAlignment="1">
      <alignment horizontal="center"/>
    </xf>
    <xf numFmtId="180" fontId="3" fillId="17" borderId="26" xfId="0" applyNumberFormat="1" applyFont="1" applyFill="1" applyBorder="1" applyAlignment="1">
      <alignment horizontal="center"/>
    </xf>
    <xf numFmtId="0" fontId="16" fillId="2" borderId="12" xfId="0" applyFont="1" applyFill="1" applyBorder="1"/>
    <xf numFmtId="0" fontId="16" fillId="2" borderId="34" xfId="0" applyFont="1" applyFill="1" applyBorder="1" applyAlignment="1">
      <alignment horizontal="right"/>
    </xf>
    <xf numFmtId="0" fontId="42" fillId="2" borderId="1" xfId="0" applyFont="1" applyFill="1" applyBorder="1"/>
    <xf numFmtId="0" fontId="42" fillId="17" borderId="13" xfId="0" applyFont="1" applyFill="1" applyBorder="1"/>
    <xf numFmtId="0" fontId="42" fillId="17" borderId="34" xfId="0" applyFont="1" applyFill="1" applyBorder="1"/>
    <xf numFmtId="17" fontId="19" fillId="17" borderId="26" xfId="0" applyNumberFormat="1" applyFont="1" applyFill="1" applyBorder="1" applyAlignment="1">
      <alignment horizontal="center" vertical="center"/>
    </xf>
    <xf numFmtId="165" fontId="3" fillId="0" borderId="0" xfId="0" applyNumberFormat="1" applyFont="1" applyBorder="1"/>
    <xf numFmtId="0" fontId="16" fillId="36" borderId="35" xfId="0" applyFont="1" applyFill="1" applyBorder="1" applyAlignment="1">
      <alignment horizontal="center"/>
    </xf>
    <xf numFmtId="0" fontId="16" fillId="36" borderId="29" xfId="0" applyFont="1" applyFill="1" applyBorder="1" applyAlignment="1">
      <alignment horizontal="center"/>
    </xf>
    <xf numFmtId="8" fontId="3" fillId="0" borderId="28" xfId="0" applyNumberFormat="1" applyFont="1" applyBorder="1" applyAlignment="1">
      <alignment horizontal="center"/>
    </xf>
    <xf numFmtId="8" fontId="3" fillId="0" borderId="0" xfId="0" applyNumberFormat="1" applyFont="1" applyBorder="1"/>
    <xf numFmtId="10" fontId="3" fillId="2" borderId="1" xfId="0" applyNumberFormat="1" applyFont="1" applyFill="1" applyBorder="1" applyAlignment="1">
      <alignment horizontal="center"/>
    </xf>
    <xf numFmtId="0" fontId="43" fillId="0" borderId="0" xfId="0" applyFont="1" applyBorder="1" applyAlignment="1">
      <alignment horizontal="center" vertical="center"/>
    </xf>
    <xf numFmtId="0" fontId="43" fillId="0" borderId="0" xfId="0" applyFont="1" applyBorder="1" applyAlignment="1">
      <alignment vertical="center"/>
    </xf>
    <xf numFmtId="8" fontId="3" fillId="22" borderId="34" xfId="0" applyNumberFormat="1" applyFont="1" applyFill="1" applyBorder="1" applyAlignment="1">
      <alignment horizontal="center"/>
    </xf>
    <xf numFmtId="8" fontId="3" fillId="22" borderId="26" xfId="0" applyNumberFormat="1" applyFont="1" applyFill="1" applyBorder="1" applyAlignment="1">
      <alignment horizontal="center"/>
    </xf>
    <xf numFmtId="8" fontId="3" fillId="37" borderId="34" xfId="0" applyNumberFormat="1" applyFont="1" applyFill="1" applyBorder="1" applyAlignment="1">
      <alignment horizontal="center"/>
    </xf>
    <xf numFmtId="8" fontId="3" fillId="37" borderId="26" xfId="0" applyNumberFormat="1" applyFont="1" applyFill="1" applyBorder="1" applyAlignment="1">
      <alignment horizontal="center"/>
    </xf>
    <xf numFmtId="0" fontId="37" fillId="0" borderId="0" xfId="0" applyFont="1" applyBorder="1" applyAlignment="1">
      <alignment horizontal="center" vertical="center"/>
    </xf>
    <xf numFmtId="3" fontId="37" fillId="0" borderId="0" xfId="0" applyNumberFormat="1" applyFont="1" applyBorder="1" applyAlignment="1">
      <alignment horizontal="center" vertical="center"/>
    </xf>
    <xf numFmtId="0" fontId="42" fillId="0" borderId="0" xfId="0" applyFont="1" applyBorder="1"/>
    <xf numFmtId="8" fontId="39" fillId="0" borderId="0" xfId="0" applyNumberFormat="1" applyFont="1" applyBorder="1" applyAlignment="1">
      <alignment horizontal="center" vertical="center"/>
    </xf>
    <xf numFmtId="0" fontId="42" fillId="34" borderId="34" xfId="0" applyFont="1" applyFill="1" applyBorder="1" applyAlignment="1">
      <alignment horizontal="center"/>
    </xf>
    <xf numFmtId="0" fontId="21" fillId="0" borderId="0" xfId="0" applyFont="1" applyBorder="1" applyAlignment="1">
      <alignment horizontal="center"/>
    </xf>
    <xf numFmtId="17" fontId="42" fillId="35" borderId="34" xfId="0" applyNumberFormat="1" applyFont="1" applyFill="1" applyBorder="1" applyAlignment="1">
      <alignment horizontal="center"/>
    </xf>
    <xf numFmtId="17" fontId="42" fillId="0" borderId="0" xfId="0" applyNumberFormat="1" applyFont="1" applyBorder="1"/>
    <xf numFmtId="3" fontId="39" fillId="0" borderId="0" xfId="0" applyNumberFormat="1" applyFont="1" applyBorder="1" applyAlignment="1">
      <alignment horizontal="center" vertical="center"/>
    </xf>
    <xf numFmtId="184" fontId="37" fillId="0" borderId="0" xfId="0" applyNumberFormat="1" applyFont="1" applyBorder="1" applyAlignment="1">
      <alignment horizontal="center" vertical="center"/>
    </xf>
    <xf numFmtId="8" fontId="3" fillId="0" borderId="0" xfId="0" applyNumberFormat="1" applyFont="1" applyBorder="1" applyAlignment="1">
      <alignment horizontal="center"/>
    </xf>
    <xf numFmtId="17" fontId="42" fillId="33" borderId="34" xfId="0" applyNumberFormat="1" applyFont="1" applyFill="1" applyBorder="1" applyAlignment="1">
      <alignment horizontal="center"/>
    </xf>
    <xf numFmtId="0" fontId="42" fillId="0" borderId="0" xfId="0" applyFont="1" applyBorder="1" applyAlignment="1">
      <alignment horizontal="center"/>
    </xf>
    <xf numFmtId="8" fontId="37" fillId="0" borderId="0" xfId="0" applyNumberFormat="1" applyFont="1" applyBorder="1" applyAlignment="1">
      <alignment horizontal="center" vertical="center"/>
    </xf>
    <xf numFmtId="180" fontId="21" fillId="0" borderId="0" xfId="0" applyNumberFormat="1" applyFont="1" applyBorder="1" applyAlignment="1">
      <alignment horizontal="center"/>
    </xf>
    <xf numFmtId="180" fontId="21" fillId="38" borderId="34" xfId="0" applyNumberFormat="1" applyFont="1" applyFill="1" applyBorder="1" applyAlignment="1">
      <alignment horizontal="center"/>
    </xf>
    <xf numFmtId="0" fontId="16" fillId="2" borderId="1" xfId="0" applyFont="1" applyFill="1" applyBorder="1" applyAlignment="1">
      <alignment horizontal="center" vertical="center"/>
    </xf>
    <xf numFmtId="0" fontId="19" fillId="8" borderId="26" xfId="0" applyFont="1" applyFill="1" applyBorder="1" applyAlignment="1">
      <alignment horizontal="center" vertical="center"/>
    </xf>
    <xf numFmtId="0" fontId="19" fillId="8" borderId="26" xfId="0" applyFont="1" applyFill="1" applyBorder="1" applyAlignment="1">
      <alignment horizontal="center" vertical="center" wrapText="1"/>
    </xf>
    <xf numFmtId="180" fontId="35" fillId="8" borderId="34" xfId="0" applyNumberFormat="1" applyFont="1" applyFill="1" applyBorder="1" applyAlignment="1">
      <alignment horizontal="center" vertical="center" wrapText="1"/>
    </xf>
    <xf numFmtId="180" fontId="3" fillId="0" borderId="26" xfId="0" applyNumberFormat="1" applyFont="1" applyBorder="1" applyAlignment="1">
      <alignment horizontal="right"/>
    </xf>
    <xf numFmtId="165" fontId="3" fillId="22" borderId="26" xfId="0" applyNumberFormat="1" applyFont="1" applyFill="1" applyBorder="1" applyAlignment="1">
      <alignment horizontal="right"/>
    </xf>
    <xf numFmtId="165" fontId="3" fillId="0" borderId="26" xfId="0" applyNumberFormat="1" applyFont="1" applyBorder="1" applyAlignment="1">
      <alignment horizontal="right"/>
    </xf>
    <xf numFmtId="185" fontId="3" fillId="0" borderId="26" xfId="0" applyNumberFormat="1" applyFont="1" applyBorder="1" applyAlignment="1">
      <alignment horizontal="center"/>
    </xf>
    <xf numFmtId="180" fontId="3" fillId="0" borderId="0" xfId="0" applyNumberFormat="1" applyFont="1" applyBorder="1"/>
    <xf numFmtId="180" fontId="3" fillId="0" borderId="28" xfId="0" applyNumberFormat="1" applyFont="1" applyBorder="1" applyAlignment="1">
      <alignment horizontal="center"/>
    </xf>
    <xf numFmtId="165" fontId="3" fillId="11" borderId="26" xfId="0" applyNumberFormat="1" applyFont="1" applyFill="1" applyBorder="1"/>
    <xf numFmtId="10" fontId="3" fillId="0" borderId="0" xfId="0" applyNumberFormat="1" applyFont="1" applyBorder="1"/>
    <xf numFmtId="0" fontId="44" fillId="17" borderId="1" xfId="0" applyFont="1" applyFill="1" applyBorder="1"/>
    <xf numFmtId="0" fontId="12" fillId="0" borderId="0" xfId="0" applyFont="1" applyBorder="1"/>
    <xf numFmtId="0" fontId="45" fillId="0" borderId="21" xfId="0" applyFont="1" applyBorder="1" applyAlignment="1">
      <alignment horizontal="center" vertical="center"/>
    </xf>
    <xf numFmtId="0" fontId="45" fillId="0" borderId="25" xfId="0" applyFont="1" applyBorder="1" applyAlignment="1">
      <alignment horizontal="center" vertical="center"/>
    </xf>
    <xf numFmtId="9" fontId="12" fillId="0" borderId="9" xfId="0" applyNumberFormat="1" applyFont="1" applyBorder="1" applyAlignment="1">
      <alignment horizontal="center"/>
    </xf>
    <xf numFmtId="9" fontId="12" fillId="0" borderId="31" xfId="0" applyNumberFormat="1" applyFont="1" applyBorder="1" applyAlignment="1">
      <alignment horizontal="center"/>
    </xf>
    <xf numFmtId="0" fontId="45" fillId="0" borderId="27" xfId="0" applyFont="1" applyBorder="1"/>
    <xf numFmtId="3" fontId="12" fillId="0" borderId="28" xfId="0" applyNumberFormat="1" applyFont="1" applyBorder="1"/>
    <xf numFmtId="3" fontId="12" fillId="0" borderId="50" xfId="0" applyNumberFormat="1" applyFont="1" applyBorder="1"/>
    <xf numFmtId="3" fontId="12" fillId="0" borderId="31" xfId="0" applyNumberFormat="1" applyFont="1" applyBorder="1"/>
    <xf numFmtId="0" fontId="45" fillId="7" borderId="26" xfId="0" applyFont="1" applyFill="1" applyBorder="1"/>
    <xf numFmtId="0" fontId="12" fillId="25" borderId="1" xfId="0" applyFont="1" applyFill="1" applyBorder="1"/>
    <xf numFmtId="186" fontId="12" fillId="0" borderId="0" xfId="0" applyNumberFormat="1" applyFont="1" applyBorder="1"/>
    <xf numFmtId="187" fontId="12" fillId="25" borderId="1" xfId="0" applyNumberFormat="1" applyFont="1" applyFill="1" applyBorder="1"/>
    <xf numFmtId="187" fontId="12" fillId="0" borderId="0" xfId="0" applyNumberFormat="1" applyFont="1" applyBorder="1"/>
    <xf numFmtId="0" fontId="45" fillId="39" borderId="26" xfId="0" applyFont="1" applyFill="1" applyBorder="1" applyAlignment="1">
      <alignment horizontal="center"/>
    </xf>
    <xf numFmtId="0" fontId="45" fillId="17" borderId="26" xfId="0" applyFont="1" applyFill="1" applyBorder="1" applyAlignment="1">
      <alignment horizontal="center"/>
    </xf>
    <xf numFmtId="0" fontId="45" fillId="26" borderId="26" xfId="0" applyFont="1" applyFill="1" applyBorder="1" applyAlignment="1">
      <alignment horizontal="center"/>
    </xf>
    <xf numFmtId="0" fontId="45" fillId="0" borderId="0" xfId="0" applyFont="1" applyBorder="1" applyAlignment="1">
      <alignment horizontal="left"/>
    </xf>
    <xf numFmtId="0" fontId="45" fillId="0" borderId="0" xfId="0" applyFont="1" applyBorder="1"/>
    <xf numFmtId="186" fontId="12" fillId="0" borderId="26" xfId="0" applyNumberFormat="1" applyFont="1" applyBorder="1"/>
    <xf numFmtId="186" fontId="12" fillId="24" borderId="1" xfId="0" applyNumberFormat="1" applyFont="1" applyFill="1" applyBorder="1"/>
    <xf numFmtId="186" fontId="12" fillId="40" borderId="1" xfId="0" applyNumberFormat="1" applyFont="1" applyFill="1" applyBorder="1"/>
    <xf numFmtId="0" fontId="45" fillId="17" borderId="26" xfId="0" applyFont="1" applyFill="1" applyBorder="1"/>
    <xf numFmtId="186" fontId="12" fillId="17" borderId="51" xfId="0" applyNumberFormat="1" applyFont="1" applyFill="1" applyBorder="1"/>
    <xf numFmtId="186" fontId="12" fillId="26" borderId="26" xfId="0" applyNumberFormat="1" applyFont="1" applyFill="1" applyBorder="1"/>
    <xf numFmtId="0" fontId="45" fillId="22" borderId="1" xfId="0" applyFont="1" applyFill="1" applyBorder="1"/>
    <xf numFmtId="0" fontId="12" fillId="22" borderId="1" xfId="0" applyFont="1" applyFill="1" applyBorder="1"/>
    <xf numFmtId="0" fontId="45" fillId="17" borderId="26" xfId="0" applyFont="1" applyFill="1" applyBorder="1" applyAlignment="1">
      <alignment horizontal="right"/>
    </xf>
    <xf numFmtId="186" fontId="12" fillId="17" borderId="34" xfId="0" applyNumberFormat="1" applyFont="1" applyFill="1" applyBorder="1"/>
    <xf numFmtId="186" fontId="12" fillId="26" borderId="34" xfId="0" applyNumberFormat="1" applyFont="1" applyFill="1" applyBorder="1"/>
    <xf numFmtId="0" fontId="44" fillId="41" borderId="1" xfId="0" applyFont="1" applyFill="1" applyBorder="1"/>
    <xf numFmtId="0" fontId="45" fillId="0" borderId="26" xfId="0" applyFont="1" applyBorder="1"/>
    <xf numFmtId="9" fontId="12" fillId="0" borderId="0" xfId="0" applyNumberFormat="1" applyFont="1" applyBorder="1" applyAlignment="1">
      <alignment horizontal="center"/>
    </xf>
    <xf numFmtId="172" fontId="3" fillId="0" borderId="9" xfId="0" applyNumberFormat="1" applyFont="1" applyBorder="1"/>
    <xf numFmtId="0" fontId="12" fillId="0" borderId="50" xfId="0" applyFont="1" applyBorder="1"/>
    <xf numFmtId="0" fontId="12" fillId="0" borderId="0" xfId="0" applyFont="1" applyBorder="1" applyAlignment="1">
      <alignment horizontal="center"/>
    </xf>
    <xf numFmtId="0" fontId="3" fillId="0" borderId="26" xfId="0" applyFont="1" applyBorder="1" applyAlignment="1">
      <alignment horizontal="left"/>
    </xf>
    <xf numFmtId="3" fontId="3" fillId="0" borderId="26" xfId="0" applyNumberFormat="1" applyFont="1" applyBorder="1" applyAlignment="1">
      <alignment horizontal="right"/>
    </xf>
    <xf numFmtId="3" fontId="3" fillId="27" borderId="26" xfId="0" applyNumberFormat="1" applyFont="1" applyFill="1" applyBorder="1" applyAlignment="1">
      <alignment horizontal="right"/>
    </xf>
    <xf numFmtId="172" fontId="3" fillId="0" borderId="26" xfId="0" applyNumberFormat="1" applyFont="1" applyBorder="1" applyAlignment="1">
      <alignment horizontal="right"/>
    </xf>
    <xf numFmtId="0" fontId="3" fillId="0" borderId="53" xfId="0" applyFont="1" applyBorder="1" applyAlignment="1">
      <alignment horizontal="left"/>
    </xf>
    <xf numFmtId="172" fontId="3" fillId="0" borderId="53" xfId="0" applyNumberFormat="1" applyFont="1" applyBorder="1" applyAlignment="1">
      <alignment horizontal="right"/>
    </xf>
    <xf numFmtId="0" fontId="16" fillId="25" borderId="30" xfId="0" applyFont="1" applyFill="1" applyBorder="1" applyAlignment="1">
      <alignment horizontal="left"/>
    </xf>
    <xf numFmtId="3" fontId="16" fillId="0" borderId="31" xfId="0" applyNumberFormat="1" applyFont="1" applyBorder="1" applyAlignment="1">
      <alignment horizontal="right"/>
    </xf>
    <xf numFmtId="0" fontId="16" fillId="25" borderId="26" xfId="0" applyFont="1" applyFill="1" applyBorder="1" applyAlignment="1">
      <alignment horizontal="left"/>
    </xf>
    <xf numFmtId="0" fontId="16" fillId="2" borderId="26" xfId="0" applyFont="1" applyFill="1" applyBorder="1" applyAlignment="1">
      <alignment horizontal="right"/>
    </xf>
    <xf numFmtId="0" fontId="3" fillId="27" borderId="26" xfId="0" applyFont="1" applyFill="1" applyBorder="1" applyAlignment="1">
      <alignment horizontal="right"/>
    </xf>
    <xf numFmtId="1" fontId="3" fillId="27" borderId="26" xfId="0" applyNumberFormat="1" applyFont="1" applyFill="1" applyBorder="1" applyAlignment="1">
      <alignment horizontal="right"/>
    </xf>
    <xf numFmtId="0" fontId="16" fillId="25" borderId="55" xfId="0" applyFont="1" applyFill="1" applyBorder="1" applyAlignment="1">
      <alignment horizontal="left"/>
    </xf>
    <xf numFmtId="172" fontId="3" fillId="0" borderId="55" xfId="0" applyNumberFormat="1" applyFont="1" applyBorder="1" applyAlignment="1">
      <alignment horizontal="right"/>
    </xf>
    <xf numFmtId="0" fontId="16" fillId="17" borderId="57" xfId="0" applyFont="1" applyFill="1" applyBorder="1" applyAlignment="1">
      <alignment horizontal="left"/>
    </xf>
    <xf numFmtId="0" fontId="3" fillId="0" borderId="56" xfId="0" applyFont="1" applyBorder="1" applyAlignment="1">
      <alignment horizontal="right"/>
    </xf>
    <xf numFmtId="188" fontId="16" fillId="17" borderId="57" xfId="0" applyNumberFormat="1" applyFont="1" applyFill="1" applyBorder="1" applyAlignment="1">
      <alignment horizontal="right"/>
    </xf>
    <xf numFmtId="188" fontId="16" fillId="11" borderId="57" xfId="0" applyNumberFormat="1" applyFont="1" applyFill="1" applyBorder="1" applyAlignment="1">
      <alignment horizontal="right"/>
    </xf>
    <xf numFmtId="188" fontId="3" fillId="0" borderId="0" xfId="0" applyNumberFormat="1" applyFont="1" applyBorder="1"/>
    <xf numFmtId="165" fontId="3" fillId="0" borderId="55" xfId="0" applyNumberFormat="1" applyFont="1" applyBorder="1" applyAlignment="1">
      <alignment horizontal="right"/>
    </xf>
    <xf numFmtId="189" fontId="3" fillId="0" borderId="0" xfId="0" applyNumberFormat="1" applyFont="1" applyBorder="1" applyAlignment="1">
      <alignment horizontal="center" vertical="center"/>
    </xf>
    <xf numFmtId="3" fontId="3" fillId="0" borderId="25" xfId="0" applyNumberFormat="1" applyFont="1" applyBorder="1" applyAlignment="1">
      <alignment horizontal="right"/>
    </xf>
    <xf numFmtId="0" fontId="16" fillId="22" borderId="22" xfId="0" applyFont="1" applyFill="1" applyBorder="1"/>
    <xf numFmtId="0" fontId="3" fillId="22" borderId="58" xfId="0" applyFont="1" applyFill="1" applyBorder="1"/>
    <xf numFmtId="0" fontId="3" fillId="22" borderId="59" xfId="0" applyFont="1" applyFill="1" applyBorder="1"/>
    <xf numFmtId="0" fontId="16" fillId="22" borderId="24" xfId="0" applyFont="1" applyFill="1" applyBorder="1"/>
    <xf numFmtId="0" fontId="3" fillId="22" borderId="47" xfId="0" applyFont="1" applyFill="1" applyBorder="1"/>
    <xf numFmtId="0" fontId="3" fillId="22" borderId="60" xfId="0" applyFont="1" applyFill="1" applyBorder="1"/>
    <xf numFmtId="3" fontId="3" fillId="22" borderId="26" xfId="0" applyNumberFormat="1" applyFont="1" applyFill="1" applyBorder="1" applyAlignment="1">
      <alignment horizontal="right"/>
    </xf>
    <xf numFmtId="0" fontId="3" fillId="0" borderId="31" xfId="0" applyFont="1" applyBorder="1"/>
    <xf numFmtId="0" fontId="16" fillId="21" borderId="57" xfId="0" applyFont="1" applyFill="1" applyBorder="1" applyAlignment="1">
      <alignment horizontal="left"/>
    </xf>
    <xf numFmtId="0" fontId="24" fillId="0" borderId="0" xfId="0" applyFont="1" applyBorder="1"/>
    <xf numFmtId="0" fontId="24" fillId="0" borderId="21" xfId="0" applyFont="1" applyBorder="1"/>
    <xf numFmtId="3" fontId="24" fillId="0" borderId="20" xfId="0" applyNumberFormat="1" applyFont="1" applyBorder="1"/>
    <xf numFmtId="0" fontId="24" fillId="0" borderId="8" xfId="0" applyFont="1" applyBorder="1"/>
    <xf numFmtId="182" fontId="24" fillId="0" borderId="0" xfId="0" applyNumberFormat="1" applyFont="1" applyBorder="1"/>
    <xf numFmtId="0" fontId="24" fillId="0" borderId="21" xfId="0" applyFont="1" applyBorder="1" applyAlignment="1">
      <alignment horizontal="left"/>
    </xf>
    <xf numFmtId="3" fontId="24" fillId="0" borderId="43" xfId="0" applyNumberFormat="1" applyFont="1" applyBorder="1"/>
    <xf numFmtId="0" fontId="24" fillId="0" borderId="9" xfId="0" applyFont="1" applyBorder="1" applyAlignment="1">
      <alignment horizontal="left"/>
    </xf>
    <xf numFmtId="182" fontId="24" fillId="0" borderId="50" xfId="0" applyNumberFormat="1" applyFont="1" applyBorder="1"/>
    <xf numFmtId="0" fontId="24" fillId="0" borderId="26" xfId="0" applyFont="1" applyBorder="1" applyAlignment="1">
      <alignment horizontal="left"/>
    </xf>
    <xf numFmtId="0" fontId="16" fillId="33" borderId="30" xfId="0" applyFont="1" applyFill="1" applyBorder="1" applyAlignment="1">
      <alignment horizontal="center" wrapText="1"/>
    </xf>
    <xf numFmtId="182" fontId="24" fillId="0" borderId="31" xfId="0" applyNumberFormat="1" applyFont="1" applyBorder="1"/>
    <xf numFmtId="0" fontId="16" fillId="33" borderId="26" xfId="0" applyFont="1" applyFill="1" applyBorder="1" applyAlignment="1">
      <alignment horizontal="center" wrapText="1"/>
    </xf>
    <xf numFmtId="17" fontId="3" fillId="2" borderId="26" xfId="0" applyNumberFormat="1" applyFont="1" applyFill="1" applyBorder="1" applyAlignment="1">
      <alignment horizontal="center"/>
    </xf>
    <xf numFmtId="0" fontId="3" fillId="2" borderId="26" xfId="0" applyFont="1" applyFill="1" applyBorder="1" applyAlignment="1">
      <alignment horizontal="center"/>
    </xf>
    <xf numFmtId="189" fontId="3" fillId="2" borderId="26" xfId="0" applyNumberFormat="1" applyFont="1" applyFill="1" applyBorder="1"/>
    <xf numFmtId="169" fontId="24" fillId="0" borderId="0" xfId="0" applyNumberFormat="1" applyFont="1" applyBorder="1"/>
    <xf numFmtId="10" fontId="3" fillId="2" borderId="26" xfId="0" applyNumberFormat="1" applyFont="1" applyFill="1" applyBorder="1" applyAlignment="1">
      <alignment horizontal="center"/>
    </xf>
    <xf numFmtId="17" fontId="3" fillId="0" borderId="26" xfId="0" applyNumberFormat="1" applyFont="1" applyBorder="1" applyAlignment="1">
      <alignment horizontal="center"/>
    </xf>
    <xf numFmtId="10" fontId="3" fillId="0" borderId="26" xfId="0" applyNumberFormat="1" applyFont="1" applyBorder="1" applyAlignment="1">
      <alignment horizontal="center"/>
    </xf>
    <xf numFmtId="189" fontId="3" fillId="0" borderId="26" xfId="0" applyNumberFormat="1" applyFont="1" applyBorder="1"/>
    <xf numFmtId="189" fontId="3" fillId="0" borderId="25" xfId="0" applyNumberFormat="1" applyFont="1" applyBorder="1"/>
    <xf numFmtId="17" fontId="3" fillId="22" borderId="26" xfId="0" applyNumberFormat="1" applyFont="1" applyFill="1" applyBorder="1" applyAlignment="1">
      <alignment horizontal="center"/>
    </xf>
    <xf numFmtId="10" fontId="3" fillId="22" borderId="26" xfId="0" applyNumberFormat="1" applyFont="1" applyFill="1" applyBorder="1" applyAlignment="1">
      <alignment horizontal="center"/>
    </xf>
    <xf numFmtId="189" fontId="3" fillId="22" borderId="26" xfId="0" applyNumberFormat="1" applyFont="1" applyFill="1" applyBorder="1"/>
    <xf numFmtId="0" fontId="3" fillId="21" borderId="13" xfId="0" applyFont="1" applyFill="1" applyBorder="1"/>
    <xf numFmtId="0" fontId="3" fillId="21" borderId="34" xfId="0" applyFont="1" applyFill="1" applyBorder="1"/>
    <xf numFmtId="180" fontId="21" fillId="38" borderId="26" xfId="0" applyNumberFormat="1" applyFont="1" applyFill="1" applyBorder="1" applyAlignment="1">
      <alignment horizontal="center"/>
    </xf>
    <xf numFmtId="0" fontId="42" fillId="2" borderId="29" xfId="0" applyFont="1" applyFill="1" applyBorder="1" applyAlignment="1">
      <alignment horizontal="center" vertical="center" wrapText="1"/>
    </xf>
    <xf numFmtId="17" fontId="42" fillId="2" borderId="29" xfId="0" applyNumberFormat="1" applyFont="1" applyFill="1" applyBorder="1" applyAlignment="1">
      <alignment horizontal="center" vertical="center" wrapText="1"/>
    </xf>
    <xf numFmtId="0" fontId="42" fillId="11" borderId="29" xfId="0" applyFont="1" applyFill="1" applyBorder="1" applyAlignment="1">
      <alignment horizontal="center" vertical="center" wrapText="1"/>
    </xf>
    <xf numFmtId="0" fontId="3" fillId="0" borderId="64" xfId="0" applyFont="1" applyBorder="1" applyAlignment="1">
      <alignment horizontal="center"/>
    </xf>
    <xf numFmtId="0" fontId="3" fillId="0" borderId="65" xfId="0" applyFont="1" applyBorder="1"/>
    <xf numFmtId="3" fontId="3" fillId="0" borderId="65" xfId="0" applyNumberFormat="1" applyFont="1" applyBorder="1" applyAlignment="1">
      <alignment horizontal="center"/>
    </xf>
    <xf numFmtId="180" fontId="3" fillId="0" borderId="65" xfId="0" applyNumberFormat="1" applyFont="1" applyBorder="1" applyAlignment="1">
      <alignment horizontal="center"/>
    </xf>
    <xf numFmtId="181" fontId="3" fillId="0" borderId="65" xfId="0" applyNumberFormat="1" applyFont="1" applyBorder="1" applyAlignment="1">
      <alignment horizontal="center"/>
    </xf>
    <xf numFmtId="168" fontId="3" fillId="0" borderId="65" xfId="0" applyNumberFormat="1" applyFont="1" applyBorder="1" applyAlignment="1">
      <alignment horizontal="center"/>
    </xf>
    <xf numFmtId="180" fontId="16" fillId="17" borderId="65" xfId="0" applyNumberFormat="1" applyFont="1" applyFill="1" applyBorder="1" applyAlignment="1">
      <alignment horizontal="center"/>
    </xf>
    <xf numFmtId="181" fontId="21" fillId="21" borderId="26" xfId="0" applyNumberFormat="1" applyFont="1" applyFill="1" applyBorder="1" applyAlignment="1">
      <alignment horizontal="center"/>
    </xf>
    <xf numFmtId="0" fontId="46" fillId="2" borderId="1" xfId="0" applyFont="1" applyFill="1" applyBorder="1" applyAlignment="1">
      <alignment horizontal="left"/>
    </xf>
    <xf numFmtId="0" fontId="42" fillId="21" borderId="12" xfId="0" applyFont="1" applyFill="1" applyBorder="1"/>
    <xf numFmtId="0" fontId="42" fillId="21" borderId="13" xfId="0" applyFont="1" applyFill="1" applyBorder="1"/>
    <xf numFmtId="0" fontId="42" fillId="21" borderId="34" xfId="0" applyFont="1" applyFill="1" applyBorder="1"/>
    <xf numFmtId="17" fontId="42" fillId="2" borderId="29" xfId="0" applyNumberFormat="1" applyFont="1" applyFill="1" applyBorder="1" applyAlignment="1">
      <alignment horizontal="center"/>
    </xf>
    <xf numFmtId="0" fontId="42" fillId="2" borderId="29" xfId="0" applyFont="1" applyFill="1" applyBorder="1" applyAlignment="1">
      <alignment horizontal="center"/>
    </xf>
    <xf numFmtId="0" fontId="3" fillId="18" borderId="1" xfId="0" applyFont="1" applyFill="1" applyBorder="1" applyAlignment="1">
      <alignment horizontal="center"/>
    </xf>
    <xf numFmtId="0" fontId="3" fillId="0" borderId="66" xfId="0" applyFont="1" applyBorder="1"/>
    <xf numFmtId="0" fontId="3" fillId="0" borderId="67" xfId="0" applyFont="1" applyBorder="1"/>
    <xf numFmtId="0" fontId="3" fillId="0" borderId="67" xfId="0" applyFont="1" applyBorder="1" applyAlignment="1">
      <alignment horizontal="center"/>
    </xf>
    <xf numFmtId="181" fontId="3" fillId="0" borderId="67" xfId="0" applyNumberFormat="1" applyFont="1" applyBorder="1" applyAlignment="1">
      <alignment horizontal="center"/>
    </xf>
    <xf numFmtId="180" fontId="3" fillId="0" borderId="67" xfId="0" applyNumberFormat="1" applyFont="1" applyBorder="1" applyAlignment="1">
      <alignment horizontal="right"/>
    </xf>
    <xf numFmtId="188" fontId="3" fillId="8" borderId="26" xfId="0" applyNumberFormat="1" applyFont="1" applyFill="1" applyBorder="1"/>
    <xf numFmtId="188" fontId="3" fillId="0" borderId="26" xfId="0" applyNumberFormat="1" applyFont="1" applyBorder="1"/>
    <xf numFmtId="188" fontId="3" fillId="11" borderId="26" xfId="0" applyNumberFormat="1" applyFont="1" applyFill="1" applyBorder="1"/>
    <xf numFmtId="0" fontId="3" fillId="0" borderId="68" xfId="0" applyFont="1" applyBorder="1"/>
    <xf numFmtId="0" fontId="3" fillId="0" borderId="55" xfId="0" applyFont="1" applyBorder="1"/>
    <xf numFmtId="0" fontId="3" fillId="0" borderId="55" xfId="0" applyFont="1" applyBorder="1" applyAlignment="1">
      <alignment horizontal="center"/>
    </xf>
    <xf numFmtId="183" fontId="3" fillId="0" borderId="55" xfId="0" applyNumberFormat="1" applyFont="1" applyBorder="1"/>
    <xf numFmtId="3" fontId="3" fillId="0" borderId="55" xfId="0" applyNumberFormat="1" applyFont="1" applyBorder="1" applyAlignment="1">
      <alignment horizontal="center"/>
    </xf>
    <xf numFmtId="180" fontId="3" fillId="0" borderId="55" xfId="0" applyNumberFormat="1" applyFont="1" applyBorder="1" applyAlignment="1">
      <alignment horizontal="right"/>
    </xf>
    <xf numFmtId="190" fontId="3" fillId="0" borderId="55" xfId="0" applyNumberFormat="1" applyFont="1" applyBorder="1"/>
    <xf numFmtId="188" fontId="3" fillId="22" borderId="26" xfId="0" applyNumberFormat="1" applyFont="1" applyFill="1" applyBorder="1"/>
    <xf numFmtId="180" fontId="21" fillId="17" borderId="30" xfId="0" applyNumberFormat="1" applyFont="1" applyFill="1" applyBorder="1" applyAlignment="1">
      <alignment horizontal="center"/>
    </xf>
    <xf numFmtId="181" fontId="21" fillId="21" borderId="30" xfId="0" applyNumberFormat="1" applyFont="1" applyFill="1" applyBorder="1" applyAlignment="1">
      <alignment horizontal="center"/>
    </xf>
    <xf numFmtId="0" fontId="3" fillId="32" borderId="26" xfId="0" applyFont="1" applyFill="1" applyBorder="1" applyAlignment="1">
      <alignment horizontal="center"/>
    </xf>
    <xf numFmtId="180" fontId="3" fillId="32" borderId="26" xfId="0" applyNumberFormat="1" applyFont="1" applyFill="1" applyBorder="1" applyAlignment="1">
      <alignment horizontal="center"/>
    </xf>
    <xf numFmtId="180" fontId="3" fillId="0" borderId="0" xfId="0" applyNumberFormat="1" applyFont="1" applyBorder="1" applyAlignment="1">
      <alignment horizontal="center"/>
    </xf>
    <xf numFmtId="0" fontId="3" fillId="0" borderId="10" xfId="0" applyFont="1" applyBorder="1"/>
    <xf numFmtId="0" fontId="46" fillId="22" borderId="1" xfId="0" quotePrefix="1" applyFont="1" applyFill="1" applyBorder="1" applyAlignment="1">
      <alignment horizontal="center"/>
    </xf>
    <xf numFmtId="10" fontId="3" fillId="11" borderId="65" xfId="0" applyNumberFormat="1" applyFont="1" applyFill="1" applyBorder="1" applyAlignment="1">
      <alignment horizontal="center"/>
    </xf>
    <xf numFmtId="0" fontId="3" fillId="21" borderId="1" xfId="0" applyFont="1" applyFill="1" applyBorder="1"/>
    <xf numFmtId="17" fontId="42" fillId="17" borderId="12" xfId="0" applyNumberFormat="1" applyFont="1" applyFill="1" applyBorder="1" applyAlignment="1">
      <alignment horizontal="center"/>
    </xf>
    <xf numFmtId="0" fontId="46" fillId="0" borderId="0" xfId="0" applyFont="1" applyBorder="1"/>
    <xf numFmtId="17" fontId="47" fillId="33" borderId="12" xfId="0" applyNumberFormat="1" applyFont="1" applyFill="1" applyBorder="1" applyAlignment="1">
      <alignment horizontal="center"/>
    </xf>
    <xf numFmtId="8" fontId="3" fillId="0" borderId="27" xfId="0" applyNumberFormat="1" applyFont="1" applyBorder="1" applyAlignment="1">
      <alignment horizontal="right"/>
    </xf>
    <xf numFmtId="0" fontId="3" fillId="0" borderId="40" xfId="0" applyFont="1" applyBorder="1"/>
    <xf numFmtId="188" fontId="3" fillId="0" borderId="41" xfId="0" applyNumberFormat="1" applyFont="1" applyBorder="1"/>
    <xf numFmtId="180" fontId="21" fillId="17" borderId="12" xfId="0" applyNumberFormat="1" applyFont="1" applyFill="1" applyBorder="1" applyAlignment="1">
      <alignment horizontal="center"/>
    </xf>
    <xf numFmtId="0" fontId="3" fillId="11" borderId="68" xfId="0" applyFont="1" applyFill="1" applyBorder="1"/>
    <xf numFmtId="165" fontId="21" fillId="11" borderId="55" xfId="0" applyNumberFormat="1" applyFont="1" applyFill="1" applyBorder="1" applyAlignment="1">
      <alignment horizontal="center"/>
    </xf>
    <xf numFmtId="165" fontId="3" fillId="11" borderId="55" xfId="0" applyNumberFormat="1" applyFont="1" applyFill="1" applyBorder="1"/>
    <xf numFmtId="165" fontId="3" fillId="11" borderId="75" xfId="0" applyNumberFormat="1" applyFont="1" applyFill="1" applyBorder="1"/>
    <xf numFmtId="0" fontId="3" fillId="0" borderId="36" xfId="0" applyFont="1" applyBorder="1"/>
    <xf numFmtId="10" fontId="3" fillId="0" borderId="36" xfId="0" applyNumberFormat="1" applyFont="1" applyBorder="1"/>
    <xf numFmtId="170" fontId="20" fillId="21" borderId="47" xfId="0" applyNumberFormat="1" applyFont="1" applyFill="1" applyBorder="1" applyAlignment="1">
      <alignment horizontal="center"/>
    </xf>
    <xf numFmtId="0" fontId="16" fillId="21" borderId="1" xfId="0" applyFont="1" applyFill="1" applyBorder="1" applyAlignment="1">
      <alignment horizontal="center"/>
    </xf>
    <xf numFmtId="17" fontId="47" fillId="2" borderId="29" xfId="0" applyNumberFormat="1" applyFont="1" applyFill="1" applyBorder="1" applyAlignment="1">
      <alignment horizontal="center"/>
    </xf>
    <xf numFmtId="0" fontId="47" fillId="2" borderId="29" xfId="0" applyFont="1" applyFill="1" applyBorder="1" applyAlignment="1">
      <alignment horizontal="center"/>
    </xf>
    <xf numFmtId="190" fontId="3" fillId="0" borderId="26" xfId="0" applyNumberFormat="1" applyFont="1" applyBorder="1"/>
    <xf numFmtId="180" fontId="3" fillId="11" borderId="26" xfId="0" applyNumberFormat="1" applyFont="1" applyFill="1" applyBorder="1" applyAlignment="1">
      <alignment horizontal="center"/>
    </xf>
    <xf numFmtId="181" fontId="21" fillId="11" borderId="30" xfId="0" applyNumberFormat="1" applyFont="1" applyFill="1" applyBorder="1" applyAlignment="1">
      <alignment horizontal="center"/>
    </xf>
    <xf numFmtId="170" fontId="20" fillId="2" borderId="1" xfId="0" applyNumberFormat="1" applyFont="1" applyFill="1" applyBorder="1" applyAlignment="1">
      <alignment horizontal="center"/>
    </xf>
    <xf numFmtId="0" fontId="16" fillId="36" borderId="26" xfId="0" applyFont="1" applyFill="1" applyBorder="1"/>
    <xf numFmtId="0" fontId="16" fillId="36" borderId="26" xfId="0" applyFont="1" applyFill="1" applyBorder="1" applyAlignment="1">
      <alignment horizontal="center"/>
    </xf>
    <xf numFmtId="0" fontId="3" fillId="22" borderId="26" xfId="0" applyFont="1" applyFill="1" applyBorder="1"/>
    <xf numFmtId="0" fontId="23" fillId="0" borderId="0" xfId="0" applyFont="1" applyBorder="1" applyAlignment="1">
      <alignment horizontal="right"/>
    </xf>
    <xf numFmtId="169" fontId="23" fillId="24" borderId="7" xfId="0" applyNumberFormat="1" applyFont="1" applyFill="1" applyBorder="1" applyAlignment="1">
      <alignment horizontal="center"/>
    </xf>
    <xf numFmtId="10" fontId="23" fillId="24" borderId="76" xfId="0" applyNumberFormat="1" applyFont="1" applyFill="1" applyBorder="1" applyAlignment="1">
      <alignment horizontal="center"/>
    </xf>
    <xf numFmtId="169" fontId="23" fillId="37" borderId="76" xfId="0" applyNumberFormat="1" applyFont="1" applyFill="1" applyBorder="1" applyAlignment="1">
      <alignment horizontal="center"/>
    </xf>
    <xf numFmtId="3" fontId="23" fillId="0" borderId="0" xfId="0" applyNumberFormat="1" applyFont="1" applyBorder="1" applyAlignment="1">
      <alignment horizontal="right"/>
    </xf>
    <xf numFmtId="0" fontId="23" fillId="0" borderId="8" xfId="0" applyFont="1" applyBorder="1"/>
    <xf numFmtId="169" fontId="23" fillId="0" borderId="8" xfId="0" applyNumberFormat="1" applyFont="1" applyBorder="1" applyAlignment="1">
      <alignment horizontal="center"/>
    </xf>
    <xf numFmtId="3" fontId="23" fillId="0" borderId="61" xfId="0" applyNumberFormat="1" applyFont="1" applyBorder="1" applyAlignment="1">
      <alignment horizontal="center"/>
    </xf>
    <xf numFmtId="3" fontId="23" fillId="0" borderId="0" xfId="0" applyNumberFormat="1" applyFont="1" applyBorder="1" applyAlignment="1">
      <alignment horizontal="center"/>
    </xf>
    <xf numFmtId="0" fontId="23" fillId="0" borderId="61" xfId="0" applyFont="1" applyBorder="1"/>
    <xf numFmtId="0" fontId="23" fillId="42" borderId="1" xfId="0" applyFont="1" applyFill="1" applyBorder="1"/>
    <xf numFmtId="17" fontId="25" fillId="42" borderId="1" xfId="0" applyNumberFormat="1" applyFont="1" applyFill="1" applyBorder="1" applyAlignment="1">
      <alignment horizontal="center"/>
    </xf>
    <xf numFmtId="17" fontId="25" fillId="43" borderId="7" xfId="0" applyNumberFormat="1" applyFont="1" applyFill="1" applyBorder="1" applyAlignment="1">
      <alignment horizontal="center"/>
    </xf>
    <xf numFmtId="17" fontId="25" fillId="43" borderId="1" xfId="0" applyNumberFormat="1" applyFont="1" applyFill="1" applyBorder="1" applyAlignment="1">
      <alignment horizontal="center"/>
    </xf>
    <xf numFmtId="17" fontId="25" fillId="43" borderId="77" xfId="0" applyNumberFormat="1" applyFont="1" applyFill="1" applyBorder="1" applyAlignment="1">
      <alignment horizontal="center"/>
    </xf>
    <xf numFmtId="17" fontId="25" fillId="17" borderId="1" xfId="0" applyNumberFormat="1" applyFont="1" applyFill="1" applyBorder="1" applyAlignment="1">
      <alignment horizontal="center"/>
    </xf>
    <xf numFmtId="17" fontId="23" fillId="26" borderId="1" xfId="0" applyNumberFormat="1" applyFont="1" applyFill="1" applyBorder="1" applyAlignment="1">
      <alignment horizontal="center"/>
    </xf>
    <xf numFmtId="17" fontId="23" fillId="26" borderId="77" xfId="0" applyNumberFormat="1" applyFont="1" applyFill="1" applyBorder="1" applyAlignment="1">
      <alignment horizontal="center"/>
    </xf>
    <xf numFmtId="0" fontId="25" fillId="0" borderId="15" xfId="0" applyFont="1" applyBorder="1" applyAlignment="1">
      <alignment horizontal="right"/>
    </xf>
    <xf numFmtId="7" fontId="25" fillId="0" borderId="15" xfId="0" applyNumberFormat="1" applyFont="1" applyBorder="1" applyAlignment="1">
      <alignment horizontal="center"/>
    </xf>
    <xf numFmtId="7" fontId="25" fillId="24" borderId="12" xfId="0" applyNumberFormat="1" applyFont="1" applyFill="1" applyBorder="1" applyAlignment="1">
      <alignment horizontal="center"/>
    </xf>
    <xf numFmtId="7" fontId="25" fillId="0" borderId="27" xfId="0" applyNumberFormat="1" applyFont="1" applyBorder="1" applyAlignment="1">
      <alignment horizontal="center"/>
    </xf>
    <xf numFmtId="7" fontId="25" fillId="0" borderId="28" xfId="0" applyNumberFormat="1" applyFont="1" applyBorder="1" applyAlignment="1">
      <alignment horizontal="center"/>
    </xf>
    <xf numFmtId="7" fontId="25" fillId="27" borderId="34" xfId="0" applyNumberFormat="1" applyFont="1" applyFill="1" applyBorder="1" applyAlignment="1">
      <alignment horizontal="center"/>
    </xf>
    <xf numFmtId="7" fontId="25" fillId="24" borderId="34" xfId="0" applyNumberFormat="1" applyFont="1" applyFill="1" applyBorder="1" applyAlignment="1">
      <alignment horizontal="center"/>
    </xf>
    <xf numFmtId="0" fontId="25" fillId="0" borderId="0" xfId="0" applyFont="1" applyBorder="1"/>
    <xf numFmtId="0" fontId="23" fillId="0" borderId="15" xfId="0" applyFont="1" applyBorder="1" applyAlignment="1">
      <alignment horizontal="right"/>
    </xf>
    <xf numFmtId="0" fontId="23" fillId="0" borderId="15" xfId="0" applyFont="1" applyBorder="1"/>
    <xf numFmtId="3" fontId="23" fillId="0" borderId="27" xfId="0" applyNumberFormat="1" applyFont="1" applyBorder="1" applyAlignment="1">
      <alignment horizontal="center"/>
    </xf>
    <xf numFmtId="3" fontId="23" fillId="0" borderId="15" xfId="0" applyNumberFormat="1" applyFont="1" applyBorder="1" applyAlignment="1">
      <alignment horizontal="center"/>
    </xf>
    <xf numFmtId="3" fontId="23" fillId="2" borderId="13" xfId="0" applyNumberFormat="1" applyFont="1" applyFill="1" applyBorder="1" applyAlignment="1">
      <alignment horizontal="center"/>
    </xf>
    <xf numFmtId="3" fontId="23" fillId="0" borderId="28" xfId="0" applyNumberFormat="1" applyFont="1" applyBorder="1" applyAlignment="1">
      <alignment horizontal="center"/>
    </xf>
    <xf numFmtId="3" fontId="31" fillId="0" borderId="27" xfId="0" applyNumberFormat="1" applyFont="1" applyBorder="1" applyAlignment="1">
      <alignment horizontal="center"/>
    </xf>
    <xf numFmtId="3" fontId="23" fillId="2" borderId="34" xfId="0" applyNumberFormat="1" applyFont="1" applyFill="1" applyBorder="1" applyAlignment="1">
      <alignment horizontal="center"/>
    </xf>
    <xf numFmtId="7" fontId="23" fillId="0" borderId="15" xfId="0" applyNumberFormat="1" applyFont="1" applyBorder="1" applyAlignment="1">
      <alignment horizontal="center"/>
    </xf>
    <xf numFmtId="7" fontId="23" fillId="24" borderId="12" xfId="0" applyNumberFormat="1" applyFont="1" applyFill="1" applyBorder="1" applyAlignment="1">
      <alignment horizontal="center"/>
    </xf>
    <xf numFmtId="7" fontId="23" fillId="0" borderId="27" xfId="0" applyNumberFormat="1" applyFont="1" applyBorder="1" applyAlignment="1">
      <alignment horizontal="center"/>
    </xf>
    <xf numFmtId="7" fontId="23" fillId="0" borderId="26" xfId="0" applyNumberFormat="1" applyFont="1" applyBorder="1" applyAlignment="1">
      <alignment horizontal="center"/>
    </xf>
    <xf numFmtId="7" fontId="23" fillId="0" borderId="28" xfId="0" applyNumberFormat="1" applyFont="1" applyBorder="1" applyAlignment="1">
      <alignment horizontal="center"/>
    </xf>
    <xf numFmtId="0" fontId="25" fillId="0" borderId="15" xfId="0" applyFont="1" applyBorder="1"/>
    <xf numFmtId="3" fontId="25" fillId="0" borderId="27" xfId="0" applyNumberFormat="1" applyFont="1" applyBorder="1" applyAlignment="1">
      <alignment horizontal="center"/>
    </xf>
    <xf numFmtId="3" fontId="25" fillId="0" borderId="15" xfId="0" applyNumberFormat="1" applyFont="1" applyBorder="1" applyAlignment="1">
      <alignment horizontal="center"/>
    </xf>
    <xf numFmtId="7" fontId="25" fillId="0" borderId="26" xfId="0" applyNumberFormat="1" applyFont="1" applyBorder="1" applyAlignment="1">
      <alignment horizontal="center"/>
    </xf>
    <xf numFmtId="0" fontId="25" fillId="43" borderId="13" xfId="0" applyFont="1" applyFill="1" applyBorder="1" applyAlignment="1">
      <alignment horizontal="right"/>
    </xf>
    <xf numFmtId="0" fontId="25" fillId="43" borderId="13" xfId="0" applyFont="1" applyFill="1" applyBorder="1"/>
    <xf numFmtId="7" fontId="25" fillId="43" borderId="12" xfId="0" applyNumberFormat="1" applyFont="1" applyFill="1" applyBorder="1" applyAlignment="1">
      <alignment horizontal="center"/>
    </xf>
    <xf numFmtId="7" fontId="25" fillId="43" borderId="13" xfId="0" applyNumberFormat="1" applyFont="1" applyFill="1" applyBorder="1" applyAlignment="1">
      <alignment horizontal="center"/>
    </xf>
    <xf numFmtId="7" fontId="25" fillId="43" borderId="26" xfId="0" applyNumberFormat="1" applyFont="1" applyFill="1" applyBorder="1" applyAlignment="1">
      <alignment horizontal="center"/>
    </xf>
    <xf numFmtId="7" fontId="25" fillId="11" borderId="26" xfId="0" applyNumberFormat="1" applyFont="1" applyFill="1" applyBorder="1" applyAlignment="1">
      <alignment horizontal="center"/>
    </xf>
    <xf numFmtId="7" fontId="23" fillId="0" borderId="0" xfId="0" applyNumberFormat="1" applyFont="1" applyBorder="1"/>
    <xf numFmtId="0" fontId="23" fillId="0" borderId="0" xfId="0" applyFont="1" applyBorder="1" applyAlignment="1">
      <alignment horizontal="center"/>
    </xf>
    <xf numFmtId="169" fontId="23" fillId="0" borderId="0" xfId="0" applyNumberFormat="1" applyFont="1" applyBorder="1"/>
    <xf numFmtId="10" fontId="23" fillId="0" borderId="0" xfId="0" applyNumberFormat="1" applyFont="1" applyBorder="1"/>
    <xf numFmtId="0" fontId="25" fillId="7" borderId="26" xfId="0" applyFont="1" applyFill="1" applyBorder="1" applyAlignment="1">
      <alignment horizontal="center"/>
    </xf>
    <xf numFmtId="7" fontId="23" fillId="0" borderId="26" xfId="0" applyNumberFormat="1" applyFont="1" applyBorder="1"/>
    <xf numFmtId="191" fontId="23" fillId="0" borderId="0" xfId="0" applyNumberFormat="1" applyFont="1" applyBorder="1"/>
    <xf numFmtId="169" fontId="23" fillId="24" borderId="76" xfId="0" applyNumberFormat="1" applyFont="1" applyFill="1" applyBorder="1"/>
    <xf numFmtId="169" fontId="23" fillId="37" borderId="76" xfId="0" applyNumberFormat="1" applyFont="1" applyFill="1" applyBorder="1"/>
    <xf numFmtId="0" fontId="21" fillId="30" borderId="30" xfId="0" applyFont="1" applyFill="1" applyBorder="1" applyAlignment="1">
      <alignment horizontal="center" vertical="center" wrapText="1"/>
    </xf>
    <xf numFmtId="168" fontId="3" fillId="0" borderId="26" xfId="0" applyNumberFormat="1" applyFont="1" applyBorder="1" applyAlignment="1">
      <alignment horizontal="center"/>
    </xf>
    <xf numFmtId="168" fontId="46" fillId="0" borderId="26" xfId="0" applyNumberFormat="1" applyFont="1" applyBorder="1" applyAlignment="1">
      <alignment horizontal="center"/>
    </xf>
    <xf numFmtId="0" fontId="23" fillId="28" borderId="1" xfId="0" applyFont="1" applyFill="1" applyBorder="1" applyAlignment="1">
      <alignment horizontal="right"/>
    </xf>
    <xf numFmtId="10" fontId="3" fillId="28" borderId="1" xfId="0" applyNumberFormat="1" applyFont="1" applyFill="1" applyBorder="1"/>
    <xf numFmtId="0" fontId="20" fillId="0" borderId="0" xfId="0" quotePrefix="1" applyFont="1" applyBorder="1"/>
    <xf numFmtId="3" fontId="19" fillId="0" borderId="26" xfId="0" applyNumberFormat="1" applyFont="1" applyBorder="1" applyAlignment="1">
      <alignment horizontal="center"/>
    </xf>
    <xf numFmtId="181" fontId="20" fillId="0" borderId="26" xfId="0" applyNumberFormat="1" applyFont="1" applyBorder="1" applyAlignment="1">
      <alignment horizontal="center"/>
    </xf>
    <xf numFmtId="165" fontId="20" fillId="0" borderId="26" xfId="0" applyNumberFormat="1" applyFont="1" applyBorder="1" applyAlignment="1">
      <alignment horizontal="right"/>
    </xf>
    <xf numFmtId="180" fontId="19" fillId="38" borderId="26" xfId="0" applyNumberFormat="1" applyFont="1" applyFill="1" applyBorder="1" applyAlignment="1">
      <alignment horizontal="center"/>
    </xf>
    <xf numFmtId="0" fontId="20" fillId="0" borderId="0" xfId="0" applyFont="1" applyBorder="1" applyAlignment="1">
      <alignment horizontal="center"/>
    </xf>
    <xf numFmtId="0" fontId="20" fillId="28" borderId="1" xfId="0" applyFont="1" applyFill="1" applyBorder="1" applyAlignment="1">
      <alignment horizontal="right"/>
    </xf>
    <xf numFmtId="10" fontId="20" fillId="28" borderId="1" xfId="0" applyNumberFormat="1" applyFont="1" applyFill="1" applyBorder="1"/>
    <xf numFmtId="0" fontId="20" fillId="0" borderId="26" xfId="0" applyFont="1" applyBorder="1" applyAlignment="1">
      <alignment wrapText="1"/>
    </xf>
    <xf numFmtId="3" fontId="25" fillId="0" borderId="26" xfId="0" applyNumberFormat="1" applyFont="1" applyBorder="1" applyAlignment="1">
      <alignment horizontal="center"/>
    </xf>
    <xf numFmtId="165" fontId="23" fillId="0" borderId="26" xfId="0" applyNumberFormat="1" applyFont="1" applyBorder="1" applyAlignment="1">
      <alignment horizontal="right"/>
    </xf>
    <xf numFmtId="165" fontId="28" fillId="0" borderId="0" xfId="0" applyNumberFormat="1" applyFont="1" applyBorder="1"/>
    <xf numFmtId="10" fontId="23" fillId="28" borderId="1" xfId="0" applyNumberFormat="1" applyFont="1" applyFill="1" applyBorder="1"/>
    <xf numFmtId="0" fontId="35" fillId="45" borderId="78" xfId="0" applyFont="1" applyFill="1" applyBorder="1" applyAlignment="1">
      <alignment horizontal="center" wrapText="1"/>
    </xf>
    <xf numFmtId="0" fontId="36" fillId="7" borderId="30" xfId="0" applyFont="1" applyFill="1" applyBorder="1" applyAlignment="1">
      <alignment horizontal="center" wrapText="1"/>
    </xf>
    <xf numFmtId="0" fontId="36" fillId="7" borderId="78" xfId="0" applyFont="1" applyFill="1" applyBorder="1" applyAlignment="1">
      <alignment wrapText="1"/>
    </xf>
    <xf numFmtId="0" fontId="36" fillId="7" borderId="78" xfId="0" applyFont="1" applyFill="1" applyBorder="1" applyAlignment="1">
      <alignment horizontal="center" vertical="center" wrapText="1"/>
    </xf>
    <xf numFmtId="182" fontId="36" fillId="7" borderId="78" xfId="0" applyNumberFormat="1" applyFont="1" applyFill="1" applyBorder="1" applyAlignment="1">
      <alignment horizontal="center" wrapText="1"/>
    </xf>
    <xf numFmtId="182" fontId="35" fillId="30" borderId="78" xfId="0" applyNumberFormat="1" applyFont="1" applyFill="1" applyBorder="1" applyAlignment="1">
      <alignment horizontal="center" wrapText="1"/>
    </xf>
    <xf numFmtId="0" fontId="23" fillId="0" borderId="0" xfId="0" quotePrefix="1" applyFont="1" applyBorder="1"/>
    <xf numFmtId="0" fontId="23" fillId="0" borderId="26" xfId="0" applyFont="1" applyBorder="1" applyAlignment="1">
      <alignment horizontal="center"/>
    </xf>
    <xf numFmtId="0" fontId="23" fillId="0" borderId="25" xfId="0" applyFont="1" applyBorder="1" applyAlignment="1">
      <alignment horizontal="center"/>
    </xf>
    <xf numFmtId="182" fontId="23" fillId="0" borderId="26" xfId="0" applyNumberFormat="1" applyFont="1" applyBorder="1"/>
    <xf numFmtId="192" fontId="23" fillId="0" borderId="49" xfId="0" applyNumberFormat="1" applyFont="1" applyBorder="1" applyAlignment="1">
      <alignment horizontal="center"/>
    </xf>
    <xf numFmtId="182" fontId="23" fillId="0" borderId="0" xfId="0" applyNumberFormat="1" applyFont="1" applyBorder="1"/>
    <xf numFmtId="0" fontId="23" fillId="0" borderId="31" xfId="0" applyFont="1" applyBorder="1" applyAlignment="1">
      <alignment horizontal="center"/>
    </xf>
    <xf numFmtId="165" fontId="23" fillId="0" borderId="0" xfId="0" applyNumberFormat="1" applyFont="1" applyBorder="1" applyAlignment="1">
      <alignment horizontal="right"/>
    </xf>
    <xf numFmtId="10" fontId="19" fillId="2" borderId="26" xfId="0" applyNumberFormat="1" applyFont="1" applyFill="1" applyBorder="1" applyAlignment="1">
      <alignment horizontal="center"/>
    </xf>
    <xf numFmtId="0" fontId="35" fillId="0" borderId="0" xfId="0" applyFont="1" applyBorder="1" applyAlignment="1">
      <alignment vertical="center"/>
    </xf>
    <xf numFmtId="0" fontId="20" fillId="33" borderId="26" xfId="0" applyFont="1" applyFill="1" applyBorder="1" applyAlignment="1">
      <alignment horizontal="center" vertical="center"/>
    </xf>
    <xf numFmtId="3" fontId="20" fillId="33" borderId="26" xfId="0" applyNumberFormat="1" applyFont="1" applyFill="1" applyBorder="1" applyAlignment="1">
      <alignment horizontal="center" vertical="center"/>
    </xf>
    <xf numFmtId="8" fontId="36" fillId="45" borderId="26" xfId="0" applyNumberFormat="1" applyFont="1" applyFill="1" applyBorder="1" applyAlignment="1">
      <alignment horizontal="center" vertical="center"/>
    </xf>
    <xf numFmtId="0" fontId="19" fillId="36" borderId="26" xfId="0" applyFont="1" applyFill="1" applyBorder="1" applyAlignment="1">
      <alignment horizontal="center"/>
    </xf>
    <xf numFmtId="0" fontId="35" fillId="46" borderId="26" xfId="0" applyFont="1" applyFill="1" applyBorder="1" applyAlignment="1">
      <alignment horizontal="center" vertical="center"/>
    </xf>
    <xf numFmtId="0" fontId="35" fillId="45" borderId="26" xfId="0" applyFont="1" applyFill="1" applyBorder="1" applyAlignment="1">
      <alignment horizontal="center" vertical="center"/>
    </xf>
    <xf numFmtId="0" fontId="23" fillId="0" borderId="26" xfId="0" applyFont="1" applyBorder="1"/>
    <xf numFmtId="184" fontId="20" fillId="0" borderId="26" xfId="0" applyNumberFormat="1" applyFont="1" applyBorder="1" applyAlignment="1">
      <alignment horizontal="center" vertical="center"/>
    </xf>
    <xf numFmtId="8" fontId="20" fillId="0" borderId="26" xfId="0" applyNumberFormat="1" applyFont="1" applyBorder="1" applyAlignment="1">
      <alignment horizontal="center" vertical="center"/>
    </xf>
    <xf numFmtId="8" fontId="23" fillId="0" borderId="26" xfId="0" applyNumberFormat="1" applyFont="1" applyBorder="1"/>
    <xf numFmtId="8" fontId="23" fillId="0" borderId="0" xfId="0" applyNumberFormat="1" applyFont="1" applyBorder="1"/>
    <xf numFmtId="184" fontId="20" fillId="0" borderId="0" xfId="0" applyNumberFormat="1" applyFont="1" applyBorder="1" applyAlignment="1">
      <alignment horizontal="center" vertical="center"/>
    </xf>
    <xf numFmtId="0" fontId="35" fillId="45" borderId="30" xfId="0" applyFont="1" applyFill="1" applyBorder="1" applyAlignment="1">
      <alignment horizontal="center" vertical="center"/>
    </xf>
    <xf numFmtId="180" fontId="19" fillId="38" borderId="30" xfId="0" applyNumberFormat="1" applyFont="1" applyFill="1" applyBorder="1" applyAlignment="1">
      <alignment horizontal="center"/>
    </xf>
    <xf numFmtId="0" fontId="49" fillId="45" borderId="26" xfId="0" applyFont="1" applyFill="1" applyBorder="1" applyAlignment="1">
      <alignment horizontal="center" vertical="center"/>
    </xf>
    <xf numFmtId="3" fontId="49" fillId="45" borderId="26" xfId="0" applyNumberFormat="1" applyFont="1" applyFill="1" applyBorder="1" applyAlignment="1">
      <alignment horizontal="center" vertical="center"/>
    </xf>
    <xf numFmtId="8" fontId="49" fillId="45" borderId="26" xfId="0" applyNumberFormat="1" applyFont="1" applyFill="1" applyBorder="1" applyAlignment="1">
      <alignment horizontal="center" vertical="center"/>
    </xf>
    <xf numFmtId="8" fontId="49" fillId="45" borderId="29" xfId="0" applyNumberFormat="1" applyFont="1" applyFill="1" applyBorder="1" applyAlignment="1">
      <alignment horizontal="center" vertical="center"/>
    </xf>
    <xf numFmtId="0" fontId="48" fillId="46" borderId="26" xfId="0" applyFont="1" applyFill="1" applyBorder="1" applyAlignment="1">
      <alignment horizontal="center" vertical="center"/>
    </xf>
    <xf numFmtId="0" fontId="48" fillId="46" borderId="12" xfId="0" applyFont="1" applyFill="1" applyBorder="1" applyAlignment="1">
      <alignment horizontal="center" vertical="center"/>
    </xf>
    <xf numFmtId="2" fontId="28" fillId="11" borderId="26" xfId="0" applyNumberFormat="1" applyFont="1" applyFill="1" applyBorder="1" applyAlignment="1">
      <alignment horizontal="center"/>
    </xf>
    <xf numFmtId="0" fontId="28" fillId="11" borderId="26" xfId="0" applyFont="1" applyFill="1" applyBorder="1"/>
    <xf numFmtId="0" fontId="49" fillId="0" borderId="26" xfId="0" applyFont="1" applyBorder="1" applyAlignment="1">
      <alignment horizontal="center" vertical="center"/>
    </xf>
    <xf numFmtId="0" fontId="49" fillId="0" borderId="26" xfId="0" applyFont="1" applyBorder="1" applyAlignment="1">
      <alignment vertical="center"/>
    </xf>
    <xf numFmtId="3" fontId="49" fillId="0" borderId="26" xfId="0" applyNumberFormat="1" applyFont="1" applyBorder="1" applyAlignment="1">
      <alignment horizontal="center" vertical="center"/>
    </xf>
    <xf numFmtId="164" fontId="28" fillId="0" borderId="27" xfId="0" applyNumberFormat="1" applyFont="1" applyBorder="1" applyAlignment="1">
      <alignment horizontal="right"/>
    </xf>
    <xf numFmtId="165" fontId="28" fillId="0" borderId="21" xfId="0" applyNumberFormat="1" applyFont="1" applyBorder="1"/>
    <xf numFmtId="165" fontId="28" fillId="0" borderId="43" xfId="0" applyNumberFormat="1" applyFont="1" applyBorder="1"/>
    <xf numFmtId="164" fontId="28" fillId="0" borderId="27" xfId="0" applyNumberFormat="1" applyFont="1" applyBorder="1" applyAlignment="1">
      <alignment horizontal="right" vertical="center"/>
    </xf>
    <xf numFmtId="165" fontId="28" fillId="0" borderId="8" xfId="0" applyNumberFormat="1" applyFont="1" applyBorder="1"/>
    <xf numFmtId="165" fontId="28" fillId="0" borderId="61" xfId="0" applyNumberFormat="1" applyFont="1" applyBorder="1"/>
    <xf numFmtId="0" fontId="28" fillId="0" borderId="26" xfId="0" applyFont="1" applyBorder="1"/>
    <xf numFmtId="165" fontId="28" fillId="0" borderId="9" xfId="0" applyNumberFormat="1" applyFont="1" applyBorder="1"/>
    <xf numFmtId="165" fontId="28" fillId="0" borderId="50" xfId="0" applyNumberFormat="1" applyFont="1" applyBorder="1"/>
    <xf numFmtId="164" fontId="48" fillId="38" borderId="30" xfId="0" applyNumberFormat="1" applyFont="1" applyFill="1" applyBorder="1" applyAlignment="1">
      <alignment horizontal="right" vertical="center"/>
    </xf>
    <xf numFmtId="0" fontId="28" fillId="0" borderId="0" xfId="0" applyFont="1" applyBorder="1" applyAlignment="1">
      <alignment horizontal="center"/>
    </xf>
    <xf numFmtId="172" fontId="28" fillId="0" borderId="26" xfId="0" applyNumberFormat="1" applyFont="1" applyBorder="1"/>
    <xf numFmtId="172" fontId="28" fillId="0" borderId="21" xfId="0" applyNumberFormat="1" applyFont="1" applyBorder="1"/>
    <xf numFmtId="0" fontId="28" fillId="0" borderId="20" xfId="0" applyFont="1" applyBorder="1"/>
    <xf numFmtId="0" fontId="28" fillId="0" borderId="43" xfId="0" applyFont="1" applyBorder="1"/>
    <xf numFmtId="172" fontId="28" fillId="0" borderId="8" xfId="0" applyNumberFormat="1" applyFont="1" applyBorder="1"/>
    <xf numFmtId="0" fontId="28" fillId="0" borderId="61" xfId="0" applyFont="1" applyBorder="1"/>
    <xf numFmtId="172" fontId="28" fillId="11" borderId="7" xfId="0" applyNumberFormat="1" applyFont="1" applyFill="1" applyBorder="1"/>
    <xf numFmtId="172" fontId="28" fillId="0" borderId="0" xfId="0" applyNumberFormat="1" applyFont="1" applyBorder="1"/>
    <xf numFmtId="172" fontId="28" fillId="0" borderId="61" xfId="0" applyNumberFormat="1" applyFont="1" applyBorder="1"/>
    <xf numFmtId="3" fontId="49" fillId="0" borderId="49" xfId="0" applyNumberFormat="1" applyFont="1" applyBorder="1" applyAlignment="1">
      <alignment horizontal="center" vertical="center"/>
    </xf>
    <xf numFmtId="0" fontId="28" fillId="0" borderId="25" xfId="0" applyFont="1" applyBorder="1"/>
    <xf numFmtId="0" fontId="28" fillId="0" borderId="25" xfId="0" applyFont="1" applyBorder="1" applyAlignment="1">
      <alignment horizontal="center"/>
    </xf>
    <xf numFmtId="3" fontId="49" fillId="0" borderId="25" xfId="0" applyNumberFormat="1" applyFont="1" applyBorder="1" applyAlignment="1">
      <alignment horizontal="center" vertical="center"/>
    </xf>
    <xf numFmtId="172" fontId="28" fillId="0" borderId="9" xfId="0" applyNumberFormat="1" applyFont="1" applyBorder="1"/>
    <xf numFmtId="0" fontId="28" fillId="0" borderId="10" xfId="0" applyFont="1" applyBorder="1"/>
    <xf numFmtId="0" fontId="28" fillId="0" borderId="9" xfId="0" applyFont="1" applyBorder="1"/>
    <xf numFmtId="0" fontId="28" fillId="0" borderId="50" xfId="0" applyFont="1" applyBorder="1"/>
    <xf numFmtId="3" fontId="49" fillId="0" borderId="20" xfId="0" applyNumberFormat="1" applyFont="1" applyBorder="1" applyAlignment="1">
      <alignment horizontal="center" vertical="center"/>
    </xf>
    <xf numFmtId="8" fontId="28" fillId="0" borderId="0" xfId="0" applyNumberFormat="1" applyFont="1" applyBorder="1"/>
    <xf numFmtId="0" fontId="48" fillId="45" borderId="26" xfId="0" applyFont="1" applyFill="1" applyBorder="1" applyAlignment="1">
      <alignment horizontal="center" vertical="center"/>
    </xf>
    <xf numFmtId="164" fontId="48" fillId="38" borderId="26" xfId="0" applyNumberFormat="1" applyFont="1" applyFill="1" applyBorder="1" applyAlignment="1">
      <alignment horizontal="right" vertical="center"/>
    </xf>
    <xf numFmtId="3" fontId="49" fillId="0" borderId="0" xfId="0" applyNumberFormat="1" applyFont="1" applyBorder="1" applyAlignment="1">
      <alignment horizontal="center" vertical="center"/>
    </xf>
    <xf numFmtId="0" fontId="48" fillId="0" borderId="0" xfId="0" applyFont="1" applyBorder="1" applyAlignment="1">
      <alignment horizontal="center" vertical="center"/>
    </xf>
    <xf numFmtId="8" fontId="48" fillId="0" borderId="0" xfId="0" applyNumberFormat="1" applyFont="1" applyBorder="1" applyAlignment="1">
      <alignment horizontal="center" vertical="center"/>
    </xf>
    <xf numFmtId="4" fontId="27" fillId="33" borderId="29" xfId="0" applyNumberFormat="1" applyFont="1" applyFill="1" applyBorder="1" applyAlignment="1">
      <alignment horizontal="center" vertical="center" wrapText="1"/>
    </xf>
    <xf numFmtId="4" fontId="27" fillId="33" borderId="80" xfId="0" applyNumberFormat="1" applyFont="1" applyFill="1" applyBorder="1" applyAlignment="1">
      <alignment horizontal="center" vertical="center" wrapText="1"/>
    </xf>
    <xf numFmtId="4" fontId="27" fillId="33" borderId="30" xfId="0" applyNumberFormat="1" applyFont="1" applyFill="1" applyBorder="1" applyAlignment="1">
      <alignment horizontal="center" vertical="center" wrapText="1"/>
    </xf>
    <xf numFmtId="1" fontId="28" fillId="0" borderId="26" xfId="0" applyNumberFormat="1" applyFont="1" applyBorder="1" applyAlignment="1">
      <alignment horizontal="center"/>
    </xf>
    <xf numFmtId="4" fontId="28" fillId="0" borderId="26" xfId="0" applyNumberFormat="1" applyFont="1" applyBorder="1"/>
    <xf numFmtId="3" fontId="28" fillId="0" borderId="26" xfId="0" applyNumberFormat="1" applyFont="1" applyBorder="1" applyAlignment="1">
      <alignment horizontal="center"/>
    </xf>
    <xf numFmtId="164" fontId="28" fillId="0" borderId="26" xfId="0" applyNumberFormat="1" applyFont="1" applyBorder="1" applyAlignment="1">
      <alignment horizontal="center"/>
    </xf>
    <xf numFmtId="4" fontId="28" fillId="0" borderId="26" xfId="0" applyNumberFormat="1" applyFont="1" applyBorder="1" applyAlignment="1">
      <alignment horizontal="center"/>
    </xf>
    <xf numFmtId="3" fontId="50" fillId="0" borderId="25" xfId="0" applyNumberFormat="1" applyFont="1" applyBorder="1" applyAlignment="1">
      <alignment horizontal="center" vertical="center"/>
    </xf>
    <xf numFmtId="3" fontId="50" fillId="0" borderId="49" xfId="0" applyNumberFormat="1" applyFont="1" applyBorder="1" applyAlignment="1">
      <alignment horizontal="center" vertical="center"/>
    </xf>
    <xf numFmtId="0" fontId="28" fillId="0" borderId="26" xfId="0" applyFont="1" applyBorder="1" applyAlignment="1">
      <alignment horizontal="center"/>
    </xf>
    <xf numFmtId="3" fontId="50" fillId="0" borderId="31" xfId="0" applyNumberFormat="1" applyFont="1" applyBorder="1" applyAlignment="1">
      <alignment horizontal="center" vertical="center"/>
    </xf>
    <xf numFmtId="164" fontId="48" fillId="45" borderId="26" xfId="0" applyNumberFormat="1" applyFont="1" applyFill="1" applyBorder="1" applyAlignment="1">
      <alignment horizontal="center" vertical="center"/>
    </xf>
    <xf numFmtId="16" fontId="27" fillId="0" borderId="0" xfId="0" applyNumberFormat="1" applyFont="1" applyBorder="1" applyAlignment="1">
      <alignment horizontal="center"/>
    </xf>
    <xf numFmtId="2" fontId="20" fillId="21" borderId="1" xfId="0" applyNumberFormat="1" applyFont="1" applyFill="1" applyBorder="1" applyAlignment="1">
      <alignment horizontal="center"/>
    </xf>
    <xf numFmtId="0" fontId="51" fillId="0" borderId="0" xfId="0" applyFont="1" applyBorder="1"/>
    <xf numFmtId="4" fontId="28" fillId="0" borderId="0" xfId="0" applyNumberFormat="1" applyFont="1" applyBorder="1"/>
    <xf numFmtId="0" fontId="28" fillId="0" borderId="0" xfId="0" applyFont="1" applyBorder="1" applyAlignment="1">
      <alignment horizontal="right"/>
    </xf>
    <xf numFmtId="0" fontId="52" fillId="0" borderId="0" xfId="0" applyFont="1" applyBorder="1"/>
    <xf numFmtId="9" fontId="28" fillId="0" borderId="0" xfId="0" applyNumberFormat="1" applyFont="1" applyBorder="1" applyAlignment="1">
      <alignment horizontal="center"/>
    </xf>
    <xf numFmtId="9" fontId="28" fillId="0" borderId="0" xfId="0" quotePrefix="1" applyNumberFormat="1" applyFont="1" applyBorder="1" applyAlignment="1">
      <alignment horizontal="center"/>
    </xf>
    <xf numFmtId="170" fontId="27" fillId="0" borderId="26" xfId="0" applyNumberFormat="1" applyFont="1" applyBorder="1"/>
    <xf numFmtId="0" fontId="27" fillId="0" borderId="26" xfId="0" applyFont="1" applyBorder="1"/>
    <xf numFmtId="0" fontId="28" fillId="0" borderId="0" xfId="0" applyFont="1" applyBorder="1" applyAlignment="1">
      <alignment horizontal="left"/>
    </xf>
    <xf numFmtId="0" fontId="27" fillId="0" borderId="0" xfId="0" applyFont="1" applyBorder="1" applyAlignment="1">
      <alignment horizontal="right"/>
    </xf>
    <xf numFmtId="2" fontId="27" fillId="0" borderId="26" xfId="0" applyNumberFormat="1" applyFont="1" applyBorder="1"/>
    <xf numFmtId="0" fontId="28" fillId="0" borderId="31" xfId="0" applyFont="1" applyBorder="1" applyAlignment="1">
      <alignment horizontal="center"/>
    </xf>
    <xf numFmtId="3" fontId="27" fillId="0" borderId="26" xfId="0" applyNumberFormat="1" applyFont="1" applyBorder="1" applyAlignment="1">
      <alignment horizontal="center"/>
    </xf>
    <xf numFmtId="0" fontId="28" fillId="22" borderId="1" xfId="0" applyFont="1" applyFill="1" applyBorder="1"/>
    <xf numFmtId="193" fontId="28" fillId="0" borderId="26" xfId="0" applyNumberFormat="1" applyFont="1" applyBorder="1"/>
    <xf numFmtId="193" fontId="27" fillId="11" borderId="26" xfId="0" applyNumberFormat="1" applyFont="1" applyFill="1" applyBorder="1" applyAlignment="1">
      <alignment horizontal="center"/>
    </xf>
    <xf numFmtId="3" fontId="28" fillId="24" borderId="26" xfId="0" applyNumberFormat="1" applyFont="1" applyFill="1" applyBorder="1" applyAlignment="1">
      <alignment horizontal="center"/>
    </xf>
    <xf numFmtId="3" fontId="28" fillId="0" borderId="0" xfId="0" applyNumberFormat="1" applyFont="1" applyBorder="1"/>
    <xf numFmtId="2" fontId="28" fillId="0" borderId="0" xfId="0" applyNumberFormat="1" applyFont="1" applyBorder="1"/>
    <xf numFmtId="10" fontId="28" fillId="0" borderId="0" xfId="0" applyNumberFormat="1" applyFont="1" applyBorder="1"/>
    <xf numFmtId="0" fontId="28" fillId="0" borderId="27" xfId="0" applyFont="1" applyBorder="1"/>
    <xf numFmtId="0" fontId="28" fillId="0" borderId="28" xfId="0" applyFont="1" applyBorder="1" applyAlignment="1">
      <alignment horizontal="right"/>
    </xf>
    <xf numFmtId="2" fontId="28" fillId="0" borderId="26" xfId="0" applyNumberFormat="1" applyFont="1" applyBorder="1"/>
    <xf numFmtId="0" fontId="16" fillId="29" borderId="26" xfId="0" applyFont="1" applyFill="1" applyBorder="1" applyAlignment="1">
      <alignment horizontal="center"/>
    </xf>
    <xf numFmtId="17" fontId="16" fillId="39" borderId="26" xfId="0" applyNumberFormat="1" applyFont="1" applyFill="1" applyBorder="1" applyAlignment="1">
      <alignment horizontal="center"/>
    </xf>
    <xf numFmtId="0" fontId="16" fillId="39" borderId="1" xfId="0" applyFont="1" applyFill="1" applyBorder="1" applyAlignment="1">
      <alignment horizontal="center"/>
    </xf>
    <xf numFmtId="0" fontId="3" fillId="17" borderId="26" xfId="0" applyFont="1" applyFill="1" applyBorder="1"/>
    <xf numFmtId="164" fontId="3" fillId="0" borderId="26" xfId="0" applyNumberFormat="1" applyFont="1" applyBorder="1" applyAlignment="1">
      <alignment horizontal="center"/>
    </xf>
    <xf numFmtId="164" fontId="3" fillId="0" borderId="27" xfId="0" applyNumberFormat="1" applyFont="1" applyBorder="1" applyAlignment="1">
      <alignment horizontal="center"/>
    </xf>
    <xf numFmtId="168" fontId="3" fillId="8" borderId="26" xfId="0" applyNumberFormat="1" applyFont="1" applyFill="1" applyBorder="1" applyAlignment="1">
      <alignment horizontal="center"/>
    </xf>
    <xf numFmtId="0" fontId="3" fillId="37" borderId="26" xfId="0" applyFont="1" applyFill="1" applyBorder="1"/>
    <xf numFmtId="0" fontId="3" fillId="39" borderId="26" xfId="0" applyFont="1" applyFill="1" applyBorder="1"/>
    <xf numFmtId="0" fontId="3" fillId="38" borderId="26" xfId="0" applyFont="1" applyFill="1" applyBorder="1" applyAlignment="1">
      <alignment horizontal="center"/>
    </xf>
    <xf numFmtId="165" fontId="16" fillId="39" borderId="26" xfId="0" applyNumberFormat="1" applyFont="1" applyFill="1" applyBorder="1" applyAlignment="1">
      <alignment horizontal="center"/>
    </xf>
    <xf numFmtId="165" fontId="16" fillId="39" borderId="12" xfId="0" applyNumberFormat="1" applyFont="1" applyFill="1" applyBorder="1" applyAlignment="1">
      <alignment horizontal="center"/>
    </xf>
    <xf numFmtId="165" fontId="16" fillId="25" borderId="76" xfId="0" applyNumberFormat="1" applyFont="1" applyFill="1" applyBorder="1" applyAlignment="1">
      <alignment horizontal="center"/>
    </xf>
    <xf numFmtId="168" fontId="3" fillId="0" borderId="0" xfId="0" applyNumberFormat="1" applyFont="1" applyBorder="1"/>
    <xf numFmtId="17" fontId="16" fillId="39" borderId="12" xfId="0" applyNumberFormat="1" applyFont="1" applyFill="1" applyBorder="1" applyAlignment="1">
      <alignment horizontal="center"/>
    </xf>
    <xf numFmtId="3" fontId="3" fillId="22" borderId="26" xfId="0" applyNumberFormat="1" applyFont="1" applyFill="1" applyBorder="1" applyAlignment="1">
      <alignment horizontal="center"/>
    </xf>
    <xf numFmtId="0" fontId="3" fillId="22" borderId="26" xfId="0" applyFont="1" applyFill="1" applyBorder="1" applyAlignment="1">
      <alignment horizontal="center"/>
    </xf>
    <xf numFmtId="0" fontId="3" fillId="38" borderId="26" xfId="0" applyFont="1" applyFill="1" applyBorder="1"/>
    <xf numFmtId="0" fontId="16" fillId="22" borderId="1" xfId="0" applyFont="1" applyFill="1" applyBorder="1"/>
    <xf numFmtId="194" fontId="16" fillId="0" borderId="0" xfId="0" applyNumberFormat="1" applyFont="1" applyBorder="1"/>
    <xf numFmtId="0" fontId="3" fillId="22" borderId="1" xfId="0" applyFont="1" applyFill="1" applyBorder="1"/>
    <xf numFmtId="9" fontId="16" fillId="0" borderId="0" xfId="0" applyNumberFormat="1" applyFont="1" applyBorder="1"/>
    <xf numFmtId="194" fontId="16" fillId="22" borderId="1" xfId="0" applyNumberFormat="1" applyFont="1" applyFill="1" applyBorder="1"/>
    <xf numFmtId="194" fontId="3" fillId="0" borderId="0" xfId="0" applyNumberFormat="1" applyFont="1" applyBorder="1"/>
    <xf numFmtId="0" fontId="45" fillId="47" borderId="26" xfId="0" applyFont="1" applyFill="1" applyBorder="1" applyAlignment="1">
      <alignment horizontal="center"/>
    </xf>
    <xf numFmtId="17" fontId="45" fillId="47" borderId="26" xfId="0" applyNumberFormat="1" applyFont="1" applyFill="1" applyBorder="1" applyAlignment="1">
      <alignment horizontal="center"/>
    </xf>
    <xf numFmtId="0" fontId="53" fillId="0" borderId="0" xfId="0" applyFont="1" applyBorder="1"/>
    <xf numFmtId="3" fontId="12" fillId="0" borderId="0" xfId="0" applyNumberFormat="1" applyFont="1" applyBorder="1"/>
    <xf numFmtId="0" fontId="54" fillId="41" borderId="1" xfId="0" applyFont="1" applyFill="1" applyBorder="1"/>
    <xf numFmtId="0" fontId="12" fillId="41" borderId="1" xfId="0" applyFont="1" applyFill="1" applyBorder="1"/>
    <xf numFmtId="3" fontId="12" fillId="41" borderId="1" xfId="0" applyNumberFormat="1" applyFont="1" applyFill="1" applyBorder="1"/>
    <xf numFmtId="0" fontId="12" fillId="48" borderId="1" xfId="0" applyFont="1" applyFill="1" applyBorder="1"/>
    <xf numFmtId="186" fontId="45" fillId="0" borderId="0" xfId="0" applyNumberFormat="1" applyFont="1" applyBorder="1"/>
    <xf numFmtId="186" fontId="12" fillId="48" borderId="1" xfId="0" applyNumberFormat="1" applyFont="1" applyFill="1" applyBorder="1"/>
    <xf numFmtId="186" fontId="12" fillId="0" borderId="0" xfId="0" applyNumberFormat="1" applyFont="1" applyBorder="1" applyAlignment="1">
      <alignment horizontal="center"/>
    </xf>
    <xf numFmtId="186" fontId="45" fillId="0" borderId="26" xfId="0" applyNumberFormat="1" applyFont="1" applyBorder="1"/>
    <xf numFmtId="0" fontId="27" fillId="25" borderId="12" xfId="0" applyFont="1" applyFill="1" applyBorder="1"/>
    <xf numFmtId="3" fontId="27" fillId="25" borderId="13" xfId="0" applyNumberFormat="1" applyFont="1" applyFill="1" applyBorder="1"/>
    <xf numFmtId="3" fontId="27" fillId="25" borderId="34" xfId="0" applyNumberFormat="1" applyFont="1" applyFill="1" applyBorder="1"/>
    <xf numFmtId="3" fontId="7" fillId="2" borderId="52" xfId="0" applyNumberFormat="1" applyFont="1" applyFill="1" applyAlignment="1">
      <alignment horizontal="center"/>
    </xf>
    <xf numFmtId="3" fontId="7" fillId="2" borderId="63" xfId="0" applyNumberFormat="1" applyFont="1" applyFill="1" applyBorder="1" applyAlignment="1">
      <alignment horizontal="center"/>
    </xf>
    <xf numFmtId="3" fontId="2" fillId="2" borderId="63" xfId="0" applyNumberFormat="1" applyFont="1" applyFill="1" applyBorder="1" applyAlignment="1">
      <alignment horizontal="center"/>
    </xf>
    <xf numFmtId="164" fontId="0" fillId="0" borderId="0" xfId="0" applyNumberFormat="1" applyBorder="1"/>
    <xf numFmtId="0" fontId="1" fillId="2" borderId="52" xfId="0" applyFont="1" applyFill="1" applyAlignment="1">
      <alignment horizontal="center"/>
    </xf>
    <xf numFmtId="0" fontId="2" fillId="2" borderId="79" xfId="0" applyFont="1" applyFill="1" applyBorder="1"/>
    <xf numFmtId="0" fontId="2" fillId="2" borderId="52" xfId="0" applyFont="1" applyFill="1"/>
    <xf numFmtId="0" fontId="2" fillId="0" borderId="52" xfId="0" applyFont="1"/>
    <xf numFmtId="0" fontId="2" fillId="2" borderId="52" xfId="0" applyFont="1" applyFill="1" applyAlignment="1">
      <alignment horizontal="center"/>
    </xf>
    <xf numFmtId="166" fontId="2" fillId="2" borderId="52" xfId="0" applyNumberFormat="1" applyFont="1" applyFill="1" applyAlignment="1">
      <alignment horizontal="center"/>
    </xf>
    <xf numFmtId="164" fontId="2" fillId="2" borderId="52" xfId="0" applyNumberFormat="1" applyFont="1" applyFill="1" applyAlignment="1">
      <alignment horizontal="right"/>
    </xf>
    <xf numFmtId="0" fontId="3" fillId="2" borderId="52" xfId="0" applyFont="1" applyFill="1"/>
    <xf numFmtId="164" fontId="2" fillId="2" borderId="6" xfId="0" applyNumberFormat="1" applyFont="1" applyFill="1" applyBorder="1" applyAlignment="1">
      <alignment horizontal="right"/>
    </xf>
    <xf numFmtId="0" fontId="3" fillId="2" borderId="52" xfId="0" applyFont="1" applyFill="1" applyAlignment="1">
      <alignment horizontal="left"/>
    </xf>
    <xf numFmtId="2" fontId="2" fillId="2" borderId="52" xfId="0" applyNumberFormat="1" applyFont="1" applyFill="1" applyAlignment="1">
      <alignment horizontal="center"/>
    </xf>
    <xf numFmtId="0" fontId="0" fillId="0" borderId="52" xfId="0"/>
    <xf numFmtId="4" fontId="2" fillId="0" borderId="52" xfId="0" applyNumberFormat="1" applyFont="1" applyAlignment="1">
      <alignment horizontal="right"/>
    </xf>
    <xf numFmtId="0" fontId="18" fillId="0" borderId="26" xfId="0" applyFont="1" applyBorder="1" applyAlignment="1">
      <alignment horizontal="left" vertical="center" wrapText="1"/>
    </xf>
    <xf numFmtId="0" fontId="0" fillId="0" borderId="15" xfId="0" applyBorder="1"/>
    <xf numFmtId="0" fontId="0" fillId="0" borderId="34" xfId="0" applyBorder="1"/>
    <xf numFmtId="0" fontId="17" fillId="4" borderId="26" xfId="0" applyFont="1" applyFill="1" applyBorder="1" applyAlignment="1">
      <alignment horizontal="center" vertical="center" wrapText="1"/>
    </xf>
    <xf numFmtId="0" fontId="20" fillId="0" borderId="26" xfId="0" applyFont="1" applyBorder="1"/>
    <xf numFmtId="0" fontId="25" fillId="23" borderId="32" xfId="0" applyFont="1" applyFill="1" applyBorder="1" applyAlignment="1">
      <alignment horizontal="center" vertical="center"/>
    </xf>
    <xf numFmtId="0" fontId="0" fillId="0" borderId="6" xfId="0" applyBorder="1"/>
    <xf numFmtId="180" fontId="36" fillId="26" borderId="26" xfId="0" applyNumberFormat="1" applyFont="1" applyFill="1" applyBorder="1" applyAlignment="1">
      <alignment horizontal="center" vertical="center"/>
    </xf>
    <xf numFmtId="0" fontId="20" fillId="17" borderId="26" xfId="0" applyFont="1" applyFill="1" applyBorder="1" applyAlignment="1">
      <alignment horizontal="center" vertical="center" wrapText="1"/>
    </xf>
    <xf numFmtId="0" fontId="35" fillId="26" borderId="37" xfId="0" applyFont="1" applyFill="1" applyBorder="1" applyAlignment="1">
      <alignment horizontal="center" vertical="center"/>
    </xf>
    <xf numFmtId="0" fontId="0" fillId="0" borderId="39" xfId="0" applyBorder="1"/>
    <xf numFmtId="0" fontId="0" fillId="0" borderId="81" xfId="0" applyBorder="1"/>
    <xf numFmtId="0" fontId="35" fillId="26" borderId="81" xfId="0" applyFont="1" applyFill="1" applyBorder="1" applyAlignment="1">
      <alignment horizontal="center" vertical="center"/>
    </xf>
    <xf numFmtId="0" fontId="19" fillId="22" borderId="26" xfId="0" applyFont="1" applyFill="1" applyBorder="1" applyAlignment="1">
      <alignment horizontal="center"/>
    </xf>
    <xf numFmtId="0" fontId="35" fillId="17" borderId="37" xfId="0" applyFont="1" applyFill="1" applyBorder="1" applyAlignment="1">
      <alignment horizontal="center" vertical="center"/>
    </xf>
    <xf numFmtId="0" fontId="38" fillId="30" borderId="26" xfId="0" applyFont="1" applyFill="1" applyBorder="1" applyAlignment="1">
      <alignment horizontal="right" vertical="center"/>
    </xf>
    <xf numFmtId="0" fontId="37" fillId="31" borderId="77" xfId="0" applyFont="1" applyFill="1" applyBorder="1" applyAlignment="1">
      <alignment horizontal="center"/>
    </xf>
    <xf numFmtId="0" fontId="0" fillId="0" borderId="0" xfId="0" applyBorder="1"/>
    <xf numFmtId="0" fontId="0" fillId="0" borderId="77" xfId="0" applyBorder="1"/>
    <xf numFmtId="0" fontId="19" fillId="33" borderId="26" xfId="0" applyFont="1" applyFill="1" applyBorder="1" applyAlignment="1">
      <alignment horizontal="center" vertical="center"/>
    </xf>
    <xf numFmtId="0" fontId="0" fillId="0" borderId="80" xfId="0" applyBorder="1"/>
    <xf numFmtId="0" fontId="0" fillId="0" borderId="31" xfId="0" applyBorder="1"/>
    <xf numFmtId="0" fontId="19" fillId="34" borderId="26" xfId="0" applyFont="1" applyFill="1" applyBorder="1" applyAlignment="1">
      <alignment horizontal="center"/>
    </xf>
    <xf numFmtId="0" fontId="20" fillId="21" borderId="26" xfId="0" applyFont="1" applyFill="1" applyBorder="1" applyAlignment="1">
      <alignment horizontal="center"/>
    </xf>
    <xf numFmtId="17" fontId="19" fillId="35" borderId="26" xfId="0" applyNumberFormat="1" applyFont="1" applyFill="1" applyBorder="1" applyAlignment="1">
      <alignment horizontal="center"/>
    </xf>
    <xf numFmtId="0" fontId="42" fillId="17" borderId="34" xfId="0" applyFont="1" applyFill="1" applyBorder="1" applyAlignment="1">
      <alignment horizontal="center"/>
    </xf>
    <xf numFmtId="0" fontId="3" fillId="0" borderId="26" xfId="0" applyFont="1" applyBorder="1" applyAlignment="1">
      <alignment horizontal="center"/>
    </xf>
    <xf numFmtId="17" fontId="42" fillId="17" borderId="26" xfId="0" applyNumberFormat="1" applyFont="1" applyFill="1" applyBorder="1" applyAlignment="1">
      <alignment horizontal="center"/>
    </xf>
    <xf numFmtId="0" fontId="42" fillId="33" borderId="26" xfId="0" applyFont="1" applyFill="1" applyBorder="1" applyAlignment="1">
      <alignment horizontal="center" vertical="center"/>
    </xf>
    <xf numFmtId="0" fontId="16" fillId="17" borderId="26" xfId="0" applyFont="1" applyFill="1" applyBorder="1" applyAlignment="1">
      <alignment horizontal="center"/>
    </xf>
    <xf numFmtId="0" fontId="42" fillId="31" borderId="26" xfId="0" applyFont="1" applyFill="1" applyBorder="1" applyAlignment="1">
      <alignment horizontal="center"/>
    </xf>
    <xf numFmtId="0" fontId="42" fillId="2" borderId="52" xfId="0" applyFont="1" applyFill="1" applyAlignment="1">
      <alignment horizontal="center" vertical="center"/>
    </xf>
    <xf numFmtId="0" fontId="42" fillId="17" borderId="26" xfId="0" applyFont="1" applyFill="1" applyBorder="1" applyAlignment="1">
      <alignment horizontal="center"/>
    </xf>
    <xf numFmtId="0" fontId="35" fillId="21" borderId="26" xfId="0" applyFont="1" applyFill="1" applyBorder="1" applyAlignment="1">
      <alignment horizontal="center" vertical="center"/>
    </xf>
    <xf numFmtId="0" fontId="0" fillId="0" borderId="43" xfId="0" applyBorder="1"/>
    <xf numFmtId="0" fontId="0" fillId="0" borderId="62" xfId="0" applyBorder="1"/>
    <xf numFmtId="0" fontId="0" fillId="0" borderId="78" xfId="0" applyBorder="1"/>
    <xf numFmtId="0" fontId="43" fillId="0" borderId="52" xfId="0" applyFont="1" applyAlignment="1">
      <alignment horizontal="center" vertical="center"/>
    </xf>
    <xf numFmtId="0" fontId="19" fillId="17" borderId="26" xfId="0" applyFont="1" applyFill="1" applyBorder="1" applyAlignment="1">
      <alignment horizontal="center" vertical="center" wrapText="1"/>
    </xf>
    <xf numFmtId="0" fontId="42" fillId="33" borderId="34" xfId="0" applyFont="1" applyFill="1" applyBorder="1" applyAlignment="1">
      <alignment horizontal="center" vertical="center"/>
    </xf>
    <xf numFmtId="0" fontId="3" fillId="17" borderId="26" xfId="0" applyFont="1" applyFill="1" applyBorder="1" applyAlignment="1">
      <alignment horizontal="center"/>
    </xf>
    <xf numFmtId="0" fontId="12" fillId="0" borderId="29" xfId="0" applyFont="1" applyBorder="1" applyAlignment="1">
      <alignment horizontal="center"/>
    </xf>
    <xf numFmtId="0" fontId="44" fillId="26" borderId="26" xfId="0" applyFont="1" applyFill="1" applyBorder="1" applyAlignment="1">
      <alignment horizontal="center"/>
    </xf>
    <xf numFmtId="188" fontId="3" fillId="0" borderId="26" xfId="0" applyNumberFormat="1" applyFont="1" applyBorder="1" applyAlignment="1">
      <alignment horizontal="right" vertical="center"/>
    </xf>
    <xf numFmtId="17" fontId="19" fillId="26" borderId="26" xfId="0" applyNumberFormat="1" applyFont="1" applyFill="1" applyBorder="1" applyAlignment="1">
      <alignment horizontal="center" vertical="center"/>
    </xf>
    <xf numFmtId="0" fontId="16" fillId="25" borderId="78" xfId="0" applyFont="1" applyFill="1" applyBorder="1" applyAlignment="1">
      <alignment horizontal="center" vertical="center"/>
    </xf>
    <xf numFmtId="188" fontId="16" fillId="25" borderId="31" xfId="0" applyNumberFormat="1" applyFont="1" applyFill="1" applyBorder="1" applyAlignment="1">
      <alignment horizontal="right" vertical="center"/>
    </xf>
    <xf numFmtId="10" fontId="19" fillId="28" borderId="26" xfId="0" applyNumberFormat="1" applyFont="1" applyFill="1" applyBorder="1" applyAlignment="1">
      <alignment horizontal="center"/>
    </xf>
    <xf numFmtId="188" fontId="16" fillId="25" borderId="55" xfId="0" applyNumberFormat="1" applyFont="1" applyFill="1" applyBorder="1" applyAlignment="1">
      <alignment horizontal="right" vertical="center"/>
    </xf>
    <xf numFmtId="0" fontId="0" fillId="0" borderId="57" xfId="0" applyBorder="1"/>
    <xf numFmtId="188" fontId="3" fillId="0" borderId="53" xfId="0" applyNumberFormat="1" applyFont="1" applyBorder="1" applyAlignment="1">
      <alignment horizontal="right" vertical="center"/>
    </xf>
    <xf numFmtId="0" fontId="0" fillId="0" borderId="54" xfId="0" applyBorder="1"/>
    <xf numFmtId="0" fontId="16" fillId="17" borderId="26" xfId="0" applyFont="1" applyFill="1" applyBorder="1" applyAlignment="1">
      <alignment horizontal="center" wrapText="1"/>
    </xf>
    <xf numFmtId="188" fontId="24" fillId="0" borderId="78" xfId="0" applyNumberFormat="1" applyFont="1" applyBorder="1" applyAlignment="1">
      <alignment horizontal="right" vertical="center"/>
    </xf>
    <xf numFmtId="0" fontId="16" fillId="32" borderId="26" xfId="0" applyFont="1" applyFill="1" applyBorder="1" applyAlignment="1">
      <alignment horizontal="center"/>
    </xf>
    <xf numFmtId="17" fontId="16" fillId="32" borderId="26" xfId="0" applyNumberFormat="1" applyFont="1" applyFill="1" applyBorder="1" applyAlignment="1">
      <alignment horizontal="center"/>
    </xf>
    <xf numFmtId="17" fontId="19" fillId="26" borderId="62" xfId="0" applyNumberFormat="1" applyFont="1" applyFill="1" applyBorder="1" applyAlignment="1">
      <alignment horizontal="center" vertical="center"/>
    </xf>
    <xf numFmtId="0" fontId="0" fillId="0" borderId="63" xfId="0" applyBorder="1"/>
    <xf numFmtId="0" fontId="16" fillId="0" borderId="52" xfId="0" applyFont="1" applyAlignment="1">
      <alignment horizontal="center"/>
    </xf>
    <xf numFmtId="0" fontId="16" fillId="33" borderId="26" xfId="0" applyFont="1" applyFill="1" applyBorder="1" applyAlignment="1">
      <alignment horizontal="center" vertical="center"/>
    </xf>
    <xf numFmtId="188" fontId="24" fillId="0" borderId="26" xfId="0" applyNumberFormat="1" applyFont="1" applyBorder="1" applyAlignment="1">
      <alignment horizontal="right" vertical="center"/>
    </xf>
    <xf numFmtId="17" fontId="19" fillId="26" borderId="80" xfId="0" applyNumberFormat="1" applyFont="1" applyFill="1" applyBorder="1" applyAlignment="1">
      <alignment horizontal="center" vertical="center"/>
    </xf>
    <xf numFmtId="0" fontId="0" fillId="0" borderId="79" xfId="0" applyBorder="1"/>
    <xf numFmtId="17" fontId="42" fillId="35" borderId="26" xfId="0" applyNumberFormat="1" applyFont="1" applyFill="1" applyBorder="1" applyAlignment="1">
      <alignment horizontal="center"/>
    </xf>
    <xf numFmtId="17" fontId="16" fillId="26" borderId="52" xfId="0" applyNumberFormat="1" applyFont="1" applyFill="1" applyAlignment="1">
      <alignment horizontal="center"/>
    </xf>
    <xf numFmtId="17" fontId="19" fillId="26" borderId="69" xfId="0" applyNumberFormat="1" applyFont="1" applyFill="1" applyBorder="1" applyAlignment="1">
      <alignment horizontal="center" vertical="center"/>
    </xf>
    <xf numFmtId="0" fontId="0" fillId="0" borderId="71" xfId="0" applyBorder="1"/>
    <xf numFmtId="0" fontId="42" fillId="34" borderId="31" xfId="0" applyFont="1" applyFill="1" applyBorder="1" applyAlignment="1">
      <alignment horizontal="center"/>
    </xf>
    <xf numFmtId="0" fontId="42" fillId="33" borderId="31" xfId="0" applyFont="1" applyFill="1" applyBorder="1" applyAlignment="1">
      <alignment horizontal="center" vertical="center"/>
    </xf>
    <xf numFmtId="0" fontId="42" fillId="2" borderId="57" xfId="0" applyFont="1" applyFill="1" applyBorder="1" applyAlignment="1">
      <alignment horizontal="center" vertical="center"/>
    </xf>
    <xf numFmtId="17" fontId="19" fillId="26" borderId="79" xfId="0" applyNumberFormat="1" applyFont="1" applyFill="1" applyBorder="1" applyAlignment="1">
      <alignment horizontal="center" vertical="center"/>
    </xf>
    <xf numFmtId="17" fontId="42" fillId="17" borderId="62" xfId="0" applyNumberFormat="1" applyFont="1" applyFill="1" applyBorder="1" applyAlignment="1">
      <alignment horizontal="center"/>
    </xf>
    <xf numFmtId="0" fontId="16" fillId="21" borderId="26" xfId="0" applyFont="1" applyFill="1" applyBorder="1" applyAlignment="1">
      <alignment horizontal="center"/>
    </xf>
    <xf numFmtId="0" fontId="42" fillId="21" borderId="26" xfId="0" applyFont="1" applyFill="1" applyBorder="1" applyAlignment="1">
      <alignment horizontal="center" wrapText="1"/>
    </xf>
    <xf numFmtId="17" fontId="19" fillId="26" borderId="38" xfId="0" applyNumberFormat="1" applyFont="1" applyFill="1" applyBorder="1" applyAlignment="1">
      <alignment horizontal="center" vertical="center"/>
    </xf>
    <xf numFmtId="0" fontId="0" fillId="0" borderId="73" xfId="0" applyBorder="1"/>
    <xf numFmtId="0" fontId="42" fillId="21" borderId="26" xfId="0" applyFont="1" applyFill="1" applyBorder="1" applyAlignment="1">
      <alignment horizontal="center"/>
    </xf>
    <xf numFmtId="17" fontId="47" fillId="17" borderId="62" xfId="0" applyNumberFormat="1" applyFont="1" applyFill="1" applyBorder="1" applyAlignment="1">
      <alignment horizontal="center"/>
    </xf>
    <xf numFmtId="0" fontId="42" fillId="2" borderId="55" xfId="0" applyFont="1" applyFill="1" applyBorder="1" applyAlignment="1">
      <alignment horizontal="center" vertical="center"/>
    </xf>
    <xf numFmtId="17" fontId="19" fillId="26" borderId="82" xfId="0" applyNumberFormat="1" applyFont="1" applyFill="1" applyBorder="1" applyAlignment="1">
      <alignment horizontal="center" vertical="center"/>
    </xf>
    <xf numFmtId="0" fontId="0" fillId="0" borderId="72" xfId="0" applyBorder="1"/>
    <xf numFmtId="0" fontId="0" fillId="0" borderId="74" xfId="0" applyBorder="1"/>
    <xf numFmtId="0" fontId="16" fillId="21" borderId="67" xfId="0" applyFont="1" applyFill="1" applyBorder="1" applyAlignment="1">
      <alignment horizontal="center"/>
    </xf>
    <xf numFmtId="0" fontId="0" fillId="0" borderId="70" xfId="0" applyBorder="1"/>
    <xf numFmtId="17" fontId="42" fillId="35" borderId="31" xfId="0" applyNumberFormat="1" applyFont="1" applyFill="1" applyBorder="1" applyAlignment="1">
      <alignment horizontal="center"/>
    </xf>
    <xf numFmtId="0" fontId="16" fillId="21" borderId="31" xfId="0" applyFont="1" applyFill="1" applyBorder="1" applyAlignment="1">
      <alignment horizontal="center"/>
    </xf>
    <xf numFmtId="0" fontId="42" fillId="21" borderId="29" xfId="0" applyFont="1" applyFill="1" applyBorder="1" applyAlignment="1">
      <alignment horizontal="center" vertical="center"/>
    </xf>
    <xf numFmtId="0" fontId="38" fillId="30" borderId="26" xfId="0" applyFont="1" applyFill="1" applyBorder="1" applyAlignment="1">
      <alignment horizontal="center" vertical="center"/>
    </xf>
    <xf numFmtId="0" fontId="19" fillId="31" borderId="26" xfId="0" applyFont="1" applyFill="1" applyBorder="1" applyAlignment="1">
      <alignment horizontal="center"/>
    </xf>
    <xf numFmtId="0" fontId="20" fillId="0" borderId="26" xfId="0" applyFont="1" applyBorder="1" applyAlignment="1">
      <alignment horizontal="center"/>
    </xf>
    <xf numFmtId="0" fontId="35" fillId="44" borderId="26" xfId="0" applyFont="1" applyFill="1" applyBorder="1" applyAlignment="1">
      <alignment horizontal="center" vertical="center" wrapText="1"/>
    </xf>
    <xf numFmtId="0" fontId="36" fillId="7" borderId="26" xfId="0" applyFont="1" applyFill="1" applyBorder="1" applyAlignment="1">
      <alignment horizontal="center" wrapText="1"/>
    </xf>
    <xf numFmtId="16" fontId="35" fillId="35" borderId="26" xfId="0" applyNumberFormat="1" applyFont="1" applyFill="1" applyBorder="1" applyAlignment="1">
      <alignment horizontal="center" wrapText="1"/>
    </xf>
    <xf numFmtId="0" fontId="35" fillId="44" borderId="26" xfId="0" applyFont="1" applyFill="1" applyBorder="1" applyAlignment="1">
      <alignment horizontal="center" wrapText="1"/>
    </xf>
    <xf numFmtId="0" fontId="35" fillId="45" borderId="26" xfId="0" applyFont="1" applyFill="1" applyBorder="1" applyAlignment="1">
      <alignment horizontal="center" vertical="center" wrapText="1"/>
    </xf>
    <xf numFmtId="0" fontId="35" fillId="35" borderId="26" xfId="0" applyFont="1" applyFill="1" applyBorder="1" applyAlignment="1">
      <alignment horizontal="center" wrapText="1"/>
    </xf>
    <xf numFmtId="0" fontId="23" fillId="33" borderId="26" xfId="0" applyFont="1" applyFill="1" applyBorder="1" applyAlignment="1">
      <alignment horizontal="center"/>
    </xf>
    <xf numFmtId="0" fontId="35" fillId="21" borderId="26" xfId="0" applyFont="1" applyFill="1" applyBorder="1" applyAlignment="1">
      <alignment horizontal="center" vertical="center" wrapText="1"/>
    </xf>
    <xf numFmtId="4" fontId="27" fillId="33" borderId="26" xfId="0" applyNumberFormat="1" applyFont="1" applyFill="1" applyBorder="1" applyAlignment="1">
      <alignment horizontal="center" vertical="center"/>
    </xf>
    <xf numFmtId="0" fontId="49" fillId="45" borderId="26" xfId="0" applyFont="1" applyFill="1" applyBorder="1" applyAlignment="1">
      <alignment horizontal="center" vertical="center"/>
    </xf>
    <xf numFmtId="164" fontId="27" fillId="2" borderId="26" xfId="0" applyNumberFormat="1" applyFont="1" applyFill="1" applyBorder="1" applyAlignment="1">
      <alignment horizontal="center" vertical="center"/>
    </xf>
    <xf numFmtId="17" fontId="19" fillId="17" borderId="26" xfId="0" applyNumberFormat="1" applyFont="1" applyFill="1" applyBorder="1" applyAlignment="1">
      <alignment horizontal="center" vertical="center"/>
    </xf>
    <xf numFmtId="4" fontId="27" fillId="33" borderId="26" xfId="0" applyNumberFormat="1" applyFont="1" applyFill="1" applyBorder="1" applyAlignment="1">
      <alignment horizontal="center" vertical="center" wrapText="1"/>
    </xf>
    <xf numFmtId="0" fontId="19" fillId="28" borderId="26" xfId="0" applyFont="1" applyFill="1" applyBorder="1" applyAlignment="1">
      <alignment horizontal="right"/>
    </xf>
    <xf numFmtId="193" fontId="27" fillId="11" borderId="26" xfId="0" applyNumberFormat="1" applyFont="1" applyFill="1" applyBorder="1" applyAlignment="1">
      <alignment horizontal="center"/>
    </xf>
    <xf numFmtId="0" fontId="48" fillId="45" borderId="43" xfId="0" applyFont="1" applyFill="1" applyBorder="1" applyAlignment="1">
      <alignment horizontal="center" vertical="center"/>
    </xf>
    <xf numFmtId="0" fontId="0" fillId="0" borderId="20" xfId="0" applyBorder="1"/>
    <xf numFmtId="0" fontId="48" fillId="44" borderId="62" xfId="0" applyFont="1" applyFill="1" applyBorder="1" applyAlignment="1">
      <alignment horizontal="right" vertical="center"/>
    </xf>
    <xf numFmtId="0" fontId="48" fillId="44" borderId="79" xfId="0" applyFont="1" applyFill="1" applyBorder="1" applyAlignment="1">
      <alignment horizontal="right" vertical="center"/>
    </xf>
    <xf numFmtId="0" fontId="27" fillId="0" borderId="52" xfId="0" applyFont="1" applyAlignment="1">
      <alignment horizontal="center"/>
    </xf>
    <xf numFmtId="0" fontId="48" fillId="45" borderId="62" xfId="0" applyFont="1" applyFill="1" applyBorder="1" applyAlignment="1">
      <alignment horizontal="center" vertical="center"/>
    </xf>
    <xf numFmtId="164" fontId="27" fillId="38" borderId="26" xfId="0" applyNumberFormat="1" applyFont="1" applyFill="1" applyBorder="1" applyAlignment="1">
      <alignment horizontal="right" vertical="center"/>
    </xf>
    <xf numFmtId="17" fontId="19" fillId="26" borderId="31" xfId="0" applyNumberFormat="1" applyFont="1" applyFill="1" applyBorder="1" applyAlignment="1">
      <alignment horizontal="center" vertical="center"/>
    </xf>
    <xf numFmtId="0" fontId="48" fillId="45" borderId="26" xfId="0" applyFont="1" applyFill="1" applyBorder="1" applyAlignment="1">
      <alignment horizontal="right" vertical="center"/>
    </xf>
    <xf numFmtId="0" fontId="27" fillId="0" borderId="77" xfId="0" applyFont="1" applyBorder="1" applyAlignment="1">
      <alignment horizontal="center" vertical="center"/>
    </xf>
    <xf numFmtId="0" fontId="16" fillId="29" borderId="26" xfId="0" applyFont="1" applyFill="1" applyBorder="1" applyAlignment="1">
      <alignment horizontal="center"/>
    </xf>
  </cellXfs>
  <cellStyles count="1">
    <cellStyle name="Normal" xfId="0" builtinId="0"/>
  </cellStyles>
  <dxfs count="12">
    <dxf>
      <font>
        <color rgb="FF9C0006"/>
      </font>
      <fill>
        <patternFill patternType="solid">
          <fgColor rgb="FFFFC7CE"/>
          <bgColor rgb="FFFFC7CE"/>
        </patternFill>
      </fill>
    </dxf>
    <dxf>
      <font>
        <color theme="6"/>
      </font>
    </dxf>
    <dxf>
      <font>
        <color rgb="FFFF0000"/>
      </font>
    </dxf>
    <dxf>
      <font>
        <color rgb="FF9C0006"/>
      </font>
      <fill>
        <patternFill patternType="solid">
          <fgColor rgb="FFFFC7CE"/>
          <bgColor rgb="FFFFC7CE"/>
        </patternFill>
      </fill>
    </dxf>
    <dxf>
      <font>
        <color theme="6"/>
      </font>
    </dxf>
    <dxf>
      <font>
        <color rgb="FFFF0000"/>
      </font>
    </dxf>
    <dxf>
      <font>
        <color rgb="FF9C0006"/>
      </font>
      <fill>
        <patternFill patternType="solid">
          <fgColor rgb="FFFFC7CE"/>
          <bgColor rgb="FFFFC7CE"/>
        </patternFill>
      </fill>
    </dxf>
    <dxf>
      <font>
        <color theme="6"/>
      </font>
    </dxf>
    <dxf>
      <font>
        <color rgb="FFFF0000"/>
      </font>
    </dxf>
    <dxf>
      <font>
        <color rgb="FF9C0006"/>
      </font>
      <fill>
        <patternFill patternType="solid">
          <fgColor rgb="FFFFC7CE"/>
          <bgColor rgb="FFFFC7CE"/>
        </patternFill>
      </fill>
    </dxf>
    <dxf>
      <font>
        <color theme="6"/>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333333"/>
                </a:solidFill>
                <a:latin typeface="+mn-lt"/>
              </a:defRPr>
            </a:pPr>
            <a:r>
              <a:rPr sz="1400" b="0" i="0">
                <a:solidFill>
                  <a:srgbClr val="333333"/>
                </a:solidFill>
                <a:latin typeface="+mn-lt"/>
              </a:rPr>
              <a:t>Ingresos reales vs presupuestados</a:t>
            </a:r>
          </a:p>
        </c:rich>
      </c:tx>
      <c:overlay val="0"/>
    </c:title>
    <c:autoTitleDeleted val="0"/>
    <c:plotArea>
      <c:layout/>
      <c:barChart>
        <c:barDir val="bar"/>
        <c:grouping val="clustered"/>
        <c:varyColors val="1"/>
        <c:ser>
          <c:idx val="0"/>
          <c:order val="0"/>
          <c:tx>
            <c:strRef>
              <c:f>'Info para Gráficos'!$A$2</c:f>
              <c:strCache>
                <c:ptCount val="1"/>
              </c:strCache>
            </c:strRef>
          </c:tx>
          <c:spPr>
            <a:solidFill>
              <a:srgbClr val="99CCFF"/>
            </a:solidFill>
            <a:ln cmpd="sng">
              <a:solidFill>
                <a:srgbClr val="000000"/>
              </a:solidFill>
              <a:prstDash val="solid"/>
            </a:ln>
          </c:spPr>
          <c:invertIfNegative val="1"/>
          <c:cat>
            <c:strRef>
              <c:f>'Info para Gráficos'!$B$1:$C$1</c:f>
              <c:strCache>
                <c:ptCount val="2"/>
                <c:pt idx="0">
                  <c:v>Real</c:v>
                </c:pt>
                <c:pt idx="1">
                  <c:v>Presupuesto</c:v>
                </c:pt>
              </c:strCache>
            </c:strRef>
          </c:cat>
          <c:val>
            <c:numRef>
              <c:f>'Info para Gráficos'!$B$2:$C$2</c:f>
              <c:numCache>
                <c:formatCode>mmm\-yy</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D718-4821-9B7C-64BDCA513354}"/>
            </c:ext>
          </c:extLst>
        </c:ser>
        <c:ser>
          <c:idx val="1"/>
          <c:order val="1"/>
          <c:tx>
            <c:strRef>
              <c:f>'Info para Gráficos'!$A$5</c:f>
              <c:strCache>
                <c:ptCount val="1"/>
                <c:pt idx="0">
                  <c:v>Medicina</c:v>
                </c:pt>
              </c:strCache>
            </c:strRef>
          </c:tx>
          <c:spPr>
            <a:ln>
              <a:prstDash val="solid"/>
            </a:ln>
          </c:spPr>
          <c:invertIfNegative val="1"/>
          <c:cat>
            <c:strRef>
              <c:f>'Info para Gráficos'!$B$1:$C$1</c:f>
              <c:strCache>
                <c:ptCount val="2"/>
                <c:pt idx="0">
                  <c:v>Real</c:v>
                </c:pt>
                <c:pt idx="1">
                  <c:v>Presupuesto</c:v>
                </c:pt>
              </c:strCache>
            </c:strRef>
          </c:cat>
          <c:val>
            <c:numRef>
              <c:f>'Info para Gráficos'!$B$5:$C$5</c:f>
              <c:numCache>
                <c:formatCode>#,##0</c:formatCode>
                <c:ptCount val="2"/>
                <c:pt idx="0">
                  <c:v>8472292.3699999992</c:v>
                </c:pt>
                <c:pt idx="1">
                  <c:v>9530481.2708000001</c:v>
                </c:pt>
              </c:numCache>
            </c:numRef>
          </c:val>
          <c:extLst>
            <c:ext xmlns:c16="http://schemas.microsoft.com/office/drawing/2014/chart" uri="{C3380CC4-5D6E-409C-BE32-E72D297353CC}">
              <c16:uniqueId val="{00000001-D718-4821-9B7C-64BDCA513354}"/>
            </c:ext>
          </c:extLst>
        </c:ser>
        <c:dLbls>
          <c:showLegendKey val="0"/>
          <c:showVal val="0"/>
          <c:showCatName val="0"/>
          <c:showSerName val="0"/>
          <c:showPercent val="0"/>
          <c:showBubbleSize val="0"/>
        </c:dLbls>
        <c:gapWidth val="150"/>
        <c:axId val="952449856"/>
        <c:axId val="1206822937"/>
      </c:barChart>
      <c:catAx>
        <c:axId val="952449856"/>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a:prstDash val="solid"/>
          </a:ln>
        </c:spPr>
        <c:txPr>
          <a:bodyPr/>
          <a:lstStyle/>
          <a:p>
            <a:pPr lvl="0">
              <a:defRPr b="0" i="0">
                <a:solidFill>
                  <a:srgbClr val="000000"/>
                </a:solidFill>
                <a:latin typeface="+mn-lt"/>
              </a:defRPr>
            </a:pPr>
            <a:endParaRPr lang="es-AR"/>
          </a:p>
        </c:txPr>
        <c:crossAx val="1206822937"/>
        <c:crosses val="autoZero"/>
        <c:auto val="1"/>
        <c:lblAlgn val="ctr"/>
        <c:lblOffset val="100"/>
        <c:noMultiLvlLbl val="1"/>
      </c:catAx>
      <c:valAx>
        <c:axId val="1206822937"/>
        <c:scaling>
          <c:orientation val="minMax"/>
        </c:scaling>
        <c:delete val="0"/>
        <c:axPos val="b"/>
        <c:majorGridlines>
          <c:spPr>
            <a:ln>
              <a:solidFill>
                <a:srgbClr val="B7B7B7"/>
              </a:solidFill>
              <a:prstDash val="solid"/>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mmm\-yy" sourceLinked="1"/>
        <c:majorTickMark val="none"/>
        <c:minorTickMark val="none"/>
        <c:tickLblPos val="nextTo"/>
        <c:spPr>
          <a:ln>
            <a:prstDash val="solid"/>
          </a:ln>
        </c:spPr>
        <c:txPr>
          <a:bodyPr/>
          <a:lstStyle/>
          <a:p>
            <a:pPr lvl="0">
              <a:defRPr b="0" i="0">
                <a:solidFill>
                  <a:srgbClr val="000000"/>
                </a:solidFill>
                <a:latin typeface="+mn-lt"/>
              </a:defRPr>
            </a:pPr>
            <a:endParaRPr lang="es-AR"/>
          </a:p>
        </c:txPr>
        <c:crossAx val="952449856"/>
        <c:crosses val="max"/>
        <c:crossBetween val="between"/>
      </c:valAx>
    </c:plotArea>
    <c:legend>
      <c:legendPos val="b"/>
      <c:overlay val="0"/>
      <c:txPr>
        <a:bodyPr/>
        <a:lstStyle/>
        <a:p>
          <a:pPr lvl="0">
            <a:defRPr b="0" i="0">
              <a:solidFill>
                <a:srgbClr val="1A1A1A"/>
              </a:solidFill>
              <a:latin typeface="+mn-lt"/>
            </a:defRPr>
          </a:pPr>
          <a:endParaRPr lang="es-AR"/>
        </a:p>
      </c:txPr>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333333"/>
                </a:solidFill>
                <a:latin typeface="+mn-lt"/>
              </a:defRPr>
            </a:pPr>
            <a:r>
              <a:rPr sz="1400" b="0" i="0">
                <a:solidFill>
                  <a:srgbClr val="333333"/>
                </a:solidFill>
                <a:latin typeface="+mn-lt"/>
              </a:rPr>
              <a:t>Costos reales vs presupuestados</a:t>
            </a:r>
          </a:p>
        </c:rich>
      </c:tx>
      <c:overlay val="0"/>
    </c:title>
    <c:autoTitleDeleted val="0"/>
    <c:plotArea>
      <c:layout/>
      <c:barChart>
        <c:barDir val="bar"/>
        <c:grouping val="clustered"/>
        <c:varyColors val="1"/>
        <c:ser>
          <c:idx val="0"/>
          <c:order val="0"/>
          <c:spPr>
            <a:solidFill>
              <a:srgbClr val="99CCFF"/>
            </a:solidFill>
            <a:ln cmpd="sng">
              <a:solidFill>
                <a:srgbClr val="000000"/>
              </a:solidFill>
              <a:prstDash val="solid"/>
            </a:ln>
          </c:spPr>
          <c:invertIfNegative val="1"/>
          <c:cat>
            <c:strRef>
              <c:f>'Info para Gráficos'!$A$9:$A$19</c:f>
              <c:strCache>
                <c:ptCount val="11"/>
                <c:pt idx="0">
                  <c:v>Desarrollo</c:v>
                </c:pt>
                <c:pt idx="1">
                  <c:v>Servicios Plataforma</c:v>
                </c:pt>
                <c:pt idx="2">
                  <c:v>Soporte Operativo</c:v>
                </c:pt>
                <c:pt idx="3">
                  <c:v>Proyectos</c:v>
                </c:pt>
                <c:pt idx="4">
                  <c:v>BZ</c:v>
                </c:pt>
                <c:pt idx="5">
                  <c:v>Osana</c:v>
                </c:pt>
                <c:pt idx="6">
                  <c:v>Admin, Legales y Otros</c:v>
                </c:pt>
                <c:pt idx="7">
                  <c:v>Personal</c:v>
                </c:pt>
                <c:pt idx="8">
                  <c:v>Oficina</c:v>
                </c:pt>
                <c:pt idx="9">
                  <c:v>Impuesto al débito y al crédito</c:v>
                </c:pt>
                <c:pt idx="10">
                  <c:v>Gastos Comercializacion</c:v>
                </c:pt>
              </c:strCache>
            </c:strRef>
          </c:cat>
          <c:val>
            <c:numRef>
              <c:f>'Info para Gráficos'!$B$9:$B$19</c:f>
              <c:numCache>
                <c:formatCode>#,##0</c:formatCode>
                <c:ptCount val="11"/>
                <c:pt idx="0">
                  <c:v>32817543</c:v>
                </c:pt>
                <c:pt idx="1">
                  <c:v>7407384.9550000001</c:v>
                </c:pt>
                <c:pt idx="2">
                  <c:v>15134042.48</c:v>
                </c:pt>
                <c:pt idx="3">
                  <c:v>21236626.129999999</c:v>
                </c:pt>
                <c:pt idx="4">
                  <c:v>86769284.479090914</c:v>
                </c:pt>
                <c:pt idx="5">
                  <c:v>35081100</c:v>
                </c:pt>
                <c:pt idx="6">
                  <c:v>5759455</c:v>
                </c:pt>
                <c:pt idx="7">
                  <c:v>92604799.150000006</c:v>
                </c:pt>
                <c:pt idx="8">
                  <c:v>2968012.416666667</c:v>
                </c:pt>
                <c:pt idx="9">
                  <c:v>15380085</c:v>
                </c:pt>
                <c:pt idx="10">
                  <c:v>256350416.72987041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9F3F-476A-B57F-36813CEE1D49}"/>
            </c:ext>
          </c:extLst>
        </c:ser>
        <c:ser>
          <c:idx val="1"/>
          <c:order val="1"/>
          <c:spPr>
            <a:solidFill>
              <a:srgbClr val="CCCCFF"/>
            </a:solidFill>
            <a:ln cmpd="sng">
              <a:solidFill>
                <a:srgbClr val="000000"/>
              </a:solidFill>
              <a:prstDash val="solid"/>
            </a:ln>
          </c:spPr>
          <c:invertIfNegative val="1"/>
          <c:cat>
            <c:strRef>
              <c:f>'Info para Gráficos'!$A$9:$A$19</c:f>
              <c:strCache>
                <c:ptCount val="11"/>
                <c:pt idx="0">
                  <c:v>Desarrollo</c:v>
                </c:pt>
                <c:pt idx="1">
                  <c:v>Servicios Plataforma</c:v>
                </c:pt>
                <c:pt idx="2">
                  <c:v>Soporte Operativo</c:v>
                </c:pt>
                <c:pt idx="3">
                  <c:v>Proyectos</c:v>
                </c:pt>
                <c:pt idx="4">
                  <c:v>BZ</c:v>
                </c:pt>
                <c:pt idx="5">
                  <c:v>Osana</c:v>
                </c:pt>
                <c:pt idx="6">
                  <c:v>Admin, Legales y Otros</c:v>
                </c:pt>
                <c:pt idx="7">
                  <c:v>Personal</c:v>
                </c:pt>
                <c:pt idx="8">
                  <c:v>Oficina</c:v>
                </c:pt>
                <c:pt idx="9">
                  <c:v>Impuesto al débito y al crédito</c:v>
                </c:pt>
                <c:pt idx="10">
                  <c:v>Gastos Comercializacion</c:v>
                </c:pt>
              </c:strCache>
            </c:strRef>
          </c:cat>
          <c:val>
            <c:numRef>
              <c:f>'Info para Gráficos'!$C$9:$C$19</c:f>
              <c:numCache>
                <c:formatCode>#,##0</c:formatCode>
                <c:ptCount val="11"/>
                <c:pt idx="0">
                  <c:v>36626581.417600013</c:v>
                </c:pt>
                <c:pt idx="1">
                  <c:v>3554580</c:v>
                </c:pt>
                <c:pt idx="2">
                  <c:v>12982526.976</c:v>
                </c:pt>
                <c:pt idx="3">
                  <c:v>20936256.2367488</c:v>
                </c:pt>
                <c:pt idx="4">
                  <c:v>115033815</c:v>
                </c:pt>
                <c:pt idx="5">
                  <c:v>39936000</c:v>
                </c:pt>
                <c:pt idx="6">
                  <c:v>5133600</c:v>
                </c:pt>
                <c:pt idx="7">
                  <c:v>105546670.74071831</c:v>
                </c:pt>
                <c:pt idx="8">
                  <c:v>5329640</c:v>
                </c:pt>
                <c:pt idx="9">
                  <c:v>19524803.442099638</c:v>
                </c:pt>
                <c:pt idx="10">
                  <c:v>270000000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9F3F-476A-B57F-36813CEE1D49}"/>
            </c:ext>
          </c:extLst>
        </c:ser>
        <c:dLbls>
          <c:showLegendKey val="0"/>
          <c:showVal val="0"/>
          <c:showCatName val="0"/>
          <c:showSerName val="0"/>
          <c:showPercent val="0"/>
          <c:showBubbleSize val="0"/>
        </c:dLbls>
        <c:gapWidth val="150"/>
        <c:axId val="1897383918"/>
        <c:axId val="1323015523"/>
      </c:barChart>
      <c:catAx>
        <c:axId val="1897383918"/>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a:prstDash val="solid"/>
          </a:ln>
        </c:spPr>
        <c:txPr>
          <a:bodyPr/>
          <a:lstStyle/>
          <a:p>
            <a:pPr lvl="0">
              <a:defRPr b="0" i="0">
                <a:solidFill>
                  <a:srgbClr val="000000"/>
                </a:solidFill>
                <a:latin typeface="+mn-lt"/>
              </a:defRPr>
            </a:pPr>
            <a:endParaRPr lang="es-AR"/>
          </a:p>
        </c:txPr>
        <c:crossAx val="1323015523"/>
        <c:crosses val="autoZero"/>
        <c:auto val="1"/>
        <c:lblAlgn val="ctr"/>
        <c:lblOffset val="100"/>
        <c:noMultiLvlLbl val="1"/>
      </c:catAx>
      <c:valAx>
        <c:axId val="1323015523"/>
        <c:scaling>
          <c:orientation val="minMax"/>
        </c:scaling>
        <c:delete val="0"/>
        <c:axPos val="b"/>
        <c:majorGridlines>
          <c:spPr>
            <a:ln>
              <a:solidFill>
                <a:srgbClr val="B7B7B7"/>
              </a:solidFill>
              <a:prstDash val="solid"/>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0" sourceLinked="1"/>
        <c:majorTickMark val="none"/>
        <c:minorTickMark val="none"/>
        <c:tickLblPos val="nextTo"/>
        <c:spPr>
          <a:ln>
            <a:prstDash val="solid"/>
          </a:ln>
        </c:spPr>
        <c:txPr>
          <a:bodyPr/>
          <a:lstStyle/>
          <a:p>
            <a:pPr lvl="0">
              <a:defRPr b="0" i="0">
                <a:solidFill>
                  <a:srgbClr val="000000"/>
                </a:solidFill>
                <a:latin typeface="+mn-lt"/>
              </a:defRPr>
            </a:pPr>
            <a:endParaRPr lang="es-AR"/>
          </a:p>
        </c:txPr>
        <c:crossAx val="1897383918"/>
        <c:crosses val="max"/>
        <c:crossBetween val="between"/>
      </c:valAx>
    </c:plotArea>
    <c:legend>
      <c:legendPos val="b"/>
      <c:overlay val="0"/>
      <c:txPr>
        <a:bodyPr/>
        <a:lstStyle/>
        <a:p>
          <a:pPr lvl="0">
            <a:defRPr b="0" i="0">
              <a:solidFill>
                <a:srgbClr val="1A1A1A"/>
              </a:solidFill>
              <a:latin typeface="+mn-lt"/>
            </a:defRPr>
          </a:pPr>
          <a:endParaRPr lang="es-AR"/>
        </a:p>
      </c:txPr>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219075</xdr:colOff>
      <xdr:row>0</xdr:row>
      <xdr:rowOff>28575</xdr:rowOff>
    </xdr:from>
    <xdr:ext cx="3829050" cy="2266950"/>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171450</xdr:colOff>
      <xdr:row>13</xdr:row>
      <xdr:rowOff>28575</xdr:rowOff>
    </xdr:from>
    <xdr:ext cx="4572000" cy="2714625"/>
    <xdr:graphicFrame macro="">
      <xdr:nvGraphicFramePr>
        <xdr:cNvPr id="3" name="Chart 2">
          <a:extLst>
            <a:ext uri="{FF2B5EF4-FFF2-40B4-BE49-F238E27FC236}">
              <a16:creationId xmlns:a16="http://schemas.microsoft.com/office/drawing/2014/main" id="{00000000-0008-0000-1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V&#237;nculoExternoRecuperado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2026"/>
      <sheetName val="nuevos proyectos"/>
      <sheetName val="Ajuste"/>
      <sheetName val="Ingresos RRHH"/>
      <sheetName val="Versión P&amp;L"/>
      <sheetName val="Cuentas"/>
      <sheetName val="Info para Gráficos"/>
      <sheetName val="Carátula"/>
      <sheetName val="Soporte Transaccional"/>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B2_2023_Real"/>
      <sheetName val="B 2021"/>
      <sheetName val="B2 2021"/>
      <sheetName val="B2_2023"/>
      <sheetName val="Galo"/>
      <sheetName val="PPT B2"/>
      <sheetName val="CeCos"/>
      <sheetName val="B2023"/>
      <sheetName val="Facturacion B2 final FLK"/>
      <sheetName val="Facturacion B2"/>
      <sheetName val="Facturacion"/>
      <sheetName val="Laboratorio B2"/>
      <sheetName val="Laboratorio"/>
      <sheetName val="B2022"/>
      <sheetName val="AR200013"/>
      <sheetName val="AR200015"/>
      <sheetName val="AR200016"/>
      <sheetName val="AR200017-18"/>
      <sheetName val="AR.E51711.200"/>
      <sheetName val="AR200014"/>
      <sheetName val="AR000052 al 58"/>
      <sheetName val="AR.701562 Tkts (Pos009)"/>
      <sheetName val="Hoja de Trabajo PAMI"/>
      <sheetName val="AR000011"/>
      <sheetName val="AR000010"/>
      <sheetName val="AR000012-13"/>
      <sheetName val="AR000014"/>
      <sheetName val="AR000015-16"/>
      <sheetName val="AR000017"/>
      <sheetName val="AR000061"/>
      <sheetName val="AR000063-98"/>
      <sheetName val="AR000065"/>
      <sheetName val="Provis Asientos del Mes vf"/>
      <sheetName val="AR000067"/>
      <sheetName val="AR000066"/>
      <sheetName val="AR000074"/>
      <sheetName val="AR000068"/>
      <sheetName val="AR000078"/>
      <sheetName val="AR000096"/>
      <sheetName val="AR.700976.002 CMU"/>
      <sheetName val="Provis Asientos del Mes"/>
      <sheetName val="Transf IMED a Labo"/>
      <sheetName val="AR.1230AI.102"/>
      <sheetName val="Chequeos"/>
      <sheetName val="Otras Colectoras a Valida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AY1003"/>
  <sheetViews>
    <sheetView showGridLines="0" tabSelected="1" zoomScale="128" zoomScaleNormal="100" workbookViewId="0">
      <pane xSplit="6" ySplit="4" topLeftCell="L195" activePane="bottomRight" state="frozen"/>
      <selection pane="topRight" activeCell="G1" sqref="G1"/>
      <selection pane="bottomLeft" activeCell="A5" sqref="A5"/>
      <selection pane="bottomRight" activeCell="V212" sqref="V212"/>
    </sheetView>
  </sheetViews>
  <sheetFormatPr baseColWidth="10" defaultColWidth="12.6640625" defaultRowHeight="15" customHeight="1" outlineLevelRow="1" outlineLevelCol="1" x14ac:dyDescent="0.3"/>
  <cols>
    <col min="1" max="1" width="1.44140625" customWidth="1"/>
    <col min="2" max="2" width="2.88671875" customWidth="1"/>
    <col min="3" max="3" width="19.109375" customWidth="1"/>
    <col min="4" max="4" width="16.33203125" customWidth="1"/>
    <col min="5" max="5" width="0.33203125" hidden="1" customWidth="1" outlineLevel="1"/>
    <col min="6" max="6" width="29.33203125" customWidth="1" collapsed="1"/>
    <col min="7" max="7" width="33" customWidth="1"/>
    <col min="8" max="8" width="8.44140625" customWidth="1" outlineLevel="1"/>
    <col min="9" max="10" width="12.33203125" customWidth="1"/>
    <col min="11" max="12" width="13" customWidth="1"/>
    <col min="13" max="13" width="12.33203125" customWidth="1"/>
    <col min="14" max="20" width="13" hidden="1" customWidth="1" outlineLevel="1"/>
    <col min="21" max="21" width="3" customWidth="1" collapsed="1"/>
    <col min="22" max="22" width="13.6640625" customWidth="1"/>
    <col min="23" max="23" width="4.21875" customWidth="1"/>
    <col min="24" max="24" width="12.33203125" customWidth="1"/>
    <col min="25" max="27" width="13" customWidth="1"/>
    <col min="28" max="28" width="12.33203125" customWidth="1"/>
    <col min="29" max="35" width="13" hidden="1" customWidth="1" outlineLevel="1"/>
    <col min="36" max="36" width="5.6640625" customWidth="1" collapsed="1"/>
    <col min="37" max="37" width="12.33203125" customWidth="1"/>
    <col min="38" max="38" width="1.88671875" customWidth="1"/>
    <col min="39" max="39" width="10.77734375" customWidth="1"/>
    <col min="40" max="40" width="8" customWidth="1"/>
    <col min="41" max="41" width="13.88671875" customWidth="1"/>
    <col min="42" max="45" width="8" customWidth="1"/>
  </cols>
  <sheetData>
    <row r="1" spans="1:51" ht="15" customHeight="1" x14ac:dyDescent="0.3">
      <c r="A1" s="1"/>
      <c r="B1" s="2"/>
      <c r="C1" s="2"/>
      <c r="D1" s="3"/>
      <c r="E1" s="4"/>
      <c r="F1" s="5"/>
      <c r="G1" s="2"/>
      <c r="H1" s="2"/>
      <c r="I1" s="6"/>
      <c r="J1" s="6"/>
      <c r="K1" s="6"/>
      <c r="L1" s="6"/>
      <c r="M1" s="6"/>
      <c r="N1" s="6"/>
      <c r="O1" s="6"/>
      <c r="P1" s="6"/>
      <c r="Q1" s="6"/>
      <c r="R1" s="6"/>
      <c r="S1" s="6"/>
      <c r="T1" s="6"/>
      <c r="U1" s="7"/>
      <c r="V1" s="8">
        <f>(+V40-V14-V15)-((+V40-V14-V15)*5%)</f>
        <v>3013353039.7767386</v>
      </c>
      <c r="W1" s="9"/>
      <c r="X1" s="6"/>
      <c r="Y1" s="6"/>
      <c r="Z1" s="6"/>
      <c r="AA1" s="6"/>
      <c r="AB1" s="6"/>
      <c r="AC1" s="6"/>
      <c r="AD1" s="6"/>
      <c r="AE1" s="6"/>
      <c r="AF1" s="6"/>
      <c r="AG1" s="6"/>
      <c r="AH1" s="6"/>
      <c r="AI1" s="6"/>
      <c r="AJ1" s="9"/>
      <c r="AK1" s="8"/>
      <c r="AL1" s="10"/>
      <c r="AM1" s="11"/>
      <c r="AN1" s="7"/>
      <c r="AO1" s="7"/>
      <c r="AP1" s="7"/>
      <c r="AQ1" s="7"/>
      <c r="AR1" s="7"/>
      <c r="AS1" s="7"/>
    </row>
    <row r="2" spans="1:51" ht="12" customHeight="1" x14ac:dyDescent="0.3">
      <c r="A2" s="1"/>
      <c r="B2" s="12"/>
      <c r="C2" s="12"/>
      <c r="D2" s="3"/>
      <c r="E2" s="13"/>
      <c r="F2" s="14"/>
      <c r="G2" s="12"/>
      <c r="H2" s="12"/>
      <c r="I2" s="15" t="s">
        <v>0</v>
      </c>
      <c r="J2" s="15" t="s">
        <v>0</v>
      </c>
      <c r="K2" s="15" t="s">
        <v>0</v>
      </c>
      <c r="L2" s="15" t="s">
        <v>0</v>
      </c>
      <c r="M2" s="15" t="s">
        <v>0</v>
      </c>
      <c r="N2" s="15" t="s">
        <v>0</v>
      </c>
      <c r="O2" s="15" t="s">
        <v>0</v>
      </c>
      <c r="P2" s="15" t="s">
        <v>0</v>
      </c>
      <c r="Q2" s="15" t="s">
        <v>0</v>
      </c>
      <c r="R2" s="15" t="s">
        <v>0</v>
      </c>
      <c r="S2" s="15" t="s">
        <v>0</v>
      </c>
      <c r="T2" s="15" t="s">
        <v>0</v>
      </c>
      <c r="U2" s="7"/>
      <c r="V2" s="16" t="s">
        <v>0</v>
      </c>
      <c r="W2" s="9"/>
      <c r="X2" s="15" t="s">
        <v>1</v>
      </c>
      <c r="Y2" s="15" t="s">
        <v>1</v>
      </c>
      <c r="Z2" s="15" t="s">
        <v>1</v>
      </c>
      <c r="AA2" s="15" t="s">
        <v>1</v>
      </c>
      <c r="AB2" s="15" t="s">
        <v>1</v>
      </c>
      <c r="AC2" s="15" t="s">
        <v>1</v>
      </c>
      <c r="AD2" s="15" t="s">
        <v>1</v>
      </c>
      <c r="AE2" s="15" t="s">
        <v>1</v>
      </c>
      <c r="AF2" s="15" t="s">
        <v>1</v>
      </c>
      <c r="AG2" s="15" t="s">
        <v>1</v>
      </c>
      <c r="AH2" s="15" t="s">
        <v>1</v>
      </c>
      <c r="AI2" s="15" t="s">
        <v>1</v>
      </c>
      <c r="AJ2" s="9"/>
      <c r="AK2" s="16" t="s">
        <v>1</v>
      </c>
      <c r="AL2" s="10"/>
      <c r="AM2" s="16" t="s">
        <v>2</v>
      </c>
      <c r="AN2" s="7"/>
      <c r="AO2" s="7"/>
      <c r="AP2" s="7"/>
      <c r="AQ2" s="7"/>
      <c r="AR2" s="7"/>
      <c r="AS2" s="7"/>
    </row>
    <row r="3" spans="1:51" ht="12" customHeight="1" x14ac:dyDescent="0.3">
      <c r="A3" s="1"/>
      <c r="B3" s="17"/>
      <c r="C3" s="17"/>
      <c r="D3" s="18"/>
      <c r="E3" s="4"/>
      <c r="F3" s="17"/>
      <c r="G3" s="18"/>
      <c r="H3" s="18"/>
      <c r="I3" s="19"/>
      <c r="J3" s="19"/>
      <c r="K3" s="19"/>
      <c r="L3" s="19"/>
      <c r="M3" s="19"/>
      <c r="N3" s="19"/>
      <c r="O3" s="19"/>
      <c r="P3" s="19"/>
      <c r="Q3" s="19"/>
      <c r="R3" s="19"/>
      <c r="S3" s="19"/>
      <c r="T3" s="19"/>
      <c r="U3" s="7"/>
      <c r="V3" s="20" t="s">
        <v>3</v>
      </c>
      <c r="W3" s="9"/>
      <c r="X3" s="19"/>
      <c r="Y3" s="19"/>
      <c r="Z3" s="19"/>
      <c r="AA3" s="19"/>
      <c r="AB3" s="19"/>
      <c r="AC3" s="19"/>
      <c r="AD3" s="19"/>
      <c r="AE3" s="19"/>
      <c r="AF3" s="19"/>
      <c r="AG3" s="19"/>
      <c r="AH3" s="19"/>
      <c r="AI3" s="19"/>
      <c r="AJ3" s="9"/>
      <c r="AK3" s="20" t="str">
        <f>+V3</f>
        <v>Acum May</v>
      </c>
      <c r="AL3" s="10"/>
      <c r="AM3" s="20" t="str">
        <f>+AK3</f>
        <v>Acum May</v>
      </c>
      <c r="AN3" s="7"/>
      <c r="AO3" s="7"/>
      <c r="AP3" s="7"/>
      <c r="AQ3" s="7"/>
      <c r="AR3" s="7"/>
      <c r="AS3" s="7"/>
    </row>
    <row r="4" spans="1:51" ht="12" customHeight="1" x14ac:dyDescent="0.3">
      <c r="A4" s="1"/>
      <c r="B4" s="17"/>
      <c r="C4" s="17"/>
      <c r="D4" s="18"/>
      <c r="E4" s="18"/>
      <c r="F4" s="17"/>
      <c r="G4" s="18"/>
      <c r="H4" s="21"/>
      <c r="I4" s="19" t="s">
        <v>4</v>
      </c>
      <c r="J4" s="19">
        <v>46078</v>
      </c>
      <c r="K4" s="19">
        <v>46106</v>
      </c>
      <c r="L4" s="19" t="s">
        <v>5</v>
      </c>
      <c r="M4" s="19">
        <v>46167</v>
      </c>
      <c r="N4" s="19">
        <v>46198</v>
      </c>
      <c r="O4" s="19">
        <v>46228</v>
      </c>
      <c r="P4" s="19">
        <v>46259</v>
      </c>
      <c r="Q4" s="19">
        <v>46290</v>
      </c>
      <c r="R4" s="19">
        <v>46320</v>
      </c>
      <c r="S4" s="19">
        <v>46351</v>
      </c>
      <c r="T4" s="19">
        <v>46381</v>
      </c>
      <c r="U4" s="7"/>
      <c r="V4" s="20" t="s">
        <v>6</v>
      </c>
      <c r="W4" s="9"/>
      <c r="X4" s="19" t="str">
        <f t="shared" ref="X4:AI4" si="0">+I4</f>
        <v>Ene-26</v>
      </c>
      <c r="Y4" s="19">
        <f t="shared" si="0"/>
        <v>46078</v>
      </c>
      <c r="Z4" s="19">
        <f t="shared" si="0"/>
        <v>46106</v>
      </c>
      <c r="AA4" s="19" t="str">
        <f t="shared" si="0"/>
        <v>Abr-26</v>
      </c>
      <c r="AB4" s="19">
        <f t="shared" si="0"/>
        <v>46167</v>
      </c>
      <c r="AC4" s="19">
        <f t="shared" si="0"/>
        <v>46198</v>
      </c>
      <c r="AD4" s="19">
        <f t="shared" si="0"/>
        <v>46228</v>
      </c>
      <c r="AE4" s="19">
        <f t="shared" si="0"/>
        <v>46259</v>
      </c>
      <c r="AF4" s="19">
        <f t="shared" si="0"/>
        <v>46290</v>
      </c>
      <c r="AG4" s="19">
        <f t="shared" si="0"/>
        <v>46320</v>
      </c>
      <c r="AH4" s="19">
        <f t="shared" si="0"/>
        <v>46351</v>
      </c>
      <c r="AI4" s="19">
        <f t="shared" si="0"/>
        <v>46381</v>
      </c>
      <c r="AJ4" s="9"/>
      <c r="AK4" s="20" t="s">
        <v>6</v>
      </c>
      <c r="AL4" s="10"/>
      <c r="AM4" s="20" t="s">
        <v>6</v>
      </c>
      <c r="AN4" s="7"/>
      <c r="AO4" s="7"/>
      <c r="AP4" s="7"/>
      <c r="AQ4" s="7"/>
      <c r="AR4" s="7"/>
      <c r="AS4" s="7"/>
    </row>
    <row r="5" spans="1:51" ht="17.25" customHeight="1" x14ac:dyDescent="0.3">
      <c r="A5" s="22"/>
      <c r="B5" s="23" t="s">
        <v>7</v>
      </c>
      <c r="C5" s="24"/>
      <c r="D5" s="25"/>
      <c r="E5" s="25"/>
      <c r="F5" s="26"/>
      <c r="G5" s="25"/>
      <c r="H5" s="27"/>
      <c r="I5" s="28"/>
      <c r="J5" s="28"/>
      <c r="K5" s="28"/>
      <c r="L5" s="28"/>
      <c r="M5" s="28"/>
      <c r="N5" s="28"/>
      <c r="O5" s="28"/>
      <c r="P5" s="28"/>
      <c r="Q5" s="28"/>
      <c r="R5" s="28"/>
      <c r="S5" s="28"/>
      <c r="T5" s="28"/>
      <c r="U5" s="7"/>
      <c r="V5" s="29"/>
      <c r="W5" s="9"/>
      <c r="X5" s="28"/>
      <c r="Y5" s="28"/>
      <c r="Z5" s="28"/>
      <c r="AA5" s="28"/>
      <c r="AB5" s="28"/>
      <c r="AC5" s="28"/>
      <c r="AD5" s="28"/>
      <c r="AE5" s="28"/>
      <c r="AF5" s="28"/>
      <c r="AG5" s="28"/>
      <c r="AH5" s="28"/>
      <c r="AI5" s="28"/>
      <c r="AJ5" s="9"/>
      <c r="AK5" s="29"/>
      <c r="AL5" s="10"/>
      <c r="AM5" s="30"/>
      <c r="AN5" s="7"/>
      <c r="AO5" s="7"/>
      <c r="AP5" s="7"/>
      <c r="AQ5" s="7"/>
      <c r="AR5" s="7"/>
      <c r="AS5" s="7"/>
    </row>
    <row r="6" spans="1:51" ht="17.25" customHeight="1" x14ac:dyDescent="0.3">
      <c r="A6" s="22"/>
      <c r="B6" s="31"/>
      <c r="C6" s="32" t="s">
        <v>8</v>
      </c>
      <c r="D6" s="27"/>
      <c r="E6" s="33"/>
      <c r="F6" s="34"/>
      <c r="G6" s="35"/>
      <c r="H6" s="36"/>
      <c r="I6" s="37"/>
      <c r="J6" s="37"/>
      <c r="K6" s="37"/>
      <c r="L6" s="37">
        <v>0.05</v>
      </c>
      <c r="M6" s="37">
        <v>0.05</v>
      </c>
      <c r="N6" s="37">
        <v>0.05</v>
      </c>
      <c r="O6" s="37">
        <v>0.05</v>
      </c>
      <c r="P6" s="37">
        <v>0.05</v>
      </c>
      <c r="Q6" s="37">
        <v>0.05</v>
      </c>
      <c r="R6" s="37">
        <v>0.05</v>
      </c>
      <c r="S6" s="37">
        <v>0.05</v>
      </c>
      <c r="T6" s="37">
        <v>0.05</v>
      </c>
      <c r="U6" s="38"/>
      <c r="V6" s="39"/>
      <c r="W6" s="40"/>
      <c r="X6" s="37"/>
      <c r="Y6" s="37"/>
      <c r="Z6" s="37"/>
      <c r="AA6" s="37"/>
      <c r="AB6" s="37"/>
      <c r="AC6" s="37"/>
      <c r="AD6" s="37"/>
      <c r="AE6" s="37"/>
      <c r="AF6" s="37"/>
      <c r="AG6" s="37"/>
      <c r="AH6" s="37"/>
      <c r="AI6" s="37"/>
      <c r="AJ6" s="40"/>
      <c r="AK6" s="39"/>
      <c r="AL6" s="10"/>
      <c r="AM6" s="30"/>
      <c r="AN6" s="7"/>
      <c r="AO6" s="7"/>
      <c r="AP6" s="7"/>
      <c r="AQ6" s="7"/>
      <c r="AR6" s="7"/>
      <c r="AS6" s="7"/>
    </row>
    <row r="7" spans="1:51" ht="15.75" customHeight="1" x14ac:dyDescent="0.3">
      <c r="A7" s="22"/>
      <c r="B7" s="41"/>
      <c r="C7" s="42"/>
      <c r="D7" s="42" t="s">
        <v>9</v>
      </c>
      <c r="E7" s="42"/>
      <c r="F7" s="42"/>
      <c r="G7" s="43"/>
      <c r="H7" s="43"/>
      <c r="I7" s="44">
        <f t="shared" ref="I7:T7" si="1">SUM(I8:I19)</f>
        <v>1891706467.6089001</v>
      </c>
      <c r="J7" s="44">
        <f t="shared" si="1"/>
        <v>1791176322.0933497</v>
      </c>
      <c r="K7" s="44">
        <f t="shared" si="1"/>
        <v>2036545615.6779501</v>
      </c>
      <c r="L7" s="44">
        <f t="shared" si="1"/>
        <v>2086424381.8799999</v>
      </c>
      <c r="M7" s="44">
        <f t="shared" si="1"/>
        <v>2128162175.78</v>
      </c>
      <c r="N7" s="44">
        <f t="shared" si="1"/>
        <v>0</v>
      </c>
      <c r="O7" s="44">
        <f t="shared" si="1"/>
        <v>0</v>
      </c>
      <c r="P7" s="44">
        <f t="shared" si="1"/>
        <v>0</v>
      </c>
      <c r="Q7" s="44">
        <f t="shared" si="1"/>
        <v>0</v>
      </c>
      <c r="R7" s="44">
        <f t="shared" si="1"/>
        <v>0</v>
      </c>
      <c r="S7" s="44">
        <f t="shared" si="1"/>
        <v>0</v>
      </c>
      <c r="T7" s="44">
        <f t="shared" si="1"/>
        <v>0</v>
      </c>
      <c r="U7" s="7"/>
      <c r="V7" s="45">
        <f t="shared" ref="V7:V35" si="2">SUM(I7:M7)</f>
        <v>9934014963.0401993</v>
      </c>
      <c r="W7" s="46"/>
      <c r="X7" s="44">
        <v>1813160191.251708</v>
      </c>
      <c r="Y7" s="44">
        <v>1690467926.1811841</v>
      </c>
      <c r="Z7" s="44">
        <v>1851024083.1209209</v>
      </c>
      <c r="AA7" s="44">
        <v>1944348108.428231</v>
      </c>
      <c r="AB7" s="44">
        <v>2062614131.4002221</v>
      </c>
      <c r="AC7" s="44">
        <v>2072375616.501622</v>
      </c>
      <c r="AD7" s="44">
        <v>2296254841.0868979</v>
      </c>
      <c r="AE7" s="44">
        <v>2264501834.0125051</v>
      </c>
      <c r="AF7" s="44">
        <v>2385708182.7272639</v>
      </c>
      <c r="AG7" s="44">
        <v>2496210475.5601311</v>
      </c>
      <c r="AH7" s="44">
        <v>2433157531.193593</v>
      </c>
      <c r="AI7" s="44">
        <v>2509545390.1638288</v>
      </c>
      <c r="AJ7" s="46"/>
      <c r="AK7" s="45">
        <f t="shared" ref="AK7:AK37" si="3">SUM(X7:AB7)</f>
        <v>9361614440.382267</v>
      </c>
      <c r="AL7" s="10"/>
      <c r="AM7" s="30">
        <f>+V7-AK7</f>
        <v>572400522.65793228</v>
      </c>
      <c r="AN7" s="47">
        <f>+AM7/AK7</f>
        <v>6.1143355807180541E-2</v>
      </c>
      <c r="AO7" s="7"/>
      <c r="AP7" s="7"/>
      <c r="AQ7" s="7"/>
      <c r="AR7" s="7"/>
      <c r="AS7" s="7"/>
    </row>
    <row r="8" spans="1:51" ht="15.75" customHeight="1" outlineLevel="1" x14ac:dyDescent="0.3">
      <c r="A8" s="48">
        <v>2</v>
      </c>
      <c r="B8" s="49"/>
      <c r="C8" s="5" t="s">
        <v>10</v>
      </c>
      <c r="D8" s="50"/>
      <c r="E8" s="50">
        <v>5111</v>
      </c>
      <c r="F8" s="51"/>
      <c r="G8" s="50"/>
      <c r="H8" s="50"/>
      <c r="I8" s="52">
        <v>254822135.78999999</v>
      </c>
      <c r="J8" s="52">
        <v>220330216.44</v>
      </c>
      <c r="K8" s="52">
        <v>282608670.39999998</v>
      </c>
      <c r="L8" s="52">
        <v>288698704.27999997</v>
      </c>
      <c r="M8" s="52">
        <v>313767960.77999997</v>
      </c>
      <c r="N8" s="52"/>
      <c r="O8" s="52"/>
      <c r="P8" s="52"/>
      <c r="Q8" s="52"/>
      <c r="R8" s="52"/>
      <c r="S8" s="52"/>
      <c r="T8" s="52"/>
      <c r="U8" s="53"/>
      <c r="V8" s="54">
        <f t="shared" si="2"/>
        <v>1360227687.6900001</v>
      </c>
      <c r="W8" s="55"/>
      <c r="X8" s="52">
        <v>226715811.43288529</v>
      </c>
      <c r="Y8" s="52">
        <v>209334651.2781494</v>
      </c>
      <c r="Z8" s="52">
        <v>238340418.17649829</v>
      </c>
      <c r="AA8" s="52">
        <v>254890075.90886229</v>
      </c>
      <c r="AB8" s="52">
        <v>271632492.0254935</v>
      </c>
      <c r="AC8" s="52">
        <v>273050747.44055963</v>
      </c>
      <c r="AD8" s="52">
        <v>291267636.28417802</v>
      </c>
      <c r="AE8" s="52">
        <v>287581080.80768323</v>
      </c>
      <c r="AF8" s="52">
        <v>297283182.69814181</v>
      </c>
      <c r="AG8" s="52">
        <v>304395892.92234552</v>
      </c>
      <c r="AH8" s="52">
        <v>282888454.09659922</v>
      </c>
      <c r="AI8" s="52">
        <v>287131780.90804821</v>
      </c>
      <c r="AJ8" s="55"/>
      <c r="AK8" s="54">
        <f t="shared" si="3"/>
        <v>1200913448.8218889</v>
      </c>
      <c r="AL8" s="56"/>
      <c r="AM8" s="30"/>
      <c r="AN8" s="53"/>
      <c r="AO8" s="53"/>
      <c r="AP8" s="53"/>
      <c r="AQ8" s="53"/>
      <c r="AR8" s="53"/>
      <c r="AS8" s="53"/>
      <c r="AT8" s="53"/>
      <c r="AU8" s="53"/>
      <c r="AV8" s="53"/>
      <c r="AW8" s="53"/>
      <c r="AX8" s="53"/>
      <c r="AY8" s="53"/>
    </row>
    <row r="9" spans="1:51" ht="15.75" customHeight="1" outlineLevel="1" x14ac:dyDescent="0.3">
      <c r="A9" s="48">
        <v>2</v>
      </c>
      <c r="B9" s="49"/>
      <c r="C9" s="5" t="s">
        <v>11</v>
      </c>
      <c r="D9" s="50"/>
      <c r="E9" s="50">
        <v>5111</v>
      </c>
      <c r="F9" s="51"/>
      <c r="G9" s="50"/>
      <c r="H9" s="50"/>
      <c r="I9" s="52">
        <v>34319465.109999999</v>
      </c>
      <c r="J9" s="52">
        <v>33720491.821249992</v>
      </c>
      <c r="K9" s="52">
        <v>33758788.638750009</v>
      </c>
      <c r="L9" s="52">
        <v>42091263.760000013</v>
      </c>
      <c r="M9" s="52">
        <v>40180830.560000002</v>
      </c>
      <c r="N9" s="52"/>
      <c r="O9" s="52"/>
      <c r="P9" s="52"/>
      <c r="Q9" s="52"/>
      <c r="R9" s="52"/>
      <c r="S9" s="52"/>
      <c r="T9" s="52"/>
      <c r="U9" s="53"/>
      <c r="V9" s="54">
        <f t="shared" si="2"/>
        <v>184070839.89000002</v>
      </c>
      <c r="W9" s="55"/>
      <c r="X9" s="52">
        <v>32504828.346026368</v>
      </c>
      <c r="Y9" s="52">
        <v>29340012.039850209</v>
      </c>
      <c r="Z9" s="52">
        <v>32659621.742466159</v>
      </c>
      <c r="AA9" s="52">
        <v>33997072.653500162</v>
      </c>
      <c r="AB9" s="52">
        <v>36403562.271998852</v>
      </c>
      <c r="AC9" s="52">
        <v>37854255.417859763</v>
      </c>
      <c r="AD9" s="52">
        <v>40093476.336325943</v>
      </c>
      <c r="AE9" s="52">
        <v>39347218.355916306</v>
      </c>
      <c r="AF9" s="52">
        <v>39932285.532430179</v>
      </c>
      <c r="AG9" s="52">
        <v>43485127.56033507</v>
      </c>
      <c r="AH9" s="52">
        <v>37731478.138039358</v>
      </c>
      <c r="AI9" s="52">
        <v>38297450.310109943</v>
      </c>
      <c r="AJ9" s="55"/>
      <c r="AK9" s="54">
        <f t="shared" si="3"/>
        <v>164905097.05384177</v>
      </c>
      <c r="AL9" s="56"/>
      <c r="AM9" s="30"/>
      <c r="AN9" s="53"/>
      <c r="AO9" s="53"/>
      <c r="AP9" s="53"/>
      <c r="AQ9" s="53"/>
      <c r="AR9" s="53"/>
      <c r="AS9" s="53"/>
      <c r="AT9" s="53"/>
      <c r="AU9" s="53"/>
      <c r="AV9" s="53"/>
      <c r="AW9" s="53"/>
      <c r="AX9" s="53"/>
      <c r="AY9" s="53"/>
    </row>
    <row r="10" spans="1:51" ht="15.75" customHeight="1" outlineLevel="1" x14ac:dyDescent="0.3">
      <c r="A10" s="48">
        <v>2</v>
      </c>
      <c r="B10" s="49"/>
      <c r="C10" s="5" t="s">
        <v>12</v>
      </c>
      <c r="D10" s="50"/>
      <c r="E10" s="50">
        <v>5111</v>
      </c>
      <c r="F10" s="51"/>
      <c r="G10" s="50"/>
      <c r="H10" s="50"/>
      <c r="I10" s="52">
        <v>129325639.03</v>
      </c>
      <c r="J10" s="52">
        <v>142048804.66</v>
      </c>
      <c r="K10" s="52">
        <v>151454169.3300001</v>
      </c>
      <c r="L10" s="52">
        <v>156953563.96000001</v>
      </c>
      <c r="M10" s="52">
        <v>165747124.77000001</v>
      </c>
      <c r="N10" s="52"/>
      <c r="O10" s="52"/>
      <c r="P10" s="52"/>
      <c r="Q10" s="52"/>
      <c r="R10" s="52"/>
      <c r="S10" s="52"/>
      <c r="T10" s="52"/>
      <c r="U10" s="53"/>
      <c r="V10" s="54">
        <f t="shared" si="2"/>
        <v>745529301.75000012</v>
      </c>
      <c r="W10" s="55"/>
      <c r="X10" s="52">
        <v>125371734.25496779</v>
      </c>
      <c r="Y10" s="52">
        <v>120201749.865466</v>
      </c>
      <c r="Z10" s="52">
        <v>132131888.0443666</v>
      </c>
      <c r="AA10" s="52">
        <v>140542801.69023639</v>
      </c>
      <c r="AB10" s="52">
        <v>148456247.08187121</v>
      </c>
      <c r="AC10" s="52">
        <v>149895282.3221398</v>
      </c>
      <c r="AD10" s="52">
        <v>164213122.05004919</v>
      </c>
      <c r="AE10" s="52">
        <v>158964562.73719329</v>
      </c>
      <c r="AF10" s="52">
        <v>164395868.0567742</v>
      </c>
      <c r="AG10" s="52">
        <v>170796315.0359765</v>
      </c>
      <c r="AH10" s="52">
        <v>155980713.50087249</v>
      </c>
      <c r="AI10" s="52">
        <v>158320424.20338559</v>
      </c>
      <c r="AJ10" s="55"/>
      <c r="AK10" s="54">
        <f t="shared" si="3"/>
        <v>666704420.93690801</v>
      </c>
      <c r="AL10" s="56"/>
      <c r="AM10" s="30"/>
      <c r="AN10" s="53"/>
      <c r="AO10" s="53"/>
      <c r="AP10" s="53"/>
      <c r="AQ10" s="53"/>
      <c r="AR10" s="53"/>
      <c r="AS10" s="53"/>
      <c r="AT10" s="53"/>
      <c r="AU10" s="53"/>
      <c r="AV10" s="53"/>
      <c r="AW10" s="53"/>
      <c r="AX10" s="53"/>
      <c r="AY10" s="53"/>
    </row>
    <row r="11" spans="1:51" ht="15.75" customHeight="1" outlineLevel="1" x14ac:dyDescent="0.3">
      <c r="A11" s="48">
        <v>2</v>
      </c>
      <c r="B11" s="49"/>
      <c r="C11" s="5" t="s">
        <v>13</v>
      </c>
      <c r="D11" s="50"/>
      <c r="E11" s="50">
        <v>5111</v>
      </c>
      <c r="F11" s="51"/>
      <c r="G11" s="50"/>
      <c r="H11" s="50"/>
      <c r="I11" s="52">
        <v>11823897.406300001</v>
      </c>
      <c r="J11" s="52">
        <v>14400807.648700001</v>
      </c>
      <c r="K11" s="52">
        <v>15955904.740839999</v>
      </c>
      <c r="L11" s="52">
        <v>16626576.68</v>
      </c>
      <c r="M11" s="52">
        <v>18614958.27</v>
      </c>
      <c r="N11" s="52"/>
      <c r="O11" s="52"/>
      <c r="P11" s="52"/>
      <c r="Q11" s="52"/>
      <c r="R11" s="52"/>
      <c r="S11" s="52"/>
      <c r="T11" s="52"/>
      <c r="U11" s="53"/>
      <c r="V11" s="54">
        <f t="shared" si="2"/>
        <v>77422144.745839998</v>
      </c>
      <c r="W11" s="55"/>
      <c r="X11" s="52">
        <v>9929897.1459428612</v>
      </c>
      <c r="Y11" s="52">
        <v>9851405.1041077897</v>
      </c>
      <c r="Z11" s="52">
        <v>11534954.155417871</v>
      </c>
      <c r="AA11" s="52">
        <v>12421706.327410471</v>
      </c>
      <c r="AB11" s="52">
        <v>13411096.136473609</v>
      </c>
      <c r="AC11" s="52">
        <v>13607750.72917942</v>
      </c>
      <c r="AD11" s="52">
        <v>14981323.780796509</v>
      </c>
      <c r="AE11" s="52">
        <v>15231149.43034864</v>
      </c>
      <c r="AF11" s="52">
        <v>15868239.934321931</v>
      </c>
      <c r="AG11" s="52">
        <v>16106263.53333676</v>
      </c>
      <c r="AH11" s="52">
        <v>13786167.57703636</v>
      </c>
      <c r="AI11" s="52">
        <v>13992960.0906919</v>
      </c>
      <c r="AJ11" s="55"/>
      <c r="AK11" s="54">
        <f t="shared" si="3"/>
        <v>57149058.869352601</v>
      </c>
      <c r="AL11" s="56"/>
      <c r="AM11" s="30"/>
      <c r="AN11" s="53"/>
      <c r="AO11" s="53"/>
      <c r="AP11" s="53"/>
      <c r="AQ11" s="53"/>
      <c r="AR11" s="53"/>
      <c r="AS11" s="53"/>
      <c r="AT11" s="53"/>
      <c r="AU11" s="53"/>
      <c r="AV11" s="53"/>
      <c r="AW11" s="53"/>
      <c r="AX11" s="53"/>
      <c r="AY11" s="53"/>
    </row>
    <row r="12" spans="1:51" ht="15.75" customHeight="1" outlineLevel="1" x14ac:dyDescent="0.3">
      <c r="A12" s="48">
        <v>2</v>
      </c>
      <c r="B12" s="49"/>
      <c r="C12" s="5" t="s">
        <v>14</v>
      </c>
      <c r="D12" s="50"/>
      <c r="E12" s="50">
        <v>5111</v>
      </c>
      <c r="F12" s="51"/>
      <c r="G12" s="50"/>
      <c r="H12" s="50"/>
      <c r="I12" s="52">
        <v>2973743.1354999999</v>
      </c>
      <c r="J12" s="52">
        <v>2532284.2244999991</v>
      </c>
      <c r="K12" s="52">
        <v>2619109.9414399988</v>
      </c>
      <c r="L12" s="52">
        <v>3360763.12</v>
      </c>
      <c r="M12" s="52">
        <v>3380091.31</v>
      </c>
      <c r="N12" s="52"/>
      <c r="O12" s="52"/>
      <c r="P12" s="52"/>
      <c r="Q12" s="52"/>
      <c r="R12" s="52"/>
      <c r="S12" s="52"/>
      <c r="T12" s="52"/>
      <c r="U12" s="53"/>
      <c r="V12" s="54">
        <f t="shared" si="2"/>
        <v>14865991.731439998</v>
      </c>
      <c r="W12" s="55"/>
      <c r="X12" s="52">
        <v>2601231.4504929748</v>
      </c>
      <c r="Y12" s="52">
        <v>2347932.3452648902</v>
      </c>
      <c r="Z12" s="52">
        <v>2614041.0656586559</v>
      </c>
      <c r="AA12" s="52">
        <v>2720038.7451051208</v>
      </c>
      <c r="AB12" s="52">
        <v>2914236.5182008292</v>
      </c>
      <c r="AC12" s="52">
        <v>3029667.485154619</v>
      </c>
      <c r="AD12" s="52">
        <v>3209236.728086662</v>
      </c>
      <c r="AE12" s="52">
        <v>3149912.2163287578</v>
      </c>
      <c r="AF12" s="52">
        <v>3195899.124043325</v>
      </c>
      <c r="AG12" s="52">
        <v>3243837.6109039742</v>
      </c>
      <c r="AH12" s="52">
        <v>3018821.164150659</v>
      </c>
      <c r="AI12" s="52">
        <v>3064103.481612918</v>
      </c>
      <c r="AJ12" s="55"/>
      <c r="AK12" s="54">
        <f t="shared" si="3"/>
        <v>13197480.124722471</v>
      </c>
      <c r="AL12" s="56"/>
      <c r="AM12" s="30"/>
      <c r="AN12" s="53"/>
      <c r="AO12" s="53"/>
      <c r="AP12" s="53"/>
      <c r="AQ12" s="53"/>
      <c r="AR12" s="53"/>
      <c r="AS12" s="53"/>
      <c r="AT12" s="53"/>
      <c r="AU12" s="53"/>
      <c r="AV12" s="53"/>
      <c r="AW12" s="53"/>
      <c r="AX12" s="53"/>
      <c r="AY12" s="53"/>
    </row>
    <row r="13" spans="1:51" ht="15.75" customHeight="1" outlineLevel="1" x14ac:dyDescent="0.3">
      <c r="A13" s="48">
        <v>2</v>
      </c>
      <c r="B13" s="49"/>
      <c r="C13" s="5" t="s">
        <v>15</v>
      </c>
      <c r="D13" s="50"/>
      <c r="E13" s="50">
        <v>5111</v>
      </c>
      <c r="F13" s="51"/>
      <c r="G13" s="50"/>
      <c r="H13" s="50"/>
      <c r="I13" s="52">
        <v>3753069.9170999988</v>
      </c>
      <c r="J13" s="52">
        <v>4916448.0289000012</v>
      </c>
      <c r="K13" s="52">
        <v>5834881.8727600006</v>
      </c>
      <c r="L13" s="52">
        <v>4463788.43</v>
      </c>
      <c r="M13" s="52">
        <v>5877637.1399999997</v>
      </c>
      <c r="N13" s="52"/>
      <c r="O13" s="52"/>
      <c r="P13" s="52"/>
      <c r="Q13" s="52"/>
      <c r="R13" s="52"/>
      <c r="S13" s="52"/>
      <c r="T13" s="52"/>
      <c r="U13" s="53"/>
      <c r="V13" s="54">
        <f t="shared" si="2"/>
        <v>24845825.38876</v>
      </c>
      <c r="W13" s="55"/>
      <c r="X13" s="52">
        <v>2894915.8828701619</v>
      </c>
      <c r="Y13" s="52">
        <v>3065993.8068725951</v>
      </c>
      <c r="Z13" s="52">
        <v>3447950.9574370161</v>
      </c>
      <c r="AA13" s="52">
        <v>3581827.7800821299</v>
      </c>
      <c r="AB13" s="52">
        <v>3984423.717051174</v>
      </c>
      <c r="AC13" s="52">
        <v>4087578.9044905892</v>
      </c>
      <c r="AD13" s="52">
        <v>4662027.9313105978</v>
      </c>
      <c r="AE13" s="52">
        <v>4743490.6089120042</v>
      </c>
      <c r="AF13" s="52">
        <v>4965834.4506464042</v>
      </c>
      <c r="AG13" s="52">
        <v>5040321.9674061006</v>
      </c>
      <c r="AH13" s="52">
        <v>3975273.340614425</v>
      </c>
      <c r="AI13" s="52">
        <v>4034902.4407236418</v>
      </c>
      <c r="AJ13" s="55"/>
      <c r="AK13" s="54">
        <f t="shared" si="3"/>
        <v>16975112.144313078</v>
      </c>
      <c r="AL13" s="56"/>
      <c r="AM13" s="30"/>
      <c r="AN13" s="53"/>
      <c r="AO13" s="53"/>
      <c r="AP13" s="53"/>
      <c r="AQ13" s="53"/>
      <c r="AR13" s="53"/>
      <c r="AS13" s="53"/>
      <c r="AT13" s="53"/>
      <c r="AU13" s="53"/>
      <c r="AV13" s="53"/>
      <c r="AW13" s="53"/>
      <c r="AX13" s="53"/>
      <c r="AY13" s="53"/>
    </row>
    <row r="14" spans="1:51" ht="15.75" customHeight="1" outlineLevel="1" x14ac:dyDescent="0.3">
      <c r="A14" s="48">
        <v>2</v>
      </c>
      <c r="B14" s="49"/>
      <c r="C14" s="5" t="s">
        <v>16</v>
      </c>
      <c r="D14" s="50"/>
      <c r="E14" s="50">
        <v>5111</v>
      </c>
      <c r="F14" s="51"/>
      <c r="G14" s="50"/>
      <c r="H14" s="57"/>
      <c r="I14" s="52">
        <v>1411505940.96</v>
      </c>
      <c r="J14" s="52">
        <v>1329349498.6099999</v>
      </c>
      <c r="K14" s="52">
        <v>1501823027.21</v>
      </c>
      <c r="L14" s="52">
        <v>1525524168.5999999</v>
      </c>
      <c r="M14" s="52">
        <v>1531252880.4400001</v>
      </c>
      <c r="N14" s="52"/>
      <c r="O14" s="52"/>
      <c r="P14" s="52"/>
      <c r="Q14" s="52"/>
      <c r="R14" s="52"/>
      <c r="S14" s="52"/>
      <c r="T14" s="52"/>
      <c r="U14" s="53"/>
      <c r="V14" s="54">
        <f t="shared" si="2"/>
        <v>7299455515.8199997</v>
      </c>
      <c r="W14" s="55"/>
      <c r="X14" s="52">
        <v>1371993051.8468499</v>
      </c>
      <c r="Y14" s="52">
        <v>1276744401.841064</v>
      </c>
      <c r="Z14" s="52">
        <v>1387789480.506722</v>
      </c>
      <c r="AA14" s="52">
        <v>1417207067.5204101</v>
      </c>
      <c r="AB14" s="52">
        <v>1467890466.2939041</v>
      </c>
      <c r="AC14" s="52">
        <v>1440578750.7599449</v>
      </c>
      <c r="AD14" s="52">
        <v>1574274968.579644</v>
      </c>
      <c r="AE14" s="52">
        <v>1520736792.6998451</v>
      </c>
      <c r="AF14" s="52">
        <v>1576652603.8279159</v>
      </c>
      <c r="AG14" s="52">
        <v>1621685841.029789</v>
      </c>
      <c r="AH14" s="52">
        <v>1572880054.415976</v>
      </c>
      <c r="AI14" s="52">
        <v>1596473255.2322149</v>
      </c>
      <c r="AJ14" s="55"/>
      <c r="AK14" s="54">
        <f t="shared" si="3"/>
        <v>6921624468.0089502</v>
      </c>
      <c r="AL14" s="56"/>
      <c r="AM14" s="30"/>
      <c r="AN14" s="53"/>
      <c r="AO14" s="53"/>
      <c r="AP14" s="53"/>
      <c r="AQ14" s="53"/>
      <c r="AR14" s="53"/>
      <c r="AS14" s="53"/>
      <c r="AT14" s="53"/>
      <c r="AU14" s="53"/>
      <c r="AV14" s="53"/>
      <c r="AW14" s="53"/>
      <c r="AX14" s="53"/>
      <c r="AY14" s="53"/>
    </row>
    <row r="15" spans="1:51" ht="15.75" customHeight="1" outlineLevel="1" x14ac:dyDescent="0.3">
      <c r="A15" s="48">
        <v>2</v>
      </c>
      <c r="B15" s="49"/>
      <c r="C15" s="5" t="s">
        <v>17</v>
      </c>
      <c r="D15" s="50"/>
      <c r="E15" s="50">
        <v>5111</v>
      </c>
      <c r="F15" s="51"/>
      <c r="G15" s="50"/>
      <c r="H15" s="57"/>
      <c r="I15" s="52">
        <v>41967143.75999999</v>
      </c>
      <c r="J15" s="52">
        <v>42804261.360000007</v>
      </c>
      <c r="K15" s="52">
        <v>41062515.164160013</v>
      </c>
      <c r="L15" s="52">
        <v>47361867.080000013</v>
      </c>
      <c r="M15" s="52">
        <v>47869685.299999997</v>
      </c>
      <c r="N15" s="52"/>
      <c r="O15" s="52"/>
      <c r="P15" s="52"/>
      <c r="Q15" s="52"/>
      <c r="R15" s="52"/>
      <c r="S15" s="52"/>
      <c r="T15" s="52"/>
      <c r="U15" s="53"/>
      <c r="V15" s="54">
        <f t="shared" si="2"/>
        <v>221065472.66416001</v>
      </c>
      <c r="W15" s="55"/>
      <c r="X15" s="52">
        <v>39904737.128047913</v>
      </c>
      <c r="Y15" s="52">
        <v>38337796.136784382</v>
      </c>
      <c r="Z15" s="52">
        <v>41261744.708729483</v>
      </c>
      <c r="AA15" s="52">
        <v>42256534.194140963</v>
      </c>
      <c r="AB15" s="52">
        <v>43226277.120059647</v>
      </c>
      <c r="AC15" s="52">
        <v>40927370.214823663</v>
      </c>
      <c r="AD15" s="52">
        <v>44765326.871752612</v>
      </c>
      <c r="AE15" s="52">
        <v>43295302.402007081</v>
      </c>
      <c r="AF15" s="52">
        <v>45556152.86201264</v>
      </c>
      <c r="AG15" s="52">
        <v>46239495.154942818</v>
      </c>
      <c r="AH15" s="52">
        <v>46898199.512227453</v>
      </c>
      <c r="AI15" s="52">
        <v>47601672.504910856</v>
      </c>
      <c r="AJ15" s="55"/>
      <c r="AK15" s="54">
        <f t="shared" si="3"/>
        <v>204987089.28776237</v>
      </c>
      <c r="AL15" s="56"/>
      <c r="AM15" s="30"/>
      <c r="AN15" s="53"/>
      <c r="AO15" s="53"/>
      <c r="AP15" s="53"/>
      <c r="AQ15" s="53"/>
      <c r="AR15" s="53"/>
      <c r="AS15" s="53"/>
      <c r="AT15" s="53"/>
      <c r="AU15" s="53"/>
      <c r="AV15" s="53"/>
      <c r="AW15" s="53"/>
      <c r="AX15" s="53"/>
      <c r="AY15" s="53"/>
    </row>
    <row r="16" spans="1:51" ht="15.75" customHeight="1" outlineLevel="1" x14ac:dyDescent="0.3">
      <c r="A16" s="48">
        <v>2</v>
      </c>
      <c r="B16" s="49"/>
      <c r="C16" s="5" t="s">
        <v>18</v>
      </c>
      <c r="D16" s="50"/>
      <c r="E16" s="50">
        <v>5111</v>
      </c>
      <c r="F16" s="51"/>
      <c r="G16" s="50"/>
      <c r="H16" s="50"/>
      <c r="I16" s="52">
        <v>0</v>
      </c>
      <c r="J16" s="52">
        <v>0</v>
      </c>
      <c r="K16" s="52">
        <v>0</v>
      </c>
      <c r="L16" s="52">
        <v>0</v>
      </c>
      <c r="M16" s="52"/>
      <c r="N16" s="52"/>
      <c r="O16" s="52"/>
      <c r="P16" s="52"/>
      <c r="Q16" s="52"/>
      <c r="R16" s="52"/>
      <c r="S16" s="52"/>
      <c r="T16" s="52"/>
      <c r="U16" s="53"/>
      <c r="V16" s="54">
        <f t="shared" si="2"/>
        <v>0</v>
      </c>
      <c r="W16" s="55"/>
      <c r="X16" s="52">
        <v>0</v>
      </c>
      <c r="Y16" s="52">
        <v>0</v>
      </c>
      <c r="Z16" s="52">
        <v>0</v>
      </c>
      <c r="AA16" s="52">
        <v>35430176.688010253</v>
      </c>
      <c r="AB16" s="52">
        <v>73394523.314695224</v>
      </c>
      <c r="AC16" s="52">
        <v>108043406.3069959</v>
      </c>
      <c r="AD16" s="52">
        <v>157427496.8579644</v>
      </c>
      <c r="AE16" s="52">
        <v>190092099.0874806</v>
      </c>
      <c r="AF16" s="52">
        <v>236497890.57418749</v>
      </c>
      <c r="AG16" s="52">
        <v>283795022.18021297</v>
      </c>
      <c r="AH16" s="52">
        <v>314576010.88319498</v>
      </c>
      <c r="AI16" s="52">
        <v>359206482.42724842</v>
      </c>
      <c r="AJ16" s="55"/>
      <c r="AK16" s="54">
        <f t="shared" si="3"/>
        <v>108824700.00270548</v>
      </c>
      <c r="AL16" s="56"/>
      <c r="AM16" s="30"/>
      <c r="AN16" s="53"/>
      <c r="AO16" s="53"/>
      <c r="AP16" s="53"/>
      <c r="AQ16" s="53"/>
      <c r="AR16" s="53"/>
      <c r="AS16" s="53"/>
      <c r="AT16" s="53"/>
      <c r="AU16" s="53"/>
      <c r="AV16" s="53"/>
      <c r="AW16" s="53"/>
      <c r="AX16" s="53"/>
      <c r="AY16" s="53"/>
    </row>
    <row r="17" spans="1:51" ht="15.75" customHeight="1" outlineLevel="1" x14ac:dyDescent="0.3">
      <c r="A17" s="18">
        <v>1</v>
      </c>
      <c r="B17" s="58"/>
      <c r="C17" s="5" t="s">
        <v>19</v>
      </c>
      <c r="D17" s="50"/>
      <c r="E17" s="50">
        <v>5111</v>
      </c>
      <c r="F17" s="51"/>
      <c r="G17" s="50"/>
      <c r="H17" s="50"/>
      <c r="I17" s="52">
        <v>1215432.5</v>
      </c>
      <c r="J17" s="52">
        <v>1073509.3</v>
      </c>
      <c r="K17" s="52">
        <v>1428548.38</v>
      </c>
      <c r="L17" s="52">
        <v>1343685.97</v>
      </c>
      <c r="M17" s="52">
        <v>1471007.21</v>
      </c>
      <c r="N17" s="52"/>
      <c r="O17" s="52"/>
      <c r="P17" s="52"/>
      <c r="Q17" s="52"/>
      <c r="R17" s="52"/>
      <c r="S17" s="52"/>
      <c r="T17" s="52"/>
      <c r="U17" s="53"/>
      <c r="V17" s="54">
        <f t="shared" si="2"/>
        <v>6532183.3599999994</v>
      </c>
      <c r="W17" s="55"/>
      <c r="X17" s="52">
        <v>1243983.7636250381</v>
      </c>
      <c r="Y17" s="52">
        <v>1243983.7636250381</v>
      </c>
      <c r="Z17" s="52">
        <v>1243983.7636250381</v>
      </c>
      <c r="AA17" s="52">
        <v>1300806.9204738131</v>
      </c>
      <c r="AB17" s="52">
        <v>1300806.9204738131</v>
      </c>
      <c r="AC17" s="52">
        <v>1300806.9204738131</v>
      </c>
      <c r="AD17" s="52">
        <v>1360225.6667898099</v>
      </c>
      <c r="AE17" s="52">
        <v>1360225.6667898099</v>
      </c>
      <c r="AF17" s="52">
        <v>1360225.6667898099</v>
      </c>
      <c r="AG17" s="52">
        <v>1422358.56488206</v>
      </c>
      <c r="AH17" s="52">
        <v>1422358.56488206</v>
      </c>
      <c r="AI17" s="52">
        <v>1422358.56488206</v>
      </c>
      <c r="AJ17" s="55"/>
      <c r="AK17" s="54">
        <f t="shared" si="3"/>
        <v>6333565.1318227407</v>
      </c>
      <c r="AL17" s="56"/>
      <c r="AM17" s="30"/>
      <c r="AN17" s="53"/>
      <c r="AO17" s="53"/>
      <c r="AP17" s="53"/>
      <c r="AQ17" s="53"/>
      <c r="AR17" s="53"/>
      <c r="AS17" s="53"/>
      <c r="AT17" s="53"/>
      <c r="AU17" s="53"/>
      <c r="AV17" s="53"/>
      <c r="AW17" s="53"/>
      <c r="AX17" s="53"/>
      <c r="AY17" s="53"/>
    </row>
    <row r="18" spans="1:51" ht="15.75" customHeight="1" outlineLevel="1" x14ac:dyDescent="0.3">
      <c r="A18" s="1"/>
      <c r="B18" s="59"/>
      <c r="C18" s="5"/>
      <c r="D18" s="60"/>
      <c r="E18" s="60"/>
      <c r="F18" s="61"/>
      <c r="G18" s="60"/>
      <c r="H18" s="60"/>
      <c r="I18" s="52"/>
      <c r="J18" s="52"/>
      <c r="K18" s="52"/>
      <c r="L18" s="52"/>
      <c r="M18" s="52"/>
      <c r="N18" s="52"/>
      <c r="O18" s="52"/>
      <c r="P18" s="52"/>
      <c r="Q18" s="52"/>
      <c r="R18" s="52"/>
      <c r="S18" s="52"/>
      <c r="T18" s="52"/>
      <c r="U18" s="7"/>
      <c r="V18" s="54">
        <f t="shared" si="2"/>
        <v>0</v>
      </c>
      <c r="W18" s="9"/>
      <c r="X18" s="52"/>
      <c r="Y18" s="52"/>
      <c r="Z18" s="52"/>
      <c r="AA18" s="52"/>
      <c r="AB18" s="52"/>
      <c r="AC18" s="52"/>
      <c r="AD18" s="52"/>
      <c r="AE18" s="52"/>
      <c r="AF18" s="52"/>
      <c r="AG18" s="52"/>
      <c r="AH18" s="52"/>
      <c r="AI18" s="52"/>
      <c r="AJ18" s="9"/>
      <c r="AK18" s="54">
        <f t="shared" si="3"/>
        <v>0</v>
      </c>
      <c r="AL18" s="10"/>
      <c r="AM18" s="30"/>
      <c r="AN18" s="7"/>
      <c r="AO18" s="7"/>
      <c r="AP18" s="7"/>
      <c r="AQ18" s="7"/>
      <c r="AR18" s="7"/>
      <c r="AS18" s="7"/>
    </row>
    <row r="19" spans="1:51" ht="15.75" customHeight="1" outlineLevel="1" x14ac:dyDescent="0.3">
      <c r="A19" s="1"/>
      <c r="B19" s="59"/>
      <c r="C19" s="5"/>
      <c r="D19" s="60"/>
      <c r="E19" s="60"/>
      <c r="F19" s="61"/>
      <c r="G19" s="60"/>
      <c r="H19" s="60"/>
      <c r="I19" s="52"/>
      <c r="J19" s="52"/>
      <c r="K19" s="52"/>
      <c r="L19" s="52"/>
      <c r="M19" s="52"/>
      <c r="N19" s="52"/>
      <c r="O19" s="52"/>
      <c r="P19" s="52"/>
      <c r="Q19" s="52"/>
      <c r="R19" s="52"/>
      <c r="S19" s="52"/>
      <c r="T19" s="52"/>
      <c r="U19" s="7"/>
      <c r="V19" s="54">
        <f t="shared" si="2"/>
        <v>0</v>
      </c>
      <c r="W19" s="9"/>
      <c r="X19" s="52"/>
      <c r="Y19" s="52"/>
      <c r="Z19" s="52"/>
      <c r="AA19" s="52"/>
      <c r="AB19" s="52"/>
      <c r="AC19" s="52"/>
      <c r="AD19" s="52"/>
      <c r="AE19" s="52"/>
      <c r="AF19" s="52"/>
      <c r="AG19" s="52"/>
      <c r="AH19" s="52"/>
      <c r="AI19" s="52"/>
      <c r="AJ19" s="9"/>
      <c r="AK19" s="54">
        <f t="shared" si="3"/>
        <v>0</v>
      </c>
      <c r="AL19" s="10"/>
      <c r="AM19" s="30"/>
      <c r="AN19" s="7"/>
      <c r="AO19" s="7"/>
      <c r="AP19" s="7"/>
      <c r="AQ19" s="7"/>
      <c r="AR19" s="7"/>
      <c r="AS19" s="7"/>
    </row>
    <row r="20" spans="1:51" ht="15.75" customHeight="1" x14ac:dyDescent="0.3">
      <c r="A20" s="22"/>
      <c r="B20" s="41"/>
      <c r="C20" s="62"/>
      <c r="D20" s="42" t="s">
        <v>20</v>
      </c>
      <c r="E20" s="42"/>
      <c r="F20" s="42"/>
      <c r="G20" s="43"/>
      <c r="H20" s="43"/>
      <c r="I20" s="44">
        <f t="shared" ref="I20:T20" si="4">SUM(I21:I36)</f>
        <v>130487816.87999998</v>
      </c>
      <c r="J20" s="44">
        <f t="shared" si="4"/>
        <v>154488228.38666669</v>
      </c>
      <c r="K20" s="44">
        <f t="shared" si="4"/>
        <v>121457584.09333332</v>
      </c>
      <c r="L20" s="44">
        <f t="shared" si="4"/>
        <v>139669304.52000001</v>
      </c>
      <c r="M20" s="44">
        <f t="shared" si="4"/>
        <v>149897688.21000001</v>
      </c>
      <c r="N20" s="44">
        <f t="shared" si="4"/>
        <v>0</v>
      </c>
      <c r="O20" s="44">
        <f t="shared" si="4"/>
        <v>0</v>
      </c>
      <c r="P20" s="44">
        <f t="shared" si="4"/>
        <v>0</v>
      </c>
      <c r="Q20" s="44">
        <f t="shared" si="4"/>
        <v>0</v>
      </c>
      <c r="R20" s="44">
        <f t="shared" si="4"/>
        <v>0</v>
      </c>
      <c r="S20" s="44">
        <f t="shared" si="4"/>
        <v>0</v>
      </c>
      <c r="T20" s="44">
        <f t="shared" si="4"/>
        <v>0</v>
      </c>
      <c r="U20" s="7"/>
      <c r="V20" s="45">
        <f t="shared" si="2"/>
        <v>696000622.09000003</v>
      </c>
      <c r="W20" s="40"/>
      <c r="X20" s="44">
        <v>132613206.4649609</v>
      </c>
      <c r="Y20" s="44">
        <v>129815243.94769789</v>
      </c>
      <c r="Z20" s="44">
        <v>126887789.42838649</v>
      </c>
      <c r="AA20" s="44">
        <v>136263152.95247421</v>
      </c>
      <c r="AB20" s="44">
        <v>137319881.65698549</v>
      </c>
      <c r="AC20" s="44">
        <v>138415238.7840136</v>
      </c>
      <c r="AD20" s="44">
        <v>147522572.2930558</v>
      </c>
      <c r="AE20" s="44">
        <v>149053939.0567987</v>
      </c>
      <c r="AF20" s="44">
        <v>150723119.7529237</v>
      </c>
      <c r="AG20" s="44">
        <v>161438438.94986361</v>
      </c>
      <c r="AH20" s="44">
        <v>166261840.77963969</v>
      </c>
      <c r="AI20" s="44">
        <v>173878495.97727111</v>
      </c>
      <c r="AJ20" s="40"/>
      <c r="AK20" s="45">
        <f t="shared" si="3"/>
        <v>662899274.45050502</v>
      </c>
      <c r="AL20" s="10"/>
      <c r="AM20" s="30">
        <f>+V20-AK20</f>
        <v>33101347.639495015</v>
      </c>
      <c r="AN20" s="47">
        <f>+AM20/AK20</f>
        <v>4.9934204056768065E-2</v>
      </c>
      <c r="AO20" s="7"/>
      <c r="AP20" s="7"/>
      <c r="AQ20" s="7"/>
      <c r="AR20" s="7"/>
      <c r="AS20" s="7"/>
    </row>
    <row r="21" spans="1:51" ht="15.75" customHeight="1" outlineLevel="1" x14ac:dyDescent="0.3">
      <c r="A21" s="48">
        <v>1</v>
      </c>
      <c r="B21" s="49"/>
      <c r="C21" s="5" t="s">
        <v>21</v>
      </c>
      <c r="D21" s="50"/>
      <c r="E21" s="50">
        <v>5111</v>
      </c>
      <c r="F21" s="63"/>
      <c r="G21" s="64"/>
      <c r="H21" s="50"/>
      <c r="I21" s="52">
        <v>22166717.43</v>
      </c>
      <c r="J21" s="52">
        <v>20929743.550000001</v>
      </c>
      <c r="K21" s="52">
        <v>19689476.25</v>
      </c>
      <c r="L21" s="52">
        <v>22612629.370000001</v>
      </c>
      <c r="M21" s="52">
        <v>22186516.129999999</v>
      </c>
      <c r="N21" s="52"/>
      <c r="O21" s="52"/>
      <c r="P21" s="52"/>
      <c r="Q21" s="52"/>
      <c r="R21" s="52"/>
      <c r="S21" s="52"/>
      <c r="T21" s="52"/>
      <c r="U21" s="53"/>
      <c r="V21" s="54">
        <f t="shared" si="2"/>
        <v>107585082.73</v>
      </c>
      <c r="W21" s="55"/>
      <c r="X21" s="52">
        <v>21263922.342541799</v>
      </c>
      <c r="Y21" s="52">
        <v>21543070.251140431</v>
      </c>
      <c r="Z21" s="52">
        <v>21826007.26910264</v>
      </c>
      <c r="AA21" s="52">
        <v>22112786.251976229</v>
      </c>
      <c r="AB21" s="52">
        <v>22403460.8083313</v>
      </c>
      <c r="AC21" s="52">
        <v>22698085.310657449</v>
      </c>
      <c r="AD21" s="52">
        <v>22996714.906420499</v>
      </c>
      <c r="AE21" s="52">
        <v>23299405.529281031</v>
      </c>
      <c r="AF21" s="52">
        <v>23606213.910477109</v>
      </c>
      <c r="AG21" s="52">
        <v>23917197.590373699</v>
      </c>
      <c r="AH21" s="52">
        <v>24232414.930181138</v>
      </c>
      <c r="AI21" s="52">
        <v>24551925.123845201</v>
      </c>
      <c r="AJ21" s="55"/>
      <c r="AK21" s="54">
        <f t="shared" si="3"/>
        <v>109149246.9230924</v>
      </c>
      <c r="AL21" s="56"/>
      <c r="AM21" s="30"/>
      <c r="AN21" s="53"/>
      <c r="AO21" s="53"/>
      <c r="AP21" s="53"/>
      <c r="AQ21" s="53"/>
      <c r="AR21" s="53"/>
      <c r="AS21" s="53"/>
      <c r="AT21" s="53"/>
      <c r="AU21" s="53"/>
      <c r="AV21" s="53"/>
      <c r="AW21" s="53"/>
      <c r="AX21" s="53"/>
      <c r="AY21" s="53"/>
    </row>
    <row r="22" spans="1:51" ht="15.75" customHeight="1" outlineLevel="1" x14ac:dyDescent="0.3">
      <c r="A22" s="48">
        <v>1</v>
      </c>
      <c r="B22" s="49"/>
      <c r="C22" s="5" t="s">
        <v>22</v>
      </c>
      <c r="D22" s="50" t="s">
        <v>23</v>
      </c>
      <c r="E22" s="50">
        <v>5111</v>
      </c>
      <c r="F22" s="65"/>
      <c r="G22" s="50"/>
      <c r="H22" s="50"/>
      <c r="I22" s="52">
        <v>62130128.350000001</v>
      </c>
      <c r="J22" s="52">
        <v>48199032</v>
      </c>
      <c r="K22" s="52">
        <v>39454206</v>
      </c>
      <c r="L22" s="52">
        <v>45028730</v>
      </c>
      <c r="M22" s="52">
        <v>50861032.590000004</v>
      </c>
      <c r="N22" s="52"/>
      <c r="O22" s="52"/>
      <c r="P22" s="52"/>
      <c r="Q22" s="52"/>
      <c r="R22" s="52"/>
      <c r="S22" s="52"/>
      <c r="T22" s="52"/>
      <c r="U22" s="53"/>
      <c r="V22" s="54">
        <f t="shared" si="2"/>
        <v>245673128.94</v>
      </c>
      <c r="W22" s="55"/>
      <c r="X22" s="52">
        <v>43139377.439999998</v>
      </c>
      <c r="Y22" s="52">
        <v>39544429.32</v>
      </c>
      <c r="Z22" s="52">
        <v>35949481.200000003</v>
      </c>
      <c r="AA22" s="52">
        <v>43230334.345805377</v>
      </c>
      <c r="AB22" s="52">
        <v>43230334.345805377</v>
      </c>
      <c r="AC22" s="52">
        <v>43230334.345805377</v>
      </c>
      <c r="AD22" s="52">
        <v>50177578.604065582</v>
      </c>
      <c r="AE22" s="52">
        <v>50177578.604065582</v>
      </c>
      <c r="AF22" s="52">
        <v>50177578.604065582</v>
      </c>
      <c r="AG22" s="52">
        <v>58398674.656877197</v>
      </c>
      <c r="AH22" s="52">
        <v>61179563.926252313</v>
      </c>
      <c r="AI22" s="52">
        <v>66741342.465002507</v>
      </c>
      <c r="AJ22" s="55"/>
      <c r="AK22" s="54">
        <f t="shared" si="3"/>
        <v>205093956.65161076</v>
      </c>
      <c r="AL22" s="56"/>
      <c r="AM22" s="30"/>
      <c r="AN22" s="53"/>
      <c r="AO22" s="53"/>
      <c r="AP22" s="53"/>
      <c r="AQ22" s="53"/>
      <c r="AR22" s="53"/>
      <c r="AS22" s="53"/>
      <c r="AT22" s="53"/>
      <c r="AU22" s="53"/>
      <c r="AV22" s="53"/>
      <c r="AW22" s="53"/>
      <c r="AX22" s="53"/>
      <c r="AY22" s="53"/>
    </row>
    <row r="23" spans="1:51" ht="15.75" customHeight="1" outlineLevel="1" x14ac:dyDescent="0.3">
      <c r="A23" s="48">
        <v>1</v>
      </c>
      <c r="B23" s="49"/>
      <c r="C23" s="5" t="s">
        <v>22</v>
      </c>
      <c r="D23" s="50" t="s">
        <v>24</v>
      </c>
      <c r="E23" s="50">
        <v>5111</v>
      </c>
      <c r="F23" s="65"/>
      <c r="G23" s="50"/>
      <c r="H23" s="50"/>
      <c r="I23" s="52">
        <v>0</v>
      </c>
      <c r="J23" s="52">
        <v>0</v>
      </c>
      <c r="K23" s="52">
        <v>0</v>
      </c>
      <c r="L23" s="52">
        <v>0</v>
      </c>
      <c r="M23" s="52"/>
      <c r="N23" s="52"/>
      <c r="O23" s="52"/>
      <c r="P23" s="52"/>
      <c r="Q23" s="52"/>
      <c r="R23" s="52"/>
      <c r="S23" s="52"/>
      <c r="T23" s="52"/>
      <c r="U23" s="53"/>
      <c r="V23" s="54">
        <f t="shared" si="2"/>
        <v>0</v>
      </c>
      <c r="W23" s="55"/>
      <c r="X23" s="52">
        <v>270600</v>
      </c>
      <c r="Y23" s="52">
        <v>369600</v>
      </c>
      <c r="Z23" s="52">
        <v>379500</v>
      </c>
      <c r="AA23" s="52">
        <v>435600</v>
      </c>
      <c r="AB23" s="52">
        <v>471900</v>
      </c>
      <c r="AC23" s="52">
        <v>471900</v>
      </c>
      <c r="AD23" s="52">
        <v>495000</v>
      </c>
      <c r="AE23" s="52">
        <v>495000</v>
      </c>
      <c r="AF23" s="52">
        <v>495000</v>
      </c>
      <c r="AG23" s="52">
        <v>518100</v>
      </c>
      <c r="AH23" s="52">
        <v>518100</v>
      </c>
      <c r="AI23" s="52">
        <v>518100</v>
      </c>
      <c r="AJ23" s="55"/>
      <c r="AK23" s="54">
        <f t="shared" si="3"/>
        <v>1927200</v>
      </c>
      <c r="AL23" s="56"/>
      <c r="AM23" s="30"/>
      <c r="AN23" s="53"/>
      <c r="AO23" s="53"/>
      <c r="AP23" s="53"/>
      <c r="AQ23" s="53"/>
      <c r="AR23" s="53"/>
      <c r="AS23" s="53"/>
      <c r="AT23" s="53"/>
      <c r="AU23" s="53"/>
      <c r="AV23" s="53"/>
      <c r="AW23" s="53"/>
      <c r="AX23" s="53"/>
      <c r="AY23" s="53"/>
    </row>
    <row r="24" spans="1:51" ht="15.75" customHeight="1" outlineLevel="1" x14ac:dyDescent="0.3">
      <c r="A24" s="48">
        <v>1</v>
      </c>
      <c r="B24" s="49"/>
      <c r="C24" s="5" t="s">
        <v>25</v>
      </c>
      <c r="D24" s="50"/>
      <c r="E24" s="50">
        <v>5111</v>
      </c>
      <c r="F24" s="50"/>
      <c r="G24" s="50"/>
      <c r="H24" s="50"/>
      <c r="I24" s="52">
        <v>987716.02</v>
      </c>
      <c r="J24" s="52">
        <v>972221.92</v>
      </c>
      <c r="K24" s="52">
        <v>954267.72</v>
      </c>
      <c r="L24" s="52">
        <v>1044493.17</v>
      </c>
      <c r="M24" s="52">
        <v>1075303.74</v>
      </c>
      <c r="N24" s="52"/>
      <c r="O24" s="52"/>
      <c r="P24" s="52"/>
      <c r="Q24" s="52"/>
      <c r="R24" s="52"/>
      <c r="S24" s="52"/>
      <c r="T24" s="52"/>
      <c r="U24" s="52"/>
      <c r="V24" s="54">
        <f t="shared" si="2"/>
        <v>5034002.57</v>
      </c>
      <c r="W24" s="55"/>
      <c r="X24" s="52">
        <v>893794.90325913799</v>
      </c>
      <c r="Y24" s="52">
        <v>907201.82680802501</v>
      </c>
      <c r="Z24" s="52">
        <v>920809.85421014531</v>
      </c>
      <c r="AA24" s="52">
        <v>934622.00202329736</v>
      </c>
      <c r="AB24" s="52">
        <v>948641.33205364668</v>
      </c>
      <c r="AC24" s="52">
        <v>962870.9520344513</v>
      </c>
      <c r="AD24" s="52">
        <v>977314.016314968</v>
      </c>
      <c r="AE24" s="52">
        <v>991973.72655969241</v>
      </c>
      <c r="AF24" s="52">
        <v>1006853.3324580881</v>
      </c>
      <c r="AG24" s="52">
        <v>1021956.132444959</v>
      </c>
      <c r="AH24" s="52">
        <v>1037285.474431633</v>
      </c>
      <c r="AI24" s="52">
        <v>1052844.7565481081</v>
      </c>
      <c r="AJ24" s="55"/>
      <c r="AK24" s="54">
        <f t="shared" si="3"/>
        <v>4605069.9183542524</v>
      </c>
      <c r="AL24" s="56"/>
      <c r="AM24" s="30"/>
      <c r="AN24" s="53"/>
      <c r="AO24" s="53"/>
      <c r="AP24" s="53"/>
      <c r="AQ24" s="53"/>
      <c r="AR24" s="53"/>
      <c r="AS24" s="53"/>
      <c r="AT24" s="53"/>
      <c r="AU24" s="53"/>
      <c r="AV24" s="53"/>
      <c r="AW24" s="53"/>
      <c r="AX24" s="53"/>
      <c r="AY24" s="53"/>
    </row>
    <row r="25" spans="1:51" ht="15.75" customHeight="1" outlineLevel="1" x14ac:dyDescent="0.3">
      <c r="A25" s="48">
        <v>1</v>
      </c>
      <c r="B25" s="49"/>
      <c r="C25" s="5" t="s">
        <v>26</v>
      </c>
      <c r="D25" s="50"/>
      <c r="E25" s="50">
        <v>5111</v>
      </c>
      <c r="F25" s="50"/>
      <c r="G25" s="50"/>
      <c r="H25" s="50"/>
      <c r="I25" s="52">
        <v>567084.6</v>
      </c>
      <c r="J25" s="52">
        <v>-407194.8</v>
      </c>
      <c r="K25" s="52">
        <v>0</v>
      </c>
      <c r="L25" s="52">
        <v>0</v>
      </c>
      <c r="M25" s="52"/>
      <c r="N25" s="52"/>
      <c r="O25" s="52"/>
      <c r="P25" s="52"/>
      <c r="Q25" s="52"/>
      <c r="R25" s="52"/>
      <c r="S25" s="52"/>
      <c r="T25" s="52"/>
      <c r="U25" s="53"/>
      <c r="V25" s="54">
        <f t="shared" si="2"/>
        <v>159889.79999999999</v>
      </c>
      <c r="W25" s="55"/>
      <c r="X25" s="52">
        <v>564624.9376732799</v>
      </c>
      <c r="Y25" s="52">
        <v>564624.9376732799</v>
      </c>
      <c r="Z25" s="52">
        <v>564624.9376732799</v>
      </c>
      <c r="AA25" s="52">
        <v>590416.08731067134</v>
      </c>
      <c r="AB25" s="52">
        <v>590416.08731067134</v>
      </c>
      <c r="AC25" s="52">
        <v>590416.08731067134</v>
      </c>
      <c r="AD25" s="52">
        <v>617385.33475288074</v>
      </c>
      <c r="AE25" s="52">
        <v>617385.33475288074</v>
      </c>
      <c r="AF25" s="52">
        <v>617385.33475288074</v>
      </c>
      <c r="AG25" s="52">
        <v>645586.49359322316</v>
      </c>
      <c r="AH25" s="52">
        <v>645586.49359322316</v>
      </c>
      <c r="AI25" s="52">
        <v>645586.49359322316</v>
      </c>
      <c r="AJ25" s="55"/>
      <c r="AK25" s="54">
        <f t="shared" si="3"/>
        <v>2874706.9876411823</v>
      </c>
      <c r="AL25" s="56"/>
      <c r="AM25" s="30"/>
      <c r="AN25" s="53"/>
      <c r="AO25" s="53"/>
      <c r="AP25" s="53"/>
      <c r="AQ25" s="53"/>
      <c r="AR25" s="53"/>
      <c r="AS25" s="53"/>
      <c r="AT25" s="53"/>
      <c r="AU25" s="53"/>
      <c r="AV25" s="53"/>
      <c r="AW25" s="53"/>
      <c r="AX25" s="53"/>
      <c r="AY25" s="53"/>
    </row>
    <row r="26" spans="1:51" ht="15.75" customHeight="1" outlineLevel="1" x14ac:dyDescent="0.3">
      <c r="A26" s="48">
        <v>1</v>
      </c>
      <c r="B26" s="49"/>
      <c r="C26" s="5" t="s">
        <v>27</v>
      </c>
      <c r="D26" s="50"/>
      <c r="E26" s="50">
        <v>5111</v>
      </c>
      <c r="F26" s="21"/>
      <c r="G26" s="50"/>
      <c r="H26" s="50"/>
      <c r="I26" s="52">
        <v>0</v>
      </c>
      <c r="J26" s="52">
        <v>40336838.666666687</v>
      </c>
      <c r="K26" s="52">
        <f>+J26/2</f>
        <v>20168419.333333343</v>
      </c>
      <c r="L26" s="52">
        <v>20168419.300000001</v>
      </c>
      <c r="M26" s="52">
        <v>20168419.300000001</v>
      </c>
      <c r="N26" s="52"/>
      <c r="O26" s="52"/>
      <c r="P26" s="52"/>
      <c r="Q26" s="52"/>
      <c r="R26" s="52"/>
      <c r="S26" s="52"/>
      <c r="T26" s="52"/>
      <c r="U26" s="53"/>
      <c r="V26" s="54">
        <f t="shared" si="2"/>
        <v>100842096.60000002</v>
      </c>
      <c r="W26" s="55"/>
      <c r="X26" s="52">
        <v>21256746.00833334</v>
      </c>
      <c r="Y26" s="52">
        <v>21256746.00833334</v>
      </c>
      <c r="Z26" s="52">
        <v>21256746.00833334</v>
      </c>
      <c r="AA26" s="52">
        <v>21256746.00833334</v>
      </c>
      <c r="AB26" s="52">
        <v>21256746.00833334</v>
      </c>
      <c r="AC26" s="52">
        <v>21256746.00833334</v>
      </c>
      <c r="AD26" s="52">
        <v>21256746.00833334</v>
      </c>
      <c r="AE26" s="52">
        <v>21256746.00833334</v>
      </c>
      <c r="AF26" s="52">
        <v>21256746.00833334</v>
      </c>
      <c r="AG26" s="52">
        <v>21256746.00833334</v>
      </c>
      <c r="AH26" s="52">
        <v>21256746.00833334</v>
      </c>
      <c r="AI26" s="52">
        <v>21256746.00833334</v>
      </c>
      <c r="AJ26" s="55"/>
      <c r="AK26" s="54">
        <f t="shared" si="3"/>
        <v>106283730.0416667</v>
      </c>
      <c r="AL26" s="56"/>
      <c r="AM26" s="30"/>
      <c r="AN26" s="53"/>
      <c r="AO26" s="53"/>
      <c r="AP26" s="53"/>
      <c r="AQ26" s="53"/>
      <c r="AR26" s="53"/>
      <c r="AS26" s="53"/>
      <c r="AT26" s="53"/>
      <c r="AU26" s="53"/>
      <c r="AV26" s="53"/>
      <c r="AW26" s="53"/>
      <c r="AX26" s="53"/>
      <c r="AY26" s="53"/>
    </row>
    <row r="27" spans="1:51" ht="15.75" customHeight="1" outlineLevel="1" x14ac:dyDescent="0.3">
      <c r="A27" s="48">
        <v>1</v>
      </c>
      <c r="B27" s="49"/>
      <c r="C27" s="5" t="s">
        <v>28</v>
      </c>
      <c r="D27" s="50"/>
      <c r="E27" s="50">
        <v>5111</v>
      </c>
      <c r="F27" s="50"/>
      <c r="G27" s="50"/>
      <c r="H27" s="50"/>
      <c r="I27" s="52">
        <v>1170304.46</v>
      </c>
      <c r="J27" s="52">
        <v>1313290.74</v>
      </c>
      <c r="K27" s="52">
        <v>1488814.85</v>
      </c>
      <c r="L27" s="52">
        <v>1368036.9</v>
      </c>
      <c r="M27" s="52">
        <v>1378201.65</v>
      </c>
      <c r="N27" s="52"/>
      <c r="O27" s="52"/>
      <c r="P27" s="52"/>
      <c r="Q27" s="52"/>
      <c r="R27" s="52"/>
      <c r="S27" s="52"/>
      <c r="T27" s="52"/>
      <c r="U27" s="53"/>
      <c r="V27" s="54">
        <f t="shared" si="2"/>
        <v>6718648.5999999996</v>
      </c>
      <c r="W27" s="55"/>
      <c r="X27" s="52">
        <v>1213256.185138063</v>
      </c>
      <c r="Y27" s="52">
        <v>1213256.185138063</v>
      </c>
      <c r="Z27" s="52">
        <v>1213256.185138063</v>
      </c>
      <c r="AA27" s="52">
        <v>1268675.7561338679</v>
      </c>
      <c r="AB27" s="52">
        <v>1268675.7561338679</v>
      </c>
      <c r="AC27" s="52">
        <v>1268675.7561338679</v>
      </c>
      <c r="AD27" s="52">
        <v>1326626.803075959</v>
      </c>
      <c r="AE27" s="52">
        <v>1326626.803075959</v>
      </c>
      <c r="AF27" s="52">
        <v>1326626.803075959</v>
      </c>
      <c r="AG27" s="52">
        <v>1387224.9596719129</v>
      </c>
      <c r="AH27" s="52">
        <v>1387224.9596719129</v>
      </c>
      <c r="AI27" s="52">
        <v>1387224.9596719129</v>
      </c>
      <c r="AJ27" s="55"/>
      <c r="AK27" s="54">
        <f t="shared" si="3"/>
        <v>6177120.0676819254</v>
      </c>
      <c r="AL27" s="56"/>
      <c r="AM27" s="30"/>
      <c r="AN27" s="53"/>
      <c r="AO27" s="53"/>
      <c r="AP27" s="53"/>
      <c r="AQ27" s="53"/>
      <c r="AR27" s="53"/>
      <c r="AS27" s="53"/>
      <c r="AT27" s="53"/>
      <c r="AU27" s="53"/>
      <c r="AV27" s="53"/>
      <c r="AW27" s="53"/>
      <c r="AX27" s="53"/>
      <c r="AY27" s="53"/>
    </row>
    <row r="28" spans="1:51" ht="17.25" customHeight="1" outlineLevel="1" x14ac:dyDescent="0.3">
      <c r="A28" s="48">
        <v>1</v>
      </c>
      <c r="B28" s="49"/>
      <c r="C28" s="5" t="s">
        <v>29</v>
      </c>
      <c r="D28" s="50" t="s">
        <v>30</v>
      </c>
      <c r="E28" s="50">
        <v>5111</v>
      </c>
      <c r="F28" s="65"/>
      <c r="G28" s="66"/>
      <c r="H28" s="51"/>
      <c r="I28" s="52">
        <v>11044183.32</v>
      </c>
      <c r="J28" s="52">
        <v>8443666.5099999998</v>
      </c>
      <c r="K28" s="52">
        <v>9320434.7699999996</v>
      </c>
      <c r="L28" s="52">
        <v>9289060.3200000003</v>
      </c>
      <c r="M28" s="52">
        <v>10793227.5</v>
      </c>
      <c r="N28" s="52"/>
      <c r="O28" s="52"/>
      <c r="P28" s="52"/>
      <c r="Q28" s="52"/>
      <c r="R28" s="52"/>
      <c r="S28" s="52"/>
      <c r="T28" s="52"/>
      <c r="U28" s="53"/>
      <c r="V28" s="54">
        <f t="shared" si="2"/>
        <v>48890572.420000002</v>
      </c>
      <c r="W28" s="55"/>
      <c r="X28" s="52">
        <v>10944529.859654229</v>
      </c>
      <c r="Y28" s="52">
        <v>9997828.026794143</v>
      </c>
      <c r="Z28" s="52">
        <v>9133015.9024764486</v>
      </c>
      <c r="AA28" s="52">
        <v>8343010.0269122366</v>
      </c>
      <c r="AB28" s="52">
        <v>7621339.6595843267</v>
      </c>
      <c r="AC28" s="52">
        <v>6962093.7790302821</v>
      </c>
      <c r="AD28" s="52">
        <v>6359872.6671441626</v>
      </c>
      <c r="AE28" s="52">
        <v>5809743.6814361922</v>
      </c>
      <c r="AF28" s="52">
        <v>5307200.8529919609</v>
      </c>
      <c r="AG28" s="52">
        <v>4848127.9792081555</v>
      </c>
      <c r="AH28" s="52">
        <v>4428764.9090066506</v>
      </c>
      <c r="AI28" s="52">
        <v>4045676.7443775758</v>
      </c>
      <c r="AJ28" s="55"/>
      <c r="AK28" s="54">
        <f t="shared" si="3"/>
        <v>46039723.475421384</v>
      </c>
      <c r="AL28" s="56"/>
      <c r="AM28" s="30"/>
      <c r="AN28" s="53"/>
      <c r="AO28" s="53"/>
      <c r="AP28" s="53"/>
      <c r="AQ28" s="53"/>
      <c r="AR28" s="53"/>
      <c r="AS28" s="53"/>
      <c r="AT28" s="53"/>
      <c r="AU28" s="53"/>
      <c r="AV28" s="53"/>
      <c r="AW28" s="53"/>
      <c r="AX28" s="53"/>
      <c r="AY28" s="53"/>
    </row>
    <row r="29" spans="1:51" ht="15.75" customHeight="1" outlineLevel="1" x14ac:dyDescent="0.3">
      <c r="A29" s="48">
        <v>1</v>
      </c>
      <c r="B29" s="49"/>
      <c r="C29" s="5" t="s">
        <v>29</v>
      </c>
      <c r="D29" s="50" t="s">
        <v>31</v>
      </c>
      <c r="E29" s="50">
        <v>5111</v>
      </c>
      <c r="F29" s="65"/>
      <c r="G29" s="50"/>
      <c r="H29" s="51"/>
      <c r="I29" s="52">
        <v>26012629.829999998</v>
      </c>
      <c r="J29" s="52">
        <v>27248448.039999999</v>
      </c>
      <c r="K29" s="52">
        <v>30514692.390000001</v>
      </c>
      <c r="L29" s="52">
        <v>31709519.510000002</v>
      </c>
      <c r="M29" s="52">
        <v>36308194</v>
      </c>
      <c r="N29" s="52"/>
      <c r="O29" s="52"/>
      <c r="P29" s="52"/>
      <c r="Q29" s="52"/>
      <c r="R29" s="52"/>
      <c r="S29" s="52"/>
      <c r="T29" s="52"/>
      <c r="U29" s="53"/>
      <c r="V29" s="54">
        <f t="shared" si="2"/>
        <v>151793483.76999998</v>
      </c>
      <c r="W29" s="55"/>
      <c r="X29" s="52">
        <v>24928650.76019866</v>
      </c>
      <c r="Y29" s="52">
        <v>26024300.321275659</v>
      </c>
      <c r="Z29" s="52">
        <v>27183791.14913917</v>
      </c>
      <c r="AA29" s="52">
        <v>28463774.832498919</v>
      </c>
      <c r="AB29" s="52">
        <v>29763372.107168589</v>
      </c>
      <c r="AC29" s="52">
        <v>31139779.78996351</v>
      </c>
      <c r="AD29" s="52">
        <v>32652897.017935231</v>
      </c>
      <c r="AE29" s="52">
        <v>34197939.682070017</v>
      </c>
      <c r="AF29" s="52">
        <v>35835466.623614609</v>
      </c>
      <c r="AG29" s="52">
        <v>37628911.690366529</v>
      </c>
      <c r="AH29" s="52">
        <v>39469555.507410087</v>
      </c>
      <c r="AI29" s="52">
        <v>41421630.184374057</v>
      </c>
      <c r="AJ29" s="55"/>
      <c r="AK29" s="54">
        <f t="shared" si="3"/>
        <v>136363889.17028099</v>
      </c>
      <c r="AL29" s="56"/>
      <c r="AM29" s="30"/>
      <c r="AN29" s="53"/>
      <c r="AO29" s="53"/>
      <c r="AP29" s="53"/>
      <c r="AQ29" s="53"/>
      <c r="AR29" s="53"/>
      <c r="AS29" s="53"/>
      <c r="AT29" s="53"/>
      <c r="AU29" s="53"/>
      <c r="AV29" s="53"/>
      <c r="AW29" s="53"/>
      <c r="AX29" s="53"/>
      <c r="AY29" s="53"/>
    </row>
    <row r="30" spans="1:51" ht="15.75" customHeight="1" outlineLevel="1" x14ac:dyDescent="0.3">
      <c r="A30" s="18">
        <v>1</v>
      </c>
      <c r="B30" s="58"/>
      <c r="C30" s="5" t="s">
        <v>32</v>
      </c>
      <c r="D30" s="50"/>
      <c r="E30" s="50">
        <v>5111</v>
      </c>
      <c r="F30" s="50"/>
      <c r="G30" s="50"/>
      <c r="H30" s="50"/>
      <c r="I30" s="52">
        <v>2732192.76</v>
      </c>
      <c r="J30" s="52">
        <v>2975325</v>
      </c>
      <c r="K30" s="52">
        <v>-4664299.4499999993</v>
      </c>
      <c r="L30" s="52">
        <v>2929705.4</v>
      </c>
      <c r="M30" s="52">
        <v>3633862</v>
      </c>
      <c r="N30" s="52"/>
      <c r="O30" s="52"/>
      <c r="P30" s="52"/>
      <c r="Q30" s="52"/>
      <c r="R30" s="52"/>
      <c r="S30" s="52"/>
      <c r="T30" s="52"/>
      <c r="U30" s="53"/>
      <c r="V30" s="54">
        <f t="shared" si="2"/>
        <v>7606785.7100000009</v>
      </c>
      <c r="W30" s="55"/>
      <c r="X30" s="52">
        <v>4272538.1937159561</v>
      </c>
      <c r="Y30" s="52">
        <v>4317548.3260885514</v>
      </c>
      <c r="Z30" s="52">
        <v>4363233.6104467344</v>
      </c>
      <c r="AA30" s="52">
        <v>4467700.7955303341</v>
      </c>
      <c r="AB30" s="52">
        <v>4514766.9176082443</v>
      </c>
      <c r="AC30" s="52">
        <v>4562539.0315173231</v>
      </c>
      <c r="AD30" s="52">
        <v>4671778.1078563659</v>
      </c>
      <c r="AE30" s="52">
        <v>4720994.1339083463</v>
      </c>
      <c r="AF30" s="52">
        <v>4770948.4003511062</v>
      </c>
      <c r="AG30" s="52">
        <v>4885177.3401838169</v>
      </c>
      <c r="AH30" s="52">
        <v>4936641.4743298097</v>
      </c>
      <c r="AI30" s="52">
        <v>4988877.5704879928</v>
      </c>
      <c r="AJ30" s="55"/>
      <c r="AK30" s="54">
        <f t="shared" si="3"/>
        <v>21935787.843389824</v>
      </c>
      <c r="AL30" s="56"/>
      <c r="AM30" s="30"/>
      <c r="AN30" s="53"/>
      <c r="AO30" s="53"/>
      <c r="AP30" s="53"/>
      <c r="AQ30" s="53"/>
      <c r="AR30" s="53"/>
      <c r="AS30" s="53"/>
      <c r="AT30" s="53"/>
      <c r="AU30" s="53"/>
      <c r="AV30" s="53"/>
      <c r="AW30" s="53"/>
      <c r="AX30" s="53"/>
      <c r="AY30" s="53"/>
    </row>
    <row r="31" spans="1:51" ht="15.75" customHeight="1" outlineLevel="1" x14ac:dyDescent="0.3">
      <c r="A31" s="18">
        <v>1</v>
      </c>
      <c r="B31" s="58"/>
      <c r="C31" s="5" t="s">
        <v>33</v>
      </c>
      <c r="D31" s="50"/>
      <c r="E31" s="50">
        <v>5111</v>
      </c>
      <c r="F31" s="65"/>
      <c r="G31" s="50"/>
      <c r="H31" s="50"/>
      <c r="I31" s="52">
        <v>1233443.67</v>
      </c>
      <c r="J31" s="52">
        <v>766721.67</v>
      </c>
      <c r="K31" s="52">
        <v>131940.99</v>
      </c>
      <c r="L31" s="52">
        <v>1766721.67</v>
      </c>
      <c r="M31" s="52">
        <v>766722</v>
      </c>
      <c r="N31" s="52"/>
      <c r="O31" s="52"/>
      <c r="P31" s="52"/>
      <c r="Q31" s="52"/>
      <c r="R31" s="52"/>
      <c r="S31" s="52"/>
      <c r="T31" s="52"/>
      <c r="U31" s="53"/>
      <c r="V31" s="54">
        <f t="shared" si="2"/>
        <v>4665550</v>
      </c>
      <c r="W31" s="55"/>
      <c r="X31" s="52">
        <v>1341762.92</v>
      </c>
      <c r="Y31" s="52">
        <v>1533443.33</v>
      </c>
      <c r="Z31" s="52">
        <v>1533443.33</v>
      </c>
      <c r="AA31" s="52">
        <v>1533443.33</v>
      </c>
      <c r="AB31" s="52">
        <v>1603488.5294689881</v>
      </c>
      <c r="AC31" s="52">
        <v>1603488.5294689881</v>
      </c>
      <c r="AD31" s="52">
        <v>1603488.5294689881</v>
      </c>
      <c r="AE31" s="52">
        <v>1676733.2798262711</v>
      </c>
      <c r="AF31" s="52">
        <v>1676733.2798262711</v>
      </c>
      <c r="AG31" s="52">
        <v>1676733.2798262711</v>
      </c>
      <c r="AH31" s="52">
        <v>1753323.731357154</v>
      </c>
      <c r="AI31" s="52">
        <v>1753323.731357154</v>
      </c>
      <c r="AJ31" s="55"/>
      <c r="AK31" s="54">
        <f t="shared" si="3"/>
        <v>7545581.4394689882</v>
      </c>
      <c r="AL31" s="56"/>
      <c r="AM31" s="30"/>
      <c r="AN31" s="53"/>
      <c r="AO31" s="53"/>
      <c r="AP31" s="53"/>
      <c r="AQ31" s="53"/>
      <c r="AR31" s="53"/>
      <c r="AS31" s="53"/>
      <c r="AT31" s="53"/>
      <c r="AU31" s="53"/>
      <c r="AV31" s="53"/>
      <c r="AW31" s="53"/>
      <c r="AX31" s="53"/>
      <c r="AY31" s="53"/>
    </row>
    <row r="32" spans="1:51" ht="15.75" customHeight="1" outlineLevel="1" x14ac:dyDescent="0.3">
      <c r="A32" s="18">
        <v>1</v>
      </c>
      <c r="B32" s="58"/>
      <c r="C32" s="5" t="s">
        <v>34</v>
      </c>
      <c r="D32" s="50"/>
      <c r="E32" s="50">
        <v>5111</v>
      </c>
      <c r="F32" s="5"/>
      <c r="G32" s="50"/>
      <c r="H32" s="50"/>
      <c r="I32" s="52">
        <v>7990.89</v>
      </c>
      <c r="J32" s="52">
        <v>8033.18</v>
      </c>
      <c r="K32" s="52">
        <v>7296.03</v>
      </c>
      <c r="L32" s="52">
        <v>8321.7199999999993</v>
      </c>
      <c r="M32" s="52">
        <v>3404.34</v>
      </c>
      <c r="N32" s="52"/>
      <c r="O32" s="52"/>
      <c r="P32" s="52"/>
      <c r="Q32" s="52"/>
      <c r="R32" s="52"/>
      <c r="S32" s="52"/>
      <c r="T32" s="52"/>
      <c r="U32" s="53"/>
      <c r="V32" s="54">
        <f t="shared" si="2"/>
        <v>35046.160000000003</v>
      </c>
      <c r="W32" s="55"/>
      <c r="X32" s="52">
        <v>11709.3404464344</v>
      </c>
      <c r="Y32" s="52">
        <v>11709.3404464344</v>
      </c>
      <c r="Z32" s="52">
        <v>12304.52036665643</v>
      </c>
      <c r="AA32" s="52">
        <v>12304.52036665643</v>
      </c>
      <c r="AB32" s="52">
        <v>12304.52036665643</v>
      </c>
      <c r="AC32" s="52">
        <v>12866.5708621597</v>
      </c>
      <c r="AD32" s="52">
        <v>12866.5708621597</v>
      </c>
      <c r="AE32" s="52">
        <v>12866.5708621597</v>
      </c>
      <c r="AF32" s="52">
        <v>13454.2949109655</v>
      </c>
      <c r="AG32" s="52">
        <v>13454.2949109655</v>
      </c>
      <c r="AH32" s="52">
        <v>13454.2949109655</v>
      </c>
      <c r="AI32" s="52">
        <v>14068.86523926916</v>
      </c>
      <c r="AJ32" s="55"/>
      <c r="AK32" s="54">
        <f t="shared" si="3"/>
        <v>60332.241992838099</v>
      </c>
      <c r="AL32" s="56"/>
      <c r="AM32" s="30"/>
      <c r="AN32" s="53"/>
      <c r="AO32" s="67">
        <f>+L40*0.21</f>
        <v>470006948.64689994</v>
      </c>
      <c r="AP32" s="53"/>
      <c r="AQ32" s="53"/>
      <c r="AR32" s="53"/>
      <c r="AS32" s="53"/>
      <c r="AT32" s="53"/>
      <c r="AU32" s="53"/>
      <c r="AV32" s="53"/>
      <c r="AW32" s="53"/>
      <c r="AX32" s="53"/>
      <c r="AY32" s="53"/>
    </row>
    <row r="33" spans="1:51" ht="15.75" customHeight="1" outlineLevel="1" x14ac:dyDescent="0.3">
      <c r="A33" s="18">
        <v>1</v>
      </c>
      <c r="B33" s="58"/>
      <c r="C33" s="5" t="s">
        <v>35</v>
      </c>
      <c r="D33" s="50"/>
      <c r="E33" s="50">
        <v>5111</v>
      </c>
      <c r="F33" s="5"/>
      <c r="G33" s="50"/>
      <c r="H33" s="50"/>
      <c r="I33" s="52">
        <v>396875.5</v>
      </c>
      <c r="J33" s="52">
        <v>971875.5</v>
      </c>
      <c r="K33" s="52">
        <v>1351875.5</v>
      </c>
      <c r="L33" s="52">
        <v>904782.22</v>
      </c>
      <c r="M33" s="52">
        <v>952203.02</v>
      </c>
      <c r="N33" s="52"/>
      <c r="O33" s="52"/>
      <c r="P33" s="52"/>
      <c r="Q33" s="52"/>
      <c r="R33" s="52"/>
      <c r="S33" s="52"/>
      <c r="T33" s="52"/>
      <c r="U33" s="53"/>
      <c r="V33" s="54">
        <f t="shared" si="2"/>
        <v>4577611.74</v>
      </c>
      <c r="W33" s="55"/>
      <c r="X33" s="52">
        <v>367193.57399999991</v>
      </c>
      <c r="Y33" s="52">
        <v>367193.57399999991</v>
      </c>
      <c r="Z33" s="52">
        <v>367193.57399999991</v>
      </c>
      <c r="AA33" s="52">
        <v>383966.379770762</v>
      </c>
      <c r="AB33" s="52">
        <v>383966.379770762</v>
      </c>
      <c r="AC33" s="52">
        <v>383966.379770762</v>
      </c>
      <c r="AD33" s="52">
        <v>401505.34005332307</v>
      </c>
      <c r="AE33" s="52">
        <v>401505.34005332307</v>
      </c>
      <c r="AF33" s="52">
        <v>401505.34005332307</v>
      </c>
      <c r="AG33" s="52">
        <v>419845.45154078119</v>
      </c>
      <c r="AH33" s="52">
        <v>419845.45154078119</v>
      </c>
      <c r="AI33" s="52">
        <v>419845.45154078119</v>
      </c>
      <c r="AJ33" s="55"/>
      <c r="AK33" s="54">
        <f t="shared" si="3"/>
        <v>1869513.4815415237</v>
      </c>
      <c r="AL33" s="56"/>
      <c r="AM33" s="68"/>
      <c r="AN33" s="53"/>
      <c r="AO33" s="53"/>
      <c r="AP33" s="53"/>
      <c r="AQ33" s="53"/>
      <c r="AR33" s="53"/>
      <c r="AS33" s="53"/>
      <c r="AT33" s="53"/>
      <c r="AU33" s="53"/>
      <c r="AV33" s="53"/>
      <c r="AW33" s="53"/>
      <c r="AX33" s="53"/>
      <c r="AY33" s="53"/>
    </row>
    <row r="34" spans="1:51" ht="15.75" customHeight="1" outlineLevel="1" x14ac:dyDescent="0.3">
      <c r="A34" s="18">
        <v>1</v>
      </c>
      <c r="B34" s="58"/>
      <c r="C34" s="5" t="s">
        <v>36</v>
      </c>
      <c r="D34" s="50"/>
      <c r="E34" s="50">
        <v>5111</v>
      </c>
      <c r="F34" s="5"/>
      <c r="G34" s="50"/>
      <c r="H34" s="50"/>
      <c r="I34" s="52">
        <v>2038550.05</v>
      </c>
      <c r="J34" s="52">
        <v>1730226.41</v>
      </c>
      <c r="K34" s="52">
        <v>2540459.71</v>
      </c>
      <c r="L34" s="52">
        <v>2338884.94</v>
      </c>
      <c r="M34" s="52">
        <v>1576522.43</v>
      </c>
      <c r="N34" s="52"/>
      <c r="O34" s="52"/>
      <c r="P34" s="52"/>
      <c r="Q34" s="52"/>
      <c r="R34" s="52"/>
      <c r="S34" s="52"/>
      <c r="T34" s="52"/>
      <c r="U34" s="53"/>
      <c r="V34" s="54">
        <f t="shared" si="2"/>
        <v>10224643.539999999</v>
      </c>
      <c r="W34" s="55"/>
      <c r="X34" s="52">
        <v>1319500</v>
      </c>
      <c r="Y34" s="52">
        <v>1339292.5</v>
      </c>
      <c r="Z34" s="52">
        <v>1359381.887499999</v>
      </c>
      <c r="AA34" s="52">
        <v>1379772.6158124991</v>
      </c>
      <c r="AB34" s="52">
        <v>1400469.2050496871</v>
      </c>
      <c r="AC34" s="52">
        <v>1421476.2431254319</v>
      </c>
      <c r="AD34" s="52">
        <v>1442798.3867723129</v>
      </c>
      <c r="AE34" s="52">
        <v>1464440.3625738979</v>
      </c>
      <c r="AF34" s="52">
        <v>1486406.9680125059</v>
      </c>
      <c r="AG34" s="52">
        <v>1508703.0725326929</v>
      </c>
      <c r="AH34" s="52">
        <v>1531333.6186206839</v>
      </c>
      <c r="AI34" s="52">
        <v>1554303.622899994</v>
      </c>
      <c r="AJ34" s="55"/>
      <c r="AK34" s="54">
        <f t="shared" si="3"/>
        <v>6798416.2083621854</v>
      </c>
      <c r="AL34" s="56"/>
      <c r="AM34" s="68"/>
      <c r="AN34" s="53"/>
      <c r="AO34" s="53"/>
      <c r="AP34" s="53"/>
      <c r="AQ34" s="53"/>
      <c r="AR34" s="53"/>
      <c r="AS34" s="53"/>
      <c r="AT34" s="53"/>
      <c r="AU34" s="53"/>
      <c r="AV34" s="53"/>
      <c r="AW34" s="53"/>
      <c r="AX34" s="53"/>
      <c r="AY34" s="53"/>
    </row>
    <row r="35" spans="1:51" ht="15.75" customHeight="1" outlineLevel="1" x14ac:dyDescent="0.3">
      <c r="A35" s="18">
        <v>1</v>
      </c>
      <c r="B35" s="58"/>
      <c r="C35" s="5" t="s">
        <v>37</v>
      </c>
      <c r="D35" s="50"/>
      <c r="E35" s="50">
        <v>5111</v>
      </c>
      <c r="F35" s="5"/>
      <c r="G35" s="50"/>
      <c r="H35" s="50"/>
      <c r="I35" s="52">
        <f>500000*0</f>
        <v>0</v>
      </c>
      <c r="J35" s="52">
        <v>1000000</v>
      </c>
      <c r="K35" s="52">
        <v>500000</v>
      </c>
      <c r="L35" s="52">
        <v>500000</v>
      </c>
      <c r="M35" s="52">
        <v>194079.51</v>
      </c>
      <c r="N35" s="52"/>
      <c r="O35" s="52"/>
      <c r="P35" s="52"/>
      <c r="Q35" s="52"/>
      <c r="R35" s="52"/>
      <c r="S35" s="52"/>
      <c r="T35" s="52"/>
      <c r="U35" s="53"/>
      <c r="V35" s="54">
        <f t="shared" si="2"/>
        <v>2194079.5099999998</v>
      </c>
      <c r="W35" s="55"/>
      <c r="X35" s="52">
        <v>825000</v>
      </c>
      <c r="Y35" s="52">
        <v>825000</v>
      </c>
      <c r="Z35" s="52">
        <v>825000</v>
      </c>
      <c r="AA35" s="52">
        <v>1850000</v>
      </c>
      <c r="AB35" s="52">
        <v>1850000</v>
      </c>
      <c r="AC35" s="52">
        <v>1850000</v>
      </c>
      <c r="AD35" s="52">
        <v>2530000</v>
      </c>
      <c r="AE35" s="52">
        <v>2605000</v>
      </c>
      <c r="AF35" s="52">
        <v>2745000</v>
      </c>
      <c r="AG35" s="52">
        <v>3312000</v>
      </c>
      <c r="AH35" s="52">
        <v>3452000</v>
      </c>
      <c r="AI35" s="52">
        <v>3527000</v>
      </c>
      <c r="AJ35" s="55"/>
      <c r="AK35" s="54">
        <f t="shared" si="3"/>
        <v>6175000</v>
      </c>
      <c r="AL35" s="56"/>
      <c r="AM35" s="68"/>
      <c r="AN35" s="53"/>
      <c r="AO35" s="53"/>
      <c r="AP35" s="53"/>
      <c r="AQ35" s="53"/>
      <c r="AR35" s="53"/>
      <c r="AS35" s="53"/>
      <c r="AT35" s="53"/>
      <c r="AU35" s="53"/>
      <c r="AV35" s="53"/>
      <c r="AW35" s="53"/>
      <c r="AX35" s="53"/>
      <c r="AY35" s="53"/>
    </row>
    <row r="36" spans="1:51" ht="15.75" customHeight="1" outlineLevel="1" x14ac:dyDescent="0.3">
      <c r="A36" s="18">
        <v>1</v>
      </c>
      <c r="B36" s="58"/>
      <c r="C36" s="5"/>
      <c r="D36" s="50"/>
      <c r="E36" s="50">
        <v>5111</v>
      </c>
      <c r="F36" s="5"/>
      <c r="G36" s="50"/>
      <c r="H36" s="50"/>
      <c r="I36" s="52"/>
      <c r="J36" s="52"/>
      <c r="K36" s="52"/>
      <c r="L36" s="52"/>
      <c r="M36" s="52"/>
      <c r="N36" s="52"/>
      <c r="O36" s="52"/>
      <c r="P36" s="52"/>
      <c r="Q36" s="52"/>
      <c r="R36" s="52"/>
      <c r="S36" s="52"/>
      <c r="T36" s="52"/>
      <c r="U36" s="53"/>
      <c r="V36" s="54"/>
      <c r="W36" s="55"/>
      <c r="X36" s="52"/>
      <c r="Y36" s="52"/>
      <c r="Z36" s="52"/>
      <c r="AA36" s="52"/>
      <c r="AB36" s="52"/>
      <c r="AC36" s="52"/>
      <c r="AD36" s="52"/>
      <c r="AE36" s="52"/>
      <c r="AF36" s="52"/>
      <c r="AG36" s="52"/>
      <c r="AH36" s="52"/>
      <c r="AI36" s="52"/>
      <c r="AJ36" s="55"/>
      <c r="AK36" s="54">
        <f t="shared" si="3"/>
        <v>0</v>
      </c>
      <c r="AL36" s="56"/>
      <c r="AM36" s="30"/>
      <c r="AN36" s="53"/>
      <c r="AO36" s="53"/>
      <c r="AP36" s="53"/>
      <c r="AQ36" s="53"/>
      <c r="AR36" s="53"/>
      <c r="AS36" s="53"/>
      <c r="AT36" s="53"/>
      <c r="AU36" s="53"/>
      <c r="AV36" s="53"/>
      <c r="AW36" s="53"/>
      <c r="AX36" s="53"/>
      <c r="AY36" s="53"/>
    </row>
    <row r="37" spans="1:51" ht="15.75" customHeight="1" x14ac:dyDescent="0.3">
      <c r="A37" s="22"/>
      <c r="B37" s="41"/>
      <c r="C37" s="62"/>
      <c r="D37" s="42" t="s">
        <v>38</v>
      </c>
      <c r="E37" s="42"/>
      <c r="F37" s="42"/>
      <c r="G37" s="43"/>
      <c r="H37" s="43"/>
      <c r="I37" s="44">
        <f t="shared" ref="I37:T37" si="5">SUM(I38:I39)</f>
        <v>11164532.199999999</v>
      </c>
      <c r="J37" s="44">
        <f t="shared" si="5"/>
        <v>36974028.890000001</v>
      </c>
      <c r="K37" s="44">
        <f t="shared" si="5"/>
        <v>-12034640</v>
      </c>
      <c r="L37" s="44">
        <f t="shared" si="5"/>
        <v>12034640.49</v>
      </c>
      <c r="M37" s="44">
        <f t="shared" si="5"/>
        <v>14317409.960000001</v>
      </c>
      <c r="N37" s="44">
        <f t="shared" si="5"/>
        <v>0</v>
      </c>
      <c r="O37" s="44">
        <f t="shared" si="5"/>
        <v>0</v>
      </c>
      <c r="P37" s="44">
        <f t="shared" si="5"/>
        <v>0</v>
      </c>
      <c r="Q37" s="44">
        <f t="shared" si="5"/>
        <v>0</v>
      </c>
      <c r="R37" s="44">
        <f t="shared" si="5"/>
        <v>0</v>
      </c>
      <c r="S37" s="44">
        <f t="shared" si="5"/>
        <v>0</v>
      </c>
      <c r="T37" s="44">
        <f t="shared" si="5"/>
        <v>0</v>
      </c>
      <c r="U37" s="7"/>
      <c r="V37" s="45">
        <f>SUM(I37:M37)</f>
        <v>62455971.540000007</v>
      </c>
      <c r="W37" s="9"/>
      <c r="X37" s="44">
        <v>11882736.981528319</v>
      </c>
      <c r="Y37" s="44">
        <v>11882736.981528319</v>
      </c>
      <c r="Z37" s="44">
        <v>11882736.981528319</v>
      </c>
      <c r="AA37" s="44">
        <v>12425521.097396931</v>
      </c>
      <c r="AB37" s="44">
        <v>12425521.097396931</v>
      </c>
      <c r="AC37" s="44">
        <v>12425521.097396931</v>
      </c>
      <c r="AD37" s="44">
        <v>12993098.70965424</v>
      </c>
      <c r="AE37" s="44">
        <v>12993098.70965424</v>
      </c>
      <c r="AF37" s="44">
        <v>12993098.70965424</v>
      </c>
      <c r="AG37" s="44">
        <v>13586602.34492583</v>
      </c>
      <c r="AH37" s="44">
        <v>13586602.34492583</v>
      </c>
      <c r="AI37" s="44">
        <v>13586602.34492583</v>
      </c>
      <c r="AJ37" s="9"/>
      <c r="AK37" s="45">
        <f t="shared" si="3"/>
        <v>60499253.139378823</v>
      </c>
      <c r="AL37" s="10"/>
      <c r="AM37" s="30">
        <f>+V37-AK37</f>
        <v>1956718.4006211832</v>
      </c>
      <c r="AN37" s="47">
        <f>+AM37/AK37</f>
        <v>3.2342852168989168E-2</v>
      </c>
      <c r="AO37" s="7"/>
      <c r="AP37" s="7"/>
      <c r="AQ37" s="7"/>
      <c r="AR37" s="7"/>
      <c r="AS37" s="7"/>
    </row>
    <row r="38" spans="1:51" ht="15.75" customHeight="1" outlineLevel="1" x14ac:dyDescent="0.3">
      <c r="A38" s="18">
        <v>1</v>
      </c>
      <c r="B38" s="58"/>
      <c r="C38" s="5" t="s">
        <v>39</v>
      </c>
      <c r="D38" s="50"/>
      <c r="E38" s="50">
        <v>5111</v>
      </c>
      <c r="F38" s="5"/>
      <c r="G38" s="50"/>
      <c r="H38" s="50"/>
      <c r="I38" s="52">
        <v>11164532.199999999</v>
      </c>
      <c r="J38" s="52">
        <f>12904748.89+(12034640*2)</f>
        <v>36974028.890000001</v>
      </c>
      <c r="K38" s="52">
        <v>-12034640</v>
      </c>
      <c r="L38" s="52">
        <v>12034640.49</v>
      </c>
      <c r="M38" s="52">
        <v>14317409.960000001</v>
      </c>
      <c r="N38" s="52"/>
      <c r="O38" s="52"/>
      <c r="P38" s="52"/>
      <c r="Q38" s="52"/>
      <c r="R38" s="52"/>
      <c r="S38" s="52"/>
      <c r="T38" s="52"/>
      <c r="U38" s="53"/>
      <c r="V38" s="54">
        <f>SUM(I38:K38)</f>
        <v>36103921.090000004</v>
      </c>
      <c r="W38" s="52"/>
      <c r="X38" s="52">
        <v>11882736.981528319</v>
      </c>
      <c r="Y38" s="52">
        <v>11882736.981528319</v>
      </c>
      <c r="Z38" s="52">
        <v>11882736.981528319</v>
      </c>
      <c r="AA38" s="52">
        <v>12425521.097396931</v>
      </c>
      <c r="AB38" s="52">
        <v>12425521.097396931</v>
      </c>
      <c r="AC38" s="52">
        <v>12425521.097396931</v>
      </c>
      <c r="AD38" s="52">
        <v>12993098.70965424</v>
      </c>
      <c r="AE38" s="52">
        <v>12993098.70965424</v>
      </c>
      <c r="AF38" s="52">
        <v>12993098.70965424</v>
      </c>
      <c r="AG38" s="52">
        <v>13586602.34492583</v>
      </c>
      <c r="AH38" s="52">
        <v>13586602.34492583</v>
      </c>
      <c r="AI38" s="52">
        <v>13586602.34492583</v>
      </c>
      <c r="AJ38" s="55"/>
      <c r="AK38" s="54">
        <f>SUM(X38:Z38)</f>
        <v>35648210.944584958</v>
      </c>
      <c r="AL38" s="56"/>
      <c r="AM38" s="30"/>
      <c r="AN38" s="53"/>
      <c r="AO38" s="53"/>
      <c r="AP38" s="53"/>
      <c r="AQ38" s="53"/>
      <c r="AR38" s="53"/>
      <c r="AS38" s="53"/>
      <c r="AT38" s="53"/>
      <c r="AU38" s="53"/>
      <c r="AV38" s="53"/>
      <c r="AW38" s="53"/>
      <c r="AX38" s="53"/>
      <c r="AY38" s="53"/>
    </row>
    <row r="39" spans="1:51" ht="14.25" customHeight="1" x14ac:dyDescent="0.3">
      <c r="A39" s="18"/>
      <c r="B39" s="58"/>
      <c r="C39" s="5"/>
      <c r="D39" s="50"/>
      <c r="E39" s="50"/>
      <c r="F39" s="69"/>
      <c r="G39" s="50"/>
      <c r="H39" s="50"/>
      <c r="I39" s="52"/>
      <c r="J39" s="52"/>
      <c r="K39" s="52"/>
      <c r="L39" s="52"/>
      <c r="M39" s="52"/>
      <c r="N39" s="52"/>
      <c r="O39" s="52"/>
      <c r="P39" s="52"/>
      <c r="Q39" s="52"/>
      <c r="R39" s="52"/>
      <c r="S39" s="52"/>
      <c r="T39" s="52"/>
      <c r="U39" s="7"/>
      <c r="V39" s="54"/>
      <c r="W39" s="9"/>
      <c r="X39" s="52"/>
      <c r="Y39" s="52"/>
      <c r="Z39" s="52"/>
      <c r="AA39" s="52"/>
      <c r="AB39" s="52"/>
      <c r="AC39" s="52"/>
      <c r="AD39" s="52"/>
      <c r="AE39" s="52"/>
      <c r="AF39" s="52"/>
      <c r="AG39" s="52"/>
      <c r="AH39" s="52"/>
      <c r="AI39" s="52"/>
      <c r="AJ39" s="9"/>
      <c r="AK39" s="54"/>
      <c r="AL39" s="10"/>
      <c r="AM39" s="30"/>
      <c r="AN39" s="7"/>
      <c r="AO39" s="7"/>
      <c r="AP39" s="7"/>
      <c r="AQ39" s="7"/>
      <c r="AR39" s="7"/>
      <c r="AS39" s="7"/>
    </row>
    <row r="40" spans="1:51" ht="18" customHeight="1" x14ac:dyDescent="0.3">
      <c r="A40" s="22"/>
      <c r="B40" s="70"/>
      <c r="C40" s="32" t="s">
        <v>40</v>
      </c>
      <c r="D40" s="33"/>
      <c r="E40" s="27"/>
      <c r="F40" s="34"/>
      <c r="G40" s="33"/>
      <c r="H40" s="33"/>
      <c r="I40" s="71">
        <f t="shared" ref="I40:T40" si="6">+I37+I20+I7</f>
        <v>2033358816.6889</v>
      </c>
      <c r="J40" s="71">
        <f t="shared" si="6"/>
        <v>1982638579.3700163</v>
      </c>
      <c r="K40" s="71">
        <f t="shared" si="6"/>
        <v>2145968559.7712834</v>
      </c>
      <c r="L40" s="71">
        <f t="shared" si="6"/>
        <v>2238128326.8899999</v>
      </c>
      <c r="M40" s="71">
        <f t="shared" si="6"/>
        <v>2292377273.9499998</v>
      </c>
      <c r="N40" s="71">
        <f t="shared" si="6"/>
        <v>0</v>
      </c>
      <c r="O40" s="71">
        <f t="shared" si="6"/>
        <v>0</v>
      </c>
      <c r="P40" s="71">
        <f t="shared" si="6"/>
        <v>0</v>
      </c>
      <c r="Q40" s="71">
        <f t="shared" si="6"/>
        <v>0</v>
      </c>
      <c r="R40" s="71">
        <f t="shared" si="6"/>
        <v>0</v>
      </c>
      <c r="S40" s="71">
        <f t="shared" si="6"/>
        <v>0</v>
      </c>
      <c r="T40" s="71">
        <f t="shared" si="6"/>
        <v>0</v>
      </c>
      <c r="U40" s="7"/>
      <c r="V40" s="72">
        <f>SUM(I40:M40)</f>
        <v>10692471556.6702</v>
      </c>
      <c r="W40" s="9"/>
      <c r="X40" s="71">
        <v>1957656134.6981969</v>
      </c>
      <c r="Y40" s="71">
        <v>1832165907.11041</v>
      </c>
      <c r="Z40" s="71">
        <v>1989794609.5308361</v>
      </c>
      <c r="AA40" s="71">
        <v>2093036782.4781029</v>
      </c>
      <c r="AB40" s="71">
        <v>2212359534.154604</v>
      </c>
      <c r="AC40" s="71">
        <v>2223216376.3830318</v>
      </c>
      <c r="AD40" s="71">
        <v>2456770512.0896082</v>
      </c>
      <c r="AE40" s="71">
        <v>2426548871.7789578</v>
      </c>
      <c r="AF40" s="71">
        <v>2549424401.1898422</v>
      </c>
      <c r="AG40" s="71">
        <v>2671235516.8549199</v>
      </c>
      <c r="AH40" s="71">
        <v>2613005974.3181591</v>
      </c>
      <c r="AI40" s="71">
        <v>2697010488.4860258</v>
      </c>
      <c r="AJ40" s="9"/>
      <c r="AK40" s="72">
        <f>SUM(X40:AB40)</f>
        <v>10085012967.972149</v>
      </c>
      <c r="AL40" s="10"/>
      <c r="AM40" s="30">
        <f>+V40-AK40</f>
        <v>607458588.69805145</v>
      </c>
      <c r="AN40" s="47">
        <f>+AM40/AK40</f>
        <v>6.0233793513921143E-2</v>
      </c>
      <c r="AO40" s="67">
        <f>+L40-AA40</f>
        <v>145091544.41189694</v>
      </c>
      <c r="AP40" s="7"/>
      <c r="AQ40" s="7"/>
      <c r="AR40" s="7"/>
      <c r="AS40" s="7"/>
    </row>
    <row r="41" spans="1:51" ht="16.5" customHeight="1" x14ac:dyDescent="0.3">
      <c r="A41" s="73"/>
      <c r="B41" s="74"/>
      <c r="C41" s="75" t="s">
        <v>41</v>
      </c>
      <c r="D41" s="75"/>
      <c r="E41" s="60">
        <v>5612</v>
      </c>
      <c r="F41" s="75"/>
      <c r="G41" s="76"/>
      <c r="H41" s="77"/>
      <c r="I41" s="78">
        <v>-120619546.86</v>
      </c>
      <c r="J41" s="78">
        <v>-124410617</v>
      </c>
      <c r="K41" s="78">
        <v>-125984748.11</v>
      </c>
      <c r="L41" s="78">
        <v>-110823384.06</v>
      </c>
      <c r="M41" s="78">
        <v>-121803231.43000001</v>
      </c>
      <c r="N41" s="78">
        <f t="shared" ref="N41:T41" si="7">-N40*N6</f>
        <v>0</v>
      </c>
      <c r="O41" s="78">
        <f t="shared" si="7"/>
        <v>0</v>
      </c>
      <c r="P41" s="79">
        <f t="shared" si="7"/>
        <v>0</v>
      </c>
      <c r="Q41" s="78">
        <f t="shared" si="7"/>
        <v>0</v>
      </c>
      <c r="R41" s="78">
        <f t="shared" si="7"/>
        <v>0</v>
      </c>
      <c r="S41" s="78">
        <f t="shared" si="7"/>
        <v>0</v>
      </c>
      <c r="T41" s="78">
        <f t="shared" si="7"/>
        <v>0</v>
      </c>
      <c r="U41" s="80"/>
      <c r="V41" s="81">
        <f>SUM(I41:M41)</f>
        <v>-603641527.46000004</v>
      </c>
      <c r="W41" s="82"/>
      <c r="X41" s="78">
        <v>-97882806.734909877</v>
      </c>
      <c r="Y41" s="78">
        <v>-91608295.355520532</v>
      </c>
      <c r="Z41" s="78">
        <v>-99489730.476541817</v>
      </c>
      <c r="AA41" s="78">
        <v>-104651839.12390511</v>
      </c>
      <c r="AB41" s="78">
        <v>-110617976.7077302</v>
      </c>
      <c r="AC41" s="78">
        <v>-111160818.8191516</v>
      </c>
      <c r="AD41" s="78">
        <v>-122838525.6044804</v>
      </c>
      <c r="AE41" s="78">
        <v>-121327443.58894791</v>
      </c>
      <c r="AF41" s="78">
        <v>-127471220.0594921</v>
      </c>
      <c r="AG41" s="78">
        <v>-133561775.842746</v>
      </c>
      <c r="AH41" s="78">
        <v>-130650298.7159079</v>
      </c>
      <c r="AI41" s="78">
        <v>-134850524.4243013</v>
      </c>
      <c r="AJ41" s="82"/>
      <c r="AK41" s="81">
        <f>SUM(X41:AB41)</f>
        <v>-504250648.39860761</v>
      </c>
      <c r="AL41" s="10"/>
      <c r="AM41" s="30"/>
      <c r="AN41" s="80"/>
      <c r="AO41" s="80"/>
      <c r="AP41" s="80"/>
      <c r="AQ41" s="80"/>
      <c r="AR41" s="80"/>
      <c r="AS41" s="80"/>
    </row>
    <row r="42" spans="1:51" ht="18" customHeight="1" x14ac:dyDescent="0.3">
      <c r="A42" s="22"/>
      <c r="B42" s="83" t="s">
        <v>42</v>
      </c>
      <c r="C42" s="84"/>
      <c r="D42" s="85"/>
      <c r="E42" s="85"/>
      <c r="F42" s="84"/>
      <c r="G42" s="84"/>
      <c r="H42" s="84"/>
      <c r="I42" s="86">
        <f t="shared" ref="I42:T42" si="8">SUM(I40:I41)</f>
        <v>1912739269.8289001</v>
      </c>
      <c r="J42" s="86">
        <f t="shared" si="8"/>
        <v>1858227962.3700163</v>
      </c>
      <c r="K42" s="86">
        <f t="shared" si="8"/>
        <v>2019983811.6612835</v>
      </c>
      <c r="L42" s="86">
        <f t="shared" si="8"/>
        <v>2127304942.8299999</v>
      </c>
      <c r="M42" s="86">
        <f t="shared" si="8"/>
        <v>2170574042.52</v>
      </c>
      <c r="N42" s="86">
        <f t="shared" si="8"/>
        <v>0</v>
      </c>
      <c r="O42" s="86">
        <f t="shared" si="8"/>
        <v>0</v>
      </c>
      <c r="P42" s="87">
        <f t="shared" si="8"/>
        <v>0</v>
      </c>
      <c r="Q42" s="86">
        <f t="shared" si="8"/>
        <v>0</v>
      </c>
      <c r="R42" s="86">
        <f t="shared" si="8"/>
        <v>0</v>
      </c>
      <c r="S42" s="86">
        <f t="shared" si="8"/>
        <v>0</v>
      </c>
      <c r="T42" s="86">
        <f t="shared" si="8"/>
        <v>0</v>
      </c>
      <c r="U42" s="7"/>
      <c r="V42" s="88">
        <f>SUM(V40:V41)</f>
        <v>10088830029.210201</v>
      </c>
      <c r="W42" s="89"/>
      <c r="X42" s="86">
        <v>1859773327.9632881</v>
      </c>
      <c r="Y42" s="86">
        <v>1740557611.75489</v>
      </c>
      <c r="Z42" s="86">
        <v>1890304879.0542941</v>
      </c>
      <c r="AA42" s="86">
        <v>1988384943.354198</v>
      </c>
      <c r="AB42" s="86">
        <v>2101741557.4468739</v>
      </c>
      <c r="AC42" s="86">
        <v>2112055557.5638809</v>
      </c>
      <c r="AD42" s="86">
        <v>2333931986.485127</v>
      </c>
      <c r="AE42" s="86">
        <v>2305221428.1900101</v>
      </c>
      <c r="AF42" s="86">
        <v>2421953181.1303501</v>
      </c>
      <c r="AG42" s="86">
        <v>2537673741.0121751</v>
      </c>
      <c r="AH42" s="86">
        <v>2482355675.6022511</v>
      </c>
      <c r="AI42" s="86">
        <v>2562159964.0617251</v>
      </c>
      <c r="AJ42" s="89"/>
      <c r="AK42" s="88">
        <f>SUM(X42:AB42)</f>
        <v>9580762319.5735455</v>
      </c>
      <c r="AL42" s="10"/>
      <c r="AM42" s="30">
        <f>+V42-AK42</f>
        <v>508067709.63665581</v>
      </c>
      <c r="AN42" s="47">
        <f>+AM42/AK42</f>
        <v>5.3029987874625692E-2</v>
      </c>
      <c r="AO42" s="90" t="s">
        <v>43</v>
      </c>
      <c r="AP42" s="7"/>
      <c r="AQ42" s="7"/>
      <c r="AR42" s="7"/>
      <c r="AS42" s="7"/>
    </row>
    <row r="43" spans="1:51" ht="13.5" customHeight="1" x14ac:dyDescent="0.3">
      <c r="A43" s="1"/>
      <c r="B43" s="2"/>
      <c r="C43" s="2"/>
      <c r="D43" s="60"/>
      <c r="E43" s="60"/>
      <c r="F43" s="2"/>
      <c r="G43" s="91" t="s">
        <v>44</v>
      </c>
      <c r="H43" s="91"/>
      <c r="I43" s="92"/>
      <c r="J43" s="92"/>
      <c r="K43" s="92"/>
      <c r="L43" s="92"/>
      <c r="M43" s="92"/>
      <c r="N43" s="92"/>
      <c r="O43" s="92"/>
      <c r="P43" s="93"/>
      <c r="Q43" s="93"/>
      <c r="R43" s="93"/>
      <c r="S43" s="93"/>
      <c r="T43" s="94"/>
      <c r="U43" s="7"/>
      <c r="V43" s="95"/>
      <c r="W43" s="9"/>
      <c r="X43" s="93"/>
      <c r="Y43" s="93"/>
      <c r="Z43" s="93"/>
      <c r="AA43" s="93"/>
      <c r="AB43" s="93"/>
      <c r="AC43" s="93"/>
      <c r="AD43" s="93"/>
      <c r="AE43" s="93"/>
      <c r="AF43" s="93"/>
      <c r="AG43" s="93"/>
      <c r="AH43" s="93"/>
      <c r="AI43" s="93"/>
      <c r="AJ43" s="9"/>
      <c r="AK43" s="96"/>
      <c r="AL43" s="10"/>
      <c r="AM43" s="30"/>
      <c r="AN43" s="7"/>
      <c r="AO43" s="7"/>
      <c r="AP43" s="7"/>
      <c r="AQ43" s="7"/>
      <c r="AR43" s="7"/>
      <c r="AS43" s="7"/>
    </row>
    <row r="44" spans="1:51" ht="12" customHeight="1" x14ac:dyDescent="0.3">
      <c r="A44" s="22"/>
      <c r="B44" s="97" t="s">
        <v>45</v>
      </c>
      <c r="C44" s="98"/>
      <c r="D44" s="25"/>
      <c r="E44" s="25"/>
      <c r="F44" s="98"/>
      <c r="G44" s="99"/>
      <c r="H44" s="99"/>
      <c r="I44" s="28"/>
      <c r="J44" s="28"/>
      <c r="K44" s="28"/>
      <c r="L44" s="28"/>
      <c r="M44" s="28"/>
      <c r="N44" s="28"/>
      <c r="O44" s="28"/>
      <c r="P44" s="28"/>
      <c r="Q44" s="28"/>
      <c r="R44" s="28"/>
      <c r="S44" s="28"/>
      <c r="T44" s="28"/>
      <c r="U44" s="7"/>
      <c r="V44" s="29"/>
      <c r="W44" s="9"/>
      <c r="X44" s="28"/>
      <c r="Y44" s="28"/>
      <c r="Z44" s="28"/>
      <c r="AA44" s="28"/>
      <c r="AB44" s="28"/>
      <c r="AC44" s="28"/>
      <c r="AD44" s="28"/>
      <c r="AE44" s="28"/>
      <c r="AF44" s="28"/>
      <c r="AG44" s="28"/>
      <c r="AH44" s="28"/>
      <c r="AI44" s="28"/>
      <c r="AJ44" s="9"/>
      <c r="AK44" s="29"/>
      <c r="AL44" s="10"/>
      <c r="AM44" s="30"/>
      <c r="AN44" s="7"/>
      <c r="AO44" s="7"/>
      <c r="AP44" s="7"/>
      <c r="AQ44" s="7"/>
      <c r="AR44" s="7"/>
      <c r="AS44" s="7"/>
    </row>
    <row r="45" spans="1:51" ht="16.5" customHeight="1" x14ac:dyDescent="0.3">
      <c r="A45" s="22"/>
      <c r="B45" s="100"/>
      <c r="C45" s="101" t="s">
        <v>46</v>
      </c>
      <c r="D45" s="33" t="s">
        <v>47</v>
      </c>
      <c r="E45" s="33"/>
      <c r="F45" s="33" t="s">
        <v>48</v>
      </c>
      <c r="G45" s="102"/>
      <c r="H45" s="102"/>
      <c r="I45" s="28"/>
      <c r="J45" s="28"/>
      <c r="K45" s="28"/>
      <c r="L45" s="28"/>
      <c r="M45" s="28"/>
      <c r="N45" s="28"/>
      <c r="O45" s="28"/>
      <c r="P45" s="28"/>
      <c r="Q45" s="28"/>
      <c r="R45" s="28"/>
      <c r="S45" s="28"/>
      <c r="T45" s="28"/>
      <c r="U45" s="7"/>
      <c r="V45" s="29"/>
      <c r="W45" s="9"/>
      <c r="X45" s="28"/>
      <c r="Y45" s="28"/>
      <c r="Z45" s="28"/>
      <c r="AA45" s="28"/>
      <c r="AB45" s="28"/>
      <c r="AC45" s="28"/>
      <c r="AD45" s="28"/>
      <c r="AE45" s="28"/>
      <c r="AF45" s="28"/>
      <c r="AG45" s="28"/>
      <c r="AH45" s="28"/>
      <c r="AI45" s="28"/>
      <c r="AJ45" s="9"/>
      <c r="AK45" s="29"/>
      <c r="AL45" s="10"/>
      <c r="AM45" s="30"/>
      <c r="AN45" s="7"/>
      <c r="AO45" s="7"/>
      <c r="AP45" s="7"/>
      <c r="AQ45" s="7"/>
      <c r="AR45" s="7"/>
      <c r="AS45" s="7"/>
    </row>
    <row r="46" spans="1:51" ht="15.75" customHeight="1" x14ac:dyDescent="0.3">
      <c r="A46" s="22"/>
      <c r="B46" s="41"/>
      <c r="C46" s="62"/>
      <c r="D46" s="42" t="s">
        <v>49</v>
      </c>
      <c r="E46" s="42"/>
      <c r="F46" s="42"/>
      <c r="G46" s="43"/>
      <c r="H46" s="43"/>
      <c r="I46" s="44">
        <f t="shared" ref="I46:P46" si="9">SUM(I47:I56)</f>
        <v>37117400.520000003</v>
      </c>
      <c r="J46" s="44">
        <f t="shared" si="9"/>
        <v>36667763.890000001</v>
      </c>
      <c r="K46" s="44">
        <f t="shared" si="9"/>
        <v>35858134.890000001</v>
      </c>
      <c r="L46" s="44">
        <f t="shared" si="9"/>
        <v>39124931.490000002</v>
      </c>
      <c r="M46" s="44">
        <f>SUM(M47:M56)</f>
        <v>26771244.370000001</v>
      </c>
      <c r="N46" s="44">
        <f t="shared" si="9"/>
        <v>0</v>
      </c>
      <c r="O46" s="44">
        <f t="shared" si="9"/>
        <v>0</v>
      </c>
      <c r="P46" s="44">
        <f t="shared" si="9"/>
        <v>0</v>
      </c>
      <c r="Q46" s="44">
        <f>SUM(Q47:Q57)</f>
        <v>0</v>
      </c>
      <c r="R46" s="44">
        <f>SUM(R47:R57)</f>
        <v>0</v>
      </c>
      <c r="S46" s="44">
        <f>SUM(S47:S57)</f>
        <v>0</v>
      </c>
      <c r="T46" s="44">
        <f>SUM(T47:T57)</f>
        <v>0</v>
      </c>
      <c r="U46" s="7"/>
      <c r="V46" s="45">
        <f>SUM(I46:M46)</f>
        <v>175539475.16</v>
      </c>
      <c r="W46" s="89">
        <f>+V46/$V$171</f>
        <v>4.331451303451582E-2</v>
      </c>
      <c r="X46" s="44">
        <v>41424382.657019287</v>
      </c>
      <c r="Y46" s="44">
        <v>41535813.907019287</v>
      </c>
      <c r="Z46" s="44">
        <v>41648916.625769287</v>
      </c>
      <c r="AA46" s="44">
        <v>43412267.981111333</v>
      </c>
      <c r="AB46" s="44">
        <v>43528789.22953555</v>
      </c>
      <c r="AC46" s="44">
        <v>43647058.296686128</v>
      </c>
      <c r="AD46" s="44">
        <v>32040966.502994861</v>
      </c>
      <c r="AE46" s="44">
        <v>32162810.252700072</v>
      </c>
      <c r="AF46" s="44">
        <v>32286481.65865086</v>
      </c>
      <c r="AG46" s="44">
        <v>33456578.879015218</v>
      </c>
      <c r="AH46" s="44">
        <v>33583988.253210872</v>
      </c>
      <c r="AI46" s="44">
        <v>33713308.768019453</v>
      </c>
      <c r="AJ46" s="89"/>
      <c r="AK46" s="103">
        <f t="shared" ref="AK46:AK55" si="10">SUM(X46:AB46)</f>
        <v>211550170.40045473</v>
      </c>
      <c r="AL46" s="10"/>
      <c r="AM46" s="30">
        <f>+V46-AK46</f>
        <v>-36010695.240454733</v>
      </c>
      <c r="AN46" s="47">
        <f>+AM46/AK46</f>
        <v>-0.17022295549225105</v>
      </c>
      <c r="AO46" s="90"/>
      <c r="AP46" s="7"/>
      <c r="AQ46" s="7"/>
      <c r="AR46" s="7"/>
      <c r="AS46" s="7"/>
    </row>
    <row r="47" spans="1:51" ht="12" customHeight="1" outlineLevel="1" x14ac:dyDescent="0.3">
      <c r="A47" s="18"/>
      <c r="B47" s="58"/>
      <c r="C47" s="5" t="s">
        <v>50</v>
      </c>
      <c r="D47" s="50" t="s">
        <v>49</v>
      </c>
      <c r="E47" s="50">
        <v>5215</v>
      </c>
      <c r="F47" s="5" t="s">
        <v>51</v>
      </c>
      <c r="G47" s="50" t="s">
        <v>52</v>
      </c>
      <c r="H47" s="104"/>
      <c r="I47" s="52">
        <v>5783495.6299999999</v>
      </c>
      <c r="J47" s="52">
        <v>5560417</v>
      </c>
      <c r="K47" s="52">
        <v>5554330</v>
      </c>
      <c r="L47" s="52">
        <v>5748397.4199999999</v>
      </c>
      <c r="M47" s="52">
        <v>5649940.6500000004</v>
      </c>
      <c r="N47" s="52"/>
      <c r="O47" s="52"/>
      <c r="P47" s="52"/>
      <c r="Q47" s="52"/>
      <c r="R47" s="52"/>
      <c r="S47" s="52"/>
      <c r="T47" s="52"/>
      <c r="U47" s="53"/>
      <c r="V47" s="54">
        <f t="shared" ref="V47:V91" si="11">SUM(I47:M47)</f>
        <v>28296580.699999996</v>
      </c>
      <c r="W47" s="105"/>
      <c r="X47" s="52">
        <v>5928750</v>
      </c>
      <c r="Y47" s="52">
        <v>6017681.2499999991</v>
      </c>
      <c r="Z47" s="52">
        <v>6107946.4687499981</v>
      </c>
      <c r="AA47" s="52">
        <v>6199565.6657812484</v>
      </c>
      <c r="AB47" s="52">
        <v>6292559.1507679652</v>
      </c>
      <c r="AC47" s="52">
        <v>6386947.5380294845</v>
      </c>
      <c r="AD47" s="52">
        <v>6482751.7510999246</v>
      </c>
      <c r="AE47" s="52">
        <v>6579993.027366424</v>
      </c>
      <c r="AF47" s="52">
        <v>6678692.9227769198</v>
      </c>
      <c r="AG47" s="52">
        <v>6778873.3166185729</v>
      </c>
      <c r="AH47" s="52">
        <v>6880556.4163678512</v>
      </c>
      <c r="AI47" s="52">
        <v>6983764.7626133682</v>
      </c>
      <c r="AJ47" s="105"/>
      <c r="AK47" s="54">
        <f t="shared" si="10"/>
        <v>30546502.535299212</v>
      </c>
      <c r="AL47" s="56"/>
      <c r="AM47" s="30"/>
      <c r="AN47" s="47"/>
      <c r="AO47" s="53"/>
      <c r="AP47" s="53"/>
      <c r="AQ47" s="53"/>
      <c r="AR47" s="53"/>
      <c r="AS47" s="53"/>
      <c r="AT47" s="53"/>
      <c r="AU47" s="53"/>
      <c r="AV47" s="53"/>
      <c r="AW47" s="53"/>
      <c r="AX47" s="53"/>
      <c r="AY47" s="53"/>
    </row>
    <row r="48" spans="1:51" ht="12" customHeight="1" outlineLevel="1" x14ac:dyDescent="0.3">
      <c r="A48" s="18"/>
      <c r="B48" s="58"/>
      <c r="C48" s="5" t="s">
        <v>50</v>
      </c>
      <c r="D48" s="50" t="s">
        <v>49</v>
      </c>
      <c r="E48" s="50">
        <v>5214</v>
      </c>
      <c r="F48" s="5" t="s">
        <v>53</v>
      </c>
      <c r="G48" s="50" t="s">
        <v>54</v>
      </c>
      <c r="H48" s="106"/>
      <c r="I48" s="52">
        <v>5130000</v>
      </c>
      <c r="J48" s="52">
        <v>5130000</v>
      </c>
      <c r="K48" s="52">
        <v>5130000</v>
      </c>
      <c r="L48" s="52">
        <v>5581440</v>
      </c>
      <c r="M48" s="52">
        <v>5581440</v>
      </c>
      <c r="N48" s="52"/>
      <c r="O48" s="52"/>
      <c r="P48" s="52"/>
      <c r="Q48" s="52"/>
      <c r="R48" s="52"/>
      <c r="S48" s="52"/>
      <c r="T48" s="52"/>
      <c r="U48" s="53"/>
      <c r="V48" s="54">
        <f t="shared" si="11"/>
        <v>26552880</v>
      </c>
      <c r="W48" s="105"/>
      <c r="X48" s="52">
        <v>5057692.3583999984</v>
      </c>
      <c r="Y48" s="52">
        <v>5057692.3583999984</v>
      </c>
      <c r="Z48" s="52">
        <v>5057692.3583999984</v>
      </c>
      <c r="AA48" s="52">
        <v>5288719.5265816264</v>
      </c>
      <c r="AB48" s="52">
        <v>5288719.5265816264</v>
      </c>
      <c r="AC48" s="52">
        <v>5288719.5265816264</v>
      </c>
      <c r="AD48" s="52">
        <v>5530299.640386642</v>
      </c>
      <c r="AE48" s="52">
        <v>5530299.640386642</v>
      </c>
      <c r="AF48" s="52">
        <v>5530299.640386642</v>
      </c>
      <c r="AG48" s="52">
        <v>5782914.7412225856</v>
      </c>
      <c r="AH48" s="52">
        <v>5782914.7412225856</v>
      </c>
      <c r="AI48" s="52">
        <v>5782914.7412225856</v>
      </c>
      <c r="AJ48" s="105"/>
      <c r="AK48" s="54">
        <f t="shared" si="10"/>
        <v>25750516.128363248</v>
      </c>
      <c r="AL48" s="56"/>
      <c r="AM48" s="30"/>
      <c r="AN48" s="47"/>
      <c r="AO48" s="53"/>
      <c r="AP48" s="53"/>
      <c r="AQ48" s="53"/>
      <c r="AR48" s="53"/>
      <c r="AS48" s="53"/>
      <c r="AT48" s="53"/>
      <c r="AU48" s="53"/>
      <c r="AV48" s="53"/>
      <c r="AW48" s="53"/>
      <c r="AX48" s="53"/>
      <c r="AY48" s="53"/>
    </row>
    <row r="49" spans="1:51" ht="12" customHeight="1" outlineLevel="1" x14ac:dyDescent="0.3">
      <c r="A49" s="18"/>
      <c r="B49" s="58"/>
      <c r="C49" s="2" t="s">
        <v>55</v>
      </c>
      <c r="D49" s="60" t="s">
        <v>49</v>
      </c>
      <c r="E49" s="60">
        <v>5214</v>
      </c>
      <c r="F49" s="2" t="s">
        <v>56</v>
      </c>
      <c r="G49" s="60" t="s">
        <v>54</v>
      </c>
      <c r="H49" s="107"/>
      <c r="I49" s="6">
        <v>9756908.9000000004</v>
      </c>
      <c r="J49" s="6">
        <v>9756908.9000000004</v>
      </c>
      <c r="K49" s="6">
        <v>9756908.9000000004</v>
      </c>
      <c r="L49" s="108">
        <v>10615517.4</v>
      </c>
      <c r="M49" s="108">
        <v>0</v>
      </c>
      <c r="N49" s="52"/>
      <c r="O49" s="52"/>
      <c r="P49" s="52"/>
      <c r="Q49" s="52"/>
      <c r="R49" s="52"/>
      <c r="S49" s="52"/>
      <c r="T49" s="52"/>
      <c r="U49" s="53"/>
      <c r="V49" s="54">
        <f t="shared" si="11"/>
        <v>39886244.100000001</v>
      </c>
      <c r="W49" s="105"/>
      <c r="X49" s="52">
        <v>10394743.66855887</v>
      </c>
      <c r="Y49" s="52">
        <v>10394743.66855887</v>
      </c>
      <c r="Z49" s="52">
        <v>10394743.66855887</v>
      </c>
      <c r="AA49" s="52">
        <v>10923103.291859889</v>
      </c>
      <c r="AB49" s="52">
        <v>10923103.291859889</v>
      </c>
      <c r="AC49" s="52">
        <v>10923103.291859889</v>
      </c>
      <c r="AD49" s="52">
        <v>5711026.4500945956</v>
      </c>
      <c r="AE49" s="52">
        <v>5711026.4500945956</v>
      </c>
      <c r="AF49" s="52">
        <v>5711026.4500945956</v>
      </c>
      <c r="AG49" s="52">
        <v>5971896.8579169326</v>
      </c>
      <c r="AH49" s="52">
        <v>5971896.8579169326</v>
      </c>
      <c r="AI49" s="52">
        <v>5971896.8579169326</v>
      </c>
      <c r="AJ49" s="105"/>
      <c r="AK49" s="54">
        <f t="shared" si="10"/>
        <v>53030437.589396387</v>
      </c>
      <c r="AL49" s="56"/>
      <c r="AM49" s="30"/>
      <c r="AN49" s="47"/>
      <c r="AO49" s="53"/>
      <c r="AP49" s="53"/>
      <c r="AQ49" s="53"/>
      <c r="AR49" s="53"/>
      <c r="AS49" s="53"/>
      <c r="AT49" s="53"/>
      <c r="AU49" s="53"/>
      <c r="AV49" s="53"/>
      <c r="AW49" s="53"/>
      <c r="AX49" s="53"/>
      <c r="AY49" s="53"/>
    </row>
    <row r="50" spans="1:51" ht="12" customHeight="1" outlineLevel="1" x14ac:dyDescent="0.3">
      <c r="A50" s="18"/>
      <c r="B50" s="58"/>
      <c r="C50" s="2" t="s">
        <v>55</v>
      </c>
      <c r="D50" s="60" t="s">
        <v>49</v>
      </c>
      <c r="E50" s="60">
        <v>5214</v>
      </c>
      <c r="F50" s="2" t="s">
        <v>57</v>
      </c>
      <c r="G50" s="60" t="s">
        <v>54</v>
      </c>
      <c r="H50" s="107"/>
      <c r="I50" s="6">
        <v>9756908.9000000004</v>
      </c>
      <c r="J50" s="6">
        <v>9756908.9000000004</v>
      </c>
      <c r="K50" s="6">
        <v>9756908.9000000004</v>
      </c>
      <c r="L50" s="108">
        <v>10615517.4</v>
      </c>
      <c r="M50" s="108">
        <v>11185224.800000001</v>
      </c>
      <c r="N50" s="52"/>
      <c r="O50" s="52"/>
      <c r="P50" s="52"/>
      <c r="Q50" s="52"/>
      <c r="R50" s="52"/>
      <c r="S50" s="52"/>
      <c r="T50" s="52"/>
      <c r="U50" s="53"/>
      <c r="V50" s="54">
        <f t="shared" si="11"/>
        <v>51071468.900000006</v>
      </c>
      <c r="W50" s="105"/>
      <c r="X50" s="52">
        <v>10394743.66855887</v>
      </c>
      <c r="Y50" s="52">
        <v>10394743.66855887</v>
      </c>
      <c r="Z50" s="52">
        <v>10394743.66855887</v>
      </c>
      <c r="AA50" s="52">
        <v>10923103.291859889</v>
      </c>
      <c r="AB50" s="52">
        <v>10923103.291859889</v>
      </c>
      <c r="AC50" s="52">
        <v>10923103.291859889</v>
      </c>
      <c r="AD50" s="52">
        <v>5711026.4500945956</v>
      </c>
      <c r="AE50" s="52">
        <v>5711026.4500945956</v>
      </c>
      <c r="AF50" s="52">
        <v>5711026.4500945956</v>
      </c>
      <c r="AG50" s="52">
        <v>5971896.8579169326</v>
      </c>
      <c r="AH50" s="52">
        <v>5971896.8579169326</v>
      </c>
      <c r="AI50" s="52">
        <v>5971896.8579169326</v>
      </c>
      <c r="AJ50" s="105"/>
      <c r="AK50" s="54">
        <f t="shared" si="10"/>
        <v>53030437.589396387</v>
      </c>
      <c r="AL50" s="56"/>
      <c r="AM50" s="30"/>
      <c r="AN50" s="47"/>
      <c r="AO50" s="53"/>
      <c r="AP50" s="53"/>
      <c r="AQ50" s="53"/>
      <c r="AR50" s="53"/>
      <c r="AS50" s="53"/>
      <c r="AT50" s="53"/>
      <c r="AU50" s="53"/>
      <c r="AV50" s="53"/>
      <c r="AW50" s="53"/>
      <c r="AX50" s="53"/>
      <c r="AY50" s="53"/>
    </row>
    <row r="51" spans="1:51" ht="12" customHeight="1" outlineLevel="1" x14ac:dyDescent="0.3">
      <c r="A51" s="18"/>
      <c r="B51" s="58"/>
      <c r="C51" s="2" t="s">
        <v>55</v>
      </c>
      <c r="D51" s="60" t="s">
        <v>49</v>
      </c>
      <c r="E51" s="60">
        <v>5214</v>
      </c>
      <c r="F51" s="2" t="s">
        <v>58</v>
      </c>
      <c r="G51" s="60" t="s">
        <v>54</v>
      </c>
      <c r="H51" s="107"/>
      <c r="I51" s="6">
        <v>1999151.88</v>
      </c>
      <c r="J51" s="6">
        <v>1999151.88</v>
      </c>
      <c r="K51" s="6">
        <v>1999151.88</v>
      </c>
      <c r="L51" s="108">
        <v>2175077.2000000002</v>
      </c>
      <c r="M51" s="108">
        <v>1145903.99</v>
      </c>
      <c r="N51" s="52"/>
      <c r="O51" s="52"/>
      <c r="P51" s="52"/>
      <c r="Q51" s="52"/>
      <c r="R51" s="52"/>
      <c r="S51" s="52"/>
      <c r="T51" s="52"/>
      <c r="U51" s="53"/>
      <c r="V51" s="54">
        <f t="shared" si="11"/>
        <v>9318436.8300000001</v>
      </c>
      <c r="W51" s="105"/>
      <c r="X51" s="52">
        <v>2129841.8839843189</v>
      </c>
      <c r="Y51" s="52">
        <v>2129841.8839843189</v>
      </c>
      <c r="Z51" s="52">
        <v>2129841.8839843189</v>
      </c>
      <c r="AA51" s="52">
        <v>2238100.6820263001</v>
      </c>
      <c r="AB51" s="52">
        <v>2238100.6820263001</v>
      </c>
      <c r="AC51" s="52">
        <v>2238100.6820263001</v>
      </c>
      <c r="AD51" s="52">
        <v>1170166.742133826</v>
      </c>
      <c r="AE51" s="52">
        <v>1170166.742133826</v>
      </c>
      <c r="AF51" s="52">
        <v>1170166.742133826</v>
      </c>
      <c r="AG51" s="52">
        <v>1223618.057393543</v>
      </c>
      <c r="AH51" s="52">
        <v>1223618.057393543</v>
      </c>
      <c r="AI51" s="52">
        <v>1223618.057393543</v>
      </c>
      <c r="AJ51" s="105"/>
      <c r="AK51" s="54">
        <f t="shared" si="10"/>
        <v>10865727.016005557</v>
      </c>
      <c r="AL51" s="56"/>
      <c r="AM51" s="30"/>
      <c r="AN51" s="47"/>
      <c r="AO51" s="53"/>
      <c r="AP51" s="53"/>
      <c r="AQ51" s="53"/>
      <c r="AR51" s="53"/>
      <c r="AS51" s="53"/>
      <c r="AT51" s="53"/>
      <c r="AU51" s="53"/>
      <c r="AV51" s="53"/>
      <c r="AW51" s="53"/>
      <c r="AX51" s="53"/>
      <c r="AY51" s="53"/>
    </row>
    <row r="52" spans="1:51" ht="12" customHeight="1" outlineLevel="1" x14ac:dyDescent="0.3">
      <c r="A52" s="18"/>
      <c r="B52" s="58"/>
      <c r="C52" s="2" t="s">
        <v>55</v>
      </c>
      <c r="D52" s="60" t="s">
        <v>49</v>
      </c>
      <c r="E52" s="60">
        <v>5214</v>
      </c>
      <c r="F52" s="2" t="s">
        <v>59</v>
      </c>
      <c r="G52" s="60" t="s">
        <v>54</v>
      </c>
      <c r="H52" s="107"/>
      <c r="I52" s="6">
        <f>1220020.94-3000</f>
        <v>1217020.94</v>
      </c>
      <c r="J52" s="6">
        <f>1220020.94-3000</f>
        <v>1217020.94</v>
      </c>
      <c r="K52" s="6">
        <f>1220020.94-3000</f>
        <v>1217020.94</v>
      </c>
      <c r="L52" s="108">
        <v>1327382.8</v>
      </c>
      <c r="M52" s="108">
        <v>699310.01</v>
      </c>
      <c r="N52" s="52"/>
      <c r="O52" s="52"/>
      <c r="P52" s="52"/>
      <c r="Q52" s="52"/>
      <c r="R52" s="52"/>
      <c r="S52" s="52"/>
      <c r="T52" s="52"/>
      <c r="U52" s="53"/>
      <c r="V52" s="54">
        <f t="shared" si="11"/>
        <v>5677755.6299999999</v>
      </c>
      <c r="W52" s="105"/>
      <c r="X52" s="52">
        <v>1299777.01802586</v>
      </c>
      <c r="Y52" s="52">
        <v>1299777.01802586</v>
      </c>
      <c r="Z52" s="52">
        <v>1299777.01802586</v>
      </c>
      <c r="AA52" s="52">
        <v>1365844.0339636051</v>
      </c>
      <c r="AB52" s="52">
        <v>1365844.0339636051</v>
      </c>
      <c r="AC52" s="52">
        <v>1365844.0339636051</v>
      </c>
      <c r="AD52" s="52">
        <v>714116.78496925335</v>
      </c>
      <c r="AE52" s="52">
        <v>714116.78496925335</v>
      </c>
      <c r="AF52" s="52">
        <v>714116.78496925335</v>
      </c>
      <c r="AG52" s="52">
        <v>746736.47926687298</v>
      </c>
      <c r="AH52" s="52">
        <v>746736.47926687298</v>
      </c>
      <c r="AI52" s="52">
        <v>746736.47926687298</v>
      </c>
      <c r="AJ52" s="105"/>
      <c r="AK52" s="54">
        <f t="shared" si="10"/>
        <v>6631019.1220047893</v>
      </c>
      <c r="AL52" s="56"/>
      <c r="AM52" s="30"/>
      <c r="AN52" s="47"/>
      <c r="AO52" s="53"/>
      <c r="AP52" s="53"/>
      <c r="AQ52" s="53"/>
      <c r="AR52" s="53"/>
      <c r="AS52" s="53"/>
      <c r="AT52" s="53"/>
      <c r="AU52" s="53"/>
      <c r="AV52" s="53"/>
      <c r="AW52" s="53"/>
      <c r="AX52" s="53"/>
      <c r="AY52" s="53"/>
    </row>
    <row r="53" spans="1:51" ht="12" customHeight="1" outlineLevel="1" x14ac:dyDescent="0.3">
      <c r="A53" s="18"/>
      <c r="B53" s="58"/>
      <c r="C53" s="5" t="s">
        <v>60</v>
      </c>
      <c r="D53" s="50" t="s">
        <v>49</v>
      </c>
      <c r="E53" s="50">
        <v>5214</v>
      </c>
      <c r="F53" s="5" t="s">
        <v>61</v>
      </c>
      <c r="G53" s="50" t="s">
        <v>54</v>
      </c>
      <c r="H53" s="106"/>
      <c r="I53" s="52">
        <v>2410530</v>
      </c>
      <c r="J53" s="52">
        <v>2183972</v>
      </c>
      <c r="K53" s="52">
        <f>1377430+3000</f>
        <v>1380430</v>
      </c>
      <c r="L53" s="109">
        <v>1998215</v>
      </c>
      <c r="M53" s="109">
        <v>1498661.04</v>
      </c>
      <c r="N53" s="52"/>
      <c r="O53" s="52"/>
      <c r="P53" s="52"/>
      <c r="Q53" s="52"/>
      <c r="R53" s="52"/>
      <c r="S53" s="52"/>
      <c r="T53" s="52"/>
      <c r="U53" s="53"/>
      <c r="V53" s="54">
        <f t="shared" si="11"/>
        <v>9471808.0399999991</v>
      </c>
      <c r="W53" s="105"/>
      <c r="X53" s="52">
        <v>3668733.059491368</v>
      </c>
      <c r="Y53" s="52">
        <v>3668733.059491368</v>
      </c>
      <c r="Z53" s="52">
        <v>3668733.059491368</v>
      </c>
      <c r="AA53" s="52">
        <v>3855212.9265387841</v>
      </c>
      <c r="AB53" s="52">
        <v>3855212.9265387841</v>
      </c>
      <c r="AC53" s="52">
        <v>3855212.9265387841</v>
      </c>
      <c r="AD53" s="52">
        <v>4031312.7883020681</v>
      </c>
      <c r="AE53" s="52">
        <v>4031312.7883020681</v>
      </c>
      <c r="AF53" s="52">
        <v>4031312.7883020681</v>
      </c>
      <c r="AG53" s="52">
        <v>4215456.605588424</v>
      </c>
      <c r="AH53" s="52">
        <v>4215456.605588424</v>
      </c>
      <c r="AI53" s="52">
        <v>4215456.605588424</v>
      </c>
      <c r="AJ53" s="105"/>
      <c r="AK53" s="54">
        <f t="shared" si="10"/>
        <v>18716625.031551674</v>
      </c>
      <c r="AL53" s="56"/>
      <c r="AM53" s="30"/>
      <c r="AN53" s="47"/>
      <c r="AO53" s="53"/>
      <c r="AP53" s="53"/>
      <c r="AQ53" s="53"/>
      <c r="AR53" s="53"/>
      <c r="AS53" s="53"/>
      <c r="AT53" s="53"/>
      <c r="AU53" s="53"/>
      <c r="AV53" s="53"/>
      <c r="AW53" s="53"/>
      <c r="AX53" s="53"/>
      <c r="AY53" s="53"/>
    </row>
    <row r="54" spans="1:51" ht="12" customHeight="1" outlineLevel="1" x14ac:dyDescent="0.3">
      <c r="A54" s="18"/>
      <c r="B54" s="58"/>
      <c r="C54" s="110" t="s">
        <v>50</v>
      </c>
      <c r="D54" s="111" t="s">
        <v>49</v>
      </c>
      <c r="E54" s="111">
        <v>5514</v>
      </c>
      <c r="F54" s="110" t="s">
        <v>62</v>
      </c>
      <c r="G54" s="111" t="s">
        <v>63</v>
      </c>
      <c r="H54" s="112"/>
      <c r="I54" s="113">
        <v>1063384.27</v>
      </c>
      <c r="J54" s="113">
        <v>1063384.27</v>
      </c>
      <c r="K54" s="113">
        <v>1063384.27</v>
      </c>
      <c r="L54" s="113">
        <v>1063384.27</v>
      </c>
      <c r="M54" s="113">
        <v>1010763.88</v>
      </c>
      <c r="N54" s="113"/>
      <c r="O54" s="113"/>
      <c r="P54" s="113"/>
      <c r="Q54" s="113"/>
      <c r="R54" s="113"/>
      <c r="S54" s="113"/>
      <c r="T54" s="113"/>
      <c r="U54" s="53"/>
      <c r="V54" s="54">
        <f t="shared" si="11"/>
        <v>5264300.96</v>
      </c>
      <c r="W54" s="105"/>
      <c r="X54" s="113">
        <v>1050101</v>
      </c>
      <c r="Y54" s="113">
        <v>1050101</v>
      </c>
      <c r="Z54" s="113">
        <v>1050101</v>
      </c>
      <c r="AA54" s="113">
        <v>1050101</v>
      </c>
      <c r="AB54" s="113">
        <v>1050101</v>
      </c>
      <c r="AC54" s="113">
        <v>1050101</v>
      </c>
      <c r="AD54" s="113">
        <v>1050101</v>
      </c>
      <c r="AE54" s="113">
        <v>1050101</v>
      </c>
      <c r="AF54" s="113">
        <v>1050101</v>
      </c>
      <c r="AG54" s="113">
        <v>1050101</v>
      </c>
      <c r="AH54" s="113">
        <v>1050101</v>
      </c>
      <c r="AI54" s="113">
        <v>1050101</v>
      </c>
      <c r="AJ54" s="105"/>
      <c r="AK54" s="54">
        <f t="shared" si="10"/>
        <v>5250505</v>
      </c>
      <c r="AL54" s="56"/>
      <c r="AM54" s="30"/>
      <c r="AN54" s="47"/>
      <c r="AO54" s="53"/>
      <c r="AP54" s="53"/>
      <c r="AQ54" s="53"/>
      <c r="AR54" s="53"/>
      <c r="AS54" s="53"/>
      <c r="AT54" s="53"/>
      <c r="AU54" s="53"/>
      <c r="AV54" s="53"/>
      <c r="AW54" s="53"/>
      <c r="AX54" s="53"/>
      <c r="AY54" s="53"/>
    </row>
    <row r="55" spans="1:51" ht="12" customHeight="1" outlineLevel="1" x14ac:dyDescent="0.3">
      <c r="A55" s="18"/>
      <c r="B55" s="58"/>
      <c r="C55" s="5" t="s">
        <v>50</v>
      </c>
      <c r="D55" s="50" t="s">
        <v>49</v>
      </c>
      <c r="E55" s="50"/>
      <c r="F55" s="5" t="s">
        <v>64</v>
      </c>
      <c r="G55" s="50" t="s">
        <v>52</v>
      </c>
      <c r="H55" s="104"/>
      <c r="I55" s="52">
        <v>0</v>
      </c>
      <c r="J55" s="52">
        <v>0</v>
      </c>
      <c r="K55" s="52">
        <v>0</v>
      </c>
      <c r="L55" s="52"/>
      <c r="M55" s="52"/>
      <c r="N55" s="52"/>
      <c r="O55" s="52"/>
      <c r="P55" s="52"/>
      <c r="Q55" s="52"/>
      <c r="R55" s="52"/>
      <c r="S55" s="52"/>
      <c r="T55" s="52"/>
      <c r="U55" s="53"/>
      <c r="V55" s="54">
        <f t="shared" si="11"/>
        <v>0</v>
      </c>
      <c r="W55" s="105"/>
      <c r="X55" s="52">
        <v>1500000</v>
      </c>
      <c r="Y55" s="52">
        <v>1522500</v>
      </c>
      <c r="Z55" s="52">
        <v>1545337.5</v>
      </c>
      <c r="AA55" s="52">
        <v>1568517.5625</v>
      </c>
      <c r="AB55" s="52">
        <v>1592045.3259374991</v>
      </c>
      <c r="AC55" s="52">
        <v>1615926.005826561</v>
      </c>
      <c r="AD55" s="52">
        <v>1640164.8959139599</v>
      </c>
      <c r="AE55" s="52">
        <v>1664767.369352669</v>
      </c>
      <c r="AF55" s="52">
        <v>1689738.879892959</v>
      </c>
      <c r="AG55" s="52">
        <v>1715084.963091353</v>
      </c>
      <c r="AH55" s="52">
        <v>1740811.237537723</v>
      </c>
      <c r="AI55" s="52">
        <v>1766923.4061007891</v>
      </c>
      <c r="AJ55" s="105"/>
      <c r="AK55" s="54">
        <f t="shared" si="10"/>
        <v>7728400.3884374993</v>
      </c>
      <c r="AL55" s="56"/>
      <c r="AM55" s="30"/>
      <c r="AN55" s="47"/>
      <c r="AO55" s="53"/>
      <c r="AP55" s="53"/>
      <c r="AQ55" s="53"/>
      <c r="AR55" s="53"/>
      <c r="AS55" s="53"/>
      <c r="AT55" s="53"/>
      <c r="AU55" s="53"/>
      <c r="AV55" s="53"/>
      <c r="AW55" s="53"/>
      <c r="AX55" s="53"/>
      <c r="AY55" s="53"/>
    </row>
    <row r="56" spans="1:51" ht="12" customHeight="1" outlineLevel="1" x14ac:dyDescent="0.3">
      <c r="A56" s="18"/>
      <c r="B56" s="58"/>
      <c r="C56" s="53"/>
      <c r="D56" s="53"/>
      <c r="E56" s="53"/>
      <c r="F56" s="53"/>
      <c r="G56" s="53"/>
      <c r="H56" s="53"/>
      <c r="I56" s="52"/>
      <c r="J56" s="52"/>
      <c r="K56" s="52"/>
      <c r="L56" s="52"/>
      <c r="M56" s="52"/>
      <c r="N56" s="52"/>
      <c r="O56" s="52"/>
      <c r="P56" s="52"/>
      <c r="Q56" s="52"/>
      <c r="R56" s="52"/>
      <c r="S56" s="52"/>
      <c r="T56" s="52"/>
      <c r="U56" s="53"/>
      <c r="V56" s="54">
        <f t="shared" si="11"/>
        <v>0</v>
      </c>
      <c r="W56" s="105"/>
      <c r="X56" s="52"/>
      <c r="Y56" s="52"/>
      <c r="Z56" s="52"/>
      <c r="AA56" s="52"/>
      <c r="AB56" s="52"/>
      <c r="AC56" s="52"/>
      <c r="AD56" s="52"/>
      <c r="AE56" s="52"/>
      <c r="AF56" s="52"/>
      <c r="AG56" s="52"/>
      <c r="AH56" s="52"/>
      <c r="AI56" s="52"/>
      <c r="AJ56" s="105"/>
      <c r="AK56" s="54"/>
      <c r="AL56" s="56"/>
      <c r="AM56" s="30"/>
      <c r="AN56" s="53"/>
      <c r="AO56" s="53"/>
      <c r="AP56" s="53"/>
      <c r="AQ56" s="53"/>
      <c r="AR56" s="53"/>
      <c r="AS56" s="53"/>
      <c r="AT56" s="53"/>
      <c r="AU56" s="53"/>
      <c r="AV56" s="53"/>
      <c r="AW56" s="53"/>
      <c r="AX56" s="53"/>
      <c r="AY56" s="53"/>
    </row>
    <row r="57" spans="1:51" ht="12" customHeight="1" outlineLevel="1" x14ac:dyDescent="0.3">
      <c r="A57" s="18"/>
      <c r="B57" s="58"/>
      <c r="C57" s="7"/>
      <c r="D57" s="7"/>
      <c r="E57" s="7"/>
      <c r="F57" s="7"/>
      <c r="G57" s="7"/>
      <c r="H57" s="53"/>
      <c r="I57" s="52"/>
      <c r="J57" s="52"/>
      <c r="K57" s="52"/>
      <c r="L57" s="52"/>
      <c r="M57" s="52"/>
      <c r="N57" s="52"/>
      <c r="O57" s="52"/>
      <c r="P57" s="52"/>
      <c r="Q57" s="52"/>
      <c r="R57" s="52"/>
      <c r="S57" s="52"/>
      <c r="T57" s="52"/>
      <c r="U57" s="7"/>
      <c r="V57" s="54">
        <f t="shared" si="11"/>
        <v>0</v>
      </c>
      <c r="W57" s="40"/>
      <c r="X57" s="52"/>
      <c r="Y57" s="52"/>
      <c r="Z57" s="52"/>
      <c r="AA57" s="52"/>
      <c r="AB57" s="52"/>
      <c r="AC57" s="52"/>
      <c r="AD57" s="52"/>
      <c r="AE57" s="52"/>
      <c r="AF57" s="52"/>
      <c r="AG57" s="52"/>
      <c r="AH57" s="52"/>
      <c r="AI57" s="52"/>
      <c r="AJ57" s="40"/>
      <c r="AK57" s="54"/>
      <c r="AL57" s="10"/>
      <c r="AM57" s="30"/>
      <c r="AN57" s="7"/>
      <c r="AO57" s="7"/>
      <c r="AP57" s="7"/>
      <c r="AQ57" s="7"/>
      <c r="AR57" s="7"/>
      <c r="AS57" s="7"/>
    </row>
    <row r="58" spans="1:51" ht="15.75" customHeight="1" x14ac:dyDescent="0.3">
      <c r="A58" s="22"/>
      <c r="B58" s="41"/>
      <c r="C58" s="62"/>
      <c r="D58" s="42" t="s">
        <v>65</v>
      </c>
      <c r="E58" s="42"/>
      <c r="F58" s="42"/>
      <c r="G58" s="43"/>
      <c r="H58" s="43"/>
      <c r="I58" s="44">
        <f>SUM(I59:I69)</f>
        <v>3054636.6999999997</v>
      </c>
      <c r="J58" s="44">
        <f>SUM(J59:J69)</f>
        <v>2301096.5799999996</v>
      </c>
      <c r="K58" s="44">
        <f>SUM(K59:K69)</f>
        <v>3274903.32</v>
      </c>
      <c r="L58" s="44">
        <f>SUM(L59:L69)</f>
        <v>3924224.39</v>
      </c>
      <c r="M58" s="44">
        <f>SUM(M59:M69)</f>
        <v>12562005.640000001</v>
      </c>
      <c r="N58" s="44">
        <f t="shared" ref="N58:T58" si="12">SUM(N59:N68)</f>
        <v>0</v>
      </c>
      <c r="O58" s="44">
        <f t="shared" si="12"/>
        <v>0</v>
      </c>
      <c r="P58" s="44">
        <f t="shared" si="12"/>
        <v>0</v>
      </c>
      <c r="Q58" s="44">
        <f t="shared" si="12"/>
        <v>0</v>
      </c>
      <c r="R58" s="44">
        <f t="shared" si="12"/>
        <v>0</v>
      </c>
      <c r="S58" s="44">
        <f t="shared" si="12"/>
        <v>0</v>
      </c>
      <c r="T58" s="44">
        <f t="shared" si="12"/>
        <v>0</v>
      </c>
      <c r="U58" s="53"/>
      <c r="V58" s="45">
        <f t="shared" si="11"/>
        <v>25116866.630000003</v>
      </c>
      <c r="W58" s="89">
        <f>+V58/$V$171</f>
        <v>6.1976079513722674E-3</v>
      </c>
      <c r="X58" s="44">
        <v>12225948.439999999</v>
      </c>
      <c r="Y58" s="44">
        <v>3965594.149999999</v>
      </c>
      <c r="Z58" s="44">
        <v>4017901.0686499989</v>
      </c>
      <c r="AA58" s="44">
        <v>30639956.643052191</v>
      </c>
      <c r="AB58" s="44">
        <v>40904516.479311958</v>
      </c>
      <c r="AC58" s="44">
        <v>58284889.804191738</v>
      </c>
      <c r="AD58" s="44">
        <v>315650763.88504148</v>
      </c>
      <c r="AE58" s="44">
        <v>99473505.95193249</v>
      </c>
      <c r="AF58" s="44">
        <v>122734888.3990625</v>
      </c>
      <c r="AG58" s="44">
        <v>156035288.40497851</v>
      </c>
      <c r="AH58" s="44">
        <v>161893567.0222978</v>
      </c>
      <c r="AI58" s="44">
        <v>184269961.07568869</v>
      </c>
      <c r="AJ58" s="89"/>
      <c r="AK58" s="103">
        <f t="shared" ref="AK58:AK71" si="13">SUM(X58:AB58)</f>
        <v>91753916.781014144</v>
      </c>
      <c r="AL58" s="10"/>
      <c r="AM58" s="30">
        <f>+V58-AK58</f>
        <v>-66637050.151014142</v>
      </c>
      <c r="AN58" s="47">
        <f>+AM58/AK58</f>
        <v>-0.72625837118271963</v>
      </c>
      <c r="AO58" s="7"/>
      <c r="AP58" s="7"/>
      <c r="AQ58" s="7"/>
      <c r="AR58" s="7"/>
      <c r="AS58" s="7"/>
    </row>
    <row r="59" spans="1:51" ht="12" customHeight="1" outlineLevel="1" x14ac:dyDescent="0.3">
      <c r="A59" s="18"/>
      <c r="B59" s="58"/>
      <c r="C59" s="5" t="s">
        <v>66</v>
      </c>
      <c r="D59" s="50" t="s">
        <v>65</v>
      </c>
      <c r="E59" s="50">
        <v>5218</v>
      </c>
      <c r="F59" s="5" t="s">
        <v>67</v>
      </c>
      <c r="G59" s="50" t="s">
        <v>52</v>
      </c>
      <c r="H59" s="106"/>
      <c r="I59" s="52">
        <v>477797</v>
      </c>
      <c r="J59" s="52">
        <v>477797</v>
      </c>
      <c r="K59" s="52">
        <v>477797</v>
      </c>
      <c r="L59" s="52">
        <v>477797</v>
      </c>
      <c r="M59" s="52">
        <v>477797</v>
      </c>
      <c r="N59" s="52"/>
      <c r="O59" s="52"/>
      <c r="P59" s="52"/>
      <c r="Q59" s="52"/>
      <c r="R59" s="52"/>
      <c r="S59" s="52"/>
      <c r="T59" s="52"/>
      <c r="U59" s="53"/>
      <c r="V59" s="54">
        <f t="shared" si="11"/>
        <v>2388985</v>
      </c>
      <c r="W59" s="105"/>
      <c r="X59" s="52">
        <v>478466.24</v>
      </c>
      <c r="Y59" s="52">
        <v>478466.24</v>
      </c>
      <c r="Z59" s="52">
        <v>478466.24</v>
      </c>
      <c r="AA59" s="52">
        <v>478466.24</v>
      </c>
      <c r="AB59" s="52">
        <v>478466.24</v>
      </c>
      <c r="AC59" s="52">
        <v>478466.24</v>
      </c>
      <c r="AD59" s="52">
        <v>528342.82308515324</v>
      </c>
      <c r="AE59" s="52">
        <v>528342.82308515324</v>
      </c>
      <c r="AF59" s="52">
        <v>528342.82308515324</v>
      </c>
      <c r="AG59" s="52">
        <v>528342.82308515324</v>
      </c>
      <c r="AH59" s="52">
        <v>528342.82308515324</v>
      </c>
      <c r="AI59" s="52">
        <v>528342.82308515324</v>
      </c>
      <c r="AJ59" s="105"/>
      <c r="AK59" s="54">
        <f t="shared" si="13"/>
        <v>2392331.2000000002</v>
      </c>
      <c r="AL59" s="56"/>
      <c r="AM59" s="30"/>
      <c r="AN59" s="53"/>
      <c r="AO59" s="53"/>
      <c r="AP59" s="53"/>
      <c r="AQ59" s="53"/>
      <c r="AR59" s="53"/>
      <c r="AS59" s="53"/>
      <c r="AT59" s="53"/>
      <c r="AU59" s="53"/>
      <c r="AV59" s="53"/>
      <c r="AW59" s="53"/>
      <c r="AX59" s="53"/>
      <c r="AY59" s="53"/>
    </row>
    <row r="60" spans="1:51" ht="12" customHeight="1" outlineLevel="1" x14ac:dyDescent="0.3">
      <c r="A60" s="18"/>
      <c r="B60" s="58"/>
      <c r="C60" s="5" t="s">
        <v>68</v>
      </c>
      <c r="D60" s="50" t="s">
        <v>65</v>
      </c>
      <c r="E60" s="50">
        <v>5213</v>
      </c>
      <c r="F60" s="5" t="s">
        <v>69</v>
      </c>
      <c r="G60" s="50" t="s">
        <v>52</v>
      </c>
      <c r="H60" s="104"/>
      <c r="I60" s="52">
        <v>879000</v>
      </c>
      <c r="J60" s="52">
        <v>801180</v>
      </c>
      <c r="K60" s="52">
        <v>849000</v>
      </c>
      <c r="L60" s="52">
        <v>855000</v>
      </c>
      <c r="M60" s="52">
        <v>858000</v>
      </c>
      <c r="N60" s="52"/>
      <c r="O60" s="52"/>
      <c r="P60" s="52"/>
      <c r="Q60" s="52"/>
      <c r="R60" s="52"/>
      <c r="S60" s="52"/>
      <c r="T60" s="52"/>
      <c r="U60" s="53"/>
      <c r="V60" s="54">
        <f t="shared" si="11"/>
        <v>4242180</v>
      </c>
      <c r="W60" s="105"/>
      <c r="X60" s="52">
        <v>900000</v>
      </c>
      <c r="Y60" s="52">
        <v>913499.99999999988</v>
      </c>
      <c r="Z60" s="52">
        <v>927202.49999999977</v>
      </c>
      <c r="AA60" s="52">
        <v>941110.53749999974</v>
      </c>
      <c r="AB60" s="52">
        <v>955227.19556249958</v>
      </c>
      <c r="AC60" s="52">
        <v>969555.60349593696</v>
      </c>
      <c r="AD60" s="52">
        <v>984098.9375483758</v>
      </c>
      <c r="AE60" s="52">
        <v>998860.42161160137</v>
      </c>
      <c r="AF60" s="52">
        <v>1013843.327935775</v>
      </c>
      <c r="AG60" s="52">
        <v>1029050.9778548121</v>
      </c>
      <c r="AH60" s="52">
        <v>1044486.742522634</v>
      </c>
      <c r="AI60" s="52">
        <v>1060154.0436604731</v>
      </c>
      <c r="AJ60" s="105"/>
      <c r="AK60" s="54">
        <f t="shared" si="13"/>
        <v>4637040.2330624992</v>
      </c>
      <c r="AL60" s="56"/>
      <c r="AM60" s="30"/>
      <c r="AN60" s="53"/>
      <c r="AO60" s="53"/>
      <c r="AP60" s="53"/>
      <c r="AQ60" s="53"/>
      <c r="AR60" s="53"/>
      <c r="AS60" s="53"/>
      <c r="AT60" s="53"/>
      <c r="AU60" s="53"/>
      <c r="AV60" s="53"/>
      <c r="AW60" s="53"/>
      <c r="AX60" s="53"/>
      <c r="AY60" s="53"/>
    </row>
    <row r="61" spans="1:51" ht="12" customHeight="1" outlineLevel="1" x14ac:dyDescent="0.3">
      <c r="A61" s="18"/>
      <c r="B61" s="58"/>
      <c r="C61" s="5" t="s">
        <v>70</v>
      </c>
      <c r="D61" s="50" t="s">
        <v>65</v>
      </c>
      <c r="E61" s="50">
        <v>5215</v>
      </c>
      <c r="F61" s="5" t="s">
        <v>71</v>
      </c>
      <c r="G61" s="50" t="s">
        <v>52</v>
      </c>
      <c r="H61" s="104"/>
      <c r="I61" s="52">
        <v>568260</v>
      </c>
      <c r="J61" s="52">
        <v>-30636</v>
      </c>
      <c r="K61" s="52">
        <v>698328</v>
      </c>
      <c r="L61" s="52">
        <v>679896</v>
      </c>
      <c r="M61" s="52">
        <v>718704</v>
      </c>
      <c r="N61" s="52"/>
      <c r="O61" s="52"/>
      <c r="P61" s="52"/>
      <c r="Q61" s="52"/>
      <c r="R61" s="52"/>
      <c r="S61" s="52"/>
      <c r="T61" s="52"/>
      <c r="U61" s="53"/>
      <c r="V61" s="54">
        <f t="shared" si="11"/>
        <v>2634552</v>
      </c>
      <c r="W61" s="105"/>
      <c r="X61" s="52">
        <v>653400</v>
      </c>
      <c r="Y61" s="52">
        <v>683297.99999999988</v>
      </c>
      <c r="Z61" s="52">
        <v>693547.46999999974</v>
      </c>
      <c r="AA61" s="52">
        <v>724655.11387499981</v>
      </c>
      <c r="AB61" s="52">
        <v>735524.94058312464</v>
      </c>
      <c r="AC61" s="52">
        <v>746557.8146918714</v>
      </c>
      <c r="AD61" s="52">
        <v>757756.18191224942</v>
      </c>
      <c r="AE61" s="52">
        <v>769122.52464093303</v>
      </c>
      <c r="AF61" s="52">
        <v>780659.36251054704</v>
      </c>
      <c r="AG61" s="52">
        <v>792369.2529482051</v>
      </c>
      <c r="AH61" s="52">
        <v>804254.79174242809</v>
      </c>
      <c r="AI61" s="52">
        <v>816318.61361856444</v>
      </c>
      <c r="AJ61" s="105"/>
      <c r="AK61" s="54">
        <f t="shared" si="13"/>
        <v>3490425.5244581243</v>
      </c>
      <c r="AL61" s="56"/>
      <c r="AM61" s="30"/>
      <c r="AN61" s="53"/>
      <c r="AO61" s="53"/>
      <c r="AP61" s="53"/>
      <c r="AQ61" s="53"/>
      <c r="AR61" s="53"/>
      <c r="AS61" s="53"/>
      <c r="AT61" s="53"/>
      <c r="AU61" s="53"/>
      <c r="AV61" s="53"/>
      <c r="AW61" s="53"/>
      <c r="AX61" s="53"/>
      <c r="AY61" s="53"/>
    </row>
    <row r="62" spans="1:51" ht="12" customHeight="1" outlineLevel="1" x14ac:dyDescent="0.3">
      <c r="A62" s="18"/>
      <c r="B62" s="58"/>
      <c r="C62" s="5" t="s">
        <v>72</v>
      </c>
      <c r="D62" s="50" t="s">
        <v>65</v>
      </c>
      <c r="E62" s="50">
        <v>5213</v>
      </c>
      <c r="F62" s="5" t="s">
        <v>73</v>
      </c>
      <c r="G62" s="50" t="s">
        <v>52</v>
      </c>
      <c r="H62" s="104"/>
      <c r="I62" s="52"/>
      <c r="J62" s="52"/>
      <c r="K62" s="52"/>
      <c r="L62" s="52"/>
      <c r="M62" s="52">
        <v>8204581</v>
      </c>
      <c r="N62" s="52"/>
      <c r="O62" s="52"/>
      <c r="P62" s="52"/>
      <c r="Q62" s="52"/>
      <c r="R62" s="52"/>
      <c r="S62" s="52"/>
      <c r="T62" s="52"/>
      <c r="U62" s="53"/>
      <c r="V62" s="54">
        <f>SUM(I62:M62)</f>
        <v>8204581</v>
      </c>
      <c r="W62" s="105"/>
      <c r="X62" s="52">
        <v>8389500</v>
      </c>
      <c r="Y62" s="52"/>
      <c r="Z62" s="52"/>
      <c r="AA62" s="52">
        <v>8772718.7270624973</v>
      </c>
      <c r="AB62" s="52"/>
      <c r="AC62" s="52"/>
      <c r="AD62" s="52">
        <v>9173442.2628467772</v>
      </c>
      <c r="AE62" s="52"/>
      <c r="AF62" s="52"/>
      <c r="AG62" s="52">
        <v>9592470.1985699385</v>
      </c>
      <c r="AH62" s="52"/>
      <c r="AI62" s="52"/>
      <c r="AJ62" s="105"/>
      <c r="AK62" s="54">
        <f t="shared" si="13"/>
        <v>17162218.727062497</v>
      </c>
      <c r="AL62" s="56"/>
      <c r="AM62" s="30"/>
      <c r="AN62" s="53"/>
      <c r="AO62" s="53"/>
      <c r="AP62" s="53"/>
      <c r="AQ62" s="53"/>
      <c r="AR62" s="53"/>
      <c r="AS62" s="53"/>
      <c r="AT62" s="53"/>
      <c r="AU62" s="53"/>
      <c r="AV62" s="53"/>
      <c r="AW62" s="53"/>
      <c r="AX62" s="53"/>
      <c r="AY62" s="53"/>
    </row>
    <row r="63" spans="1:51" ht="12" customHeight="1" outlineLevel="1" x14ac:dyDescent="0.3">
      <c r="A63" s="18"/>
      <c r="B63" s="58"/>
      <c r="C63" s="5" t="s">
        <v>74</v>
      </c>
      <c r="D63" s="50" t="s">
        <v>65</v>
      </c>
      <c r="E63" s="50">
        <v>5213</v>
      </c>
      <c r="F63" s="64" t="s">
        <v>75</v>
      </c>
      <c r="G63" s="50" t="s">
        <v>52</v>
      </c>
      <c r="H63" s="104"/>
      <c r="I63" s="52"/>
      <c r="J63" s="52"/>
      <c r="K63" s="52"/>
      <c r="L63" s="52"/>
      <c r="N63" s="52"/>
      <c r="O63" s="52"/>
      <c r="P63" s="52"/>
      <c r="Q63" s="52"/>
      <c r="R63" s="52"/>
      <c r="S63" s="52"/>
      <c r="T63" s="52"/>
      <c r="U63" s="53"/>
      <c r="V63" s="54">
        <f t="shared" si="11"/>
        <v>0</v>
      </c>
      <c r="W63" s="105"/>
      <c r="X63" s="52"/>
      <c r="Y63" s="52"/>
      <c r="Z63" s="52"/>
      <c r="AA63" s="52"/>
      <c r="AB63" s="52"/>
      <c r="AC63" s="52"/>
      <c r="AD63" s="52">
        <v>78698392.035743624</v>
      </c>
      <c r="AE63" s="52"/>
      <c r="AF63" s="52"/>
      <c r="AG63" s="52"/>
      <c r="AH63" s="52"/>
      <c r="AI63" s="52"/>
      <c r="AJ63" s="105"/>
      <c r="AK63" s="54">
        <f t="shared" si="13"/>
        <v>0</v>
      </c>
      <c r="AL63" s="56"/>
      <c r="AM63" s="30"/>
      <c r="AN63" s="53"/>
      <c r="AO63" s="53"/>
      <c r="AP63" s="53"/>
      <c r="AQ63" s="53"/>
      <c r="AR63" s="53"/>
      <c r="AS63" s="53"/>
      <c r="AT63" s="53"/>
      <c r="AU63" s="53"/>
      <c r="AV63" s="53"/>
      <c r="AW63" s="53"/>
      <c r="AX63" s="53"/>
      <c r="AY63" s="53"/>
    </row>
    <row r="64" spans="1:51" ht="12" customHeight="1" outlineLevel="1" x14ac:dyDescent="0.3">
      <c r="A64" s="18"/>
      <c r="B64" s="58"/>
      <c r="C64" s="5" t="s">
        <v>76</v>
      </c>
      <c r="D64" s="50" t="s">
        <v>65</v>
      </c>
      <c r="E64" s="50">
        <v>5215</v>
      </c>
      <c r="F64" s="5" t="s">
        <v>77</v>
      </c>
      <c r="G64" s="50" t="s">
        <v>52</v>
      </c>
      <c r="H64" s="104"/>
      <c r="I64" s="52">
        <v>633623.6</v>
      </c>
      <c r="J64" s="52">
        <v>579624.48</v>
      </c>
      <c r="K64" s="52">
        <v>599002</v>
      </c>
      <c r="L64" s="52">
        <v>614032.87</v>
      </c>
      <c r="M64" s="52">
        <v>697956.32</v>
      </c>
      <c r="N64" s="52"/>
      <c r="O64" s="52"/>
      <c r="P64" s="52"/>
      <c r="Q64" s="52"/>
      <c r="R64" s="52"/>
      <c r="S64" s="52"/>
      <c r="T64" s="52"/>
      <c r="U64" s="53"/>
      <c r="V64" s="54">
        <f t="shared" si="11"/>
        <v>3124239.27</v>
      </c>
      <c r="W64" s="105"/>
      <c r="X64" s="52">
        <v>717082.2</v>
      </c>
      <c r="Y64" s="52">
        <v>748454.90999999992</v>
      </c>
      <c r="Z64" s="52">
        <v>759681.73364999983</v>
      </c>
      <c r="AA64" s="52">
        <v>792316.56967207475</v>
      </c>
      <c r="AB64" s="52">
        <v>804201.31821715576</v>
      </c>
      <c r="AC64" s="52">
        <v>816264.33799041295</v>
      </c>
      <c r="AD64" s="52">
        <v>828508.3030602691</v>
      </c>
      <c r="AE64" s="52">
        <v>840935.92760617309</v>
      </c>
      <c r="AF64" s="52">
        <v>853549.96652026556</v>
      </c>
      <c r="AG64" s="52">
        <v>866353.21601806942</v>
      </c>
      <c r="AH64" s="52">
        <v>879348.51425834035</v>
      </c>
      <c r="AI64" s="52">
        <v>892538.74197221547</v>
      </c>
      <c r="AJ64" s="105"/>
      <c r="AK64" s="54">
        <f t="shared" si="13"/>
        <v>3821736.7315392299</v>
      </c>
      <c r="AL64" s="56"/>
      <c r="AM64" s="30"/>
      <c r="AN64" s="53"/>
      <c r="AO64" s="53"/>
      <c r="AP64" s="53"/>
      <c r="AQ64" s="53"/>
      <c r="AR64" s="53"/>
      <c r="AS64" s="53"/>
      <c r="AT64" s="53"/>
      <c r="AU64" s="53"/>
      <c r="AV64" s="53"/>
      <c r="AW64" s="53"/>
      <c r="AX64" s="53"/>
      <c r="AY64" s="53"/>
    </row>
    <row r="65" spans="1:51" ht="12" customHeight="1" outlineLevel="1" x14ac:dyDescent="0.3">
      <c r="A65" s="21"/>
      <c r="B65" s="114"/>
      <c r="C65" s="5" t="s">
        <v>78</v>
      </c>
      <c r="D65" s="50" t="s">
        <v>65</v>
      </c>
      <c r="E65" s="50">
        <v>5213</v>
      </c>
      <c r="F65" s="5" t="s">
        <v>79</v>
      </c>
      <c r="G65" s="50" t="s">
        <v>52</v>
      </c>
      <c r="H65" s="104"/>
      <c r="I65" s="115"/>
      <c r="J65" s="115"/>
      <c r="K65" s="115"/>
      <c r="L65" s="115"/>
      <c r="M65" s="115"/>
      <c r="N65" s="115"/>
      <c r="O65" s="115"/>
      <c r="P65" s="115"/>
      <c r="Q65" s="115"/>
      <c r="R65" s="115"/>
      <c r="S65" s="115"/>
      <c r="T65" s="115"/>
      <c r="U65" s="53"/>
      <c r="V65" s="54">
        <f t="shared" si="11"/>
        <v>0</v>
      </c>
      <c r="W65" s="116"/>
      <c r="X65" s="115"/>
      <c r="Y65" s="115"/>
      <c r="Z65" s="115"/>
      <c r="AA65" s="115"/>
      <c r="AB65" s="115"/>
      <c r="AC65" s="115"/>
      <c r="AD65" s="115">
        <v>144695347.11752951</v>
      </c>
      <c r="AE65" s="115"/>
      <c r="AF65" s="115"/>
      <c r="AG65" s="115"/>
      <c r="AH65" s="115"/>
      <c r="AI65" s="115"/>
      <c r="AJ65" s="116"/>
      <c r="AK65" s="54">
        <f t="shared" si="13"/>
        <v>0</v>
      </c>
      <c r="AL65" s="56"/>
      <c r="AM65" s="30"/>
      <c r="AN65" s="117"/>
      <c r="AO65" s="117"/>
      <c r="AP65" s="117"/>
      <c r="AQ65" s="117"/>
      <c r="AR65" s="117"/>
      <c r="AS65" s="117"/>
      <c r="AT65" s="53"/>
      <c r="AU65" s="53"/>
      <c r="AV65" s="53"/>
      <c r="AW65" s="53"/>
      <c r="AX65" s="53"/>
      <c r="AY65" s="53"/>
    </row>
    <row r="66" spans="1:51" ht="12" customHeight="1" outlineLevel="1" x14ac:dyDescent="0.3">
      <c r="A66" s="21"/>
      <c r="B66" s="114"/>
      <c r="C66" s="5" t="s">
        <v>80</v>
      </c>
      <c r="D66" s="50" t="s">
        <v>65</v>
      </c>
      <c r="E66" s="50">
        <v>5215</v>
      </c>
      <c r="F66" s="5" t="s">
        <v>81</v>
      </c>
      <c r="G66" s="50" t="s">
        <v>52</v>
      </c>
      <c r="H66" s="104"/>
      <c r="I66" s="113">
        <v>484228.78</v>
      </c>
      <c r="J66" s="113">
        <v>461403.78</v>
      </c>
      <c r="K66" s="113">
        <v>639049</v>
      </c>
      <c r="L66" s="113">
        <v>1285771.2</v>
      </c>
      <c r="M66" s="113">
        <v>1593240</v>
      </c>
      <c r="N66" s="52"/>
      <c r="O66" s="52"/>
      <c r="P66" s="52"/>
      <c r="Q66" s="52"/>
      <c r="R66" s="52"/>
      <c r="S66" s="52"/>
      <c r="T66" s="52"/>
      <c r="U66" s="53"/>
      <c r="V66" s="54">
        <f t="shared" si="11"/>
        <v>4463692.76</v>
      </c>
      <c r="W66" s="116"/>
      <c r="X66" s="52">
        <v>1087500</v>
      </c>
      <c r="Y66" s="52">
        <v>1141875</v>
      </c>
      <c r="Z66" s="52">
        <v>1159003.125</v>
      </c>
      <c r="AA66" s="52">
        <v>1215601.1109374999</v>
      </c>
      <c r="AB66" s="52">
        <v>1233835.1276015621</v>
      </c>
      <c r="AC66" s="52">
        <v>1252342.6545155849</v>
      </c>
      <c r="AD66" s="52">
        <v>1271127.7943333189</v>
      </c>
      <c r="AE66" s="52">
        <v>1290194.711248318</v>
      </c>
      <c r="AF66" s="52">
        <v>1309547.6319170429</v>
      </c>
      <c r="AG66" s="52">
        <v>1329190.846395799</v>
      </c>
      <c r="AH66" s="52">
        <v>1349128.709091736</v>
      </c>
      <c r="AI66" s="52">
        <v>1369365.639728111</v>
      </c>
      <c r="AJ66" s="116"/>
      <c r="AK66" s="54">
        <f t="shared" si="13"/>
        <v>5837814.3635390624</v>
      </c>
      <c r="AL66" s="56"/>
      <c r="AM66" s="30"/>
      <c r="AN66" s="117"/>
      <c r="AO66" s="117"/>
      <c r="AP66" s="117"/>
      <c r="AQ66" s="117"/>
      <c r="AR66" s="117"/>
      <c r="AS66" s="117"/>
      <c r="AT66" s="53"/>
      <c r="AU66" s="53"/>
      <c r="AV66" s="53"/>
      <c r="AW66" s="53"/>
      <c r="AX66" s="53"/>
      <c r="AY66" s="53"/>
    </row>
    <row r="67" spans="1:51" ht="12" customHeight="1" outlineLevel="1" x14ac:dyDescent="0.3">
      <c r="A67" s="21"/>
      <c r="B67" s="114"/>
      <c r="C67" s="5" t="s">
        <v>82</v>
      </c>
      <c r="D67" s="50" t="s">
        <v>65</v>
      </c>
      <c r="E67" s="118"/>
      <c r="F67" s="5" t="s">
        <v>83</v>
      </c>
      <c r="G67" s="50" t="s">
        <v>52</v>
      </c>
      <c r="H67" s="50"/>
      <c r="I67" s="115"/>
      <c r="J67" s="115"/>
      <c r="K67" s="115"/>
      <c r="L67" s="52"/>
      <c r="M67" s="52"/>
      <c r="N67" s="52"/>
      <c r="O67" s="52"/>
      <c r="P67" s="52"/>
      <c r="Q67" s="52"/>
      <c r="R67" s="52"/>
      <c r="S67" s="52"/>
      <c r="T67" s="52"/>
      <c r="U67" s="53"/>
      <c r="V67" s="54">
        <f t="shared" si="11"/>
        <v>0</v>
      </c>
      <c r="W67" s="116"/>
      <c r="X67" s="52"/>
      <c r="Y67" s="52"/>
      <c r="Z67" s="52"/>
      <c r="AA67" s="52">
        <v>17715088.344005119</v>
      </c>
      <c r="AB67" s="52">
        <v>36697261.657347612</v>
      </c>
      <c r="AC67" s="52">
        <v>54021703.153497927</v>
      </c>
      <c r="AD67" s="52">
        <v>78713748.428982198</v>
      </c>
      <c r="AE67" s="52">
        <v>95046049.543740317</v>
      </c>
      <c r="AF67" s="52">
        <v>118248945.2870937</v>
      </c>
      <c r="AG67" s="52">
        <v>141897511.09010649</v>
      </c>
      <c r="AH67" s="52">
        <v>157288005.44159749</v>
      </c>
      <c r="AI67" s="52">
        <v>179603241.21362421</v>
      </c>
      <c r="AJ67" s="116"/>
      <c r="AK67" s="54">
        <f t="shared" si="13"/>
        <v>54412350.001352727</v>
      </c>
      <c r="AL67" s="56"/>
      <c r="AM67" s="30"/>
      <c r="AN67" s="117"/>
      <c r="AO67" s="117"/>
      <c r="AP67" s="117"/>
      <c r="AQ67" s="117"/>
      <c r="AR67" s="117"/>
      <c r="AS67" s="117"/>
      <c r="AT67" s="53"/>
      <c r="AU67" s="53"/>
      <c r="AV67" s="53"/>
      <c r="AW67" s="53"/>
      <c r="AX67" s="53"/>
      <c r="AY67" s="53"/>
    </row>
    <row r="68" spans="1:51" ht="12" customHeight="1" outlineLevel="1" x14ac:dyDescent="0.3">
      <c r="A68" s="21"/>
      <c r="B68" s="114"/>
      <c r="C68" s="5" t="s">
        <v>84</v>
      </c>
      <c r="D68" s="50" t="s">
        <v>65</v>
      </c>
      <c r="E68" s="50"/>
      <c r="F68" s="5" t="s">
        <v>85</v>
      </c>
      <c r="G68" s="50" t="s">
        <v>52</v>
      </c>
      <c r="H68" s="104"/>
      <c r="I68" s="115"/>
      <c r="J68" s="52"/>
      <c r="K68" s="52"/>
      <c r="L68" s="52"/>
      <c r="M68" s="52"/>
      <c r="N68" s="52"/>
      <c r="O68" s="52"/>
      <c r="P68" s="52"/>
      <c r="Q68" s="52"/>
      <c r="R68" s="52"/>
      <c r="S68" s="52"/>
      <c r="T68" s="52"/>
      <c r="U68" s="53"/>
      <c r="V68" s="54">
        <f t="shared" si="11"/>
        <v>0</v>
      </c>
      <c r="W68" s="116"/>
      <c r="X68" s="52"/>
      <c r="Y68" s="52"/>
      <c r="Z68" s="52"/>
      <c r="AA68" s="52">
        <v>0</v>
      </c>
      <c r="AB68" s="52">
        <v>0</v>
      </c>
      <c r="AC68" s="52">
        <v>0</v>
      </c>
      <c r="AD68" s="52">
        <v>0</v>
      </c>
      <c r="AE68" s="52">
        <v>0</v>
      </c>
      <c r="AF68" s="52">
        <v>0</v>
      </c>
      <c r="AG68" s="52">
        <v>0</v>
      </c>
      <c r="AH68" s="52">
        <v>0</v>
      </c>
      <c r="AI68" s="52">
        <v>0</v>
      </c>
      <c r="AJ68" s="116"/>
      <c r="AK68" s="54">
        <f t="shared" si="13"/>
        <v>0</v>
      </c>
      <c r="AL68" s="56"/>
      <c r="AM68" s="30"/>
      <c r="AN68" s="117"/>
      <c r="AO68" s="117"/>
      <c r="AP68" s="117"/>
      <c r="AQ68" s="117"/>
      <c r="AR68" s="117"/>
      <c r="AS68" s="117"/>
      <c r="AT68" s="53"/>
      <c r="AU68" s="53"/>
      <c r="AV68" s="53"/>
      <c r="AW68" s="53"/>
      <c r="AX68" s="53"/>
      <c r="AY68" s="53"/>
    </row>
    <row r="69" spans="1:51" ht="12" customHeight="1" outlineLevel="1" x14ac:dyDescent="0.3">
      <c r="A69" s="21"/>
      <c r="B69" s="114"/>
      <c r="C69" s="5" t="s">
        <v>86</v>
      </c>
      <c r="D69" s="50" t="s">
        <v>65</v>
      </c>
      <c r="E69" s="50"/>
      <c r="F69" s="5" t="s">
        <v>87</v>
      </c>
      <c r="G69" s="50" t="s">
        <v>52</v>
      </c>
      <c r="H69" s="104"/>
      <c r="I69" s="115">
        <v>11727.32</v>
      </c>
      <c r="J69" s="52">
        <v>11727.32</v>
      </c>
      <c r="K69" s="52">
        <v>11727.32</v>
      </c>
      <c r="L69" s="52">
        <v>11727.32</v>
      </c>
      <c r="M69" s="52">
        <v>11727.32</v>
      </c>
      <c r="N69" s="52"/>
      <c r="O69" s="52"/>
      <c r="P69" s="52"/>
      <c r="Q69" s="52"/>
      <c r="R69" s="52"/>
      <c r="S69" s="52"/>
      <c r="T69" s="52"/>
      <c r="U69" s="53"/>
      <c r="V69" s="54">
        <f t="shared" si="11"/>
        <v>58636.6</v>
      </c>
      <c r="W69" s="116"/>
      <c r="X69" s="52"/>
      <c r="Y69" s="52"/>
      <c r="Z69" s="52"/>
      <c r="AA69" s="52"/>
      <c r="AB69" s="52"/>
      <c r="AC69" s="52"/>
      <c r="AD69" s="52"/>
      <c r="AE69" s="52"/>
      <c r="AF69" s="52"/>
      <c r="AG69" s="52"/>
      <c r="AH69" s="52"/>
      <c r="AI69" s="52"/>
      <c r="AJ69" s="116"/>
      <c r="AK69" s="54">
        <f t="shared" si="13"/>
        <v>0</v>
      </c>
      <c r="AL69" s="56"/>
      <c r="AM69" s="30"/>
      <c r="AN69" s="117"/>
      <c r="AO69" s="117"/>
      <c r="AP69" s="117"/>
      <c r="AQ69" s="117"/>
      <c r="AR69" s="117"/>
      <c r="AS69" s="117"/>
      <c r="AT69" s="53"/>
      <c r="AU69" s="53"/>
      <c r="AV69" s="53"/>
      <c r="AW69" s="53"/>
      <c r="AX69" s="53"/>
      <c r="AY69" s="53"/>
    </row>
    <row r="70" spans="1:51" ht="15.75" customHeight="1" x14ac:dyDescent="0.3">
      <c r="A70" s="22"/>
      <c r="B70" s="41"/>
      <c r="C70" s="62"/>
      <c r="D70" s="42" t="s">
        <v>88</v>
      </c>
      <c r="E70" s="42"/>
      <c r="F70" s="42"/>
      <c r="G70" s="43"/>
      <c r="H70" s="43"/>
      <c r="I70" s="44">
        <f t="shared" ref="I70:T70" si="14">SUM(I71:I72)</f>
        <v>5323120.6399999997</v>
      </c>
      <c r="J70" s="44">
        <f t="shared" si="14"/>
        <v>5323120.6399999997</v>
      </c>
      <c r="K70" s="44">
        <f t="shared" si="14"/>
        <v>5323120.6399999997</v>
      </c>
      <c r="L70" s="44">
        <f t="shared" si="14"/>
        <v>5323120.6400000006</v>
      </c>
      <c r="M70" s="44">
        <f t="shared" si="14"/>
        <v>5323120.6399999997</v>
      </c>
      <c r="N70" s="44">
        <f t="shared" si="14"/>
        <v>0</v>
      </c>
      <c r="O70" s="44">
        <f t="shared" si="14"/>
        <v>0</v>
      </c>
      <c r="P70" s="44">
        <f t="shared" si="14"/>
        <v>0</v>
      </c>
      <c r="Q70" s="44">
        <f t="shared" si="14"/>
        <v>0</v>
      </c>
      <c r="R70" s="44">
        <f t="shared" si="14"/>
        <v>0</v>
      </c>
      <c r="S70" s="44">
        <f t="shared" si="14"/>
        <v>0</v>
      </c>
      <c r="T70" s="44">
        <f t="shared" si="14"/>
        <v>0</v>
      </c>
      <c r="U70" s="7"/>
      <c r="V70" s="45">
        <f t="shared" si="11"/>
        <v>26615603.199999999</v>
      </c>
      <c r="W70" s="89">
        <f>+V70/$V$171</f>
        <v>6.5674224596895562E-3</v>
      </c>
      <c r="X70" s="44">
        <v>5255006</v>
      </c>
      <c r="Y70" s="44">
        <v>5255006</v>
      </c>
      <c r="Z70" s="44">
        <v>5255006</v>
      </c>
      <c r="AA70" s="44">
        <v>5255006</v>
      </c>
      <c r="AB70" s="44">
        <v>5255006</v>
      </c>
      <c r="AC70" s="44">
        <v>5255006</v>
      </c>
      <c r="AD70" s="44">
        <v>5255006</v>
      </c>
      <c r="AE70" s="44">
        <v>5255006</v>
      </c>
      <c r="AF70" s="44">
        <v>5255006</v>
      </c>
      <c r="AG70" s="44">
        <v>5255006</v>
      </c>
      <c r="AH70" s="44">
        <v>5255006</v>
      </c>
      <c r="AI70" s="44">
        <v>5255006</v>
      </c>
      <c r="AJ70" s="89"/>
      <c r="AK70" s="103">
        <f t="shared" si="13"/>
        <v>26275030</v>
      </c>
      <c r="AL70" s="10"/>
      <c r="AM70" s="30">
        <f>+V70-AK70</f>
        <v>340573.19999999925</v>
      </c>
      <c r="AN70" s="47">
        <f>+AM70/AK70</f>
        <v>1.2961857702921719E-2</v>
      </c>
      <c r="AO70" s="7"/>
      <c r="AP70" s="7"/>
      <c r="AQ70" s="7"/>
      <c r="AR70" s="7"/>
      <c r="AS70" s="7"/>
    </row>
    <row r="71" spans="1:51" ht="12" customHeight="1" outlineLevel="1" x14ac:dyDescent="0.3">
      <c r="A71" s="111"/>
      <c r="B71" s="119"/>
      <c r="C71" s="110" t="s">
        <v>89</v>
      </c>
      <c r="D71" s="111" t="s">
        <v>88</v>
      </c>
      <c r="E71" s="111">
        <v>5516</v>
      </c>
      <c r="F71" s="110" t="s">
        <v>90</v>
      </c>
      <c r="G71" s="111" t="s">
        <v>63</v>
      </c>
      <c r="H71" s="112"/>
      <c r="I71" s="113">
        <v>5323120.6399999997</v>
      </c>
      <c r="J71" s="113">
        <v>5323120.6399999997</v>
      </c>
      <c r="K71" s="113">
        <v>5323120.6399999997</v>
      </c>
      <c r="L71" s="113">
        <v>5323120.6400000006</v>
      </c>
      <c r="M71" s="113">
        <v>5323120.6399999997</v>
      </c>
      <c r="N71" s="113"/>
      <c r="O71" s="113"/>
      <c r="P71" s="113"/>
      <c r="Q71" s="113"/>
      <c r="R71" s="113"/>
      <c r="S71" s="113"/>
      <c r="T71" s="113"/>
      <c r="U71" s="120"/>
      <c r="V71" s="54">
        <f t="shared" si="11"/>
        <v>26615603.199999999</v>
      </c>
      <c r="W71" s="121"/>
      <c r="X71" s="113">
        <v>5255006</v>
      </c>
      <c r="Y71" s="113">
        <v>5255006</v>
      </c>
      <c r="Z71" s="113">
        <v>5255006</v>
      </c>
      <c r="AA71" s="113">
        <v>5255006</v>
      </c>
      <c r="AB71" s="113">
        <v>5255006</v>
      </c>
      <c r="AC71" s="113">
        <v>5255006</v>
      </c>
      <c r="AD71" s="113">
        <v>5255006</v>
      </c>
      <c r="AE71" s="113">
        <v>5255006</v>
      </c>
      <c r="AF71" s="113">
        <v>5255006</v>
      </c>
      <c r="AG71" s="113">
        <v>5255006</v>
      </c>
      <c r="AH71" s="113">
        <v>5255006</v>
      </c>
      <c r="AI71" s="113">
        <v>5255006</v>
      </c>
      <c r="AJ71" s="121"/>
      <c r="AK71" s="54">
        <f t="shared" si="13"/>
        <v>26275030</v>
      </c>
      <c r="AL71" s="56"/>
      <c r="AM71" s="30"/>
      <c r="AN71" s="120"/>
      <c r="AO71" s="120"/>
      <c r="AP71" s="120"/>
      <c r="AQ71" s="120"/>
      <c r="AR71" s="120"/>
      <c r="AS71" s="120"/>
      <c r="AT71" s="53"/>
      <c r="AU71" s="53"/>
      <c r="AV71" s="53"/>
      <c r="AW71" s="53"/>
      <c r="AX71" s="53"/>
      <c r="AY71" s="53"/>
    </row>
    <row r="72" spans="1:51" ht="12" customHeight="1" outlineLevel="1" x14ac:dyDescent="0.3">
      <c r="A72" s="21"/>
      <c r="B72" s="114"/>
      <c r="C72" s="5"/>
      <c r="D72" s="50"/>
      <c r="E72" s="50"/>
      <c r="F72" s="5"/>
      <c r="G72" s="50"/>
      <c r="H72" s="50"/>
      <c r="I72" s="122"/>
      <c r="J72" s="122"/>
      <c r="K72" s="122"/>
      <c r="L72" s="122"/>
      <c r="M72" s="122"/>
      <c r="N72" s="122"/>
      <c r="O72" s="122"/>
      <c r="P72" s="122"/>
      <c r="Q72" s="122"/>
      <c r="R72" s="122"/>
      <c r="S72" s="122"/>
      <c r="T72" s="122"/>
      <c r="U72" s="123"/>
      <c r="V72" s="54">
        <f t="shared" si="11"/>
        <v>0</v>
      </c>
      <c r="W72" s="124"/>
      <c r="X72" s="122"/>
      <c r="Y72" s="122"/>
      <c r="Z72" s="122"/>
      <c r="AA72" s="122"/>
      <c r="AB72" s="122"/>
      <c r="AC72" s="122"/>
      <c r="AD72" s="122"/>
      <c r="AE72" s="122"/>
      <c r="AF72" s="122"/>
      <c r="AG72" s="122"/>
      <c r="AH72" s="122"/>
      <c r="AI72" s="122"/>
      <c r="AJ72" s="124"/>
      <c r="AK72" s="125"/>
      <c r="AL72" s="10"/>
      <c r="AM72" s="30"/>
      <c r="AN72" s="123"/>
      <c r="AO72" s="123"/>
      <c r="AP72" s="123"/>
      <c r="AQ72" s="123"/>
      <c r="AR72" s="123"/>
      <c r="AS72" s="123"/>
    </row>
    <row r="73" spans="1:51" ht="15.75" customHeight="1" x14ac:dyDescent="0.3">
      <c r="A73" s="22"/>
      <c r="B73" s="41"/>
      <c r="C73" s="62"/>
      <c r="D73" s="42" t="s">
        <v>91</v>
      </c>
      <c r="E73" s="42"/>
      <c r="F73" s="42"/>
      <c r="G73" s="43"/>
      <c r="H73" s="43"/>
      <c r="I73" s="44">
        <f t="shared" ref="I73:T73" si="15">SUM(I74)</f>
        <v>0</v>
      </c>
      <c r="J73" s="44">
        <f t="shared" si="15"/>
        <v>0</v>
      </c>
      <c r="K73" s="44">
        <f t="shared" si="15"/>
        <v>0</v>
      </c>
      <c r="L73" s="44">
        <f t="shared" si="15"/>
        <v>0</v>
      </c>
      <c r="M73" s="44">
        <f t="shared" si="15"/>
        <v>9867000</v>
      </c>
      <c r="N73" s="44">
        <f t="shared" si="15"/>
        <v>0</v>
      </c>
      <c r="O73" s="44">
        <f t="shared" si="15"/>
        <v>0</v>
      </c>
      <c r="P73" s="44">
        <f t="shared" si="15"/>
        <v>0</v>
      </c>
      <c r="Q73" s="44">
        <f t="shared" si="15"/>
        <v>0</v>
      </c>
      <c r="R73" s="44">
        <f t="shared" si="15"/>
        <v>0</v>
      </c>
      <c r="S73" s="44">
        <f t="shared" si="15"/>
        <v>0</v>
      </c>
      <c r="T73" s="44">
        <f t="shared" si="15"/>
        <v>0</v>
      </c>
      <c r="U73" s="7"/>
      <c r="V73" s="45">
        <f t="shared" si="11"/>
        <v>9867000</v>
      </c>
      <c r="W73" s="89">
        <f>+V73/$V$171</f>
        <v>2.4346905430930399E-3</v>
      </c>
      <c r="X73" s="44">
        <v>10350000</v>
      </c>
      <c r="Y73" s="44">
        <v>0</v>
      </c>
      <c r="Z73" s="44">
        <v>0</v>
      </c>
      <c r="AA73" s="44">
        <v>0</v>
      </c>
      <c r="AB73" s="44">
        <v>0</v>
      </c>
      <c r="AC73" s="44">
        <v>0</v>
      </c>
      <c r="AD73" s="44">
        <v>0</v>
      </c>
      <c r="AE73" s="44">
        <v>0</v>
      </c>
      <c r="AF73" s="44">
        <v>0</v>
      </c>
      <c r="AG73" s="44">
        <v>0</v>
      </c>
      <c r="AH73" s="44">
        <v>0</v>
      </c>
      <c r="AI73" s="44">
        <v>0</v>
      </c>
      <c r="AJ73" s="89"/>
      <c r="AK73" s="103">
        <f t="shared" ref="AK73:AK79" si="16">SUM(X73:AB73)</f>
        <v>10350000</v>
      </c>
      <c r="AL73" s="10"/>
      <c r="AM73" s="30">
        <f>+V73-AK73</f>
        <v>-483000</v>
      </c>
      <c r="AN73" s="47">
        <f>+AM73/AK73</f>
        <v>-4.6666666666666669E-2</v>
      </c>
      <c r="AO73" s="7"/>
      <c r="AP73" s="7"/>
      <c r="AQ73" s="7"/>
      <c r="AR73" s="7"/>
      <c r="AS73" s="7"/>
    </row>
    <row r="74" spans="1:51" ht="12" customHeight="1" outlineLevel="1" x14ac:dyDescent="0.3">
      <c r="A74" s="18"/>
      <c r="B74" s="58"/>
      <c r="C74" s="5" t="s">
        <v>92</v>
      </c>
      <c r="D74" s="50" t="s">
        <v>93</v>
      </c>
      <c r="E74" s="50">
        <v>5213</v>
      </c>
      <c r="F74" s="2" t="s">
        <v>94</v>
      </c>
      <c r="G74" s="50" t="s">
        <v>52</v>
      </c>
      <c r="H74" s="104"/>
      <c r="I74" s="52">
        <v>0</v>
      </c>
      <c r="J74" s="52">
        <v>0</v>
      </c>
      <c r="K74" s="52">
        <v>0</v>
      </c>
      <c r="L74" s="52">
        <v>0</v>
      </c>
      <c r="M74" s="52">
        <v>9867000</v>
      </c>
      <c r="N74" s="52"/>
      <c r="O74" s="52"/>
      <c r="P74" s="52"/>
      <c r="Q74" s="52"/>
      <c r="R74" s="52"/>
      <c r="S74" s="52"/>
      <c r="T74" s="52"/>
      <c r="U74" s="7"/>
      <c r="V74" s="54">
        <f t="shared" si="11"/>
        <v>9867000</v>
      </c>
      <c r="W74" s="40"/>
      <c r="X74" s="52">
        <v>10350000</v>
      </c>
      <c r="Y74" s="52"/>
      <c r="Z74" s="52"/>
      <c r="AA74" s="52"/>
      <c r="AB74" s="52"/>
      <c r="AC74" s="52"/>
      <c r="AD74" s="52"/>
      <c r="AE74" s="52"/>
      <c r="AF74" s="52"/>
      <c r="AG74" s="52"/>
      <c r="AH74" s="52"/>
      <c r="AI74" s="52"/>
      <c r="AJ74" s="105"/>
      <c r="AK74" s="54">
        <f t="shared" si="16"/>
        <v>10350000</v>
      </c>
      <c r="AL74" s="10"/>
      <c r="AM74" s="30"/>
      <c r="AN74" s="7"/>
      <c r="AO74" s="7"/>
      <c r="AP74" s="7"/>
      <c r="AQ74" s="7"/>
      <c r="AR74" s="7"/>
      <c r="AS74" s="7"/>
    </row>
    <row r="75" spans="1:51" ht="15.75" customHeight="1" x14ac:dyDescent="0.3">
      <c r="A75" s="22"/>
      <c r="B75" s="41"/>
      <c r="C75" s="62"/>
      <c r="D75" s="42" t="s">
        <v>95</v>
      </c>
      <c r="E75" s="42"/>
      <c r="F75" s="42"/>
      <c r="G75" s="43"/>
      <c r="H75" s="43"/>
      <c r="I75" s="44">
        <f t="shared" ref="I75:T75" si="17">SUM(I76:I80)</f>
        <v>14752514.1</v>
      </c>
      <c r="J75" s="44">
        <f t="shared" si="17"/>
        <v>12629594.439999999</v>
      </c>
      <c r="K75" s="44">
        <f t="shared" si="17"/>
        <v>12792494</v>
      </c>
      <c r="L75" s="44">
        <f t="shared" si="17"/>
        <v>12762476.689999999</v>
      </c>
      <c r="M75" s="44">
        <f t="shared" si="17"/>
        <v>13805851.719999999</v>
      </c>
      <c r="N75" s="44">
        <f t="shared" si="17"/>
        <v>0</v>
      </c>
      <c r="O75" s="44">
        <f t="shared" si="17"/>
        <v>0</v>
      </c>
      <c r="P75" s="44">
        <f t="shared" si="17"/>
        <v>0</v>
      </c>
      <c r="Q75" s="44">
        <f t="shared" si="17"/>
        <v>0</v>
      </c>
      <c r="R75" s="44">
        <f t="shared" si="17"/>
        <v>0</v>
      </c>
      <c r="S75" s="44">
        <f t="shared" si="17"/>
        <v>0</v>
      </c>
      <c r="T75" s="44">
        <f t="shared" si="17"/>
        <v>0</v>
      </c>
      <c r="U75" s="7"/>
      <c r="V75" s="45">
        <f t="shared" si="11"/>
        <v>66742930.949999996</v>
      </c>
      <c r="W75" s="89">
        <f>+V75/$V$171</f>
        <v>1.646887430853114E-2</v>
      </c>
      <c r="X75" s="44">
        <v>14488230</v>
      </c>
      <c r="Y75" s="44">
        <v>14646215.949999999</v>
      </c>
      <c r="Z75" s="44">
        <v>14805978.31425</v>
      </c>
      <c r="AA75" s="44">
        <v>18300537.805213749</v>
      </c>
      <c r="AB75" s="44">
        <v>18497245.386704449</v>
      </c>
      <c r="AC75" s="44">
        <v>20665244.529981721</v>
      </c>
      <c r="AD75" s="44">
        <v>18897203.18536976</v>
      </c>
      <c r="AE75" s="44">
        <v>19100503.315049019</v>
      </c>
      <c r="AF75" s="44">
        <v>19306051.36749246</v>
      </c>
      <c r="AG75" s="44">
        <v>19513873.04574972</v>
      </c>
      <c r="AH75" s="44">
        <v>19723994.358258288</v>
      </c>
      <c r="AI75" s="44">
        <v>19936441.622622721</v>
      </c>
      <c r="AJ75" s="89"/>
      <c r="AK75" s="103">
        <f t="shared" si="16"/>
        <v>80738207.45616819</v>
      </c>
      <c r="AL75" s="10"/>
      <c r="AM75" s="30">
        <f>+V75-AK75</f>
        <v>-13995276.506168194</v>
      </c>
      <c r="AN75" s="47">
        <f>+AM75/AK75</f>
        <v>-0.17334143210655331</v>
      </c>
      <c r="AO75" s="7"/>
      <c r="AP75" s="7"/>
      <c r="AQ75" s="7"/>
      <c r="AR75" s="7"/>
      <c r="AS75" s="7"/>
    </row>
    <row r="76" spans="1:51" ht="12" customHeight="1" outlineLevel="1" x14ac:dyDescent="0.3">
      <c r="A76" s="18"/>
      <c r="B76" s="58"/>
      <c r="C76" s="5" t="s">
        <v>96</v>
      </c>
      <c r="D76" s="50" t="s">
        <v>95</v>
      </c>
      <c r="E76" s="50">
        <v>5212</v>
      </c>
      <c r="F76" s="5" t="s">
        <v>97</v>
      </c>
      <c r="G76" s="50" t="s">
        <v>52</v>
      </c>
      <c r="H76" s="106"/>
      <c r="I76" s="52">
        <v>12158900.1</v>
      </c>
      <c r="J76" s="52">
        <v>10500781.439999999</v>
      </c>
      <c r="K76" s="52">
        <v>10612000</v>
      </c>
      <c r="L76" s="52">
        <v>10581982.689999999</v>
      </c>
      <c r="M76" s="52">
        <v>11526916.359999999</v>
      </c>
      <c r="N76" s="52"/>
      <c r="O76" s="52"/>
      <c r="P76" s="52"/>
      <c r="Q76" s="52"/>
      <c r="R76" s="52"/>
      <c r="S76" s="52"/>
      <c r="T76" s="52"/>
      <c r="U76" s="53"/>
      <c r="V76" s="54">
        <f t="shared" si="11"/>
        <v>55380580.589999996</v>
      </c>
      <c r="W76" s="105"/>
      <c r="X76" s="52">
        <v>11867500</v>
      </c>
      <c r="Y76" s="52">
        <v>11986175</v>
      </c>
      <c r="Z76" s="52">
        <v>12106036.75</v>
      </c>
      <c r="AA76" s="52">
        <v>12227097.1175</v>
      </c>
      <c r="AB76" s="52">
        <v>12349368.088675</v>
      </c>
      <c r="AC76" s="52">
        <v>12472861.769561751</v>
      </c>
      <c r="AD76" s="52">
        <v>12597590.387257369</v>
      </c>
      <c r="AE76" s="52">
        <v>12723566.291129939</v>
      </c>
      <c r="AF76" s="52">
        <v>12850801.954041241</v>
      </c>
      <c r="AG76" s="52">
        <v>12979309.973581649</v>
      </c>
      <c r="AH76" s="52">
        <v>13109103.07331747</v>
      </c>
      <c r="AI76" s="52">
        <v>13240194.104050649</v>
      </c>
      <c r="AJ76" s="105"/>
      <c r="AK76" s="54">
        <f t="shared" si="16"/>
        <v>60536176.956174999</v>
      </c>
      <c r="AL76" s="56"/>
      <c r="AM76" s="30"/>
      <c r="AN76" s="53"/>
      <c r="AO76" s="53"/>
      <c r="AP76" s="53"/>
      <c r="AQ76" s="53"/>
      <c r="AR76" s="53"/>
      <c r="AS76" s="53"/>
      <c r="AT76" s="53"/>
      <c r="AU76" s="53"/>
      <c r="AV76" s="53"/>
      <c r="AW76" s="53"/>
      <c r="AX76" s="53"/>
      <c r="AY76" s="53"/>
    </row>
    <row r="77" spans="1:51" ht="12" customHeight="1" outlineLevel="1" x14ac:dyDescent="0.3">
      <c r="A77" s="18"/>
      <c r="B77" s="58"/>
      <c r="C77" s="5" t="s">
        <v>98</v>
      </c>
      <c r="D77" s="50" t="s">
        <v>95</v>
      </c>
      <c r="E77" s="50">
        <v>5215</v>
      </c>
      <c r="F77" s="5" t="s">
        <v>99</v>
      </c>
      <c r="G77" s="50" t="s">
        <v>52</v>
      </c>
      <c r="H77" s="104"/>
      <c r="I77" s="52">
        <v>0</v>
      </c>
      <c r="J77" s="52">
        <v>0</v>
      </c>
      <c r="K77" s="52">
        <v>0</v>
      </c>
      <c r="L77" s="52">
        <v>0</v>
      </c>
      <c r="M77" s="52"/>
      <c r="N77" s="52"/>
      <c r="O77" s="52"/>
      <c r="P77" s="52"/>
      <c r="Q77" s="52"/>
      <c r="R77" s="52"/>
      <c r="S77" s="52"/>
      <c r="T77" s="52"/>
      <c r="U77" s="53"/>
      <c r="V77" s="54">
        <f t="shared" si="11"/>
        <v>0</v>
      </c>
      <c r="W77" s="105"/>
      <c r="X77" s="52"/>
      <c r="Y77" s="52"/>
      <c r="Z77" s="52"/>
      <c r="AA77" s="52"/>
      <c r="AB77" s="52"/>
      <c r="AC77" s="52">
        <v>1969118.9529200729</v>
      </c>
      <c r="AD77" s="52"/>
      <c r="AE77" s="52"/>
      <c r="AF77" s="52"/>
      <c r="AG77" s="52"/>
      <c r="AH77" s="52"/>
      <c r="AI77" s="52"/>
      <c r="AJ77" s="105"/>
      <c r="AK77" s="54">
        <f t="shared" si="16"/>
        <v>0</v>
      </c>
      <c r="AL77" s="56"/>
      <c r="AM77" s="30"/>
      <c r="AN77" s="53"/>
      <c r="AO77" s="53"/>
      <c r="AP77" s="53"/>
      <c r="AQ77" s="53"/>
      <c r="AR77" s="53"/>
      <c r="AS77" s="53"/>
      <c r="AT77" s="53"/>
      <c r="AU77" s="53"/>
      <c r="AV77" s="53"/>
      <c r="AW77" s="53"/>
      <c r="AX77" s="53"/>
      <c r="AY77" s="53"/>
    </row>
    <row r="78" spans="1:51" ht="12" customHeight="1" outlineLevel="1" x14ac:dyDescent="0.3">
      <c r="A78" s="18"/>
      <c r="B78" s="58"/>
      <c r="C78" s="5" t="s">
        <v>100</v>
      </c>
      <c r="D78" s="50" t="s">
        <v>95</v>
      </c>
      <c r="E78" s="50">
        <v>5216</v>
      </c>
      <c r="F78" s="5" t="s">
        <v>101</v>
      </c>
      <c r="G78" s="50" t="s">
        <v>52</v>
      </c>
      <c r="H78" s="106"/>
      <c r="I78" s="52">
        <v>2593614</v>
      </c>
      <c r="J78" s="52">
        <v>2128813</v>
      </c>
      <c r="K78" s="52">
        <v>2180494</v>
      </c>
      <c r="L78" s="52">
        <v>2180494</v>
      </c>
      <c r="M78" s="52">
        <v>2278935.36</v>
      </c>
      <c r="N78" s="52"/>
      <c r="O78" s="52"/>
      <c r="P78" s="52"/>
      <c r="Q78" s="52"/>
      <c r="R78" s="52"/>
      <c r="S78" s="52"/>
      <c r="T78" s="52"/>
      <c r="U78" s="53"/>
      <c r="V78" s="54">
        <f t="shared" si="11"/>
        <v>11362350.359999999</v>
      </c>
      <c r="W78" s="105"/>
      <c r="X78" s="52">
        <v>2620730</v>
      </c>
      <c r="Y78" s="52">
        <v>2660040.9499999988</v>
      </c>
      <c r="Z78" s="52">
        <v>2699941.5642499989</v>
      </c>
      <c r="AA78" s="52">
        <v>2740440.6877137488</v>
      </c>
      <c r="AB78" s="52">
        <v>2781547.2980294549</v>
      </c>
      <c r="AC78" s="52">
        <v>2823270.507499896</v>
      </c>
      <c r="AD78" s="52">
        <v>2865619.5651123952</v>
      </c>
      <c r="AE78" s="52">
        <v>2908603.8585890802</v>
      </c>
      <c r="AF78" s="52">
        <v>2952232.9164679162</v>
      </c>
      <c r="AG78" s="52">
        <v>2996516.410214934</v>
      </c>
      <c r="AH78" s="52">
        <v>3041464.1563681578</v>
      </c>
      <c r="AI78" s="52">
        <v>3087086.1187136802</v>
      </c>
      <c r="AJ78" s="105"/>
      <c r="AK78" s="54">
        <f t="shared" si="16"/>
        <v>13502700.499993201</v>
      </c>
      <c r="AL78" s="56"/>
      <c r="AM78" s="30"/>
      <c r="AN78" s="53"/>
      <c r="AO78" s="53"/>
      <c r="AP78" s="53"/>
      <c r="AQ78" s="53"/>
      <c r="AR78" s="53"/>
      <c r="AS78" s="53"/>
      <c r="AT78" s="53"/>
      <c r="AU78" s="53"/>
      <c r="AV78" s="53"/>
      <c r="AW78" s="53"/>
      <c r="AX78" s="53"/>
      <c r="AY78" s="53"/>
    </row>
    <row r="79" spans="1:51" ht="12" customHeight="1" outlineLevel="1" x14ac:dyDescent="0.3">
      <c r="A79" s="18"/>
      <c r="B79" s="58"/>
      <c r="C79" s="5" t="s">
        <v>96</v>
      </c>
      <c r="D79" s="50" t="s">
        <v>95</v>
      </c>
      <c r="E79" s="50">
        <v>5212</v>
      </c>
      <c r="F79" s="5" t="s">
        <v>102</v>
      </c>
      <c r="G79" s="50" t="s">
        <v>52</v>
      </c>
      <c r="H79" s="106"/>
      <c r="I79" s="52">
        <v>0</v>
      </c>
      <c r="J79" s="52">
        <v>0</v>
      </c>
      <c r="K79" s="52">
        <v>0</v>
      </c>
      <c r="L79" s="52">
        <v>0</v>
      </c>
      <c r="M79" s="52"/>
      <c r="N79" s="52"/>
      <c r="O79" s="52"/>
      <c r="P79" s="52"/>
      <c r="Q79" s="52"/>
      <c r="R79" s="52"/>
      <c r="S79" s="52"/>
      <c r="T79" s="52"/>
      <c r="U79" s="53"/>
      <c r="V79" s="54">
        <f t="shared" si="11"/>
        <v>0</v>
      </c>
      <c r="W79" s="105"/>
      <c r="X79" s="52"/>
      <c r="Y79" s="52"/>
      <c r="Z79" s="52"/>
      <c r="AA79" s="52">
        <v>3333000</v>
      </c>
      <c r="AB79" s="52">
        <v>3366330</v>
      </c>
      <c r="AC79" s="52">
        <v>3399993.3</v>
      </c>
      <c r="AD79" s="52">
        <v>3433993.233</v>
      </c>
      <c r="AE79" s="52">
        <v>3468333.1653300002</v>
      </c>
      <c r="AF79" s="52">
        <v>3503016.4969833</v>
      </c>
      <c r="AG79" s="52">
        <v>3538046.661953134</v>
      </c>
      <c r="AH79" s="52">
        <v>3573427.1285726652</v>
      </c>
      <c r="AI79" s="52">
        <v>3609161.3998583909</v>
      </c>
      <c r="AJ79" s="105"/>
      <c r="AK79" s="54">
        <f t="shared" si="16"/>
        <v>6699330</v>
      </c>
      <c r="AL79" s="56"/>
      <c r="AM79" s="30"/>
      <c r="AN79" s="53"/>
      <c r="AO79" s="53"/>
      <c r="AP79" s="53"/>
      <c r="AQ79" s="53"/>
      <c r="AR79" s="53"/>
      <c r="AS79" s="53"/>
      <c r="AT79" s="53"/>
      <c r="AU79" s="53"/>
      <c r="AV79" s="53"/>
      <c r="AW79" s="53"/>
      <c r="AX79" s="53"/>
      <c r="AY79" s="53"/>
    </row>
    <row r="80" spans="1:51" ht="12" customHeight="1" outlineLevel="1" x14ac:dyDescent="0.3">
      <c r="A80" s="18"/>
      <c r="B80" s="58"/>
      <c r="C80" s="5"/>
      <c r="D80" s="50"/>
      <c r="E80" s="50"/>
      <c r="F80" s="5"/>
      <c r="G80" s="50"/>
      <c r="H80" s="50"/>
      <c r="I80" s="52"/>
      <c r="J80" s="52"/>
      <c r="K80" s="52"/>
      <c r="L80" s="52"/>
      <c r="M80" s="52"/>
      <c r="N80" s="52"/>
      <c r="O80" s="52"/>
      <c r="P80" s="52"/>
      <c r="Q80" s="52"/>
      <c r="R80" s="52"/>
      <c r="S80" s="52"/>
      <c r="T80" s="52"/>
      <c r="U80" s="53"/>
      <c r="V80" s="54">
        <f t="shared" si="11"/>
        <v>0</v>
      </c>
      <c r="W80" s="105"/>
      <c r="X80" s="52"/>
      <c r="Y80" s="52"/>
      <c r="Z80" s="52"/>
      <c r="AA80" s="52"/>
      <c r="AB80" s="52"/>
      <c r="AC80" s="52"/>
      <c r="AD80" s="52"/>
      <c r="AE80" s="52"/>
      <c r="AF80" s="52"/>
      <c r="AG80" s="52"/>
      <c r="AH80" s="52"/>
      <c r="AI80" s="52"/>
      <c r="AJ80" s="105"/>
      <c r="AK80" s="54"/>
      <c r="AL80" s="56"/>
      <c r="AM80" s="30"/>
      <c r="AN80" s="53"/>
      <c r="AO80" s="53"/>
      <c r="AP80" s="53"/>
      <c r="AQ80" s="53"/>
      <c r="AR80" s="53"/>
      <c r="AS80" s="53"/>
      <c r="AT80" s="53"/>
      <c r="AU80" s="53"/>
      <c r="AV80" s="53"/>
      <c r="AW80" s="53"/>
      <c r="AX80" s="53"/>
      <c r="AY80" s="53"/>
    </row>
    <row r="81" spans="1:51" ht="15.75" customHeight="1" x14ac:dyDescent="0.3">
      <c r="A81" s="22"/>
      <c r="B81" s="41"/>
      <c r="C81" s="62"/>
      <c r="D81" s="42" t="s">
        <v>103</v>
      </c>
      <c r="E81" s="42"/>
      <c r="F81" s="42"/>
      <c r="G81" s="43"/>
      <c r="H81" s="43"/>
      <c r="I81" s="44">
        <f t="shared" ref="I81:T81" si="18">SUM(I82:I86)</f>
        <v>28501696.07</v>
      </c>
      <c r="J81" s="44">
        <f t="shared" si="18"/>
        <v>22597866</v>
      </c>
      <c r="K81" s="44">
        <f t="shared" si="18"/>
        <v>29327200</v>
      </c>
      <c r="L81" s="44">
        <f t="shared" si="18"/>
        <v>31280749.329999998</v>
      </c>
      <c r="M81" s="44">
        <f t="shared" si="18"/>
        <v>32015360.979999997</v>
      </c>
      <c r="N81" s="44">
        <f t="shared" si="18"/>
        <v>0</v>
      </c>
      <c r="O81" s="44">
        <f t="shared" si="18"/>
        <v>0</v>
      </c>
      <c r="P81" s="44">
        <f t="shared" si="18"/>
        <v>0</v>
      </c>
      <c r="Q81" s="44">
        <f t="shared" si="18"/>
        <v>0</v>
      </c>
      <c r="R81" s="44">
        <f t="shared" si="18"/>
        <v>0</v>
      </c>
      <c r="S81" s="44">
        <f t="shared" si="18"/>
        <v>0</v>
      </c>
      <c r="T81" s="44">
        <f t="shared" si="18"/>
        <v>0</v>
      </c>
      <c r="U81" s="7"/>
      <c r="V81" s="45">
        <f t="shared" si="11"/>
        <v>143722872.38</v>
      </c>
      <c r="W81" s="89">
        <f>+V81/$V$171</f>
        <v>3.5463739557084609E-2</v>
      </c>
      <c r="X81" s="44">
        <v>28660712.28754241</v>
      </c>
      <c r="Y81" s="44">
        <v>28350657.307096459</v>
      </c>
      <c r="Z81" s="44">
        <v>28091576.64494554</v>
      </c>
      <c r="AA81" s="44">
        <v>27972996.02961551</v>
      </c>
      <c r="AB81" s="44">
        <v>27803770.522536669</v>
      </c>
      <c r="AC81" s="44">
        <v>27674450.407700241</v>
      </c>
      <c r="AD81" s="44">
        <v>27679833.55726875</v>
      </c>
      <c r="AE81" s="44">
        <v>27621090.65882219</v>
      </c>
      <c r="AF81" s="44">
        <v>27593875.35597188</v>
      </c>
      <c r="AG81" s="44">
        <v>27698199.271378592</v>
      </c>
      <c r="AH81" s="44">
        <v>27726958.033177599</v>
      </c>
      <c r="AI81" s="44">
        <v>27780911.9400937</v>
      </c>
      <c r="AJ81" s="89"/>
      <c r="AK81" s="103">
        <f>SUM(X81:AB81)</f>
        <v>140879712.7917366</v>
      </c>
      <c r="AL81" s="10"/>
      <c r="AM81" s="30">
        <f>+V81-AK81</f>
        <v>2843159.5882633924</v>
      </c>
      <c r="AN81" s="47">
        <f>+AM81/AK81</f>
        <v>2.0181469225923634E-2</v>
      </c>
      <c r="AO81" s="7"/>
      <c r="AP81" s="7"/>
      <c r="AQ81" s="7"/>
      <c r="AR81" s="7"/>
      <c r="AS81" s="7"/>
    </row>
    <row r="82" spans="1:51" ht="12" customHeight="1" outlineLevel="1" x14ac:dyDescent="0.3">
      <c r="A82" s="18"/>
      <c r="B82" s="58"/>
      <c r="C82" s="5" t="s">
        <v>104</v>
      </c>
      <c r="D82" s="50" t="s">
        <v>105</v>
      </c>
      <c r="E82" s="50">
        <v>5216</v>
      </c>
      <c r="F82" s="5" t="s">
        <v>106</v>
      </c>
      <c r="G82" s="50" t="s">
        <v>52</v>
      </c>
      <c r="H82" s="64"/>
      <c r="I82" s="52">
        <v>11254627.050000001</v>
      </c>
      <c r="J82" s="52">
        <v>11947646</v>
      </c>
      <c r="K82" s="52">
        <v>12370016</v>
      </c>
      <c r="L82" s="52">
        <v>15338340</v>
      </c>
      <c r="M82" s="52">
        <v>15954805</v>
      </c>
      <c r="N82" s="52"/>
      <c r="O82" s="52"/>
      <c r="P82" s="52"/>
      <c r="Q82" s="52"/>
      <c r="R82" s="52"/>
      <c r="S82" s="52"/>
      <c r="T82" s="52"/>
      <c r="U82" s="53"/>
      <c r="V82" s="54">
        <f t="shared" si="11"/>
        <v>66865434.049999997</v>
      </c>
      <c r="W82" s="105"/>
      <c r="X82" s="52">
        <v>12519124.736667249</v>
      </c>
      <c r="Y82" s="52">
        <v>12695121.95680364</v>
      </c>
      <c r="Z82" s="52">
        <v>12874219.420872901</v>
      </c>
      <c r="AA82" s="52">
        <v>13150025.65924314</v>
      </c>
      <c r="AB82" s="52">
        <v>13335124.78977159</v>
      </c>
      <c r="AC82" s="52">
        <v>13523473.00060904</v>
      </c>
      <c r="AD82" s="52">
        <v>13812978.86259244</v>
      </c>
      <c r="AE82" s="52">
        <v>14007654.085817831</v>
      </c>
      <c r="AF82" s="52">
        <v>14205746.98123458</v>
      </c>
      <c r="AG82" s="52">
        <v>14509638.78731918</v>
      </c>
      <c r="AH82" s="52">
        <v>14714389.157329001</v>
      </c>
      <c r="AI82" s="52">
        <v>14922734.601822991</v>
      </c>
      <c r="AJ82" s="105"/>
      <c r="AK82" s="54">
        <f>SUM(X82:AB82)</f>
        <v>64573616.563358516</v>
      </c>
      <c r="AL82" s="56"/>
      <c r="AM82" s="30"/>
      <c r="AN82" s="53"/>
      <c r="AO82" s="53"/>
      <c r="AP82" s="53"/>
      <c r="AQ82" s="53"/>
      <c r="AR82" s="53"/>
      <c r="AS82" s="53"/>
      <c r="AT82" s="53"/>
      <c r="AU82" s="53"/>
      <c r="AV82" s="53"/>
      <c r="AW82" s="53"/>
      <c r="AX82" s="53"/>
      <c r="AY82" s="53"/>
    </row>
    <row r="83" spans="1:51" ht="12" customHeight="1" outlineLevel="1" x14ac:dyDescent="0.3">
      <c r="A83" s="18"/>
      <c r="B83" s="58"/>
      <c r="C83" s="5" t="s">
        <v>107</v>
      </c>
      <c r="D83" s="50" t="s">
        <v>108</v>
      </c>
      <c r="E83" s="50">
        <v>5212</v>
      </c>
      <c r="F83" s="5" t="s">
        <v>109</v>
      </c>
      <c r="G83" s="50" t="s">
        <v>52</v>
      </c>
      <c r="H83" s="64"/>
      <c r="I83" s="52">
        <v>6282208.0199999996</v>
      </c>
      <c r="J83" s="52">
        <v>6282208</v>
      </c>
      <c r="K83" s="52">
        <v>6282208</v>
      </c>
      <c r="L83" s="52">
        <v>6461852.1600000001</v>
      </c>
      <c r="M83" s="52">
        <v>6551585.3099999996</v>
      </c>
      <c r="N83" s="52"/>
      <c r="O83" s="52"/>
      <c r="P83" s="52"/>
      <c r="Q83" s="52"/>
      <c r="R83" s="52"/>
      <c r="S83" s="52"/>
      <c r="T83" s="52"/>
      <c r="U83" s="53"/>
      <c r="V83" s="54">
        <f t="shared" si="11"/>
        <v>31860061.489999998</v>
      </c>
      <c r="W83" s="105"/>
      <c r="X83" s="52">
        <v>6042030.0640072562</v>
      </c>
      <c r="Y83" s="52">
        <v>6102450.3646473289</v>
      </c>
      <c r="Z83" s="52">
        <v>6163474.8682938023</v>
      </c>
      <c r="AA83" s="52">
        <v>6225109.6169767398</v>
      </c>
      <c r="AB83" s="52">
        <v>6287360.7131465068</v>
      </c>
      <c r="AC83" s="52">
        <v>6350234.3202779721</v>
      </c>
      <c r="AD83" s="52">
        <v>6413736.6634807521</v>
      </c>
      <c r="AE83" s="52">
        <v>6477874.0301155597</v>
      </c>
      <c r="AF83" s="52">
        <v>6542652.7704167152</v>
      </c>
      <c r="AG83" s="52">
        <v>6608079.2981208824</v>
      </c>
      <c r="AH83" s="52">
        <v>6674160.0911020916</v>
      </c>
      <c r="AI83" s="52">
        <v>6740901.6920131128</v>
      </c>
      <c r="AJ83" s="105"/>
      <c r="AK83" s="54">
        <f>SUM(X83:AB83)</f>
        <v>30820425.627071634</v>
      </c>
      <c r="AL83" s="56"/>
      <c r="AM83" s="30"/>
      <c r="AN83" s="53"/>
      <c r="AO83" s="53"/>
      <c r="AP83" s="53"/>
      <c r="AQ83" s="53"/>
      <c r="AR83" s="53"/>
      <c r="AS83" s="53"/>
      <c r="AT83" s="53"/>
      <c r="AU83" s="53"/>
      <c r="AV83" s="53"/>
      <c r="AW83" s="53"/>
      <c r="AX83" s="53"/>
      <c r="AY83" s="53"/>
    </row>
    <row r="84" spans="1:51" ht="12" customHeight="1" outlineLevel="1" x14ac:dyDescent="0.3">
      <c r="A84" s="18"/>
      <c r="B84" s="58"/>
      <c r="C84" s="5" t="s">
        <v>110</v>
      </c>
      <c r="D84" s="50" t="s">
        <v>111</v>
      </c>
      <c r="E84" s="50">
        <v>5218</v>
      </c>
      <c r="F84" s="5" t="s">
        <v>112</v>
      </c>
      <c r="G84" s="50" t="s">
        <v>52</v>
      </c>
      <c r="H84" s="126"/>
      <c r="I84" s="52">
        <v>4671375.8</v>
      </c>
      <c r="J84" s="52">
        <v>4285762</v>
      </c>
      <c r="K84" s="52">
        <v>3952439</v>
      </c>
      <c r="L84" s="52">
        <v>3786691.25</v>
      </c>
      <c r="M84" s="52">
        <v>4100692.07</v>
      </c>
      <c r="N84" s="52"/>
      <c r="O84" s="52"/>
      <c r="P84" s="52"/>
      <c r="Q84" s="52"/>
      <c r="R84" s="52"/>
      <c r="S84" s="52"/>
      <c r="T84" s="52"/>
      <c r="U84" s="53"/>
      <c r="V84" s="54">
        <f t="shared" si="11"/>
        <v>20796960.120000001</v>
      </c>
      <c r="W84" s="105"/>
      <c r="X84" s="52">
        <v>3781956.3166666669</v>
      </c>
      <c r="Y84" s="52">
        <v>3781956.3166666669</v>
      </c>
      <c r="Z84" s="52">
        <v>3781956.3166666669</v>
      </c>
      <c r="AA84" s="52">
        <v>3781956.3166666669</v>
      </c>
      <c r="AB84" s="52">
        <v>3781956.3166666669</v>
      </c>
      <c r="AC84" s="52">
        <v>3781956.3166666669</v>
      </c>
      <c r="AD84" s="52">
        <v>3781956.3166666669</v>
      </c>
      <c r="AE84" s="52">
        <v>3781956.3166666669</v>
      </c>
      <c r="AF84" s="52">
        <v>3781956.3166666669</v>
      </c>
      <c r="AG84" s="52">
        <v>3781956.3166666669</v>
      </c>
      <c r="AH84" s="52">
        <v>3781956.3166666669</v>
      </c>
      <c r="AI84" s="52">
        <v>3781956.3166666669</v>
      </c>
      <c r="AJ84" s="105"/>
      <c r="AK84" s="54">
        <f>SUM(X84:AB84)</f>
        <v>18909781.583333336</v>
      </c>
      <c r="AL84" s="56"/>
      <c r="AM84" s="30"/>
      <c r="AN84" s="53"/>
      <c r="AO84" s="52"/>
      <c r="AP84" s="53"/>
      <c r="AQ84" s="53"/>
      <c r="AR84" s="53"/>
      <c r="AS84" s="53"/>
      <c r="AT84" s="53"/>
      <c r="AU84" s="53"/>
      <c r="AV84" s="53"/>
      <c r="AW84" s="53"/>
      <c r="AX84" s="53"/>
      <c r="AY84" s="53"/>
    </row>
    <row r="85" spans="1:51" ht="12" customHeight="1" outlineLevel="1" x14ac:dyDescent="0.3">
      <c r="A85" s="18"/>
      <c r="B85" s="58"/>
      <c r="C85" s="5" t="s">
        <v>113</v>
      </c>
      <c r="D85" s="50" t="s">
        <v>114</v>
      </c>
      <c r="E85" s="50">
        <v>5219</v>
      </c>
      <c r="F85" s="5" t="s">
        <v>115</v>
      </c>
      <c r="G85" s="50" t="s">
        <v>52</v>
      </c>
      <c r="H85" s="64"/>
      <c r="I85" s="52">
        <v>6293485.2000000002</v>
      </c>
      <c r="J85" s="52">
        <v>82250</v>
      </c>
      <c r="K85" s="52">
        <v>5922537</v>
      </c>
      <c r="L85" s="52">
        <v>6012295.9199999999</v>
      </c>
      <c r="M85" s="52">
        <v>5408278.5999999996</v>
      </c>
      <c r="N85" s="52"/>
      <c r="O85" s="52"/>
      <c r="P85" s="52"/>
      <c r="Q85" s="52"/>
      <c r="R85" s="52"/>
      <c r="S85" s="52"/>
      <c r="T85" s="52"/>
      <c r="U85" s="53"/>
      <c r="V85" s="54">
        <f t="shared" si="11"/>
        <v>23718846.719999999</v>
      </c>
      <c r="W85" s="105"/>
      <c r="X85" s="52">
        <v>6317601.1702012429</v>
      </c>
      <c r="Y85" s="52">
        <v>5771128.6689788299</v>
      </c>
      <c r="Z85" s="52">
        <v>5271926.0391121646</v>
      </c>
      <c r="AA85" s="52">
        <v>4815904.4367289627</v>
      </c>
      <c r="AB85" s="52">
        <v>4399328.7029519062</v>
      </c>
      <c r="AC85" s="52">
        <v>4018786.770146566</v>
      </c>
      <c r="AD85" s="52">
        <v>3671161.714528888</v>
      </c>
      <c r="AE85" s="52">
        <v>3353606.2262221389</v>
      </c>
      <c r="AF85" s="52">
        <v>3063519.287653924</v>
      </c>
      <c r="AG85" s="52">
        <v>2798524.86927186</v>
      </c>
      <c r="AH85" s="52">
        <v>2556452.468079844</v>
      </c>
      <c r="AI85" s="52">
        <v>2335319.3295909371</v>
      </c>
      <c r="AJ85" s="105"/>
      <c r="AK85" s="54">
        <f>SUM(X85:AB85)</f>
        <v>26575889.017973103</v>
      </c>
      <c r="AL85" s="56"/>
      <c r="AM85" s="30"/>
      <c r="AN85" s="53"/>
      <c r="AO85" s="52"/>
      <c r="AP85" s="53"/>
      <c r="AQ85" s="53"/>
      <c r="AR85" s="53"/>
      <c r="AS85" s="53"/>
      <c r="AT85" s="53"/>
      <c r="AU85" s="53"/>
      <c r="AV85" s="53"/>
      <c r="AW85" s="53"/>
      <c r="AX85" s="53"/>
      <c r="AY85" s="53"/>
    </row>
    <row r="86" spans="1:51" ht="12" customHeight="1" outlineLevel="1" x14ac:dyDescent="0.3">
      <c r="A86" s="18"/>
      <c r="B86" s="58"/>
      <c r="C86" s="5" t="s">
        <v>116</v>
      </c>
      <c r="D86" s="50" t="s">
        <v>103</v>
      </c>
      <c r="E86" s="50"/>
      <c r="F86" s="5" t="s">
        <v>117</v>
      </c>
      <c r="G86" s="50" t="s">
        <v>52</v>
      </c>
      <c r="H86" s="50"/>
      <c r="I86" s="52"/>
      <c r="J86" s="52"/>
      <c r="K86" s="52">
        <v>800000</v>
      </c>
      <c r="L86" s="109">
        <v>-318430</v>
      </c>
      <c r="M86" s="109"/>
      <c r="N86" s="52"/>
      <c r="O86" s="52"/>
      <c r="P86" s="52"/>
      <c r="Q86" s="52"/>
      <c r="R86" s="52"/>
      <c r="S86" s="52"/>
      <c r="T86" s="52"/>
      <c r="U86" s="53"/>
      <c r="V86" s="54">
        <f t="shared" si="11"/>
        <v>481570</v>
      </c>
      <c r="W86" s="105"/>
      <c r="X86" s="52"/>
      <c r="Y86" s="52"/>
      <c r="Z86" s="52"/>
      <c r="AA86" s="52"/>
      <c r="AB86" s="52"/>
      <c r="AC86" s="52"/>
      <c r="AD86" s="52"/>
      <c r="AE86" s="52"/>
      <c r="AF86" s="52"/>
      <c r="AG86" s="52"/>
      <c r="AH86" s="52"/>
      <c r="AI86" s="52"/>
      <c r="AJ86" s="105"/>
      <c r="AK86" s="54"/>
      <c r="AL86" s="56"/>
      <c r="AM86" s="30"/>
      <c r="AN86" s="53"/>
      <c r="AO86" s="53"/>
      <c r="AP86" s="53"/>
      <c r="AQ86" s="53"/>
      <c r="AR86" s="53"/>
      <c r="AS86" s="53"/>
      <c r="AT86" s="53"/>
      <c r="AU86" s="53"/>
      <c r="AV86" s="53"/>
      <c r="AW86" s="53"/>
      <c r="AX86" s="53"/>
      <c r="AY86" s="53"/>
    </row>
    <row r="87" spans="1:51" ht="15.75" customHeight="1" x14ac:dyDescent="0.3">
      <c r="A87" s="22"/>
      <c r="B87" s="41"/>
      <c r="C87" s="62"/>
      <c r="D87" s="42" t="s">
        <v>118</v>
      </c>
      <c r="E87" s="42"/>
      <c r="F87" s="42"/>
      <c r="G87" s="43"/>
      <c r="H87" s="43"/>
      <c r="I87" s="44">
        <f t="shared" ref="I87:T87" si="19">SUM(I88:I91)</f>
        <v>119766403.77</v>
      </c>
      <c r="J87" s="44">
        <f t="shared" si="19"/>
        <v>119446680</v>
      </c>
      <c r="K87" s="44">
        <f t="shared" si="19"/>
        <v>119031843</v>
      </c>
      <c r="L87" s="44">
        <f t="shared" si="19"/>
        <v>119675405.69</v>
      </c>
      <c r="M87" s="44">
        <f t="shared" si="19"/>
        <v>134603487.22</v>
      </c>
      <c r="N87" s="44">
        <f t="shared" si="19"/>
        <v>0</v>
      </c>
      <c r="O87" s="44">
        <f t="shared" si="19"/>
        <v>0</v>
      </c>
      <c r="P87" s="44">
        <f t="shared" si="19"/>
        <v>0</v>
      </c>
      <c r="Q87" s="44">
        <f t="shared" si="19"/>
        <v>0</v>
      </c>
      <c r="R87" s="44">
        <f t="shared" si="19"/>
        <v>0</v>
      </c>
      <c r="S87" s="44">
        <f t="shared" si="19"/>
        <v>0</v>
      </c>
      <c r="T87" s="44">
        <f t="shared" si="19"/>
        <v>0</v>
      </c>
      <c r="U87" s="7"/>
      <c r="V87" s="45">
        <f t="shared" si="11"/>
        <v>612523819.67999995</v>
      </c>
      <c r="W87" s="89">
        <f>+V87/$V$171</f>
        <v>0.1511407673248325</v>
      </c>
      <c r="X87" s="44">
        <v>129818996</v>
      </c>
      <c r="Y87" s="44">
        <v>130430800</v>
      </c>
      <c r="Z87" s="44">
        <v>131053618</v>
      </c>
      <c r="AA87" s="44">
        <v>135563861</v>
      </c>
      <c r="AB87" s="44">
        <v>136284563</v>
      </c>
      <c r="AC87" s="44">
        <v>137593783</v>
      </c>
      <c r="AD87" s="44">
        <v>142332695</v>
      </c>
      <c r="AE87" s="44">
        <v>143013623</v>
      </c>
      <c r="AF87" s="44">
        <v>144879424</v>
      </c>
      <c r="AG87" s="44">
        <v>150390229</v>
      </c>
      <c r="AH87" s="44">
        <v>151594835</v>
      </c>
      <c r="AI87" s="44">
        <v>154029715</v>
      </c>
      <c r="AJ87" s="89"/>
      <c r="AK87" s="103">
        <f>SUM(X87:AB87)</f>
        <v>663151838</v>
      </c>
      <c r="AL87" s="10"/>
      <c r="AM87" s="30">
        <f>+V87-AK87</f>
        <v>-50628018.320000052</v>
      </c>
      <c r="AN87" s="47">
        <f>+AM87/AK87</f>
        <v>-7.6344534417169263E-2</v>
      </c>
      <c r="AO87" s="7"/>
      <c r="AP87" s="7"/>
      <c r="AQ87" s="7"/>
      <c r="AR87" s="7"/>
      <c r="AS87" s="7"/>
    </row>
    <row r="88" spans="1:51" ht="12" customHeight="1" outlineLevel="1" x14ac:dyDescent="0.3">
      <c r="A88" s="18"/>
      <c r="B88" s="58"/>
      <c r="C88" s="5" t="s">
        <v>119</v>
      </c>
      <c r="D88" s="50" t="s">
        <v>118</v>
      </c>
      <c r="E88" s="50">
        <v>5213</v>
      </c>
      <c r="F88" s="5" t="s">
        <v>120</v>
      </c>
      <c r="G88" s="50" t="s">
        <v>52</v>
      </c>
      <c r="H88" s="50"/>
      <c r="I88" s="52">
        <v>105936177.77</v>
      </c>
      <c r="J88" s="52">
        <v>105616454</v>
      </c>
      <c r="K88" s="52">
        <v>105201617</v>
      </c>
      <c r="L88" s="52">
        <v>105645101.8</v>
      </c>
      <c r="M88" s="52">
        <v>120407066.22</v>
      </c>
      <c r="N88" s="52"/>
      <c r="O88" s="52"/>
      <c r="P88" s="52"/>
      <c r="Q88" s="52"/>
      <c r="R88" s="52"/>
      <c r="S88" s="52"/>
      <c r="T88" s="52"/>
      <c r="U88" s="52"/>
      <c r="V88" s="54">
        <f t="shared" si="11"/>
        <v>542806416.78999996</v>
      </c>
      <c r="W88" s="127"/>
      <c r="X88" s="52">
        <v>111560838</v>
      </c>
      <c r="Y88" s="52">
        <v>112172642</v>
      </c>
      <c r="Z88" s="52">
        <v>112795460</v>
      </c>
      <c r="AA88" s="52">
        <v>117305703</v>
      </c>
      <c r="AB88" s="52">
        <v>117951144</v>
      </c>
      <c r="AC88" s="52">
        <v>118608202</v>
      </c>
      <c r="AD88" s="52">
        <v>123347114</v>
      </c>
      <c r="AE88" s="52">
        <v>124028040</v>
      </c>
      <c r="AF88" s="52">
        <v>124721222</v>
      </c>
      <c r="AG88" s="52">
        <v>129700409</v>
      </c>
      <c r="AH88" s="52">
        <v>130418770</v>
      </c>
      <c r="AI88" s="52">
        <v>131150062</v>
      </c>
      <c r="AJ88" s="127"/>
      <c r="AK88" s="54">
        <f>SUM(X88:AB88)</f>
        <v>571785787</v>
      </c>
      <c r="AL88" s="56"/>
      <c r="AM88" s="30"/>
      <c r="AN88" s="53"/>
      <c r="AO88" s="53"/>
      <c r="AP88" s="53"/>
      <c r="AQ88" s="53"/>
      <c r="AR88" s="53"/>
      <c r="AS88" s="53"/>
      <c r="AT88" s="53"/>
      <c r="AU88" s="53"/>
      <c r="AV88" s="53"/>
      <c r="AW88" s="53"/>
      <c r="AX88" s="53"/>
      <c r="AY88" s="53"/>
    </row>
    <row r="89" spans="1:51" ht="12" customHeight="1" outlineLevel="1" x14ac:dyDescent="0.3">
      <c r="A89" s="18"/>
      <c r="B89" s="58"/>
      <c r="C89" s="5" t="s">
        <v>121</v>
      </c>
      <c r="D89" s="50" t="s">
        <v>118</v>
      </c>
      <c r="E89" s="50">
        <v>5213</v>
      </c>
      <c r="F89" s="5" t="s">
        <v>122</v>
      </c>
      <c r="G89" s="50" t="s">
        <v>52</v>
      </c>
      <c r="H89" s="50"/>
      <c r="I89" s="52">
        <v>13830226</v>
      </c>
      <c r="J89" s="52">
        <v>13830226</v>
      </c>
      <c r="K89" s="52">
        <v>13830226</v>
      </c>
      <c r="L89" s="109">
        <v>13830226</v>
      </c>
      <c r="M89" s="109">
        <v>13658850</v>
      </c>
      <c r="N89" s="52"/>
      <c r="O89" s="52"/>
      <c r="P89" s="52"/>
      <c r="Q89" s="52"/>
      <c r="R89" s="52"/>
      <c r="S89" s="52"/>
      <c r="T89" s="52"/>
      <c r="U89" s="53"/>
      <c r="V89" s="54">
        <f t="shared" si="11"/>
        <v>68979754</v>
      </c>
      <c r="W89" s="105"/>
      <c r="X89" s="52">
        <v>13587912</v>
      </c>
      <c r="Y89" s="52">
        <v>13587912</v>
      </c>
      <c r="Z89" s="52">
        <v>13587912</v>
      </c>
      <c r="AA89" s="52">
        <v>13587912</v>
      </c>
      <c r="AB89" s="52">
        <v>13416538</v>
      </c>
      <c r="AC89" s="52">
        <v>12237692</v>
      </c>
      <c r="AD89" s="52">
        <v>12237692</v>
      </c>
      <c r="AE89" s="52">
        <v>12237694</v>
      </c>
      <c r="AF89" s="52">
        <v>9077549</v>
      </c>
      <c r="AG89" s="52">
        <v>7276382</v>
      </c>
      <c r="AH89" s="52">
        <v>5937379</v>
      </c>
      <c r="AI89" s="52">
        <v>0</v>
      </c>
      <c r="AJ89" s="105"/>
      <c r="AK89" s="54">
        <f>SUM(X89:AB89)</f>
        <v>67768186</v>
      </c>
      <c r="AL89" s="56"/>
      <c r="AM89" s="30"/>
      <c r="AN89" s="53"/>
      <c r="AO89" s="53"/>
      <c r="AP89" s="53"/>
      <c r="AQ89" s="53"/>
      <c r="AR89" s="53"/>
      <c r="AS89" s="53"/>
      <c r="AT89" s="53"/>
      <c r="AU89" s="53"/>
      <c r="AV89" s="53"/>
      <c r="AW89" s="53"/>
      <c r="AX89" s="53"/>
      <c r="AY89" s="53"/>
    </row>
    <row r="90" spans="1:51" ht="12" customHeight="1" outlineLevel="1" x14ac:dyDescent="0.3">
      <c r="A90" s="18"/>
      <c r="B90" s="58"/>
      <c r="C90" s="5" t="s">
        <v>123</v>
      </c>
      <c r="D90" s="50" t="s">
        <v>118</v>
      </c>
      <c r="E90" s="50">
        <v>5213</v>
      </c>
      <c r="F90" s="5" t="s">
        <v>124</v>
      </c>
      <c r="G90" s="50" t="s">
        <v>52</v>
      </c>
      <c r="H90" s="50"/>
      <c r="I90" s="52">
        <v>0</v>
      </c>
      <c r="J90" s="52">
        <v>0</v>
      </c>
      <c r="K90" s="52">
        <v>0</v>
      </c>
      <c r="L90" s="109">
        <v>200077.89</v>
      </c>
      <c r="M90" s="109">
        <v>537571</v>
      </c>
      <c r="N90" s="52"/>
      <c r="O90" s="52"/>
      <c r="P90" s="52"/>
      <c r="Q90" s="52"/>
      <c r="R90" s="52"/>
      <c r="S90" s="52"/>
      <c r="T90" s="52"/>
      <c r="U90" s="53"/>
      <c r="V90" s="54">
        <f t="shared" si="11"/>
        <v>737648.89</v>
      </c>
      <c r="W90" s="105"/>
      <c r="X90" s="52">
        <v>4670246</v>
      </c>
      <c r="Y90" s="52">
        <v>4670246</v>
      </c>
      <c r="Z90" s="52">
        <v>4670246</v>
      </c>
      <c r="AA90" s="52">
        <v>4670246</v>
      </c>
      <c r="AB90" s="52">
        <v>4916881</v>
      </c>
      <c r="AC90" s="52">
        <v>6747889</v>
      </c>
      <c r="AD90" s="52">
        <v>6747889</v>
      </c>
      <c r="AE90" s="52">
        <v>6747889</v>
      </c>
      <c r="AF90" s="52">
        <v>11080653</v>
      </c>
      <c r="AG90" s="52">
        <v>13413438</v>
      </c>
      <c r="AH90" s="52">
        <v>15238686</v>
      </c>
      <c r="AI90" s="52">
        <v>22879653</v>
      </c>
      <c r="AJ90" s="105"/>
      <c r="AK90" s="54">
        <f>SUM(X90:AB90)</f>
        <v>23597865</v>
      </c>
      <c r="AL90" s="56"/>
      <c r="AM90" s="30"/>
      <c r="AN90" s="53"/>
      <c r="AO90" s="53"/>
      <c r="AP90" s="53"/>
      <c r="AQ90" s="53"/>
      <c r="AR90" s="53"/>
      <c r="AS90" s="53"/>
      <c r="AT90" s="53"/>
      <c r="AU90" s="53"/>
      <c r="AV90" s="53"/>
      <c r="AW90" s="53"/>
      <c r="AX90" s="53"/>
      <c r="AY90" s="53"/>
    </row>
    <row r="91" spans="1:51" ht="12" customHeight="1" outlineLevel="1" x14ac:dyDescent="0.3">
      <c r="A91" s="18"/>
      <c r="B91" s="58"/>
      <c r="C91" s="5"/>
      <c r="D91" s="50"/>
      <c r="E91" s="50"/>
      <c r="F91" s="5"/>
      <c r="G91" s="50"/>
      <c r="H91" s="50"/>
      <c r="I91" s="52"/>
      <c r="J91" s="52"/>
      <c r="K91" s="52"/>
      <c r="L91" s="52"/>
      <c r="M91" s="52"/>
      <c r="N91" s="52"/>
      <c r="O91" s="52"/>
      <c r="P91" s="52"/>
      <c r="Q91" s="52"/>
      <c r="R91" s="52"/>
      <c r="S91" s="52"/>
      <c r="T91" s="52"/>
      <c r="U91" s="53"/>
      <c r="V91" s="54">
        <f t="shared" si="11"/>
        <v>0</v>
      </c>
      <c r="W91" s="105"/>
      <c r="X91" s="52"/>
      <c r="Y91" s="52"/>
      <c r="Z91" s="52"/>
      <c r="AA91" s="52"/>
      <c r="AB91" s="52"/>
      <c r="AC91" s="52"/>
      <c r="AD91" s="52"/>
      <c r="AE91" s="52"/>
      <c r="AF91" s="52"/>
      <c r="AG91" s="52"/>
      <c r="AH91" s="52"/>
      <c r="AI91" s="52"/>
      <c r="AJ91" s="105"/>
      <c r="AK91" s="54"/>
      <c r="AL91" s="56"/>
      <c r="AM91" s="30"/>
      <c r="AN91" s="53"/>
      <c r="AO91" s="53"/>
      <c r="AP91" s="53"/>
      <c r="AQ91" s="53"/>
      <c r="AR91" s="53"/>
      <c r="AS91" s="53"/>
      <c r="AT91" s="53"/>
      <c r="AU91" s="53"/>
      <c r="AV91" s="53"/>
      <c r="AW91" s="53"/>
      <c r="AX91" s="53"/>
      <c r="AY91" s="53"/>
    </row>
    <row r="92" spans="1:51" ht="12" customHeight="1" outlineLevel="1" x14ac:dyDescent="0.3">
      <c r="A92" s="18"/>
      <c r="B92" s="58"/>
      <c r="C92" s="5"/>
      <c r="D92" s="50"/>
      <c r="E92" s="50"/>
      <c r="F92" s="5"/>
      <c r="G92" s="50"/>
      <c r="H92" s="50"/>
      <c r="I92" s="52"/>
      <c r="J92" s="52"/>
      <c r="K92" s="52"/>
      <c r="L92" s="52"/>
      <c r="M92" s="52"/>
      <c r="N92" s="52"/>
      <c r="O92" s="52"/>
      <c r="P92" s="52"/>
      <c r="Q92" s="52"/>
      <c r="R92" s="52"/>
      <c r="S92" s="52"/>
      <c r="T92" s="52"/>
      <c r="U92" s="7"/>
      <c r="V92" s="54"/>
      <c r="W92" s="40"/>
      <c r="X92" s="52"/>
      <c r="Y92" s="52"/>
      <c r="Z92" s="52"/>
      <c r="AA92" s="52"/>
      <c r="AB92" s="52"/>
      <c r="AC92" s="52"/>
      <c r="AD92" s="52"/>
      <c r="AE92" s="52"/>
      <c r="AF92" s="52"/>
      <c r="AG92" s="52"/>
      <c r="AH92" s="52"/>
      <c r="AI92" s="52"/>
      <c r="AJ92" s="40"/>
      <c r="AK92" s="54"/>
      <c r="AL92" s="10"/>
      <c r="AM92" s="30"/>
      <c r="AN92" s="7"/>
      <c r="AO92" s="7"/>
      <c r="AP92" s="7"/>
      <c r="AQ92" s="7"/>
      <c r="AR92" s="7"/>
      <c r="AS92" s="7"/>
    </row>
    <row r="93" spans="1:51" ht="15.75" customHeight="1" x14ac:dyDescent="0.3">
      <c r="A93" s="22"/>
      <c r="B93" s="41"/>
      <c r="C93" s="62"/>
      <c r="D93" s="42" t="s">
        <v>125</v>
      </c>
      <c r="E93" s="42"/>
      <c r="F93" s="42"/>
      <c r="G93" s="43"/>
      <c r="H93" s="43"/>
      <c r="I93" s="44">
        <f>SUM(I94:I104)</f>
        <v>7371400</v>
      </c>
      <c r="J93" s="44">
        <f>SUM(J94:J104)</f>
        <v>6523900</v>
      </c>
      <c r="K93" s="44">
        <f>SUM(K94:K104)</f>
        <v>7686202</v>
      </c>
      <c r="L93" s="44">
        <f t="shared" ref="L93:T93" si="20">SUM(L94:L102)</f>
        <v>6978700</v>
      </c>
      <c r="M93" s="44">
        <f t="shared" si="20"/>
        <v>7382475</v>
      </c>
      <c r="N93" s="44">
        <f t="shared" si="20"/>
        <v>0</v>
      </c>
      <c r="O93" s="44">
        <f t="shared" si="20"/>
        <v>0</v>
      </c>
      <c r="P93" s="44">
        <f t="shared" si="20"/>
        <v>0</v>
      </c>
      <c r="Q93" s="44">
        <f t="shared" si="20"/>
        <v>0</v>
      </c>
      <c r="R93" s="44">
        <f t="shared" si="20"/>
        <v>0</v>
      </c>
      <c r="S93" s="44">
        <f t="shared" si="20"/>
        <v>0</v>
      </c>
      <c r="T93" s="44">
        <f t="shared" si="20"/>
        <v>0</v>
      </c>
      <c r="U93" s="7"/>
      <c r="V93" s="45">
        <f t="shared" ref="V93:V126" si="21">SUM(I93:M93)</f>
        <v>35942677</v>
      </c>
      <c r="W93" s="89">
        <f>+V93/$V$171</f>
        <v>8.8688857591312162E-3</v>
      </c>
      <c r="X93" s="44">
        <v>6703681.0199999986</v>
      </c>
      <c r="Y93" s="44">
        <v>6508219.0824999986</v>
      </c>
      <c r="Z93" s="44">
        <v>6812825.215937499</v>
      </c>
      <c r="AA93" s="44">
        <v>7009894.2755119381</v>
      </c>
      <c r="AB93" s="44">
        <v>6805503.9543325864</v>
      </c>
      <c r="AC93" s="44">
        <v>6810320.4884605436</v>
      </c>
      <c r="AD93" s="44">
        <v>7330094.8549391236</v>
      </c>
      <c r="AE93" s="44">
        <v>10643344.464733141</v>
      </c>
      <c r="AF93" s="44">
        <v>7679018.691967302</v>
      </c>
      <c r="AG93" s="44">
        <v>7664921.676508599</v>
      </c>
      <c r="AH93" s="44">
        <v>7441432.4565999648</v>
      </c>
      <c r="AI93" s="44">
        <v>7446699.0633977316</v>
      </c>
      <c r="AJ93" s="89"/>
      <c r="AK93" s="103">
        <f t="shared" ref="AK93:AK104" si="22">SUM(X93:AB93)</f>
        <v>33840123.54828202</v>
      </c>
      <c r="AL93" s="10"/>
      <c r="AM93" s="30">
        <f>+V93-AK93</f>
        <v>2102553.4517179802</v>
      </c>
      <c r="AN93" s="47">
        <f>+AM93/AK93</f>
        <v>6.2131967358751608E-2</v>
      </c>
      <c r="AO93" s="7"/>
      <c r="AP93" s="7"/>
      <c r="AQ93" s="7"/>
      <c r="AR93" s="7"/>
      <c r="AS93" s="7"/>
    </row>
    <row r="94" spans="1:51" ht="12" customHeight="1" outlineLevel="1" x14ac:dyDescent="0.3">
      <c r="A94" s="18"/>
      <c r="B94" s="58"/>
      <c r="C94" s="5" t="s">
        <v>126</v>
      </c>
      <c r="D94" s="50" t="s">
        <v>127</v>
      </c>
      <c r="E94" s="50">
        <v>5420</v>
      </c>
      <c r="F94" s="64" t="s">
        <v>128</v>
      </c>
      <c r="G94" s="50" t="s">
        <v>54</v>
      </c>
      <c r="H94" s="104"/>
      <c r="I94" s="52"/>
      <c r="J94" s="52"/>
      <c r="K94" s="52">
        <v>188902</v>
      </c>
      <c r="L94" s="52"/>
      <c r="M94" s="52"/>
      <c r="N94" s="52"/>
      <c r="O94" s="52"/>
      <c r="P94" s="52"/>
      <c r="Q94" s="52"/>
      <c r="R94" s="52"/>
      <c r="S94" s="52"/>
      <c r="T94" s="52"/>
      <c r="U94" s="53"/>
      <c r="V94" s="54">
        <f t="shared" si="21"/>
        <v>188902</v>
      </c>
      <c r="W94" s="105"/>
      <c r="X94" s="52"/>
      <c r="Y94" s="52"/>
      <c r="Z94" s="52"/>
      <c r="AA94" s="52"/>
      <c r="AB94" s="52"/>
      <c r="AC94" s="52"/>
      <c r="AD94" s="52"/>
      <c r="AE94" s="52">
        <v>3526976.1487105652</v>
      </c>
      <c r="AF94" s="52"/>
      <c r="AG94" s="52"/>
      <c r="AH94" s="52"/>
      <c r="AI94" s="52"/>
      <c r="AJ94" s="105"/>
      <c r="AK94" s="54">
        <f t="shared" si="22"/>
        <v>0</v>
      </c>
      <c r="AL94" s="56"/>
      <c r="AM94" s="30"/>
      <c r="AN94" s="53"/>
      <c r="AO94" s="53"/>
      <c r="AP94" s="53"/>
      <c r="AQ94" s="53"/>
      <c r="AR94" s="53"/>
      <c r="AS94" s="53"/>
      <c r="AT94" s="53"/>
      <c r="AU94" s="53"/>
      <c r="AV94" s="53"/>
      <c r="AW94" s="53"/>
      <c r="AX94" s="53"/>
      <c r="AY94" s="53"/>
    </row>
    <row r="95" spans="1:51" ht="12" customHeight="1" outlineLevel="1" x14ac:dyDescent="0.3">
      <c r="A95" s="18"/>
      <c r="B95" s="58"/>
      <c r="C95" s="5" t="s">
        <v>129</v>
      </c>
      <c r="D95" s="50" t="s">
        <v>130</v>
      </c>
      <c r="E95" s="50">
        <v>5415</v>
      </c>
      <c r="F95" s="5" t="s">
        <v>131</v>
      </c>
      <c r="G95" s="50" t="s">
        <v>54</v>
      </c>
      <c r="H95" s="106"/>
      <c r="I95" s="52">
        <v>6048000</v>
      </c>
      <c r="J95" s="52">
        <v>6048000</v>
      </c>
      <c r="K95" s="52">
        <v>7028000</v>
      </c>
      <c r="L95" s="52">
        <v>6620000</v>
      </c>
      <c r="M95" s="52">
        <v>6620000</v>
      </c>
      <c r="N95" s="52"/>
      <c r="O95" s="52"/>
      <c r="P95" s="52"/>
      <c r="Q95" s="52"/>
      <c r="R95" s="52"/>
      <c r="S95" s="52"/>
      <c r="T95" s="52"/>
      <c r="U95" s="52"/>
      <c r="V95" s="54">
        <f t="shared" si="21"/>
        <v>32364000</v>
      </c>
      <c r="W95" s="105"/>
      <c r="X95" s="52">
        <v>5960243.5199999986</v>
      </c>
      <c r="Y95" s="52">
        <v>5960243.5199999986</v>
      </c>
      <c r="Z95" s="52">
        <v>5960243.5199999986</v>
      </c>
      <c r="AA95" s="52">
        <v>6232497.7585978759</v>
      </c>
      <c r="AB95" s="52">
        <v>6232497.7585978759</v>
      </c>
      <c r="AC95" s="52">
        <v>6232497.7585978759</v>
      </c>
      <c r="AD95" s="52">
        <v>6517188.1284017675</v>
      </c>
      <c r="AE95" s="52">
        <v>6517188.1284017675</v>
      </c>
      <c r="AF95" s="52">
        <v>6517188.1284017675</v>
      </c>
      <c r="AG95" s="52">
        <v>6814882.6916764481</v>
      </c>
      <c r="AH95" s="52">
        <v>6814882.6916764481</v>
      </c>
      <c r="AI95" s="52">
        <v>6814882.6916764481</v>
      </c>
      <c r="AJ95" s="105"/>
      <c r="AK95" s="54">
        <f t="shared" si="22"/>
        <v>30345726.077195749</v>
      </c>
      <c r="AL95" s="56"/>
      <c r="AM95" s="30"/>
      <c r="AN95" s="53"/>
      <c r="AO95" s="53"/>
      <c r="AP95" s="53"/>
      <c r="AQ95" s="53"/>
      <c r="AR95" s="53"/>
      <c r="AS95" s="53"/>
      <c r="AT95" s="53"/>
      <c r="AU95" s="53"/>
      <c r="AV95" s="53"/>
      <c r="AW95" s="53"/>
      <c r="AX95" s="53"/>
      <c r="AY95" s="53"/>
    </row>
    <row r="96" spans="1:51" ht="12" customHeight="1" outlineLevel="1" x14ac:dyDescent="0.3">
      <c r="A96" s="18"/>
      <c r="B96" s="58"/>
      <c r="C96" s="5" t="s">
        <v>132</v>
      </c>
      <c r="D96" s="50" t="s">
        <v>127</v>
      </c>
      <c r="E96" s="50">
        <v>5415</v>
      </c>
      <c r="F96" s="5" t="s">
        <v>131</v>
      </c>
      <c r="G96" s="50" t="s">
        <v>54</v>
      </c>
      <c r="H96" s="106"/>
      <c r="I96" s="52">
        <v>450000</v>
      </c>
      <c r="J96" s="52">
        <v>200000</v>
      </c>
      <c r="K96" s="52">
        <v>200000</v>
      </c>
      <c r="L96" s="52">
        <v>90000</v>
      </c>
      <c r="M96" s="52"/>
      <c r="N96" s="52"/>
      <c r="O96" s="52"/>
      <c r="P96" s="52"/>
      <c r="Q96" s="52"/>
      <c r="R96" s="52"/>
      <c r="S96" s="52"/>
      <c r="T96" s="52"/>
      <c r="U96" s="53"/>
      <c r="V96" s="54">
        <f t="shared" si="21"/>
        <v>940000</v>
      </c>
      <c r="W96" s="105"/>
      <c r="X96" s="52">
        <v>300000</v>
      </c>
      <c r="Y96" s="52">
        <v>304499.99999999988</v>
      </c>
      <c r="Z96" s="52">
        <v>309067.49999999988</v>
      </c>
      <c r="AA96" s="52">
        <v>313703.51249999978</v>
      </c>
      <c r="AB96" s="52">
        <v>318409.0651874998</v>
      </c>
      <c r="AC96" s="52">
        <v>323185.20116531232</v>
      </c>
      <c r="AD96" s="52">
        <v>328032.9791827919</v>
      </c>
      <c r="AE96" s="52">
        <v>332953.47387053381</v>
      </c>
      <c r="AF96" s="52">
        <v>337947.7759785917</v>
      </c>
      <c r="AG96" s="52">
        <v>343016.99261827063</v>
      </c>
      <c r="AH96" s="52">
        <v>348162.24750754458</v>
      </c>
      <c r="AI96" s="52">
        <v>353384.68122015771</v>
      </c>
      <c r="AJ96" s="105"/>
      <c r="AK96" s="54">
        <f t="shared" si="22"/>
        <v>1545680.0776874993</v>
      </c>
      <c r="AL96" s="56"/>
      <c r="AM96" s="30"/>
      <c r="AN96" s="53"/>
      <c r="AO96" s="53"/>
      <c r="AP96" s="53"/>
      <c r="AQ96" s="53"/>
      <c r="AR96" s="53"/>
      <c r="AS96" s="53"/>
      <c r="AT96" s="53"/>
      <c r="AU96" s="53"/>
      <c r="AV96" s="53"/>
      <c r="AW96" s="53"/>
      <c r="AX96" s="53"/>
      <c r="AY96" s="53"/>
    </row>
    <row r="97" spans="1:51" ht="12" customHeight="1" outlineLevel="1" x14ac:dyDescent="0.3">
      <c r="A97" s="18"/>
      <c r="B97" s="58"/>
      <c r="C97" s="5" t="s">
        <v>133</v>
      </c>
      <c r="D97" s="50" t="s">
        <v>130</v>
      </c>
      <c r="E97" s="50">
        <v>5415</v>
      </c>
      <c r="F97" s="5" t="s">
        <v>134</v>
      </c>
      <c r="G97" s="50" t="s">
        <v>54</v>
      </c>
      <c r="H97" s="106"/>
      <c r="I97" s="52">
        <v>240900</v>
      </c>
      <c r="J97" s="52">
        <v>240900</v>
      </c>
      <c r="K97" s="52">
        <v>257900</v>
      </c>
      <c r="L97" s="52">
        <v>257900</v>
      </c>
      <c r="M97" s="52">
        <v>257900</v>
      </c>
      <c r="N97" s="52"/>
      <c r="O97" s="52"/>
      <c r="P97" s="52"/>
      <c r="Q97" s="52"/>
      <c r="R97" s="52"/>
      <c r="S97" s="52"/>
      <c r="T97" s="52"/>
      <c r="U97" s="52"/>
      <c r="V97" s="54">
        <f t="shared" si="21"/>
        <v>1255500</v>
      </c>
      <c r="W97" s="105"/>
      <c r="X97" s="52">
        <v>240900</v>
      </c>
      <c r="Y97" s="52">
        <v>240900</v>
      </c>
      <c r="Z97" s="52">
        <v>240900</v>
      </c>
      <c r="AA97" s="52">
        <v>251903.92053749989</v>
      </c>
      <c r="AB97" s="52">
        <v>251903.92053749989</v>
      </c>
      <c r="AC97" s="52">
        <v>251903.92053749989</v>
      </c>
      <c r="AD97" s="52">
        <v>263410.48228378192</v>
      </c>
      <c r="AE97" s="52">
        <v>263410.48228378192</v>
      </c>
      <c r="AF97" s="52">
        <v>263410.48228378192</v>
      </c>
      <c r="AG97" s="52">
        <v>275442.64507247129</v>
      </c>
      <c r="AH97" s="52">
        <v>275442.64507247129</v>
      </c>
      <c r="AI97" s="52">
        <v>275442.64507247129</v>
      </c>
      <c r="AJ97" s="105"/>
      <c r="AK97" s="54">
        <f t="shared" si="22"/>
        <v>1226507.8410749999</v>
      </c>
      <c r="AL97" s="56"/>
      <c r="AM97" s="30"/>
      <c r="AN97" s="53"/>
      <c r="AO97" s="53"/>
      <c r="AP97" s="53"/>
      <c r="AQ97" s="53"/>
      <c r="AR97" s="53"/>
      <c r="AS97" s="53"/>
      <c r="AT97" s="53"/>
      <c r="AU97" s="53"/>
      <c r="AV97" s="53"/>
      <c r="AW97" s="53"/>
      <c r="AX97" s="53"/>
      <c r="AY97" s="53"/>
    </row>
    <row r="98" spans="1:51" ht="12" customHeight="1" outlineLevel="1" x14ac:dyDescent="0.3">
      <c r="A98" s="18"/>
      <c r="B98" s="58"/>
      <c r="C98" s="5" t="s">
        <v>135</v>
      </c>
      <c r="D98" s="50" t="s">
        <v>127</v>
      </c>
      <c r="E98" s="50">
        <v>5415</v>
      </c>
      <c r="F98" s="5" t="s">
        <v>131</v>
      </c>
      <c r="G98" s="50" t="s">
        <v>54</v>
      </c>
      <c r="H98" s="106"/>
      <c r="I98" s="52"/>
      <c r="J98" s="52"/>
      <c r="K98" s="52"/>
      <c r="L98" s="52"/>
      <c r="M98" s="52">
        <v>474575</v>
      </c>
      <c r="N98" s="52"/>
      <c r="O98" s="52"/>
      <c r="P98" s="52"/>
      <c r="Q98" s="52"/>
      <c r="R98" s="52"/>
      <c r="S98" s="52"/>
      <c r="T98" s="52"/>
      <c r="U98" s="53"/>
      <c r="V98" s="54">
        <f t="shared" si="21"/>
        <v>474575</v>
      </c>
      <c r="W98" s="105"/>
      <c r="X98" s="52">
        <v>200000</v>
      </c>
      <c r="Y98" s="52"/>
      <c r="Z98" s="52"/>
      <c r="AA98" s="52">
        <v>209135.6749999999</v>
      </c>
      <c r="AB98" s="52"/>
      <c r="AC98" s="52"/>
      <c r="AD98" s="52">
        <v>218688.65278852801</v>
      </c>
      <c r="AE98" s="52"/>
      <c r="AF98" s="52"/>
      <c r="AG98" s="52">
        <v>228677.9950788471</v>
      </c>
      <c r="AH98" s="52"/>
      <c r="AI98" s="52"/>
      <c r="AJ98" s="105"/>
      <c r="AK98" s="54">
        <f t="shared" si="22"/>
        <v>409135.67499999993</v>
      </c>
      <c r="AL98" s="56"/>
      <c r="AM98" s="30"/>
      <c r="AN98" s="53"/>
      <c r="AO98" s="53"/>
      <c r="AP98" s="53"/>
      <c r="AQ98" s="53"/>
      <c r="AR98" s="53"/>
      <c r="AS98" s="53"/>
      <c r="AT98" s="53"/>
      <c r="AU98" s="53"/>
      <c r="AV98" s="53"/>
      <c r="AW98" s="53"/>
      <c r="AX98" s="53"/>
      <c r="AY98" s="53"/>
    </row>
    <row r="99" spans="1:51" ht="12" customHeight="1" outlineLevel="1" x14ac:dyDescent="0.3">
      <c r="A99" s="18"/>
      <c r="B99" s="58"/>
      <c r="C99" s="5" t="s">
        <v>84</v>
      </c>
      <c r="D99" s="50" t="s">
        <v>130</v>
      </c>
      <c r="E99" s="50">
        <v>5418</v>
      </c>
      <c r="F99" s="5" t="s">
        <v>136</v>
      </c>
      <c r="G99" s="50" t="s">
        <v>54</v>
      </c>
      <c r="H99" s="106"/>
      <c r="I99" s="128"/>
      <c r="J99" s="128"/>
      <c r="K99" s="128"/>
      <c r="L99" s="128"/>
      <c r="M99" s="128"/>
      <c r="N99" s="128"/>
      <c r="O99" s="128"/>
      <c r="P99" s="128"/>
      <c r="Q99" s="128"/>
      <c r="R99" s="128"/>
      <c r="S99" s="128"/>
      <c r="T99" s="128"/>
      <c r="U99" s="53"/>
      <c r="V99" s="54">
        <f t="shared" si="21"/>
        <v>0</v>
      </c>
      <c r="W99" s="105"/>
      <c r="X99" s="128"/>
      <c r="Y99" s="128"/>
      <c r="Z99" s="128">
        <v>300000</v>
      </c>
      <c r="AA99" s="128"/>
      <c r="AB99" s="128"/>
      <c r="AC99" s="128"/>
      <c r="AD99" s="128"/>
      <c r="AE99" s="128"/>
      <c r="AF99" s="128"/>
      <c r="AG99" s="128"/>
      <c r="AH99" s="128"/>
      <c r="AI99" s="128"/>
      <c r="AJ99" s="105"/>
      <c r="AK99" s="54">
        <f t="shared" si="22"/>
        <v>300000</v>
      </c>
      <c r="AL99" s="56"/>
      <c r="AM99" s="30"/>
      <c r="AN99" s="53"/>
      <c r="AO99" s="53"/>
      <c r="AP99" s="53"/>
      <c r="AQ99" s="53"/>
      <c r="AR99" s="53"/>
      <c r="AS99" s="53"/>
      <c r="AT99" s="53"/>
      <c r="AU99" s="53"/>
      <c r="AV99" s="53"/>
      <c r="AW99" s="53"/>
      <c r="AX99" s="53"/>
      <c r="AY99" s="53"/>
    </row>
    <row r="100" spans="1:51" ht="12" customHeight="1" outlineLevel="1" x14ac:dyDescent="0.3">
      <c r="A100" s="18"/>
      <c r="B100" s="58"/>
      <c r="C100" s="5" t="s">
        <v>137</v>
      </c>
      <c r="D100" s="50" t="s">
        <v>127</v>
      </c>
      <c r="E100" s="50"/>
      <c r="F100" s="5" t="s">
        <v>138</v>
      </c>
      <c r="G100" s="50" t="s">
        <v>54</v>
      </c>
      <c r="H100" s="104"/>
      <c r="I100" s="128"/>
      <c r="J100" s="128"/>
      <c r="K100" s="128"/>
      <c r="L100" s="128"/>
      <c r="M100" s="128"/>
      <c r="N100" s="128"/>
      <c r="O100" s="52"/>
      <c r="P100" s="52"/>
      <c r="Q100" s="52"/>
      <c r="R100" s="52"/>
      <c r="S100" s="52"/>
      <c r="T100" s="52"/>
      <c r="U100" s="53"/>
      <c r="V100" s="54">
        <f t="shared" si="21"/>
        <v>0</v>
      </c>
      <c r="W100" s="105"/>
      <c r="X100" s="52"/>
      <c r="Y100" s="52"/>
      <c r="Z100" s="52"/>
      <c r="AA100" s="52"/>
      <c r="AB100" s="52"/>
      <c r="AC100" s="52"/>
      <c r="AD100" s="52"/>
      <c r="AE100" s="52"/>
      <c r="AF100" s="52">
        <v>557613.83036467643</v>
      </c>
      <c r="AG100" s="52"/>
      <c r="AH100" s="52"/>
      <c r="AI100" s="52"/>
      <c r="AJ100" s="105"/>
      <c r="AK100" s="54">
        <f t="shared" si="22"/>
        <v>0</v>
      </c>
      <c r="AL100" s="56"/>
      <c r="AM100" s="30"/>
      <c r="AN100" s="53"/>
      <c r="AO100" s="53"/>
      <c r="AP100" s="53"/>
      <c r="AQ100" s="53"/>
      <c r="AR100" s="53"/>
      <c r="AS100" s="53"/>
      <c r="AT100" s="53"/>
      <c r="AU100" s="53"/>
      <c r="AV100" s="53"/>
      <c r="AW100" s="53"/>
      <c r="AX100" s="53"/>
      <c r="AY100" s="53"/>
    </row>
    <row r="101" spans="1:51" ht="12" customHeight="1" outlineLevel="1" x14ac:dyDescent="0.3">
      <c r="A101" s="18"/>
      <c r="B101" s="58"/>
      <c r="C101" s="5" t="s">
        <v>139</v>
      </c>
      <c r="D101" s="50" t="s">
        <v>130</v>
      </c>
      <c r="E101" s="50"/>
      <c r="F101" s="5" t="s">
        <v>140</v>
      </c>
      <c r="G101" s="50" t="s">
        <v>141</v>
      </c>
      <c r="H101" s="106"/>
      <c r="I101" s="129">
        <v>24000</v>
      </c>
      <c r="J101" s="129">
        <v>12000</v>
      </c>
      <c r="K101" s="129">
        <v>11400</v>
      </c>
      <c r="L101" s="129">
        <v>10800</v>
      </c>
      <c r="M101" s="129">
        <v>30000</v>
      </c>
      <c r="N101" s="129"/>
      <c r="O101" s="129"/>
      <c r="P101" s="129"/>
      <c r="Q101" s="129"/>
      <c r="R101" s="129"/>
      <c r="S101" s="129"/>
      <c r="T101" s="129"/>
      <c r="U101" s="129"/>
      <c r="V101" s="54">
        <f t="shared" si="21"/>
        <v>88200</v>
      </c>
      <c r="W101" s="105"/>
      <c r="X101" s="129">
        <v>2537.5</v>
      </c>
      <c r="Y101" s="129">
        <v>2575.5624999999991</v>
      </c>
      <c r="Z101" s="129">
        <v>2614.1959374999992</v>
      </c>
      <c r="AA101" s="129">
        <v>2653.4088765624979</v>
      </c>
      <c r="AB101" s="129">
        <v>2693.210009710936</v>
      </c>
      <c r="AC101" s="129">
        <v>2733.6081598565988</v>
      </c>
      <c r="AD101" s="129">
        <v>2774.612282254448</v>
      </c>
      <c r="AE101" s="129">
        <v>2816.2314664882651</v>
      </c>
      <c r="AF101" s="129">
        <v>2858.4749384855891</v>
      </c>
      <c r="AG101" s="129">
        <v>2901.3520625628721</v>
      </c>
      <c r="AH101" s="129">
        <v>2944.8723435013148</v>
      </c>
      <c r="AI101" s="129">
        <v>2989.0454286538338</v>
      </c>
      <c r="AJ101" s="105"/>
      <c r="AK101" s="54">
        <f t="shared" si="22"/>
        <v>13073.877323773433</v>
      </c>
      <c r="AL101" s="56"/>
      <c r="AM101" s="68"/>
      <c r="AN101" s="53"/>
      <c r="AO101" s="53"/>
      <c r="AP101" s="53"/>
      <c r="AQ101" s="53"/>
      <c r="AR101" s="53"/>
      <c r="AS101" s="53"/>
      <c r="AT101" s="53"/>
      <c r="AU101" s="53"/>
      <c r="AV101" s="53"/>
      <c r="AW101" s="53"/>
      <c r="AX101" s="53"/>
      <c r="AY101" s="53"/>
    </row>
    <row r="102" spans="1:51" ht="12" customHeight="1" outlineLevel="1" x14ac:dyDescent="0.3">
      <c r="A102" s="18"/>
      <c r="B102" s="58"/>
      <c r="C102" s="5" t="s">
        <v>142</v>
      </c>
      <c r="D102" s="50" t="s">
        <v>130</v>
      </c>
      <c r="E102" s="50"/>
      <c r="F102" s="5" t="s">
        <v>143</v>
      </c>
      <c r="G102" s="50" t="s">
        <v>54</v>
      </c>
      <c r="H102" s="50"/>
      <c r="I102" s="52">
        <v>600000</v>
      </c>
      <c r="J102" s="128"/>
      <c r="K102" s="128"/>
      <c r="L102" s="128"/>
      <c r="M102" s="128"/>
      <c r="N102" s="128"/>
      <c r="O102" s="52"/>
      <c r="P102" s="52"/>
      <c r="Q102" s="52"/>
      <c r="R102" s="52"/>
      <c r="S102" s="52"/>
      <c r="T102" s="52"/>
      <c r="U102" s="53"/>
      <c r="V102" s="54">
        <f t="shared" si="21"/>
        <v>600000</v>
      </c>
      <c r="W102" s="105"/>
      <c r="X102" s="52"/>
      <c r="Y102" s="52"/>
      <c r="Z102" s="52"/>
      <c r="AA102" s="52"/>
      <c r="AB102" s="52"/>
      <c r="AC102" s="52"/>
      <c r="AD102" s="52"/>
      <c r="AE102" s="52"/>
      <c r="AF102" s="52"/>
      <c r="AG102" s="52"/>
      <c r="AH102" s="52"/>
      <c r="AI102" s="52"/>
      <c r="AJ102" s="105"/>
      <c r="AK102" s="54">
        <f t="shared" si="22"/>
        <v>0</v>
      </c>
      <c r="AL102" s="56"/>
      <c r="AM102" s="30"/>
      <c r="AN102" s="53"/>
      <c r="AO102" s="53"/>
      <c r="AP102" s="53"/>
      <c r="AQ102" s="53"/>
      <c r="AR102" s="53"/>
      <c r="AS102" s="53"/>
      <c r="AT102" s="53"/>
      <c r="AU102" s="53"/>
      <c r="AV102" s="53"/>
      <c r="AW102" s="53"/>
      <c r="AX102" s="53"/>
      <c r="AY102" s="53"/>
    </row>
    <row r="103" spans="1:51" ht="12" customHeight="1" outlineLevel="1" x14ac:dyDescent="0.3">
      <c r="A103" s="18"/>
      <c r="B103" s="58"/>
      <c r="C103" s="5" t="s">
        <v>144</v>
      </c>
      <c r="D103" s="50" t="s">
        <v>130</v>
      </c>
      <c r="E103" s="50"/>
      <c r="F103" s="5" t="s">
        <v>145</v>
      </c>
      <c r="G103" s="50" t="s">
        <v>54</v>
      </c>
      <c r="H103" s="50"/>
      <c r="I103" s="128"/>
      <c r="J103" s="129">
        <v>14500</v>
      </c>
      <c r="K103" s="129"/>
      <c r="L103" s="128"/>
      <c r="M103" s="128"/>
      <c r="N103" s="128"/>
      <c r="O103" s="52"/>
      <c r="P103" s="52"/>
      <c r="Q103" s="52"/>
      <c r="R103" s="52"/>
      <c r="S103" s="52"/>
      <c r="T103" s="52"/>
      <c r="U103" s="53"/>
      <c r="V103" s="54">
        <f t="shared" si="21"/>
        <v>14500</v>
      </c>
      <c r="W103" s="105"/>
      <c r="X103" s="52"/>
      <c r="Y103" s="52"/>
      <c r="Z103" s="52"/>
      <c r="AA103" s="52"/>
      <c r="AB103" s="52"/>
      <c r="AC103" s="52"/>
      <c r="AD103" s="52"/>
      <c r="AE103" s="52"/>
      <c r="AF103" s="52"/>
      <c r="AG103" s="52"/>
      <c r="AH103" s="52"/>
      <c r="AI103" s="52"/>
      <c r="AJ103" s="105"/>
      <c r="AK103" s="54">
        <f t="shared" si="22"/>
        <v>0</v>
      </c>
      <c r="AL103" s="56"/>
      <c r="AM103" s="30"/>
      <c r="AN103" s="53"/>
      <c r="AO103" s="53"/>
      <c r="AP103" s="53"/>
      <c r="AQ103" s="53"/>
      <c r="AR103" s="53"/>
      <c r="AS103" s="53"/>
      <c r="AT103" s="53"/>
      <c r="AU103" s="53"/>
      <c r="AV103" s="53"/>
      <c r="AW103" s="53"/>
      <c r="AX103" s="53"/>
      <c r="AY103" s="53"/>
    </row>
    <row r="104" spans="1:51" ht="12" customHeight="1" outlineLevel="1" x14ac:dyDescent="0.3">
      <c r="A104" s="18"/>
      <c r="B104" s="58"/>
      <c r="C104" s="5" t="s">
        <v>146</v>
      </c>
      <c r="D104" s="50" t="s">
        <v>127</v>
      </c>
      <c r="E104" s="50"/>
      <c r="F104" s="5" t="s">
        <v>147</v>
      </c>
      <c r="G104" s="50" t="s">
        <v>54</v>
      </c>
      <c r="H104" s="50"/>
      <c r="I104" s="129">
        <v>8500</v>
      </c>
      <c r="J104" s="129">
        <v>8500</v>
      </c>
      <c r="K104" s="129"/>
      <c r="L104" s="128"/>
      <c r="M104" s="128"/>
      <c r="N104" s="128"/>
      <c r="O104" s="52"/>
      <c r="P104" s="52"/>
      <c r="Q104" s="52"/>
      <c r="R104" s="52"/>
      <c r="S104" s="52"/>
      <c r="T104" s="52"/>
      <c r="U104" s="53"/>
      <c r="V104" s="54">
        <f t="shared" si="21"/>
        <v>17000</v>
      </c>
      <c r="W104" s="105"/>
      <c r="X104" s="52"/>
      <c r="Y104" s="52"/>
      <c r="Z104" s="52"/>
      <c r="AA104" s="52"/>
      <c r="AB104" s="52"/>
      <c r="AC104" s="52"/>
      <c r="AD104" s="52"/>
      <c r="AE104" s="52"/>
      <c r="AF104" s="52"/>
      <c r="AG104" s="52"/>
      <c r="AH104" s="52"/>
      <c r="AI104" s="52"/>
      <c r="AJ104" s="105"/>
      <c r="AK104" s="54">
        <f t="shared" si="22"/>
        <v>0</v>
      </c>
      <c r="AL104" s="56"/>
      <c r="AM104" s="30"/>
      <c r="AN104" s="53"/>
      <c r="AO104" s="53"/>
      <c r="AP104" s="53"/>
      <c r="AQ104" s="53"/>
      <c r="AR104" s="53"/>
      <c r="AS104" s="53"/>
      <c r="AT104" s="53"/>
      <c r="AU104" s="53"/>
      <c r="AV104" s="53"/>
      <c r="AW104" s="53"/>
      <c r="AX104" s="53"/>
      <c r="AY104" s="53"/>
    </row>
    <row r="105" spans="1:51" ht="12" customHeight="1" outlineLevel="1" x14ac:dyDescent="0.3">
      <c r="A105" s="18"/>
      <c r="B105" s="58"/>
      <c r="C105" s="5"/>
      <c r="D105" s="50"/>
      <c r="E105" s="50"/>
      <c r="F105" s="5"/>
      <c r="G105" s="50"/>
      <c r="H105" s="50"/>
      <c r="I105" s="128"/>
      <c r="J105" s="129"/>
      <c r="K105" s="129"/>
      <c r="L105" s="128"/>
      <c r="M105" s="128"/>
      <c r="N105" s="128"/>
      <c r="O105" s="52"/>
      <c r="P105" s="52"/>
      <c r="Q105" s="52"/>
      <c r="R105" s="52"/>
      <c r="S105" s="52"/>
      <c r="T105" s="52"/>
      <c r="U105" s="53"/>
      <c r="V105" s="54">
        <f t="shared" si="21"/>
        <v>0</v>
      </c>
      <c r="W105" s="105"/>
      <c r="X105" s="52"/>
      <c r="Y105" s="52"/>
      <c r="Z105" s="52"/>
      <c r="AA105" s="52"/>
      <c r="AB105" s="52"/>
      <c r="AC105" s="52"/>
      <c r="AD105" s="52"/>
      <c r="AE105" s="52"/>
      <c r="AF105" s="52"/>
      <c r="AG105" s="52"/>
      <c r="AH105" s="52"/>
      <c r="AI105" s="52"/>
      <c r="AJ105" s="105"/>
      <c r="AK105" s="54"/>
      <c r="AL105" s="56"/>
      <c r="AM105" s="30"/>
      <c r="AN105" s="53"/>
      <c r="AO105" s="53"/>
      <c r="AP105" s="53"/>
      <c r="AQ105" s="53"/>
      <c r="AR105" s="53"/>
      <c r="AS105" s="53"/>
      <c r="AT105" s="53"/>
      <c r="AU105" s="53"/>
      <c r="AV105" s="53"/>
      <c r="AW105" s="53"/>
      <c r="AX105" s="53"/>
      <c r="AY105" s="53"/>
    </row>
    <row r="106" spans="1:51" ht="15.75" customHeight="1" x14ac:dyDescent="0.3">
      <c r="A106" s="22"/>
      <c r="B106" s="41"/>
      <c r="C106" s="62"/>
      <c r="D106" s="42" t="s">
        <v>148</v>
      </c>
      <c r="E106" s="42"/>
      <c r="F106" s="42"/>
      <c r="G106" s="43"/>
      <c r="H106" s="43"/>
      <c r="I106" s="44">
        <f>SUM(I107:I124)</f>
        <v>150492045.63</v>
      </c>
      <c r="J106" s="44">
        <f>SUM(J107:J124)</f>
        <v>147873449.28999999</v>
      </c>
      <c r="K106" s="44">
        <f>SUM(K107:K124)</f>
        <v>141015683.00999999</v>
      </c>
      <c r="L106" s="44">
        <f>SUM(L107:L124)</f>
        <v>161865197.44000003</v>
      </c>
      <c r="M106" s="44">
        <f>SUM(M107:M124)</f>
        <v>152434635.14999998</v>
      </c>
      <c r="N106" s="44">
        <f t="shared" ref="N106:T106" si="23">SUM(N107:N125)</f>
        <v>0</v>
      </c>
      <c r="O106" s="44">
        <f t="shared" si="23"/>
        <v>0</v>
      </c>
      <c r="P106" s="44">
        <f t="shared" si="23"/>
        <v>0</v>
      </c>
      <c r="Q106" s="44">
        <f t="shared" si="23"/>
        <v>0</v>
      </c>
      <c r="R106" s="44">
        <f t="shared" si="23"/>
        <v>0</v>
      </c>
      <c r="S106" s="44">
        <f t="shared" si="23"/>
        <v>0</v>
      </c>
      <c r="T106" s="44">
        <f t="shared" si="23"/>
        <v>0</v>
      </c>
      <c r="U106" s="7"/>
      <c r="V106" s="45">
        <f t="shared" si="21"/>
        <v>753681010.51999998</v>
      </c>
      <c r="W106" s="89">
        <f>+V106/$V$171</f>
        <v>0.18597142280549811</v>
      </c>
      <c r="X106" s="44">
        <v>181297640.2855539</v>
      </c>
      <c r="Y106" s="44">
        <v>184468532.02680391</v>
      </c>
      <c r="Z106" s="44">
        <v>180568789.6579226</v>
      </c>
      <c r="AA106" s="44">
        <v>197483533.53540719</v>
      </c>
      <c r="AB106" s="44">
        <v>191940016.5219703</v>
      </c>
      <c r="AC106" s="44">
        <v>192120263.6390318</v>
      </c>
      <c r="AD106" s="44">
        <v>200281082.12116259</v>
      </c>
      <c r="AE106" s="44">
        <v>200466777.20733729</v>
      </c>
      <c r="AF106" s="44">
        <v>200655257.71980461</v>
      </c>
      <c r="AG106" s="44">
        <v>208182260.20260969</v>
      </c>
      <c r="AH106" s="44">
        <v>208376437.53856641</v>
      </c>
      <c r="AI106" s="44">
        <v>208573527.53456229</v>
      </c>
      <c r="AJ106" s="89"/>
      <c r="AK106" s="103">
        <f t="shared" ref="AK106:AK126" si="24">SUM(X106:AB106)</f>
        <v>935758512.02765787</v>
      </c>
      <c r="AL106" s="10"/>
      <c r="AM106" s="30">
        <f>+V106-AK106</f>
        <v>-182077501.50765789</v>
      </c>
      <c r="AN106" s="47">
        <f>+AM106/AK106</f>
        <v>-0.19457744617585299</v>
      </c>
      <c r="AO106" s="7"/>
      <c r="AP106" s="7"/>
      <c r="AQ106" s="7"/>
      <c r="AR106" s="7"/>
      <c r="AS106" s="7"/>
    </row>
    <row r="107" spans="1:51" ht="14.25" customHeight="1" outlineLevel="1" x14ac:dyDescent="0.3">
      <c r="A107" s="18"/>
      <c r="B107" s="58"/>
      <c r="C107" s="5" t="s">
        <v>149</v>
      </c>
      <c r="D107" s="50" t="s">
        <v>148</v>
      </c>
      <c r="E107" s="50" t="s">
        <v>150</v>
      </c>
      <c r="F107" s="5" t="s">
        <v>151</v>
      </c>
      <c r="G107" s="50" t="s">
        <v>152</v>
      </c>
      <c r="H107" s="130"/>
      <c r="I107" s="52">
        <v>116493811.94</v>
      </c>
      <c r="J107" s="52">
        <v>114025688</v>
      </c>
      <c r="K107" s="52">
        <v>116449887.06</v>
      </c>
      <c r="L107" s="109">
        <v>118807352.63</v>
      </c>
      <c r="M107" s="109">
        <v>120796550.38</v>
      </c>
      <c r="N107" s="52"/>
      <c r="O107" s="52"/>
      <c r="P107" s="52"/>
      <c r="Q107" s="52"/>
      <c r="R107" s="52"/>
      <c r="S107" s="52"/>
      <c r="T107" s="52"/>
      <c r="U107" s="53"/>
      <c r="V107" s="54">
        <f t="shared" si="21"/>
        <v>586573290.00999999</v>
      </c>
      <c r="W107" s="105"/>
      <c r="X107" s="52">
        <v>123552655.182</v>
      </c>
      <c r="Y107" s="52">
        <v>123552655.182</v>
      </c>
      <c r="Z107" s="52">
        <v>123552655.182</v>
      </c>
      <c r="AA107" s="52">
        <v>129196339.697649</v>
      </c>
      <c r="AB107" s="52">
        <v>129196339.697649</v>
      </c>
      <c r="AC107" s="52">
        <v>129196339.697649</v>
      </c>
      <c r="AD107" s="52">
        <v>135097818.55098549</v>
      </c>
      <c r="AE107" s="52">
        <v>135097818.55098549</v>
      </c>
      <c r="AF107" s="52">
        <v>135097818.55098549</v>
      </c>
      <c r="AG107" s="52">
        <v>141268867.36843941</v>
      </c>
      <c r="AH107" s="52">
        <v>141268867.36843941</v>
      </c>
      <c r="AI107" s="52">
        <v>141268867.36843941</v>
      </c>
      <c r="AJ107" s="105"/>
      <c r="AK107" s="54">
        <f t="shared" si="24"/>
        <v>629050644.94129801</v>
      </c>
      <c r="AL107" s="56"/>
      <c r="AM107" s="30"/>
      <c r="AN107" s="53"/>
      <c r="AO107" s="53"/>
      <c r="AP107" s="53"/>
      <c r="AQ107" s="53"/>
      <c r="AR107" s="53"/>
      <c r="AS107" s="53"/>
      <c r="AT107" s="53"/>
      <c r="AU107" s="53"/>
      <c r="AV107" s="53"/>
      <c r="AW107" s="53"/>
      <c r="AX107" s="53"/>
      <c r="AY107" s="53"/>
    </row>
    <row r="108" spans="1:51" ht="12" customHeight="1" outlineLevel="1" x14ac:dyDescent="0.3">
      <c r="A108" s="18"/>
      <c r="B108" s="58"/>
      <c r="C108" s="5" t="s">
        <v>153</v>
      </c>
      <c r="D108" s="50" t="s">
        <v>148</v>
      </c>
      <c r="E108" s="50" t="s">
        <v>150</v>
      </c>
      <c r="F108" s="5" t="str">
        <f>+C108</f>
        <v>SAC (incl Cs Soc)</v>
      </c>
      <c r="G108" s="50" t="s">
        <v>152</v>
      </c>
      <c r="H108" s="50"/>
      <c r="I108" s="52">
        <v>9640472.8599999994</v>
      </c>
      <c r="J108" s="52">
        <v>9286731</v>
      </c>
      <c r="K108" s="52">
        <v>5923398.2000000002</v>
      </c>
      <c r="L108" s="52">
        <v>10940187.01</v>
      </c>
      <c r="M108" s="52">
        <v>9888089.3599999994</v>
      </c>
      <c r="N108" s="52"/>
      <c r="O108" s="52"/>
      <c r="P108" s="52"/>
      <c r="Q108" s="52"/>
      <c r="R108" s="52"/>
      <c r="S108" s="52"/>
      <c r="T108" s="52"/>
      <c r="U108" s="53"/>
      <c r="V108" s="54">
        <f t="shared" si="21"/>
        <v>45678878.43</v>
      </c>
      <c r="W108" s="105"/>
      <c r="X108" s="52">
        <v>10762055.096814159</v>
      </c>
      <c r="Y108" s="52">
        <v>10762055.096814159</v>
      </c>
      <c r="Z108" s="52">
        <v>10762055.096814159</v>
      </c>
      <c r="AA108" s="52">
        <v>10762055.096814159</v>
      </c>
      <c r="AB108" s="52">
        <v>10762055.096814159</v>
      </c>
      <c r="AC108" s="52">
        <v>10762055.096814159</v>
      </c>
      <c r="AD108" s="52">
        <v>11767696.651791001</v>
      </c>
      <c r="AE108" s="52">
        <v>11767696.651791001</v>
      </c>
      <c r="AF108" s="52">
        <v>11767696.651791001</v>
      </c>
      <c r="AG108" s="52">
        <v>11767696.651791001</v>
      </c>
      <c r="AH108" s="52">
        <v>11767696.651791001</v>
      </c>
      <c r="AI108" s="52">
        <v>11767696.651791001</v>
      </c>
      <c r="AJ108" s="105"/>
      <c r="AK108" s="54">
        <f t="shared" si="24"/>
        <v>53810275.484070793</v>
      </c>
      <c r="AL108" s="56"/>
      <c r="AM108" s="30"/>
      <c r="AN108" s="53"/>
      <c r="AO108" s="53"/>
      <c r="AP108" s="53"/>
      <c r="AQ108" s="53"/>
      <c r="AR108" s="53"/>
      <c r="AS108" s="53"/>
      <c r="AT108" s="53"/>
      <c r="AU108" s="53"/>
      <c r="AV108" s="53"/>
      <c r="AW108" s="53"/>
      <c r="AX108" s="53"/>
      <c r="AY108" s="53"/>
    </row>
    <row r="109" spans="1:51" ht="12" customHeight="1" outlineLevel="1" x14ac:dyDescent="0.3">
      <c r="A109" s="18"/>
      <c r="B109" s="58"/>
      <c r="C109" s="5" t="s">
        <v>154</v>
      </c>
      <c r="D109" s="50" t="s">
        <v>148</v>
      </c>
      <c r="E109" s="50" t="s">
        <v>150</v>
      </c>
      <c r="F109" s="5" t="str">
        <f>+C109</f>
        <v>Bonos  (incl sac y cs soc)</v>
      </c>
      <c r="G109" s="50" t="s">
        <v>152</v>
      </c>
      <c r="H109" s="50"/>
      <c r="I109" s="52">
        <v>9739883.1899999995</v>
      </c>
      <c r="J109" s="52">
        <v>9739883.1899999995</v>
      </c>
      <c r="K109" s="52">
        <v>7277291.4800000004</v>
      </c>
      <c r="L109" s="52">
        <v>7967178.5300000003</v>
      </c>
      <c r="M109" s="52">
        <v>7967178.5300000003</v>
      </c>
      <c r="N109" s="52"/>
      <c r="O109" s="52"/>
      <c r="P109" s="52"/>
      <c r="Q109" s="52"/>
      <c r="R109" s="52"/>
      <c r="S109" s="52"/>
      <c r="T109" s="52"/>
      <c r="U109" s="53"/>
      <c r="V109" s="54">
        <f t="shared" si="21"/>
        <v>42691414.920000002</v>
      </c>
      <c r="W109" s="105"/>
      <c r="X109" s="52">
        <v>16602199.339025799</v>
      </c>
      <c r="Y109" s="52">
        <v>16602199.339025799</v>
      </c>
      <c r="Z109" s="52">
        <v>16602199.339025799</v>
      </c>
      <c r="AA109" s="52">
        <v>16602199.339025799</v>
      </c>
      <c r="AB109" s="52">
        <v>16602199.339025799</v>
      </c>
      <c r="AC109" s="52">
        <v>16602199.339025799</v>
      </c>
      <c r="AD109" s="52">
        <v>16602199.339025799</v>
      </c>
      <c r="AE109" s="52">
        <v>16602199.339025799</v>
      </c>
      <c r="AF109" s="52">
        <v>16602199.339025799</v>
      </c>
      <c r="AG109" s="52">
        <v>16602199.339025799</v>
      </c>
      <c r="AH109" s="52">
        <v>16602199.339025799</v>
      </c>
      <c r="AI109" s="52">
        <v>16602199.339025799</v>
      </c>
      <c r="AJ109" s="105"/>
      <c r="AK109" s="54">
        <f t="shared" si="24"/>
        <v>83010996.695128992</v>
      </c>
      <c r="AL109" s="56"/>
      <c r="AM109" s="30"/>
      <c r="AN109" s="53"/>
      <c r="AO109" s="53"/>
      <c r="AP109" s="53"/>
      <c r="AQ109" s="53"/>
      <c r="AR109" s="53"/>
      <c r="AS109" s="53"/>
      <c r="AT109" s="53"/>
      <c r="AU109" s="53"/>
      <c r="AV109" s="53"/>
      <c r="AW109" s="53"/>
      <c r="AX109" s="53"/>
      <c r="AY109" s="53"/>
    </row>
    <row r="110" spans="1:51" ht="12" customHeight="1" outlineLevel="1" x14ac:dyDescent="0.3">
      <c r="A110" s="18"/>
      <c r="B110" s="58"/>
      <c r="C110" s="5" t="s">
        <v>155</v>
      </c>
      <c r="D110" s="50" t="s">
        <v>148</v>
      </c>
      <c r="E110" s="50" t="s">
        <v>150</v>
      </c>
      <c r="F110" s="5" t="str">
        <f>+C110</f>
        <v>Vacaciones (incl cs soc)</v>
      </c>
      <c r="G110" s="50" t="s">
        <v>152</v>
      </c>
      <c r="H110" s="50"/>
      <c r="I110" s="52">
        <v>2199603.1</v>
      </c>
      <c r="J110" s="52">
        <v>2199603.1</v>
      </c>
      <c r="K110" s="52">
        <v>-8397876.7300000004</v>
      </c>
      <c r="L110" s="52">
        <v>4413014.71</v>
      </c>
      <c r="M110" s="52">
        <v>602294.91</v>
      </c>
      <c r="N110" s="52"/>
      <c r="O110" s="52"/>
      <c r="P110" s="52"/>
      <c r="Q110" s="52"/>
      <c r="R110" s="52"/>
      <c r="S110" s="52"/>
      <c r="T110" s="52"/>
      <c r="U110" s="53"/>
      <c r="V110" s="54">
        <f t="shared" si="21"/>
        <v>1016639.0899999997</v>
      </c>
      <c r="W110" s="105"/>
      <c r="X110" s="52">
        <v>6026305.9177139746</v>
      </c>
      <c r="Y110" s="52">
        <v>6026305.9177139746</v>
      </c>
      <c r="Z110" s="52">
        <v>6026305.9177139746</v>
      </c>
      <c r="AA110" s="52">
        <v>6026305.9177139746</v>
      </c>
      <c r="AB110" s="52">
        <v>6026305.9177139746</v>
      </c>
      <c r="AC110" s="52">
        <v>6026305.9177139746</v>
      </c>
      <c r="AD110" s="52">
        <v>6026305.9177139746</v>
      </c>
      <c r="AE110" s="52">
        <v>6026305.9177139746</v>
      </c>
      <c r="AF110" s="52">
        <v>6026305.9177139746</v>
      </c>
      <c r="AG110" s="52">
        <v>6026305.9177139746</v>
      </c>
      <c r="AH110" s="52">
        <v>6026305.9177139746</v>
      </c>
      <c r="AI110" s="52">
        <v>6026305.9177139746</v>
      </c>
      <c r="AJ110" s="105"/>
      <c r="AK110" s="54">
        <f t="shared" si="24"/>
        <v>30131529.588569872</v>
      </c>
      <c r="AL110" s="56"/>
      <c r="AM110" s="30"/>
      <c r="AN110" s="53"/>
      <c r="AO110" s="53"/>
      <c r="AP110" s="53"/>
      <c r="AQ110" s="53"/>
      <c r="AR110" s="53"/>
      <c r="AS110" s="53"/>
      <c r="AT110" s="53"/>
      <c r="AU110" s="53"/>
      <c r="AV110" s="53"/>
      <c r="AW110" s="53"/>
      <c r="AX110" s="53"/>
      <c r="AY110" s="53"/>
    </row>
    <row r="111" spans="1:51" ht="12" customHeight="1" outlineLevel="1" x14ac:dyDescent="0.3">
      <c r="A111" s="18"/>
      <c r="B111" s="58"/>
      <c r="C111" s="5" t="s">
        <v>156</v>
      </c>
      <c r="D111" s="50" t="s">
        <v>148</v>
      </c>
      <c r="E111" s="50"/>
      <c r="F111" s="5" t="str">
        <f>+C111</f>
        <v>Swiss Medical</v>
      </c>
      <c r="G111" s="50" t="s">
        <v>152</v>
      </c>
      <c r="H111" s="106"/>
      <c r="I111" s="52">
        <v>5870491.5599999996</v>
      </c>
      <c r="J111" s="52">
        <v>5521878</v>
      </c>
      <c r="K111" s="52">
        <v>6266749</v>
      </c>
      <c r="L111" s="52">
        <v>1158666.9900000009</v>
      </c>
      <c r="M111" s="52">
        <v>6375371.5999999996</v>
      </c>
      <c r="N111" s="52"/>
      <c r="O111" s="52"/>
      <c r="P111" s="52"/>
      <c r="Q111" s="52"/>
      <c r="R111" s="52"/>
      <c r="S111" s="52"/>
      <c r="T111" s="52"/>
      <c r="U111" s="53"/>
      <c r="V111" s="54">
        <f t="shared" si="21"/>
        <v>25193157.149999999</v>
      </c>
      <c r="W111" s="105"/>
      <c r="X111" s="52">
        <v>7104999.9999999991</v>
      </c>
      <c r="Y111" s="52">
        <v>7211574.9999999981</v>
      </c>
      <c r="Z111" s="52">
        <v>7319748.6249999972</v>
      </c>
      <c r="AA111" s="52">
        <v>7429544.8543749964</v>
      </c>
      <c r="AB111" s="52">
        <v>7540988.027190621</v>
      </c>
      <c r="AC111" s="52">
        <v>7654102.8475984791</v>
      </c>
      <c r="AD111" s="52">
        <v>7768914.3903124556</v>
      </c>
      <c r="AE111" s="52">
        <v>7885448.1061671413</v>
      </c>
      <c r="AF111" s="52">
        <v>8003729.8277596477</v>
      </c>
      <c r="AG111" s="52">
        <v>8123785.7751760418</v>
      </c>
      <c r="AH111" s="52">
        <v>8245642.5618036818</v>
      </c>
      <c r="AI111" s="52">
        <v>8369327.2002307363</v>
      </c>
      <c r="AJ111" s="105"/>
      <c r="AK111" s="54">
        <f t="shared" si="24"/>
        <v>36606856.506565608</v>
      </c>
      <c r="AL111" s="56"/>
      <c r="AM111" s="30"/>
      <c r="AN111" s="53"/>
      <c r="AO111" s="53"/>
      <c r="AP111" s="53"/>
      <c r="AQ111" s="53"/>
      <c r="AR111" s="53"/>
      <c r="AS111" s="53"/>
      <c r="AT111" s="53"/>
      <c r="AU111" s="53"/>
      <c r="AV111" s="53"/>
      <c r="AW111" s="53"/>
      <c r="AX111" s="53"/>
      <c r="AY111" s="53"/>
    </row>
    <row r="112" spans="1:51" ht="12" customHeight="1" outlineLevel="1" x14ac:dyDescent="0.3">
      <c r="A112" s="18"/>
      <c r="B112" s="58"/>
      <c r="C112" s="5" t="s">
        <v>157</v>
      </c>
      <c r="D112" s="50" t="s">
        <v>148</v>
      </c>
      <c r="E112" s="50"/>
      <c r="F112" s="5" t="str">
        <f>+C112</f>
        <v>Osde</v>
      </c>
      <c r="G112" s="50" t="s">
        <v>152</v>
      </c>
      <c r="H112" s="106"/>
      <c r="I112" s="52">
        <v>1200000</v>
      </c>
      <c r="J112" s="52">
        <v>1302894</v>
      </c>
      <c r="K112" s="52">
        <v>1126442</v>
      </c>
      <c r="L112" s="52">
        <v>1126767.8999999999</v>
      </c>
      <c r="M112" s="52">
        <v>1747251.72</v>
      </c>
      <c r="N112" s="52"/>
      <c r="O112" s="52"/>
      <c r="P112" s="52"/>
      <c r="Q112" s="52"/>
      <c r="R112" s="52"/>
      <c r="S112" s="52"/>
      <c r="T112" s="52"/>
      <c r="U112" s="53"/>
      <c r="V112" s="54">
        <f t="shared" si="21"/>
        <v>6503355.6200000001</v>
      </c>
      <c r="W112" s="105"/>
      <c r="X112" s="52">
        <v>1319500</v>
      </c>
      <c r="Y112" s="52">
        <v>1339292.5</v>
      </c>
      <c r="Z112" s="52">
        <v>1359381.887499999</v>
      </c>
      <c r="AA112" s="52">
        <v>1379772.6158124991</v>
      </c>
      <c r="AB112" s="52">
        <v>1400469.2050496871</v>
      </c>
      <c r="AC112" s="52">
        <v>1421476.2431254319</v>
      </c>
      <c r="AD112" s="52">
        <v>1442798.3867723129</v>
      </c>
      <c r="AE112" s="52">
        <v>1464440.3625738979</v>
      </c>
      <c r="AF112" s="52">
        <v>1486406.9680125059</v>
      </c>
      <c r="AG112" s="52">
        <v>1508703.0725326929</v>
      </c>
      <c r="AH112" s="52">
        <v>1531333.6186206839</v>
      </c>
      <c r="AI112" s="52">
        <v>1554303.622899994</v>
      </c>
      <c r="AJ112" s="105"/>
      <c r="AK112" s="54">
        <f t="shared" si="24"/>
        <v>6798416.2083621854</v>
      </c>
      <c r="AL112" s="56"/>
      <c r="AM112" s="30"/>
      <c r="AN112" s="53"/>
      <c r="AO112" s="53"/>
      <c r="AP112" s="53"/>
      <c r="AQ112" s="53"/>
      <c r="AR112" s="53"/>
      <c r="AS112" s="53"/>
      <c r="AT112" s="53"/>
      <c r="AU112" s="53"/>
      <c r="AV112" s="53"/>
      <c r="AW112" s="53"/>
      <c r="AX112" s="53"/>
      <c r="AY112" s="53"/>
    </row>
    <row r="113" spans="1:51" ht="12" customHeight="1" outlineLevel="1" x14ac:dyDescent="0.3">
      <c r="A113" s="18"/>
      <c r="B113" s="58"/>
      <c r="C113" s="2" t="s">
        <v>158</v>
      </c>
      <c r="D113" s="60" t="s">
        <v>148</v>
      </c>
      <c r="E113" s="60" t="s">
        <v>150</v>
      </c>
      <c r="F113" s="2" t="s">
        <v>159</v>
      </c>
      <c r="G113" s="60" t="s">
        <v>152</v>
      </c>
      <c r="H113" s="131"/>
      <c r="I113" s="6"/>
      <c r="J113" s="6"/>
      <c r="K113" s="6"/>
      <c r="L113" s="108">
        <v>0</v>
      </c>
      <c r="M113" s="108"/>
      <c r="N113" s="52"/>
      <c r="O113" s="52"/>
      <c r="P113" s="52"/>
      <c r="Q113" s="52"/>
      <c r="R113" s="52"/>
      <c r="S113" s="52"/>
      <c r="T113" s="52"/>
      <c r="U113" s="53"/>
      <c r="V113" s="54">
        <f t="shared" si="21"/>
        <v>0</v>
      </c>
      <c r="W113" s="105"/>
      <c r="X113" s="52">
        <v>5000000</v>
      </c>
      <c r="Y113" s="52">
        <v>9000000</v>
      </c>
      <c r="Z113" s="52">
        <v>9000000</v>
      </c>
      <c r="AA113" s="52">
        <v>14000000</v>
      </c>
      <c r="AB113" s="52">
        <v>14000000</v>
      </c>
      <c r="AC113" s="52">
        <v>14000000</v>
      </c>
      <c r="AD113" s="52">
        <v>14639497.249999991</v>
      </c>
      <c r="AE113" s="52">
        <v>14639497.249999991</v>
      </c>
      <c r="AF113" s="52">
        <v>14639497.249999991</v>
      </c>
      <c r="AG113" s="52">
        <v>15308205.69519696</v>
      </c>
      <c r="AH113" s="52">
        <v>15308205.69519696</v>
      </c>
      <c r="AI113" s="52">
        <v>15308205.69519696</v>
      </c>
      <c r="AJ113" s="105"/>
      <c r="AK113" s="54">
        <f t="shared" si="24"/>
        <v>51000000</v>
      </c>
      <c r="AL113" s="56"/>
      <c r="AM113" s="30"/>
      <c r="AN113" s="53"/>
      <c r="AO113" s="53"/>
      <c r="AP113" s="53"/>
      <c r="AQ113" s="53"/>
      <c r="AR113" s="53"/>
      <c r="AS113" s="53"/>
      <c r="AT113" s="53"/>
      <c r="AU113" s="53"/>
      <c r="AV113" s="53"/>
      <c r="AW113" s="53"/>
      <c r="AX113" s="53"/>
      <c r="AY113" s="53"/>
    </row>
    <row r="114" spans="1:51" ht="12" customHeight="1" outlineLevel="1" x14ac:dyDescent="0.3">
      <c r="A114" s="18"/>
      <c r="B114" s="58"/>
      <c r="C114" s="5" t="s">
        <v>160</v>
      </c>
      <c r="D114" s="50" t="s">
        <v>148</v>
      </c>
      <c r="E114" s="50">
        <v>5415</v>
      </c>
      <c r="F114" s="5" t="s">
        <v>161</v>
      </c>
      <c r="G114" s="50" t="s">
        <v>152</v>
      </c>
      <c r="H114" s="106"/>
      <c r="I114" s="52">
        <v>1393291</v>
      </c>
      <c r="J114" s="52">
        <v>1500000</v>
      </c>
      <c r="K114" s="52">
        <f>1360000+125000</f>
        <v>1485000</v>
      </c>
      <c r="L114" s="108">
        <v>1521520</v>
      </c>
      <c r="M114" s="108">
        <v>1521520</v>
      </c>
      <c r="N114" s="52"/>
      <c r="O114" s="52"/>
      <c r="P114" s="52"/>
      <c r="Q114" s="52"/>
      <c r="R114" s="52"/>
      <c r="S114" s="52"/>
      <c r="T114" s="52"/>
      <c r="U114" s="53"/>
      <c r="V114" s="54">
        <f t="shared" si="21"/>
        <v>7421331</v>
      </c>
      <c r="W114" s="105"/>
      <c r="X114" s="52">
        <v>1378014.75</v>
      </c>
      <c r="Y114" s="52">
        <v>1398684.9712499999</v>
      </c>
      <c r="Z114" s="52">
        <v>1419665.24581875</v>
      </c>
      <c r="AA114" s="52">
        <v>1440960.224506031</v>
      </c>
      <c r="AB114" s="52">
        <v>1462574.6278736209</v>
      </c>
      <c r="AC114" s="52">
        <v>1484513.2472917249</v>
      </c>
      <c r="AD114" s="52">
        <v>1506780.9460011011</v>
      </c>
      <c r="AE114" s="52">
        <v>1529382.6601911171</v>
      </c>
      <c r="AF114" s="52">
        <v>1552323.4000939841</v>
      </c>
      <c r="AG114" s="52">
        <v>1575608.251095393</v>
      </c>
      <c r="AH114" s="52">
        <v>1599242.3748618241</v>
      </c>
      <c r="AI114" s="52">
        <v>1623231.0104847511</v>
      </c>
      <c r="AJ114" s="105"/>
      <c r="AK114" s="54">
        <f t="shared" si="24"/>
        <v>7099899.8194484022</v>
      </c>
      <c r="AL114" s="56"/>
      <c r="AM114" s="30"/>
      <c r="AN114" s="53"/>
      <c r="AO114" s="53"/>
      <c r="AP114" s="53"/>
      <c r="AQ114" s="53"/>
      <c r="AR114" s="53"/>
      <c r="AS114" s="53"/>
      <c r="AT114" s="53"/>
      <c r="AU114" s="53"/>
      <c r="AV114" s="53"/>
      <c r="AW114" s="53"/>
      <c r="AX114" s="53"/>
      <c r="AY114" s="53"/>
    </row>
    <row r="115" spans="1:51" ht="12" customHeight="1" outlineLevel="1" x14ac:dyDescent="0.3">
      <c r="A115" s="18"/>
      <c r="B115" s="58"/>
      <c r="C115" s="5" t="s">
        <v>162</v>
      </c>
      <c r="D115" s="50" t="s">
        <v>148</v>
      </c>
      <c r="E115" s="50">
        <v>5611</v>
      </c>
      <c r="F115" s="5" t="s">
        <v>163</v>
      </c>
      <c r="G115" s="50" t="s">
        <v>152</v>
      </c>
      <c r="H115" s="106"/>
      <c r="I115" s="52">
        <f>582071.98+24460</f>
        <v>606531.98</v>
      </c>
      <c r="J115" s="52">
        <v>1113006</v>
      </c>
      <c r="K115" s="52">
        <v>1004554</v>
      </c>
      <c r="L115" s="52">
        <v>1205452.27</v>
      </c>
      <c r="M115" s="52">
        <v>1176729.73</v>
      </c>
      <c r="N115" s="52"/>
      <c r="O115" s="52"/>
      <c r="P115" s="52"/>
      <c r="Q115" s="52"/>
      <c r="R115" s="52"/>
      <c r="S115" s="52"/>
      <c r="T115" s="52"/>
      <c r="U115" s="53"/>
      <c r="V115" s="54">
        <f t="shared" si="21"/>
        <v>5106273.9800000004</v>
      </c>
      <c r="W115" s="105"/>
      <c r="X115" s="52">
        <v>1219218</v>
      </c>
      <c r="Y115" s="52">
        <v>1237506.27</v>
      </c>
      <c r="Z115" s="52">
        <v>1256068.86405</v>
      </c>
      <c r="AA115" s="52">
        <v>1274909.897010749</v>
      </c>
      <c r="AB115" s="52">
        <v>1294033.545465911</v>
      </c>
      <c r="AC115" s="52">
        <v>1313444.0486478989</v>
      </c>
      <c r="AD115" s="52">
        <v>1333145.709377618</v>
      </c>
      <c r="AE115" s="52">
        <v>1353142.8950182821</v>
      </c>
      <c r="AF115" s="52">
        <v>1373440.0384435561</v>
      </c>
      <c r="AG115" s="52">
        <v>1394041.639020209</v>
      </c>
      <c r="AH115" s="52">
        <v>1414952.263605512</v>
      </c>
      <c r="AI115" s="52">
        <v>1436176.547559595</v>
      </c>
      <c r="AJ115" s="105"/>
      <c r="AK115" s="54">
        <f t="shared" si="24"/>
        <v>6281736.5765266595</v>
      </c>
      <c r="AL115" s="56"/>
      <c r="AM115" s="30"/>
      <c r="AN115" s="53"/>
      <c r="AO115" s="53"/>
      <c r="AP115" s="53"/>
      <c r="AQ115" s="53"/>
      <c r="AR115" s="53"/>
      <c r="AS115" s="53"/>
      <c r="AT115" s="53"/>
      <c r="AU115" s="53"/>
      <c r="AV115" s="53"/>
      <c r="AW115" s="53"/>
      <c r="AX115" s="53"/>
      <c r="AY115" s="53"/>
    </row>
    <row r="116" spans="1:51" ht="12" customHeight="1" outlineLevel="1" x14ac:dyDescent="0.3">
      <c r="A116" s="18"/>
      <c r="B116" s="58"/>
      <c r="C116" s="5" t="s">
        <v>164</v>
      </c>
      <c r="D116" s="50" t="s">
        <v>148</v>
      </c>
      <c r="E116" s="50">
        <v>5415</v>
      </c>
      <c r="F116" s="5" t="s">
        <v>161</v>
      </c>
      <c r="G116" s="50" t="s">
        <v>152</v>
      </c>
      <c r="H116" s="106"/>
      <c r="I116" s="52"/>
      <c r="J116" s="52"/>
      <c r="K116" s="52"/>
      <c r="L116" s="109">
        <v>660524.16</v>
      </c>
      <c r="M116" s="109"/>
      <c r="N116" s="52"/>
      <c r="O116" s="52"/>
      <c r="P116" s="52"/>
      <c r="Q116" s="52"/>
      <c r="R116" s="52"/>
      <c r="S116" s="52"/>
      <c r="T116" s="52"/>
      <c r="U116" s="53"/>
      <c r="V116" s="54">
        <f t="shared" si="21"/>
        <v>660524.16</v>
      </c>
      <c r="W116" s="105"/>
      <c r="X116" s="52"/>
      <c r="Y116" s="52"/>
      <c r="Z116" s="52"/>
      <c r="AA116" s="52">
        <v>646100</v>
      </c>
      <c r="AB116" s="52"/>
      <c r="AC116" s="52"/>
      <c r="AD116" s="52"/>
      <c r="AE116" s="52"/>
      <c r="AF116" s="52"/>
      <c r="AG116" s="52"/>
      <c r="AH116" s="52"/>
      <c r="AI116" s="52"/>
      <c r="AJ116" s="105"/>
      <c r="AK116" s="54">
        <f t="shared" si="24"/>
        <v>646100</v>
      </c>
      <c r="AL116" s="56"/>
      <c r="AM116" s="30"/>
      <c r="AN116" s="53"/>
      <c r="AO116" s="53"/>
      <c r="AP116" s="53"/>
      <c r="AQ116" s="53"/>
      <c r="AR116" s="53"/>
      <c r="AS116" s="53"/>
      <c r="AT116" s="53"/>
      <c r="AU116" s="53"/>
      <c r="AV116" s="53"/>
      <c r="AW116" s="53"/>
      <c r="AX116" s="53"/>
      <c r="AY116" s="53"/>
    </row>
    <row r="117" spans="1:51" ht="12" customHeight="1" outlineLevel="1" x14ac:dyDescent="0.3">
      <c r="A117" s="18"/>
      <c r="B117" s="58"/>
      <c r="C117" s="5" t="s">
        <v>165</v>
      </c>
      <c r="D117" s="50" t="s">
        <v>148</v>
      </c>
      <c r="E117" s="50"/>
      <c r="F117" s="5" t="s">
        <v>166</v>
      </c>
      <c r="G117" s="50" t="s">
        <v>54</v>
      </c>
      <c r="H117" s="104"/>
      <c r="I117" s="52">
        <v>354000</v>
      </c>
      <c r="J117" s="52">
        <v>217060</v>
      </c>
      <c r="K117" s="52">
        <v>284000</v>
      </c>
      <c r="L117" s="52">
        <v>281000</v>
      </c>
      <c r="M117" s="52">
        <v>283000</v>
      </c>
      <c r="N117" s="52"/>
      <c r="O117" s="52"/>
      <c r="P117" s="52"/>
      <c r="Q117" s="52"/>
      <c r="R117" s="52"/>
      <c r="S117" s="52"/>
      <c r="T117" s="52"/>
      <c r="U117" s="53"/>
      <c r="V117" s="54">
        <f t="shared" si="21"/>
        <v>1419060</v>
      </c>
      <c r="W117" s="105"/>
      <c r="X117" s="52">
        <v>300000</v>
      </c>
      <c r="Y117" s="52">
        <v>304499.99999999988</v>
      </c>
      <c r="Z117" s="52">
        <v>309067.49999999988</v>
      </c>
      <c r="AA117" s="52">
        <v>313703.5124999999</v>
      </c>
      <c r="AB117" s="52">
        <v>318409.06518749992</v>
      </c>
      <c r="AC117" s="52">
        <v>323185.20116531232</v>
      </c>
      <c r="AD117" s="52">
        <v>328032.97918279201</v>
      </c>
      <c r="AE117" s="52">
        <v>332953.47387053381</v>
      </c>
      <c r="AF117" s="52">
        <v>337947.77597859182</v>
      </c>
      <c r="AG117" s="52">
        <v>343016.99261827063</v>
      </c>
      <c r="AH117" s="52">
        <v>348162.24750754458</v>
      </c>
      <c r="AI117" s="52">
        <v>353384.68122015783</v>
      </c>
      <c r="AJ117" s="105"/>
      <c r="AK117" s="54">
        <f t="shared" si="24"/>
        <v>1545680.0776874996</v>
      </c>
      <c r="AL117" s="56"/>
      <c r="AM117" s="30"/>
      <c r="AN117" s="53"/>
      <c r="AO117" s="53"/>
      <c r="AP117" s="53"/>
      <c r="AQ117" s="53"/>
      <c r="AR117" s="53"/>
      <c r="AS117" s="53"/>
      <c r="AT117" s="53"/>
      <c r="AU117" s="53"/>
      <c r="AV117" s="53"/>
      <c r="AW117" s="53"/>
      <c r="AX117" s="53"/>
      <c r="AY117" s="53"/>
    </row>
    <row r="118" spans="1:51" ht="12" customHeight="1" outlineLevel="1" x14ac:dyDescent="0.3">
      <c r="A118" s="18"/>
      <c r="B118" s="58"/>
      <c r="C118" s="5" t="s">
        <v>167</v>
      </c>
      <c r="D118" s="50" t="s">
        <v>148</v>
      </c>
      <c r="E118" s="50"/>
      <c r="F118" s="5" t="s">
        <v>168</v>
      </c>
      <c r="G118" s="50" t="s">
        <v>152</v>
      </c>
      <c r="H118" s="106"/>
      <c r="I118" s="52">
        <v>676878</v>
      </c>
      <c r="J118" s="132"/>
      <c r="K118" s="132">
        <f>1676270+339230-3</f>
        <v>2015497</v>
      </c>
      <c r="L118" s="132">
        <v>634616.66</v>
      </c>
      <c r="M118" s="132">
        <v>648698.56000000006</v>
      </c>
      <c r="N118" s="52"/>
      <c r="O118" s="52"/>
      <c r="P118" s="52"/>
      <c r="Q118" s="52"/>
      <c r="R118" s="52"/>
      <c r="S118" s="52"/>
      <c r="T118" s="52"/>
      <c r="U118" s="52"/>
      <c r="V118" s="54">
        <f t="shared" si="21"/>
        <v>3975690.22</v>
      </c>
      <c r="W118" s="105"/>
      <c r="X118" s="52">
        <v>1300000</v>
      </c>
      <c r="Y118" s="52">
        <v>1300000</v>
      </c>
      <c r="Z118" s="52">
        <v>1300000</v>
      </c>
      <c r="AA118" s="52">
        <v>1495000</v>
      </c>
      <c r="AB118" s="52">
        <v>1495000</v>
      </c>
      <c r="AC118" s="52">
        <v>1495000</v>
      </c>
      <c r="AD118" s="52">
        <v>1719250</v>
      </c>
      <c r="AE118" s="52">
        <v>1719250</v>
      </c>
      <c r="AF118" s="52">
        <v>1719250</v>
      </c>
      <c r="AG118" s="52">
        <v>1977137.5</v>
      </c>
      <c r="AH118" s="52">
        <v>1977137.5</v>
      </c>
      <c r="AI118" s="52">
        <v>1977137.5</v>
      </c>
      <c r="AJ118" s="105"/>
      <c r="AK118" s="54">
        <f t="shared" si="24"/>
        <v>6890000</v>
      </c>
      <c r="AL118" s="56"/>
      <c r="AM118" s="30"/>
      <c r="AN118" s="53"/>
      <c r="AO118" s="53"/>
      <c r="AP118" s="53"/>
      <c r="AQ118" s="53"/>
      <c r="AR118" s="53"/>
      <c r="AS118" s="53"/>
      <c r="AT118" s="53"/>
      <c r="AU118" s="53"/>
      <c r="AV118" s="53"/>
      <c r="AW118" s="53"/>
      <c r="AX118" s="53"/>
      <c r="AY118" s="53"/>
    </row>
    <row r="119" spans="1:51" ht="12" customHeight="1" outlineLevel="1" x14ac:dyDescent="0.3">
      <c r="A119" s="18"/>
      <c r="B119" s="58"/>
      <c r="C119" s="5" t="s">
        <v>169</v>
      </c>
      <c r="D119" s="50" t="s">
        <v>148</v>
      </c>
      <c r="E119" s="50">
        <v>5422</v>
      </c>
      <c r="F119" s="5" t="s">
        <v>170</v>
      </c>
      <c r="G119" s="50" t="s">
        <v>152</v>
      </c>
      <c r="H119" s="106"/>
      <c r="I119" s="52">
        <v>76005</v>
      </c>
      <c r="J119" s="52">
        <v>725629</v>
      </c>
      <c r="K119" s="52">
        <v>326000</v>
      </c>
      <c r="L119" s="52">
        <v>402939.93</v>
      </c>
      <c r="M119" s="52">
        <v>271660</v>
      </c>
      <c r="N119" s="52"/>
      <c r="O119" s="52"/>
      <c r="P119" s="52"/>
      <c r="Q119" s="52"/>
      <c r="R119" s="52"/>
      <c r="S119" s="52"/>
      <c r="T119" s="52"/>
      <c r="U119" s="53"/>
      <c r="V119" s="54">
        <f t="shared" si="21"/>
        <v>1802233.93</v>
      </c>
      <c r="W119" s="105"/>
      <c r="X119" s="52">
        <v>1200000</v>
      </c>
      <c r="Y119" s="52">
        <v>1200000</v>
      </c>
      <c r="Z119" s="52">
        <v>1200000</v>
      </c>
      <c r="AA119" s="52">
        <v>1380000</v>
      </c>
      <c r="AB119" s="52">
        <v>1380000</v>
      </c>
      <c r="AC119" s="52">
        <v>1380000</v>
      </c>
      <c r="AD119" s="52">
        <v>1587000</v>
      </c>
      <c r="AE119" s="52">
        <v>1587000</v>
      </c>
      <c r="AF119" s="52">
        <v>1587000</v>
      </c>
      <c r="AG119" s="52">
        <v>1825050</v>
      </c>
      <c r="AH119" s="52">
        <v>1825050</v>
      </c>
      <c r="AI119" s="52">
        <v>1825050</v>
      </c>
      <c r="AJ119" s="105"/>
      <c r="AK119" s="54">
        <f t="shared" si="24"/>
        <v>6360000</v>
      </c>
      <c r="AL119" s="56"/>
      <c r="AM119" s="30"/>
      <c r="AN119" s="53"/>
      <c r="AO119" s="53"/>
      <c r="AP119" s="53"/>
      <c r="AQ119" s="53"/>
      <c r="AR119" s="53"/>
      <c r="AS119" s="53"/>
      <c r="AT119" s="53"/>
      <c r="AU119" s="53"/>
      <c r="AV119" s="53"/>
      <c r="AW119" s="53"/>
      <c r="AX119" s="53"/>
      <c r="AY119" s="53"/>
    </row>
    <row r="120" spans="1:51" ht="12" customHeight="1" outlineLevel="1" x14ac:dyDescent="0.3">
      <c r="A120" s="18"/>
      <c r="B120" s="58"/>
      <c r="C120" s="110" t="s">
        <v>171</v>
      </c>
      <c r="D120" s="50" t="s">
        <v>148</v>
      </c>
      <c r="E120" s="50">
        <v>5415</v>
      </c>
      <c r="F120" s="5" t="s">
        <v>172</v>
      </c>
      <c r="G120" s="50" t="s">
        <v>54</v>
      </c>
      <c r="H120" s="106"/>
      <c r="I120" s="52"/>
      <c r="J120" s="52"/>
      <c r="K120" s="52">
        <v>134860</v>
      </c>
      <c r="L120" s="52"/>
      <c r="M120" s="52">
        <v>48930</v>
      </c>
      <c r="N120" s="52"/>
      <c r="O120" s="52"/>
      <c r="P120" s="52"/>
      <c r="Q120" s="52"/>
      <c r="R120" s="52"/>
      <c r="S120" s="52"/>
      <c r="T120" s="52"/>
      <c r="U120" s="53"/>
      <c r="V120" s="54">
        <f t="shared" si="21"/>
        <v>183790</v>
      </c>
      <c r="W120" s="105"/>
      <c r="X120" s="52">
        <v>71050</v>
      </c>
      <c r="Y120" s="52">
        <v>72115.75</v>
      </c>
      <c r="Z120" s="52"/>
      <c r="AA120" s="52">
        <v>75000.38</v>
      </c>
      <c r="AB120" s="52"/>
      <c r="AC120" s="52"/>
      <c r="AD120" s="52"/>
      <c r="AE120" s="52"/>
      <c r="AF120" s="52"/>
      <c r="AG120" s="52"/>
      <c r="AH120" s="52"/>
      <c r="AI120" s="52"/>
      <c r="AJ120" s="105"/>
      <c r="AK120" s="54">
        <f t="shared" si="24"/>
        <v>218166.13</v>
      </c>
      <c r="AL120" s="56"/>
      <c r="AM120" s="30"/>
      <c r="AN120" s="53"/>
      <c r="AO120" s="53"/>
      <c r="AP120" s="53"/>
      <c r="AQ120" s="53"/>
      <c r="AR120" s="53"/>
      <c r="AS120" s="53"/>
      <c r="AT120" s="53"/>
      <c r="AU120" s="53"/>
      <c r="AV120" s="53"/>
      <c r="AW120" s="53"/>
      <c r="AX120" s="53"/>
      <c r="AY120" s="53"/>
    </row>
    <row r="121" spans="1:51" ht="12" customHeight="1" outlineLevel="1" x14ac:dyDescent="0.3">
      <c r="A121" s="18"/>
      <c r="B121" s="58"/>
      <c r="C121" s="2" t="s">
        <v>173</v>
      </c>
      <c r="D121" s="60" t="s">
        <v>148</v>
      </c>
      <c r="E121" s="60">
        <v>5415</v>
      </c>
      <c r="F121" s="2" t="s">
        <v>174</v>
      </c>
      <c r="G121" s="60" t="s">
        <v>54</v>
      </c>
      <c r="H121" s="133"/>
      <c r="I121" s="6"/>
      <c r="J121" s="6"/>
      <c r="K121" s="6">
        <v>4500000</v>
      </c>
      <c r="L121" s="6">
        <v>4500000</v>
      </c>
      <c r="M121" s="6">
        <v>-4499999.4000000004</v>
      </c>
      <c r="N121" s="52"/>
      <c r="O121" s="52"/>
      <c r="P121" s="52"/>
      <c r="Q121" s="52"/>
      <c r="R121" s="52"/>
      <c r="S121" s="52"/>
      <c r="T121" s="52"/>
      <c r="U121" s="53"/>
      <c r="V121" s="54">
        <f t="shared" si="21"/>
        <v>4500000.5999999996</v>
      </c>
      <c r="W121" s="105"/>
      <c r="X121" s="52">
        <v>5000000</v>
      </c>
      <c r="Y121" s="52">
        <v>4000000</v>
      </c>
      <c r="Z121" s="52"/>
      <c r="AA121" s="52">
        <v>5000000</v>
      </c>
      <c r="AB121" s="52"/>
      <c r="AC121" s="52"/>
      <c r="AD121" s="52"/>
      <c r="AE121" s="52"/>
      <c r="AF121" s="52"/>
      <c r="AG121" s="52"/>
      <c r="AH121" s="52"/>
      <c r="AI121" s="52"/>
      <c r="AJ121" s="105"/>
      <c r="AK121" s="54">
        <f t="shared" si="24"/>
        <v>14000000</v>
      </c>
      <c r="AL121" s="56"/>
      <c r="AM121" s="30"/>
      <c r="AN121" s="53"/>
      <c r="AO121" s="53"/>
      <c r="AP121" s="53"/>
      <c r="AQ121" s="53"/>
      <c r="AR121" s="53"/>
      <c r="AS121" s="53"/>
      <c r="AT121" s="53"/>
      <c r="AU121" s="53"/>
      <c r="AV121" s="53"/>
      <c r="AW121" s="53"/>
      <c r="AX121" s="53"/>
      <c r="AY121" s="53"/>
    </row>
    <row r="122" spans="1:51" ht="12" customHeight="1" outlineLevel="1" x14ac:dyDescent="0.3">
      <c r="A122" s="18"/>
      <c r="B122" s="58"/>
      <c r="C122" s="5" t="s">
        <v>175</v>
      </c>
      <c r="D122" s="50" t="s">
        <v>148</v>
      </c>
      <c r="E122" s="50">
        <v>5615</v>
      </c>
      <c r="F122" s="5" t="s">
        <v>176</v>
      </c>
      <c r="G122" s="50" t="s">
        <v>152</v>
      </c>
      <c r="H122" s="106"/>
      <c r="I122" s="52">
        <v>432412</v>
      </c>
      <c r="J122" s="52">
        <v>432412</v>
      </c>
      <c r="K122" s="52">
        <v>432412</v>
      </c>
      <c r="L122" s="52">
        <v>432412</v>
      </c>
      <c r="M122" s="52">
        <v>593795.11</v>
      </c>
      <c r="N122" s="52"/>
      <c r="O122" s="52"/>
      <c r="P122" s="52"/>
      <c r="Q122" s="52"/>
      <c r="R122" s="52"/>
      <c r="S122" s="52"/>
      <c r="T122" s="52"/>
      <c r="U122" s="53"/>
      <c r="V122" s="54">
        <f t="shared" si="21"/>
        <v>2323443.11</v>
      </c>
      <c r="W122" s="105"/>
      <c r="X122" s="52">
        <v>461642</v>
      </c>
      <c r="Y122" s="52">
        <v>461642</v>
      </c>
      <c r="Z122" s="52">
        <v>461642</v>
      </c>
      <c r="AA122" s="52">
        <v>461642</v>
      </c>
      <c r="AB122" s="52">
        <v>461642</v>
      </c>
      <c r="AC122" s="52">
        <v>461642</v>
      </c>
      <c r="AD122" s="52">
        <v>461642</v>
      </c>
      <c r="AE122" s="52">
        <v>461642</v>
      </c>
      <c r="AF122" s="52">
        <v>461642</v>
      </c>
      <c r="AG122" s="52">
        <v>461642</v>
      </c>
      <c r="AH122" s="52">
        <v>461642</v>
      </c>
      <c r="AI122" s="52">
        <v>461642</v>
      </c>
      <c r="AJ122" s="105"/>
      <c r="AK122" s="54">
        <f t="shared" si="24"/>
        <v>2308210</v>
      </c>
      <c r="AL122" s="56"/>
      <c r="AM122" s="30"/>
      <c r="AN122" s="53"/>
      <c r="AO122" s="53"/>
      <c r="AP122" s="53"/>
      <c r="AQ122" s="53"/>
      <c r="AR122" s="53"/>
      <c r="AS122" s="53"/>
      <c r="AT122" s="53"/>
      <c r="AU122" s="53"/>
      <c r="AV122" s="53"/>
      <c r="AW122" s="53"/>
      <c r="AX122" s="53"/>
      <c r="AY122" s="53"/>
    </row>
    <row r="123" spans="1:51" ht="12" customHeight="1" outlineLevel="1" x14ac:dyDescent="0.3">
      <c r="A123" s="18"/>
      <c r="B123" s="58"/>
      <c r="C123" s="2" t="s">
        <v>177</v>
      </c>
      <c r="D123" s="60" t="s">
        <v>148</v>
      </c>
      <c r="E123" s="60"/>
      <c r="F123" s="2" t="s">
        <v>178</v>
      </c>
      <c r="G123" s="60" t="s">
        <v>54</v>
      </c>
      <c r="H123" s="60"/>
      <c r="I123" s="6">
        <v>1808665</v>
      </c>
      <c r="J123" s="6">
        <v>1808665</v>
      </c>
      <c r="K123" s="6">
        <v>2187469</v>
      </c>
      <c r="L123" s="108">
        <v>2118364.65</v>
      </c>
      <c r="M123" s="108">
        <v>2118364.65</v>
      </c>
      <c r="N123" s="52"/>
      <c r="O123" s="52"/>
      <c r="P123" s="52"/>
      <c r="Q123" s="52"/>
      <c r="R123" s="52"/>
      <c r="S123" s="52"/>
      <c r="T123" s="52"/>
      <c r="U123" s="53"/>
      <c r="V123" s="54">
        <f t="shared" si="21"/>
        <v>10041528.300000001</v>
      </c>
      <c r="W123" s="105"/>
      <c r="X123" s="52"/>
      <c r="Y123" s="52"/>
      <c r="Z123" s="52"/>
      <c r="AA123" s="52"/>
      <c r="AB123" s="52"/>
      <c r="AC123" s="52"/>
      <c r="AD123" s="52"/>
      <c r="AE123" s="52"/>
      <c r="AF123" s="52"/>
      <c r="AG123" s="52"/>
      <c r="AH123" s="52"/>
      <c r="AI123" s="52"/>
      <c r="AJ123" s="105"/>
      <c r="AK123" s="54">
        <f t="shared" si="24"/>
        <v>0</v>
      </c>
      <c r="AL123" s="56"/>
      <c r="AM123" s="30"/>
      <c r="AN123" s="53"/>
      <c r="AO123" s="53"/>
      <c r="AP123" s="53"/>
      <c r="AQ123" s="53"/>
      <c r="AR123" s="53"/>
      <c r="AS123" s="53"/>
      <c r="AT123" s="53"/>
      <c r="AU123" s="53"/>
      <c r="AV123" s="53"/>
      <c r="AW123" s="53"/>
      <c r="AX123" s="53"/>
      <c r="AY123" s="53"/>
    </row>
    <row r="124" spans="1:51" ht="12" customHeight="1" outlineLevel="1" x14ac:dyDescent="0.3">
      <c r="A124" s="18"/>
      <c r="B124" s="58"/>
      <c r="C124" s="2" t="s">
        <v>179</v>
      </c>
      <c r="D124" s="60" t="s">
        <v>148</v>
      </c>
      <c r="E124" s="60"/>
      <c r="F124" s="2" t="s">
        <v>178</v>
      </c>
      <c r="G124" s="60" t="s">
        <v>54</v>
      </c>
      <c r="H124" s="60"/>
      <c r="I124" s="6"/>
      <c r="J124" s="6"/>
      <c r="K124" s="6"/>
      <c r="L124" s="108">
        <v>5695200</v>
      </c>
      <c r="M124" s="108">
        <v>2895200</v>
      </c>
      <c r="N124" s="52"/>
      <c r="O124" s="52"/>
      <c r="P124" s="52"/>
      <c r="Q124" s="52"/>
      <c r="R124" s="52"/>
      <c r="S124" s="52"/>
      <c r="T124" s="52"/>
      <c r="U124" s="7"/>
      <c r="V124" s="54">
        <f t="shared" si="21"/>
        <v>8590400</v>
      </c>
      <c r="W124" s="40"/>
      <c r="X124" s="52"/>
      <c r="Y124" s="52"/>
      <c r="Z124" s="52"/>
      <c r="AA124" s="52"/>
      <c r="AB124" s="52"/>
      <c r="AC124" s="52"/>
      <c r="AD124" s="52"/>
      <c r="AE124" s="52"/>
      <c r="AF124" s="52"/>
      <c r="AG124" s="52"/>
      <c r="AH124" s="52"/>
      <c r="AI124" s="52"/>
      <c r="AJ124" s="40"/>
      <c r="AK124" s="54">
        <f t="shared" si="24"/>
        <v>0</v>
      </c>
      <c r="AL124" s="10"/>
      <c r="AM124" s="30"/>
      <c r="AN124" s="7"/>
      <c r="AO124" s="7"/>
      <c r="AP124" s="7"/>
      <c r="AQ124" s="7"/>
      <c r="AR124" s="7"/>
      <c r="AS124" s="7"/>
    </row>
    <row r="125" spans="1:51" ht="15.75" customHeight="1" x14ac:dyDescent="0.3">
      <c r="A125" s="22"/>
      <c r="B125" s="41"/>
      <c r="C125" s="62"/>
      <c r="D125" s="42" t="s">
        <v>180</v>
      </c>
      <c r="E125" s="42"/>
      <c r="F125" s="42"/>
      <c r="G125" s="43"/>
      <c r="H125" s="43"/>
      <c r="I125" s="44">
        <f>SUM(I126:I127)</f>
        <v>0</v>
      </c>
      <c r="J125" s="44">
        <f>SUM(J126:J127)</f>
        <v>0</v>
      </c>
      <c r="K125" s="44">
        <f>SUM(K126:K127)</f>
        <v>184262268.41</v>
      </c>
      <c r="L125" s="44">
        <f>SUM(L126:L127)</f>
        <v>0</v>
      </c>
      <c r="M125" s="44">
        <f>SUM(M126:M127)</f>
        <v>0</v>
      </c>
      <c r="N125" s="44">
        <f t="shared" ref="N125:T125" si="25">SUM(N126:N144)</f>
        <v>0</v>
      </c>
      <c r="O125" s="44">
        <f t="shared" si="25"/>
        <v>0</v>
      </c>
      <c r="P125" s="44">
        <f t="shared" si="25"/>
        <v>0</v>
      </c>
      <c r="Q125" s="44">
        <f t="shared" si="25"/>
        <v>0</v>
      </c>
      <c r="R125" s="44">
        <f t="shared" si="25"/>
        <v>0</v>
      </c>
      <c r="S125" s="44">
        <f t="shared" si="25"/>
        <v>0</v>
      </c>
      <c r="T125" s="44">
        <f t="shared" si="25"/>
        <v>0</v>
      </c>
      <c r="U125" s="7"/>
      <c r="V125" s="45">
        <f t="shared" si="21"/>
        <v>184262268.41</v>
      </c>
      <c r="W125" s="89">
        <f>+V125/$V$171</f>
        <v>4.5466869600354558E-2</v>
      </c>
      <c r="X125" s="44"/>
      <c r="Y125" s="44"/>
      <c r="Z125" s="44"/>
      <c r="AA125" s="44"/>
      <c r="AB125" s="44"/>
      <c r="AC125" s="44"/>
      <c r="AD125" s="44"/>
      <c r="AE125" s="44"/>
      <c r="AF125" s="44"/>
      <c r="AG125" s="44"/>
      <c r="AH125" s="44"/>
      <c r="AI125" s="44"/>
      <c r="AJ125" s="89"/>
      <c r="AK125" s="103">
        <f t="shared" si="24"/>
        <v>0</v>
      </c>
      <c r="AL125" s="10"/>
      <c r="AM125" s="30">
        <f>+V125-AK125</f>
        <v>184262268.41</v>
      </c>
      <c r="AN125" s="47"/>
      <c r="AO125" s="7"/>
      <c r="AP125" s="7"/>
      <c r="AQ125" s="7"/>
      <c r="AR125" s="7"/>
      <c r="AS125" s="7"/>
    </row>
    <row r="126" spans="1:51" ht="12" customHeight="1" outlineLevel="1" x14ac:dyDescent="0.3">
      <c r="A126" s="18"/>
      <c r="B126" s="58"/>
      <c r="C126" s="2" t="s">
        <v>181</v>
      </c>
      <c r="D126" s="60" t="s">
        <v>180</v>
      </c>
      <c r="E126" s="60">
        <v>5419</v>
      </c>
      <c r="F126" s="2"/>
      <c r="G126" s="60" t="s">
        <v>152</v>
      </c>
      <c r="H126" s="134"/>
      <c r="I126" s="6"/>
      <c r="J126" s="6"/>
      <c r="K126" s="6">
        <v>184262268.41</v>
      </c>
      <c r="L126" s="6"/>
      <c r="M126" s="6"/>
      <c r="N126" s="52"/>
      <c r="O126" s="52"/>
      <c r="P126" s="52"/>
      <c r="Q126" s="52"/>
      <c r="R126" s="52"/>
      <c r="S126" s="52"/>
      <c r="T126" s="52"/>
      <c r="U126" s="53"/>
      <c r="V126" s="54">
        <f t="shared" si="21"/>
        <v>184262268.41</v>
      </c>
      <c r="W126" s="105"/>
      <c r="X126" s="52"/>
      <c r="Y126" s="52"/>
      <c r="Z126" s="52"/>
      <c r="AA126" s="52"/>
      <c r="AB126" s="52"/>
      <c r="AC126" s="52"/>
      <c r="AD126" s="52"/>
      <c r="AE126" s="52"/>
      <c r="AF126" s="52"/>
      <c r="AG126" s="52"/>
      <c r="AH126" s="52"/>
      <c r="AI126" s="52"/>
      <c r="AJ126" s="105"/>
      <c r="AK126" s="54">
        <f t="shared" si="24"/>
        <v>0</v>
      </c>
      <c r="AL126" s="56"/>
      <c r="AM126" s="30"/>
      <c r="AN126" s="53"/>
      <c r="AO126" s="53"/>
      <c r="AP126" s="53"/>
      <c r="AQ126" s="53"/>
      <c r="AR126" s="53"/>
      <c r="AS126" s="53"/>
      <c r="AT126" s="53"/>
      <c r="AU126" s="53"/>
      <c r="AV126" s="53"/>
      <c r="AW126" s="53"/>
      <c r="AX126" s="53"/>
      <c r="AY126" s="53"/>
    </row>
    <row r="127" spans="1:51" ht="12" customHeight="1" outlineLevel="1" x14ac:dyDescent="0.3">
      <c r="A127" s="1"/>
      <c r="B127" s="59"/>
      <c r="C127" s="2"/>
      <c r="D127" s="60"/>
      <c r="E127" s="60"/>
      <c r="F127" s="2"/>
      <c r="G127" s="60"/>
      <c r="H127" s="60"/>
      <c r="I127" s="6"/>
      <c r="J127" s="6"/>
      <c r="K127" s="6"/>
      <c r="L127" s="6"/>
      <c r="M127" s="6"/>
      <c r="N127" s="52"/>
      <c r="O127" s="52"/>
      <c r="P127" s="52"/>
      <c r="Q127" s="52"/>
      <c r="R127" s="52"/>
      <c r="S127" s="52"/>
      <c r="T127" s="52"/>
      <c r="U127" s="7"/>
      <c r="V127" s="54"/>
      <c r="W127" s="40"/>
      <c r="X127" s="52"/>
      <c r="Y127" s="52"/>
      <c r="Z127" s="52"/>
      <c r="AA127" s="52"/>
      <c r="AB127" s="52"/>
      <c r="AC127" s="52"/>
      <c r="AD127" s="52"/>
      <c r="AE127" s="52"/>
      <c r="AF127" s="52"/>
      <c r="AG127" s="52"/>
      <c r="AH127" s="52"/>
      <c r="AI127" s="52"/>
      <c r="AJ127" s="40"/>
      <c r="AK127" s="54"/>
      <c r="AL127" s="10"/>
      <c r="AM127" s="30"/>
      <c r="AN127" s="7"/>
      <c r="AO127" s="7"/>
      <c r="AP127" s="7"/>
      <c r="AQ127" s="7"/>
      <c r="AR127" s="7"/>
      <c r="AS127" s="7"/>
    </row>
    <row r="128" spans="1:51" ht="15.75" customHeight="1" x14ac:dyDescent="0.3">
      <c r="A128" s="22"/>
      <c r="B128" s="41"/>
      <c r="C128" s="62"/>
      <c r="D128" s="42" t="s">
        <v>182</v>
      </c>
      <c r="E128" s="42"/>
      <c r="F128" s="42"/>
      <c r="G128" s="43"/>
      <c r="H128" s="43"/>
      <c r="I128" s="44">
        <f>SUM(I129:I150)</f>
        <v>9810957.0399999991</v>
      </c>
      <c r="J128" s="44">
        <f>SUM(J129:J150)</f>
        <v>11075861.07</v>
      </c>
      <c r="K128" s="44">
        <f>SUM(K129:K150)</f>
        <v>10995637</v>
      </c>
      <c r="L128" s="135">
        <f>SUM(L129:L150)</f>
        <v>11519388</v>
      </c>
      <c r="M128" s="135">
        <f>SUM(M129:M150)</f>
        <v>12427609.51</v>
      </c>
      <c r="N128" s="44">
        <f t="shared" ref="N128:T128" si="26">SUM(N129:N147)</f>
        <v>0</v>
      </c>
      <c r="O128" s="44">
        <f t="shared" si="26"/>
        <v>0</v>
      </c>
      <c r="P128" s="44">
        <f t="shared" si="26"/>
        <v>0</v>
      </c>
      <c r="Q128" s="44">
        <f t="shared" si="26"/>
        <v>0</v>
      </c>
      <c r="R128" s="44">
        <f t="shared" si="26"/>
        <v>0</v>
      </c>
      <c r="S128" s="44">
        <f t="shared" si="26"/>
        <v>0</v>
      </c>
      <c r="T128" s="44">
        <f t="shared" si="26"/>
        <v>0</v>
      </c>
      <c r="U128" s="7"/>
      <c r="V128" s="45">
        <f t="shared" ref="V128:V152" si="27">SUM(I128:M128)</f>
        <v>55829452.619999997</v>
      </c>
      <c r="W128" s="89">
        <f>+V128/$V$171</f>
        <v>1.377596435795834E-2</v>
      </c>
      <c r="X128" s="44">
        <v>12073407.534399999</v>
      </c>
      <c r="Y128" s="44">
        <v>11890245.384400001</v>
      </c>
      <c r="Z128" s="44">
        <v>10218900.80215</v>
      </c>
      <c r="AA128" s="44">
        <v>12244681.614672519</v>
      </c>
      <c r="AB128" s="44">
        <v>10523132.09867401</v>
      </c>
      <c r="AC128" s="44">
        <v>10866571.14127137</v>
      </c>
      <c r="AD128" s="44">
        <v>13480213.62036375</v>
      </c>
      <c r="AE128" s="44">
        <v>11190729.344268359</v>
      </c>
      <c r="AF128" s="44">
        <v>11364987.098932089</v>
      </c>
      <c r="AG128" s="44">
        <v>12525053.74904968</v>
      </c>
      <c r="AH128" s="44">
        <v>11704938.993889529</v>
      </c>
      <c r="AI128" s="44">
        <v>17868091.130612921</v>
      </c>
      <c r="AJ128" s="89"/>
      <c r="AK128" s="103">
        <f t="shared" ref="AK128:AK149" si="28">SUM(X128:AB128)</f>
        <v>56950367.434296533</v>
      </c>
      <c r="AL128" s="10"/>
      <c r="AM128" s="30">
        <f>+V128-AK128</f>
        <v>-1120914.8142965361</v>
      </c>
      <c r="AN128" s="47">
        <f>+AM128/AK128</f>
        <v>-1.9682310488860887E-2</v>
      </c>
      <c r="AO128" s="7"/>
      <c r="AP128" s="7"/>
      <c r="AQ128" s="7"/>
      <c r="AR128" s="7"/>
      <c r="AS128" s="7"/>
    </row>
    <row r="129" spans="1:51" ht="12" customHeight="1" outlineLevel="1" x14ac:dyDescent="0.3">
      <c r="A129" s="18"/>
      <c r="B129" s="58"/>
      <c r="C129" s="5" t="s">
        <v>183</v>
      </c>
      <c r="D129" s="50" t="s">
        <v>182</v>
      </c>
      <c r="E129" s="50">
        <v>5419</v>
      </c>
      <c r="F129" s="5" t="s">
        <v>184</v>
      </c>
      <c r="G129" s="50" t="s">
        <v>185</v>
      </c>
      <c r="H129" s="104"/>
      <c r="I129" s="52">
        <v>4529250</v>
      </c>
      <c r="J129" s="52">
        <v>4468250</v>
      </c>
      <c r="K129" s="52">
        <v>4376750</v>
      </c>
      <c r="L129" s="109">
        <v>4285250</v>
      </c>
      <c r="M129" s="109">
        <v>4498369</v>
      </c>
      <c r="N129" s="52"/>
      <c r="O129" s="52"/>
      <c r="P129" s="52"/>
      <c r="Q129" s="52"/>
      <c r="R129" s="52"/>
      <c r="S129" s="52"/>
      <c r="T129" s="52"/>
      <c r="U129" s="53"/>
      <c r="V129" s="54">
        <f t="shared" si="27"/>
        <v>22157869</v>
      </c>
      <c r="W129" s="105"/>
      <c r="X129" s="52">
        <v>4575000</v>
      </c>
      <c r="Y129" s="52">
        <v>4643624.9999999991</v>
      </c>
      <c r="Z129" s="52">
        <v>4713279.3749999991</v>
      </c>
      <c r="AA129" s="52">
        <v>4783978.5656249989</v>
      </c>
      <c r="AB129" s="52">
        <v>4855738.2441093726</v>
      </c>
      <c r="AC129" s="52">
        <v>5125717.2904818533</v>
      </c>
      <c r="AD129" s="52">
        <v>5202603.0498390803</v>
      </c>
      <c r="AE129" s="52">
        <v>5280642.0955866659</v>
      </c>
      <c r="AF129" s="52">
        <v>5359851.7270204658</v>
      </c>
      <c r="AG129" s="52">
        <v>5440249.5029257722</v>
      </c>
      <c r="AH129" s="52">
        <v>5521853.2454696577</v>
      </c>
      <c r="AI129" s="52">
        <v>5604681.0441517029</v>
      </c>
      <c r="AJ129" s="105"/>
      <c r="AK129" s="54">
        <f t="shared" si="28"/>
        <v>23571621.184734371</v>
      </c>
      <c r="AL129" s="56"/>
      <c r="AM129" s="30"/>
      <c r="AN129" s="53"/>
      <c r="AO129" s="53"/>
      <c r="AP129" s="53"/>
      <c r="AQ129" s="53"/>
      <c r="AR129" s="53"/>
      <c r="AS129" s="53"/>
      <c r="AT129" s="53"/>
      <c r="AU129" s="53"/>
      <c r="AV129" s="53"/>
      <c r="AW129" s="53"/>
      <c r="AX129" s="53"/>
      <c r="AY129" s="53"/>
    </row>
    <row r="130" spans="1:51" ht="12" customHeight="1" outlineLevel="1" x14ac:dyDescent="0.3">
      <c r="A130" s="18"/>
      <c r="B130" s="58"/>
      <c r="C130" s="2" t="s">
        <v>186</v>
      </c>
      <c r="D130" s="60" t="s">
        <v>182</v>
      </c>
      <c r="E130" s="60">
        <v>5419</v>
      </c>
      <c r="F130" s="2" t="s">
        <v>187</v>
      </c>
      <c r="G130" s="60" t="s">
        <v>185</v>
      </c>
      <c r="H130" s="136"/>
      <c r="I130" s="6">
        <v>1219994.0900000001</v>
      </c>
      <c r="J130" s="6">
        <v>1250064.0900000001</v>
      </c>
      <c r="K130" s="6">
        <v>1295219</v>
      </c>
      <c r="L130" s="108">
        <v>1277704.0900000001</v>
      </c>
      <c r="M130" s="108">
        <v>1374516.09</v>
      </c>
      <c r="N130" s="52"/>
      <c r="O130" s="52"/>
      <c r="P130" s="52"/>
      <c r="Q130" s="52"/>
      <c r="R130" s="52"/>
      <c r="S130" s="52"/>
      <c r="T130" s="52"/>
      <c r="U130" s="53"/>
      <c r="V130" s="54">
        <f t="shared" si="27"/>
        <v>6417497.3600000003</v>
      </c>
      <c r="W130" s="105"/>
      <c r="X130" s="52">
        <v>1339800</v>
      </c>
      <c r="Y130" s="52">
        <v>1359897</v>
      </c>
      <c r="Z130" s="52">
        <v>1380295.4549999989</v>
      </c>
      <c r="AA130" s="52">
        <v>1400999.886824999</v>
      </c>
      <c r="AB130" s="52">
        <v>1422014.885127374</v>
      </c>
      <c r="AC130" s="52">
        <v>1443345.108404285</v>
      </c>
      <c r="AD130" s="52">
        <v>1464995.2850303489</v>
      </c>
      <c r="AE130" s="52">
        <v>1486970.2143058041</v>
      </c>
      <c r="AF130" s="52">
        <v>1509274.7675203909</v>
      </c>
      <c r="AG130" s="52">
        <v>1531913.889033196</v>
      </c>
      <c r="AH130" s="52">
        <v>1554892.5973686939</v>
      </c>
      <c r="AI130" s="52">
        <v>1578215.9863292249</v>
      </c>
      <c r="AJ130" s="105"/>
      <c r="AK130" s="54">
        <f t="shared" si="28"/>
        <v>6903007.2269523721</v>
      </c>
      <c r="AL130" s="56"/>
      <c r="AM130" s="30"/>
      <c r="AN130" s="53"/>
      <c r="AO130" s="53"/>
      <c r="AP130" s="53"/>
      <c r="AQ130" s="53"/>
      <c r="AR130" s="53"/>
      <c r="AS130" s="53"/>
      <c r="AT130" s="53"/>
      <c r="AU130" s="53"/>
      <c r="AV130" s="53"/>
      <c r="AW130" s="53"/>
      <c r="AX130" s="53"/>
      <c r="AY130" s="53"/>
    </row>
    <row r="131" spans="1:51" ht="12" customHeight="1" outlineLevel="1" x14ac:dyDescent="0.3">
      <c r="A131" s="18"/>
      <c r="B131" s="58"/>
      <c r="C131" s="2" t="s">
        <v>188</v>
      </c>
      <c r="D131" s="60" t="s">
        <v>182</v>
      </c>
      <c r="E131" s="60">
        <v>5425</v>
      </c>
      <c r="F131" s="2" t="s">
        <v>189</v>
      </c>
      <c r="G131" s="60" t="s">
        <v>185</v>
      </c>
      <c r="H131" s="136"/>
      <c r="I131" s="6">
        <v>342223</v>
      </c>
      <c r="J131" s="6">
        <v>342223</v>
      </c>
      <c r="K131" s="6">
        <v>342223</v>
      </c>
      <c r="L131" s="108">
        <v>549498</v>
      </c>
      <c r="M131" s="108">
        <v>381883</v>
      </c>
      <c r="N131" s="52"/>
      <c r="O131" s="52"/>
      <c r="P131" s="52"/>
      <c r="Q131" s="52"/>
      <c r="R131" s="52"/>
      <c r="S131" s="52"/>
      <c r="T131" s="52"/>
      <c r="U131" s="137"/>
      <c r="V131" s="54">
        <f t="shared" si="27"/>
        <v>1958050</v>
      </c>
      <c r="W131" s="105"/>
      <c r="X131" s="52">
        <v>315000</v>
      </c>
      <c r="Y131" s="52">
        <v>315000</v>
      </c>
      <c r="Z131" s="52">
        <v>330750</v>
      </c>
      <c r="AA131" s="52">
        <v>330750</v>
      </c>
      <c r="AB131" s="52">
        <v>347287.5</v>
      </c>
      <c r="AC131" s="52">
        <v>347287.5</v>
      </c>
      <c r="AD131" s="52">
        <v>364651.875</v>
      </c>
      <c r="AE131" s="52">
        <v>364651.875</v>
      </c>
      <c r="AF131" s="52">
        <v>382884.46875</v>
      </c>
      <c r="AG131" s="52">
        <v>382884.46875</v>
      </c>
      <c r="AH131" s="52">
        <v>402028.69218750001</v>
      </c>
      <c r="AI131" s="52">
        <v>402028.69218750001</v>
      </c>
      <c r="AJ131" s="105"/>
      <c r="AK131" s="54">
        <f t="shared" si="28"/>
        <v>1638787.5</v>
      </c>
      <c r="AL131" s="56"/>
      <c r="AM131" s="30"/>
      <c r="AN131" s="53"/>
      <c r="AO131" s="53"/>
      <c r="AP131" s="53"/>
      <c r="AQ131" s="53"/>
      <c r="AR131" s="53"/>
      <c r="AS131" s="53"/>
      <c r="AT131" s="53"/>
      <c r="AU131" s="53"/>
      <c r="AV131" s="53"/>
      <c r="AW131" s="53"/>
      <c r="AX131" s="53"/>
      <c r="AY131" s="53"/>
    </row>
    <row r="132" spans="1:51" ht="12" customHeight="1" outlineLevel="1" x14ac:dyDescent="0.3">
      <c r="A132" s="18"/>
      <c r="B132" s="58"/>
      <c r="C132" s="2" t="s">
        <v>190</v>
      </c>
      <c r="D132" s="60" t="s">
        <v>182</v>
      </c>
      <c r="E132" s="60">
        <v>5312</v>
      </c>
      <c r="F132" s="2" t="s">
        <v>191</v>
      </c>
      <c r="G132" s="60" t="s">
        <v>185</v>
      </c>
      <c r="H132" s="136"/>
      <c r="I132" s="6">
        <v>880930.85</v>
      </c>
      <c r="J132" s="6">
        <v>914708.15</v>
      </c>
      <c r="K132" s="6">
        <v>848700</v>
      </c>
      <c r="L132" s="108">
        <v>808076</v>
      </c>
      <c r="M132" s="108">
        <v>774530.1</v>
      </c>
      <c r="N132" s="52"/>
      <c r="O132" s="52"/>
      <c r="P132" s="52"/>
      <c r="Q132" s="52"/>
      <c r="R132" s="52"/>
      <c r="S132" s="52"/>
      <c r="T132" s="52"/>
      <c r="U132" s="53"/>
      <c r="V132" s="54">
        <f t="shared" si="27"/>
        <v>4226945.0999999996</v>
      </c>
      <c r="W132" s="105"/>
      <c r="X132" s="52">
        <v>710499.99999999988</v>
      </c>
      <c r="Y132" s="52">
        <v>721157.49999999977</v>
      </c>
      <c r="Z132" s="52">
        <v>731974.8624999997</v>
      </c>
      <c r="AA132" s="52">
        <v>742954.48543749959</v>
      </c>
      <c r="AB132" s="52">
        <v>754098.80271906196</v>
      </c>
      <c r="AC132" s="52">
        <v>765410.2847598478</v>
      </c>
      <c r="AD132" s="52">
        <v>776891.43903124542</v>
      </c>
      <c r="AE132" s="52">
        <v>788544.81061671406</v>
      </c>
      <c r="AF132" s="52">
        <v>800372.98277596466</v>
      </c>
      <c r="AG132" s="52">
        <v>812378.57751760411</v>
      </c>
      <c r="AH132" s="52">
        <v>824564.25618036813</v>
      </c>
      <c r="AI132" s="52">
        <v>836932.72002307361</v>
      </c>
      <c r="AJ132" s="105"/>
      <c r="AK132" s="54">
        <f t="shared" si="28"/>
        <v>3660685.6506565614</v>
      </c>
      <c r="AL132" s="56"/>
      <c r="AM132" s="30"/>
      <c r="AN132" s="53"/>
      <c r="AO132" s="53"/>
      <c r="AP132" s="53"/>
      <c r="AQ132" s="53"/>
      <c r="AR132" s="53"/>
      <c r="AS132" s="53"/>
      <c r="AT132" s="53"/>
      <c r="AU132" s="53"/>
      <c r="AV132" s="53"/>
      <c r="AW132" s="53"/>
      <c r="AX132" s="53"/>
      <c r="AY132" s="53"/>
    </row>
    <row r="133" spans="1:51" ht="12" customHeight="1" outlineLevel="1" x14ac:dyDescent="0.3">
      <c r="A133" s="18"/>
      <c r="B133" s="58"/>
      <c r="C133" s="2" t="s">
        <v>192</v>
      </c>
      <c r="D133" s="60" t="s">
        <v>182</v>
      </c>
      <c r="E133" s="60">
        <v>5314</v>
      </c>
      <c r="F133" s="2" t="s">
        <v>193</v>
      </c>
      <c r="G133" s="60" t="s">
        <v>185</v>
      </c>
      <c r="H133" s="136"/>
      <c r="I133" s="6">
        <v>91890</v>
      </c>
      <c r="J133" s="6">
        <v>91890</v>
      </c>
      <c r="K133" s="6">
        <v>91890</v>
      </c>
      <c r="L133" s="108">
        <v>91890</v>
      </c>
      <c r="M133" s="108">
        <v>94890</v>
      </c>
      <c r="N133" s="52"/>
      <c r="O133" s="52"/>
      <c r="P133" s="52"/>
      <c r="Q133" s="52"/>
      <c r="R133" s="52"/>
      <c r="S133" s="52"/>
      <c r="T133" s="52"/>
      <c r="U133" s="53"/>
      <c r="V133" s="54">
        <f t="shared" si="27"/>
        <v>462450</v>
      </c>
      <c r="W133" s="105"/>
      <c r="X133" s="52">
        <v>101500</v>
      </c>
      <c r="Y133" s="52">
        <v>103022.5</v>
      </c>
      <c r="Z133" s="52">
        <v>104567.83749999999</v>
      </c>
      <c r="AA133" s="52">
        <v>106136.3550624999</v>
      </c>
      <c r="AB133" s="52">
        <v>107728.4003884374</v>
      </c>
      <c r="AC133" s="52">
        <v>109344.326394264</v>
      </c>
      <c r="AD133" s="52">
        <v>110984.4912901779</v>
      </c>
      <c r="AE133" s="52">
        <v>112649.25865953061</v>
      </c>
      <c r="AF133" s="52">
        <v>114338.99753942349</v>
      </c>
      <c r="AG133" s="52">
        <v>116054.0825025149</v>
      </c>
      <c r="AH133" s="52">
        <v>117794.8937400526</v>
      </c>
      <c r="AI133" s="52">
        <v>119561.81714615339</v>
      </c>
      <c r="AJ133" s="105"/>
      <c r="AK133" s="54">
        <f t="shared" si="28"/>
        <v>522955.09295093728</v>
      </c>
      <c r="AL133" s="56"/>
      <c r="AM133" s="30"/>
      <c r="AN133" s="53"/>
      <c r="AO133" s="53"/>
      <c r="AP133" s="53"/>
      <c r="AQ133" s="53"/>
      <c r="AR133" s="53"/>
      <c r="AS133" s="53"/>
      <c r="AT133" s="53"/>
      <c r="AU133" s="53"/>
      <c r="AV133" s="53"/>
      <c r="AW133" s="53"/>
      <c r="AX133" s="53"/>
      <c r="AY133" s="53"/>
    </row>
    <row r="134" spans="1:51" ht="12" customHeight="1" outlineLevel="1" x14ac:dyDescent="0.3">
      <c r="A134" s="18"/>
      <c r="B134" s="58"/>
      <c r="C134" s="2" t="s">
        <v>194</v>
      </c>
      <c r="D134" s="60" t="s">
        <v>182</v>
      </c>
      <c r="E134" s="60">
        <v>5420</v>
      </c>
      <c r="F134" s="2" t="s">
        <v>195</v>
      </c>
      <c r="G134" s="60" t="s">
        <v>185</v>
      </c>
      <c r="H134" s="136"/>
      <c r="I134" s="6">
        <v>798147.65</v>
      </c>
      <c r="J134" s="6"/>
      <c r="K134" s="6">
        <v>8513</v>
      </c>
      <c r="L134" s="108">
        <v>0</v>
      </c>
      <c r="M134" s="108"/>
      <c r="N134" s="52"/>
      <c r="O134" s="52"/>
      <c r="P134" s="52"/>
      <c r="Q134" s="52"/>
      <c r="R134" s="52"/>
      <c r="S134" s="52"/>
      <c r="T134" s="52"/>
      <c r="U134" s="53"/>
      <c r="V134" s="54">
        <f t="shared" si="27"/>
        <v>806660.65</v>
      </c>
      <c r="W134" s="105"/>
      <c r="X134" s="52">
        <v>348000</v>
      </c>
      <c r="Y134" s="52"/>
      <c r="Z134" s="52"/>
      <c r="AA134" s="52"/>
      <c r="AB134" s="52"/>
      <c r="AC134" s="52"/>
      <c r="AD134" s="52">
        <v>417600</v>
      </c>
      <c r="AE134" s="52"/>
      <c r="AF134" s="52"/>
      <c r="AG134" s="52"/>
      <c r="AH134" s="52"/>
      <c r="AI134" s="52"/>
      <c r="AJ134" s="105"/>
      <c r="AK134" s="54">
        <f t="shared" si="28"/>
        <v>348000</v>
      </c>
      <c r="AL134" s="56"/>
      <c r="AM134" s="30"/>
      <c r="AN134" s="53"/>
      <c r="AO134" s="53"/>
      <c r="AP134" s="53"/>
      <c r="AQ134" s="53"/>
      <c r="AR134" s="53"/>
      <c r="AS134" s="53"/>
      <c r="AT134" s="53"/>
      <c r="AU134" s="53"/>
      <c r="AV134" s="53"/>
      <c r="AW134" s="53"/>
      <c r="AX134" s="53"/>
      <c r="AY134" s="53"/>
    </row>
    <row r="135" spans="1:51" ht="12" customHeight="1" outlineLevel="1" x14ac:dyDescent="0.3">
      <c r="A135" s="18"/>
      <c r="B135" s="58"/>
      <c r="C135" s="2" t="s">
        <v>196</v>
      </c>
      <c r="D135" s="60" t="s">
        <v>182</v>
      </c>
      <c r="E135" s="60">
        <v>5314</v>
      </c>
      <c r="F135" s="2" t="s">
        <v>197</v>
      </c>
      <c r="G135" s="60" t="s">
        <v>185</v>
      </c>
      <c r="H135" s="136"/>
      <c r="I135" s="6">
        <v>-60</v>
      </c>
      <c r="J135" s="6">
        <v>29940</v>
      </c>
      <c r="K135" s="6">
        <v>29947</v>
      </c>
      <c r="L135" s="108">
        <v>63114.64</v>
      </c>
      <c r="M135" s="108">
        <v>32515.32</v>
      </c>
      <c r="N135" s="52"/>
      <c r="O135" s="52"/>
      <c r="P135" s="52"/>
      <c r="Q135" s="52"/>
      <c r="R135" s="52"/>
      <c r="S135" s="52"/>
      <c r="T135" s="52"/>
      <c r="U135" s="53"/>
      <c r="V135" s="54">
        <f t="shared" si="27"/>
        <v>155456.95999999999</v>
      </c>
      <c r="W135" s="105"/>
      <c r="X135" s="52">
        <v>32480</v>
      </c>
      <c r="Y135" s="52">
        <v>32967.19999999999</v>
      </c>
      <c r="Z135" s="52">
        <v>33461.707999999977</v>
      </c>
      <c r="AA135" s="52">
        <v>33963.633619999979</v>
      </c>
      <c r="AB135" s="52">
        <v>34473.088124299968</v>
      </c>
      <c r="AC135" s="52">
        <v>34990.184446164472</v>
      </c>
      <c r="AD135" s="52">
        <v>35515.037212856943</v>
      </c>
      <c r="AE135" s="52">
        <v>36047.762771049784</v>
      </c>
      <c r="AF135" s="52">
        <v>36588.47921261553</v>
      </c>
      <c r="AG135" s="52">
        <v>37137.306400804759</v>
      </c>
      <c r="AH135" s="52">
        <v>37694.365996816829</v>
      </c>
      <c r="AI135" s="52">
        <v>38259.781486769083</v>
      </c>
      <c r="AJ135" s="105"/>
      <c r="AK135" s="54">
        <f t="shared" si="28"/>
        <v>167345.62974429992</v>
      </c>
      <c r="AL135" s="56"/>
      <c r="AM135" s="30"/>
      <c r="AN135" s="53"/>
      <c r="AO135" s="53"/>
      <c r="AP135" s="53"/>
      <c r="AQ135" s="53"/>
      <c r="AR135" s="53"/>
      <c r="AS135" s="53"/>
      <c r="AT135" s="53"/>
      <c r="AU135" s="53"/>
      <c r="AV135" s="53"/>
      <c r="AW135" s="53"/>
      <c r="AX135" s="53"/>
      <c r="AY135" s="53"/>
    </row>
    <row r="136" spans="1:51" ht="12" customHeight="1" outlineLevel="1" x14ac:dyDescent="0.3">
      <c r="A136" s="18"/>
      <c r="B136" s="58"/>
      <c r="C136" s="2" t="s">
        <v>198</v>
      </c>
      <c r="D136" s="60" t="s">
        <v>182</v>
      </c>
      <c r="E136" s="60">
        <v>5418</v>
      </c>
      <c r="F136" s="2" t="s">
        <v>199</v>
      </c>
      <c r="G136" s="60" t="s">
        <v>185</v>
      </c>
      <c r="H136" s="136"/>
      <c r="I136" s="6">
        <v>78696</v>
      </c>
      <c r="J136" s="6">
        <v>88201</v>
      </c>
      <c r="K136" s="6">
        <v>79466</v>
      </c>
      <c r="L136" s="108">
        <v>130406.39999999999</v>
      </c>
      <c r="M136" s="108">
        <v>145236</v>
      </c>
      <c r="N136" s="52"/>
      <c r="O136" s="52"/>
      <c r="P136" s="52"/>
      <c r="Q136" s="52"/>
      <c r="R136" s="52"/>
      <c r="S136" s="52"/>
      <c r="T136" s="52"/>
      <c r="U136" s="53"/>
      <c r="V136" s="54">
        <f t="shared" si="27"/>
        <v>522005.4</v>
      </c>
      <c r="W136" s="105"/>
      <c r="X136" s="52">
        <v>95409.999999999985</v>
      </c>
      <c r="Y136" s="52">
        <v>96841.15</v>
      </c>
      <c r="Z136" s="52">
        <v>98293.767249999975</v>
      </c>
      <c r="AA136" s="52">
        <v>99768.173758749967</v>
      </c>
      <c r="AB136" s="52">
        <v>101264.6963651312</v>
      </c>
      <c r="AC136" s="52">
        <v>102783.66681060821</v>
      </c>
      <c r="AD136" s="52">
        <v>104325.42181276729</v>
      </c>
      <c r="AE136" s="52">
        <v>105890.30313995881</v>
      </c>
      <c r="AF136" s="52">
        <v>107478.6576870581</v>
      </c>
      <c r="AG136" s="52">
        <v>109090.837552364</v>
      </c>
      <c r="AH136" s="52">
        <v>110727.2001156495</v>
      </c>
      <c r="AI136" s="52">
        <v>112388.1081173842</v>
      </c>
      <c r="AJ136" s="105"/>
      <c r="AK136" s="54">
        <f t="shared" si="28"/>
        <v>491577.78737388109</v>
      </c>
      <c r="AL136" s="56"/>
      <c r="AM136" s="30"/>
      <c r="AN136" s="53"/>
      <c r="AO136" s="53"/>
      <c r="AP136" s="53"/>
      <c r="AQ136" s="53"/>
      <c r="AR136" s="53"/>
      <c r="AS136" s="53"/>
      <c r="AT136" s="53"/>
      <c r="AU136" s="53"/>
      <c r="AV136" s="53"/>
      <c r="AW136" s="53"/>
      <c r="AX136" s="53"/>
      <c r="AY136" s="53"/>
    </row>
    <row r="137" spans="1:51" ht="12" customHeight="1" outlineLevel="1" x14ac:dyDescent="0.3">
      <c r="A137" s="18"/>
      <c r="B137" s="58"/>
      <c r="C137" s="2" t="s">
        <v>200</v>
      </c>
      <c r="D137" s="60" t="s">
        <v>182</v>
      </c>
      <c r="E137" s="60">
        <v>5418</v>
      </c>
      <c r="F137" s="2" t="s">
        <v>201</v>
      </c>
      <c r="G137" s="60" t="s">
        <v>185</v>
      </c>
      <c r="H137" s="136"/>
      <c r="I137" s="6">
        <v>1070402.6299999999</v>
      </c>
      <c r="J137" s="6">
        <v>2132502.0099999998</v>
      </c>
      <c r="K137" s="6">
        <v>877662</v>
      </c>
      <c r="L137" s="108">
        <v>2686977.13</v>
      </c>
      <c r="M137" s="108">
        <v>1720090.26</v>
      </c>
      <c r="N137" s="52"/>
      <c r="O137" s="52"/>
      <c r="P137" s="52"/>
      <c r="Q137" s="52"/>
      <c r="R137" s="52"/>
      <c r="S137" s="52"/>
      <c r="T137" s="52"/>
      <c r="U137" s="53"/>
      <c r="V137" s="54">
        <f t="shared" si="27"/>
        <v>8487634.0299999993</v>
      </c>
      <c r="W137" s="105"/>
      <c r="X137" s="52">
        <v>1116500</v>
      </c>
      <c r="Y137" s="52">
        <v>1133247.5</v>
      </c>
      <c r="Z137" s="52">
        <v>1150246.2124999999</v>
      </c>
      <c r="AA137" s="52">
        <v>1167499.9056875</v>
      </c>
      <c r="AB137" s="52">
        <v>1185012.404272812</v>
      </c>
      <c r="AC137" s="52">
        <v>1202787.5903369039</v>
      </c>
      <c r="AD137" s="52">
        <v>1220829.404191958</v>
      </c>
      <c r="AE137" s="52">
        <v>1239141.8452548371</v>
      </c>
      <c r="AF137" s="52">
        <v>1257728.9729336591</v>
      </c>
      <c r="AG137" s="52">
        <v>1276594.907527664</v>
      </c>
      <c r="AH137" s="52">
        <v>1295743.831140579</v>
      </c>
      <c r="AI137" s="52">
        <v>1315179.9886076869</v>
      </c>
      <c r="AJ137" s="105"/>
      <c r="AK137" s="54">
        <f t="shared" si="28"/>
        <v>5752506.0224603117</v>
      </c>
      <c r="AL137" s="56"/>
      <c r="AM137" s="30"/>
      <c r="AN137" s="53"/>
      <c r="AO137" s="53"/>
      <c r="AP137" s="53"/>
      <c r="AQ137" s="53"/>
      <c r="AR137" s="53"/>
      <c r="AS137" s="53"/>
      <c r="AT137" s="53"/>
      <c r="AU137" s="53"/>
      <c r="AV137" s="53"/>
      <c r="AW137" s="53"/>
      <c r="AX137" s="53"/>
      <c r="AY137" s="53"/>
    </row>
    <row r="138" spans="1:51" ht="12" customHeight="1" outlineLevel="1" x14ac:dyDescent="0.3">
      <c r="A138" s="18"/>
      <c r="B138" s="58"/>
      <c r="C138" s="2" t="s">
        <v>202</v>
      </c>
      <c r="D138" s="60" t="s">
        <v>182</v>
      </c>
      <c r="E138" s="60">
        <v>5418</v>
      </c>
      <c r="F138" s="2" t="s">
        <v>203</v>
      </c>
      <c r="G138" s="60" t="s">
        <v>185</v>
      </c>
      <c r="H138" s="136"/>
      <c r="I138" s="6">
        <v>30263</v>
      </c>
      <c r="J138" s="6">
        <v>30263</v>
      </c>
      <c r="K138" s="6">
        <v>30263</v>
      </c>
      <c r="L138" s="108">
        <v>30263</v>
      </c>
      <c r="M138" s="108">
        <v>30263</v>
      </c>
      <c r="N138" s="52"/>
      <c r="O138" s="52"/>
      <c r="P138" s="52"/>
      <c r="Q138" s="52"/>
      <c r="R138" s="52"/>
      <c r="S138" s="52"/>
      <c r="T138" s="52"/>
      <c r="U138" s="52"/>
      <c r="V138" s="54">
        <f t="shared" si="27"/>
        <v>151315</v>
      </c>
      <c r="W138" s="105"/>
      <c r="X138" s="52">
        <v>34058.53439999999</v>
      </c>
      <c r="Y138" s="52">
        <v>34058.53439999999</v>
      </c>
      <c r="Z138" s="52">
        <v>34058.53439999999</v>
      </c>
      <c r="AA138" s="52">
        <v>35614.272906273567</v>
      </c>
      <c r="AB138" s="52">
        <v>35614.272906273567</v>
      </c>
      <c r="AC138" s="52">
        <v>35614.272906273567</v>
      </c>
      <c r="AD138" s="52">
        <v>37241.075019438656</v>
      </c>
      <c r="AE138" s="52">
        <v>37241.075019438656</v>
      </c>
      <c r="AF138" s="52">
        <v>37241.075019438656</v>
      </c>
      <c r="AG138" s="52">
        <v>38942.186809579704</v>
      </c>
      <c r="AH138" s="52">
        <v>38942.186809579704</v>
      </c>
      <c r="AI138" s="52">
        <v>38942.186809579704</v>
      </c>
      <c r="AJ138" s="105"/>
      <c r="AK138" s="54">
        <f t="shared" si="28"/>
        <v>173404.1490125471</v>
      </c>
      <c r="AL138" s="56"/>
      <c r="AM138" s="30"/>
      <c r="AN138" s="53"/>
      <c r="AO138" s="53"/>
      <c r="AP138" s="53"/>
      <c r="AQ138" s="53"/>
      <c r="AR138" s="53"/>
      <c r="AS138" s="53"/>
      <c r="AT138" s="53"/>
      <c r="AU138" s="53"/>
      <c r="AV138" s="53"/>
      <c r="AW138" s="53"/>
      <c r="AX138" s="53"/>
      <c r="AY138" s="53"/>
    </row>
    <row r="139" spans="1:51" ht="12" customHeight="1" outlineLevel="1" x14ac:dyDescent="0.3">
      <c r="A139" s="18"/>
      <c r="B139" s="58"/>
      <c r="C139" s="2" t="s">
        <v>204</v>
      </c>
      <c r="D139" s="60" t="s">
        <v>182</v>
      </c>
      <c r="E139" s="60">
        <v>5511</v>
      </c>
      <c r="F139" s="2" t="s">
        <v>205</v>
      </c>
      <c r="G139" s="60" t="s">
        <v>63</v>
      </c>
      <c r="H139" s="136"/>
      <c r="I139" s="6">
        <v>640293.81999999995</v>
      </c>
      <c r="J139" s="6">
        <v>640293.81999999995</v>
      </c>
      <c r="K139" s="6">
        <v>1089178</v>
      </c>
      <c r="L139" s="108">
        <v>848777.82</v>
      </c>
      <c r="M139" s="108">
        <v>804635.82000000007</v>
      </c>
      <c r="N139" s="52"/>
      <c r="O139" s="52"/>
      <c r="P139" s="52"/>
      <c r="Q139" s="52"/>
      <c r="R139" s="52"/>
      <c r="S139" s="52"/>
      <c r="T139" s="52"/>
      <c r="U139" s="53"/>
      <c r="V139" s="54">
        <f t="shared" si="27"/>
        <v>4023179.2799999993</v>
      </c>
      <c r="W139" s="105"/>
      <c r="X139" s="52">
        <v>387159</v>
      </c>
      <c r="Y139" s="52">
        <v>387159</v>
      </c>
      <c r="Z139" s="52">
        <v>387159</v>
      </c>
      <c r="AA139" s="52">
        <v>387159</v>
      </c>
      <c r="AB139" s="52">
        <v>387159</v>
      </c>
      <c r="AC139" s="52">
        <v>387159</v>
      </c>
      <c r="AD139" s="52">
        <v>387159</v>
      </c>
      <c r="AE139" s="52">
        <v>387159</v>
      </c>
      <c r="AF139" s="52">
        <v>387159</v>
      </c>
      <c r="AG139" s="52">
        <v>387159</v>
      </c>
      <c r="AH139" s="52">
        <v>387159</v>
      </c>
      <c r="AI139" s="52">
        <v>387159</v>
      </c>
      <c r="AJ139" s="105"/>
      <c r="AK139" s="54">
        <f t="shared" si="28"/>
        <v>1935795</v>
      </c>
      <c r="AL139" s="56"/>
      <c r="AM139" s="30"/>
      <c r="AN139" s="53"/>
      <c r="AO139" s="53"/>
      <c r="AP139" s="53"/>
      <c r="AQ139" s="53"/>
      <c r="AR139" s="53"/>
      <c r="AS139" s="53"/>
      <c r="AT139" s="53"/>
      <c r="AU139" s="53"/>
      <c r="AV139" s="53"/>
      <c r="AW139" s="53"/>
      <c r="AX139" s="53"/>
      <c r="AY139" s="53"/>
    </row>
    <row r="140" spans="1:51" ht="15" customHeight="1" outlineLevel="1" x14ac:dyDescent="0.3">
      <c r="A140" s="18"/>
      <c r="B140" s="58"/>
      <c r="C140" s="2" t="s">
        <v>206</v>
      </c>
      <c r="D140" s="60" t="s">
        <v>182</v>
      </c>
      <c r="E140" s="60"/>
      <c r="F140" s="2" t="s">
        <v>207</v>
      </c>
      <c r="G140" s="60" t="s">
        <v>185</v>
      </c>
      <c r="H140" s="136"/>
      <c r="I140" s="6"/>
      <c r="J140" s="6"/>
      <c r="K140" s="6"/>
      <c r="L140" s="6"/>
      <c r="M140" s="6"/>
      <c r="N140" s="52"/>
      <c r="O140" s="52"/>
      <c r="P140" s="52"/>
      <c r="Q140" s="52"/>
      <c r="R140" s="52"/>
      <c r="S140" s="52"/>
      <c r="T140" s="52"/>
      <c r="U140" s="53"/>
      <c r="V140" s="54">
        <f t="shared" si="27"/>
        <v>0</v>
      </c>
      <c r="W140" s="105"/>
      <c r="X140" s="52">
        <v>405999.99999999988</v>
      </c>
      <c r="Y140" s="52">
        <v>412089.99999999988</v>
      </c>
      <c r="Z140" s="52">
        <v>418271.34999999992</v>
      </c>
      <c r="AA140" s="52">
        <v>424545.42024999979</v>
      </c>
      <c r="AB140" s="52">
        <v>430913.60155374982</v>
      </c>
      <c r="AC140" s="52">
        <v>437377.30557705602</v>
      </c>
      <c r="AD140" s="52">
        <v>443937.96516071173</v>
      </c>
      <c r="AE140" s="52">
        <v>450597.03463812242</v>
      </c>
      <c r="AF140" s="52">
        <v>457355.99015769409</v>
      </c>
      <c r="AG140" s="52">
        <v>464216.33001005952</v>
      </c>
      <c r="AH140" s="52">
        <v>471179.57496021042</v>
      </c>
      <c r="AI140" s="52">
        <v>478247.26858461351</v>
      </c>
      <c r="AJ140" s="105"/>
      <c r="AK140" s="54">
        <f t="shared" si="28"/>
        <v>2091820.3718037491</v>
      </c>
      <c r="AL140" s="56"/>
      <c r="AM140" s="30"/>
      <c r="AN140" s="53"/>
      <c r="AO140" s="53"/>
      <c r="AP140" s="53"/>
      <c r="AQ140" s="53"/>
      <c r="AR140" s="53"/>
      <c r="AS140" s="53"/>
      <c r="AT140" s="53"/>
      <c r="AU140" s="53"/>
      <c r="AV140" s="53"/>
      <c r="AW140" s="53"/>
      <c r="AX140" s="53"/>
      <c r="AY140" s="53"/>
    </row>
    <row r="141" spans="1:51" ht="12" customHeight="1" outlineLevel="1" x14ac:dyDescent="0.3">
      <c r="A141" s="18"/>
      <c r="B141" s="58"/>
      <c r="C141" s="2" t="s">
        <v>208</v>
      </c>
      <c r="D141" s="60" t="s">
        <v>182</v>
      </c>
      <c r="E141" s="60">
        <v>5418</v>
      </c>
      <c r="F141" s="2" t="s">
        <v>209</v>
      </c>
      <c r="G141" s="60" t="s">
        <v>185</v>
      </c>
      <c r="H141" s="134"/>
      <c r="I141" s="6"/>
      <c r="J141" s="6"/>
      <c r="K141" s="6"/>
      <c r="L141" s="6"/>
      <c r="M141" s="6">
        <v>1823250</v>
      </c>
      <c r="N141" s="52"/>
      <c r="O141" s="52"/>
      <c r="P141" s="52"/>
      <c r="Q141" s="52"/>
      <c r="R141" s="52"/>
      <c r="S141" s="52"/>
      <c r="T141" s="52"/>
      <c r="U141" s="53"/>
      <c r="V141" s="54">
        <f t="shared" si="27"/>
        <v>1823250</v>
      </c>
      <c r="W141" s="105"/>
      <c r="X141" s="52"/>
      <c r="Y141" s="52"/>
      <c r="Z141" s="52"/>
      <c r="AA141" s="52"/>
      <c r="AB141" s="52"/>
      <c r="AC141" s="52"/>
      <c r="AD141" s="52">
        <v>2025603.6464537401</v>
      </c>
      <c r="AE141" s="52"/>
      <c r="AF141" s="52"/>
      <c r="AG141" s="52"/>
      <c r="AH141" s="52"/>
      <c r="AI141" s="52"/>
      <c r="AJ141" s="105"/>
      <c r="AK141" s="54">
        <f t="shared" si="28"/>
        <v>0</v>
      </c>
      <c r="AL141" s="56"/>
      <c r="AM141" s="30"/>
      <c r="AN141" s="53"/>
      <c r="AO141" s="53"/>
      <c r="AP141" s="53"/>
      <c r="AQ141" s="53"/>
      <c r="AR141" s="53"/>
      <c r="AS141" s="53"/>
      <c r="AT141" s="53"/>
      <c r="AU141" s="53"/>
      <c r="AV141" s="53"/>
      <c r="AW141" s="53"/>
      <c r="AX141" s="53"/>
      <c r="AY141" s="53"/>
    </row>
    <row r="142" spans="1:51" ht="12" customHeight="1" outlineLevel="1" x14ac:dyDescent="0.3">
      <c r="A142" s="18"/>
      <c r="B142" s="58"/>
      <c r="C142" s="2" t="s">
        <v>210</v>
      </c>
      <c r="D142" s="60" t="s">
        <v>182</v>
      </c>
      <c r="E142" s="60"/>
      <c r="F142" s="2" t="s">
        <v>211</v>
      </c>
      <c r="G142" s="60" t="s">
        <v>185</v>
      </c>
      <c r="H142" s="134"/>
      <c r="I142" s="6"/>
      <c r="J142" s="6"/>
      <c r="K142" s="6"/>
      <c r="L142" s="6"/>
      <c r="M142" s="6"/>
      <c r="N142" s="52"/>
      <c r="O142" s="52"/>
      <c r="P142" s="52"/>
      <c r="Q142" s="52"/>
      <c r="R142" s="52"/>
      <c r="S142" s="52"/>
      <c r="T142" s="52"/>
      <c r="U142" s="53"/>
      <c r="V142" s="54">
        <f t="shared" si="27"/>
        <v>0</v>
      </c>
      <c r="W142" s="105"/>
      <c r="X142" s="52">
        <v>1800000</v>
      </c>
      <c r="Y142" s="52">
        <v>1827000</v>
      </c>
      <c r="Z142" s="52"/>
      <c r="AA142" s="52">
        <v>1882221.074999999</v>
      </c>
      <c r="AB142" s="52"/>
      <c r="AC142" s="52"/>
      <c r="AD142" s="52"/>
      <c r="AE142" s="52"/>
      <c r="AF142" s="52"/>
      <c r="AG142" s="52"/>
      <c r="AH142" s="52"/>
      <c r="AI142" s="52"/>
      <c r="AJ142" s="105"/>
      <c r="AK142" s="54">
        <f t="shared" si="28"/>
        <v>5509221.0749999993</v>
      </c>
      <c r="AL142" s="56"/>
      <c r="AM142" s="30"/>
      <c r="AN142" s="53"/>
      <c r="AO142" s="53"/>
      <c r="AP142" s="53"/>
      <c r="AQ142" s="53"/>
      <c r="AR142" s="53"/>
      <c r="AS142" s="53"/>
      <c r="AT142" s="53"/>
      <c r="AU142" s="53"/>
      <c r="AV142" s="53"/>
      <c r="AW142" s="53"/>
      <c r="AX142" s="53"/>
      <c r="AY142" s="53"/>
    </row>
    <row r="143" spans="1:51" ht="12" customHeight="1" outlineLevel="1" x14ac:dyDescent="0.3">
      <c r="A143" s="18"/>
      <c r="B143" s="58"/>
      <c r="C143" s="2" t="s">
        <v>212</v>
      </c>
      <c r="D143" s="60" t="s">
        <v>182</v>
      </c>
      <c r="E143" s="60"/>
      <c r="F143" s="2"/>
      <c r="G143" s="60" t="s">
        <v>185</v>
      </c>
      <c r="H143" s="6"/>
      <c r="I143" s="6"/>
      <c r="J143" s="6"/>
      <c r="K143" s="6"/>
      <c r="L143" s="6"/>
      <c r="M143" s="6"/>
      <c r="N143" s="52"/>
      <c r="O143" s="52"/>
      <c r="P143" s="52"/>
      <c r="Q143" s="52"/>
      <c r="R143" s="52"/>
      <c r="S143" s="52"/>
      <c r="T143" s="52"/>
      <c r="U143" s="53"/>
      <c r="V143" s="54">
        <f t="shared" si="27"/>
        <v>0</v>
      </c>
      <c r="W143" s="105"/>
      <c r="X143" s="52"/>
      <c r="Y143" s="52"/>
      <c r="Z143" s="52"/>
      <c r="AA143" s="52"/>
      <c r="AB143" s="52"/>
      <c r="AC143" s="52"/>
      <c r="AD143" s="52"/>
      <c r="AE143" s="52"/>
      <c r="AF143" s="52"/>
      <c r="AG143" s="52"/>
      <c r="AH143" s="52"/>
      <c r="AI143" s="52">
        <v>6000000</v>
      </c>
      <c r="AJ143" s="105"/>
      <c r="AK143" s="54">
        <f t="shared" si="28"/>
        <v>0</v>
      </c>
      <c r="AL143" s="56"/>
      <c r="AM143" s="30"/>
      <c r="AN143" s="53"/>
      <c r="AO143" s="53"/>
      <c r="AP143" s="53"/>
      <c r="AQ143" s="53"/>
      <c r="AR143" s="53"/>
      <c r="AS143" s="53"/>
      <c r="AT143" s="53"/>
      <c r="AU143" s="53"/>
      <c r="AV143" s="53"/>
      <c r="AW143" s="53"/>
      <c r="AX143" s="53"/>
      <c r="AY143" s="53"/>
    </row>
    <row r="144" spans="1:51" ht="12" customHeight="1" outlineLevel="1" x14ac:dyDescent="0.3">
      <c r="A144" s="18"/>
      <c r="B144" s="58"/>
      <c r="C144" s="2" t="s">
        <v>213</v>
      </c>
      <c r="D144" s="60" t="s">
        <v>182</v>
      </c>
      <c r="E144" s="60"/>
      <c r="F144" s="2"/>
      <c r="G144" s="60" t="s">
        <v>185</v>
      </c>
      <c r="H144" s="136"/>
      <c r="I144" s="6"/>
      <c r="J144" s="6"/>
      <c r="K144" s="6"/>
      <c r="L144" s="6"/>
      <c r="M144" s="6"/>
      <c r="N144" s="52"/>
      <c r="O144" s="52"/>
      <c r="P144" s="52"/>
      <c r="Q144" s="52"/>
      <c r="R144" s="52"/>
      <c r="S144" s="52"/>
      <c r="T144" s="52"/>
      <c r="U144" s="53"/>
      <c r="V144" s="54">
        <f t="shared" si="27"/>
        <v>0</v>
      </c>
      <c r="W144" s="105"/>
      <c r="X144" s="52">
        <v>507499.99999999988</v>
      </c>
      <c r="Y144" s="52">
        <v>515112.49999999988</v>
      </c>
      <c r="Z144" s="52">
        <v>522839.18749999983</v>
      </c>
      <c r="AA144" s="52">
        <v>530681.77531249973</v>
      </c>
      <c r="AB144" s="52">
        <v>538642.0019421872</v>
      </c>
      <c r="AC144" s="52">
        <v>546721.6319713199</v>
      </c>
      <c r="AD144" s="52">
        <v>554922.4564508897</v>
      </c>
      <c r="AE144" s="52">
        <v>563246.29329765297</v>
      </c>
      <c r="AF144" s="52">
        <v>571694.98769711773</v>
      </c>
      <c r="AG144" s="52">
        <v>580270.41251257446</v>
      </c>
      <c r="AH144" s="52">
        <v>588974.46870026307</v>
      </c>
      <c r="AI144" s="52">
        <v>597809.08573076699</v>
      </c>
      <c r="AJ144" s="105"/>
      <c r="AK144" s="54">
        <f t="shared" si="28"/>
        <v>2614775.4647546862</v>
      </c>
      <c r="AL144" s="56"/>
      <c r="AM144" s="30"/>
      <c r="AN144" s="53"/>
      <c r="AO144" s="53"/>
      <c r="AP144" s="53"/>
      <c r="AQ144" s="53"/>
      <c r="AR144" s="53"/>
      <c r="AS144" s="53"/>
      <c r="AT144" s="53"/>
      <c r="AU144" s="53"/>
      <c r="AV144" s="53"/>
      <c r="AW144" s="53"/>
      <c r="AX144" s="53"/>
      <c r="AY144" s="53"/>
    </row>
    <row r="145" spans="1:51" ht="12" customHeight="1" outlineLevel="1" x14ac:dyDescent="0.3">
      <c r="A145" s="18"/>
      <c r="B145" s="58"/>
      <c r="C145" s="2" t="s">
        <v>214</v>
      </c>
      <c r="D145" s="60" t="s">
        <v>182</v>
      </c>
      <c r="E145" s="60"/>
      <c r="F145" s="2"/>
      <c r="G145" s="60" t="s">
        <v>185</v>
      </c>
      <c r="H145" s="136"/>
      <c r="I145" s="6"/>
      <c r="J145" s="6"/>
      <c r="K145" s="6"/>
      <c r="L145" s="108">
        <v>0</v>
      </c>
      <c r="M145" s="108"/>
      <c r="N145" s="52"/>
      <c r="O145" s="52"/>
      <c r="P145" s="52"/>
      <c r="Q145" s="52"/>
      <c r="R145" s="52"/>
      <c r="S145" s="52"/>
      <c r="T145" s="52"/>
      <c r="U145" s="53"/>
      <c r="V145" s="54">
        <f t="shared" si="27"/>
        <v>0</v>
      </c>
      <c r="W145" s="105"/>
      <c r="X145" s="52">
        <v>304499.99999999988</v>
      </c>
      <c r="Y145" s="52">
        <v>309067.49999999988</v>
      </c>
      <c r="Z145" s="52">
        <v>313703.51249999978</v>
      </c>
      <c r="AA145" s="52">
        <v>318409.0651874998</v>
      </c>
      <c r="AB145" s="52">
        <v>323185.20116531232</v>
      </c>
      <c r="AC145" s="52">
        <v>328032.9791827919</v>
      </c>
      <c r="AD145" s="52">
        <v>332953.47387053381</v>
      </c>
      <c r="AE145" s="52">
        <v>337947.7759785917</v>
      </c>
      <c r="AF145" s="52">
        <v>343016.99261827063</v>
      </c>
      <c r="AG145" s="52">
        <v>348162.24750754458</v>
      </c>
      <c r="AH145" s="52">
        <v>353384.68122015771</v>
      </c>
      <c r="AI145" s="52">
        <v>358685.45143845998</v>
      </c>
      <c r="AJ145" s="105"/>
      <c r="AK145" s="54">
        <f t="shared" si="28"/>
        <v>1568865.2788528115</v>
      </c>
      <c r="AL145" s="56"/>
      <c r="AM145" s="30"/>
      <c r="AN145" s="53"/>
      <c r="AO145" s="53"/>
      <c r="AP145" s="53"/>
      <c r="AQ145" s="53"/>
      <c r="AR145" s="53"/>
      <c r="AS145" s="53"/>
      <c r="AT145" s="53"/>
      <c r="AU145" s="53"/>
      <c r="AV145" s="53"/>
      <c r="AW145" s="53"/>
      <c r="AX145" s="53"/>
      <c r="AY145" s="53"/>
    </row>
    <row r="146" spans="1:51" ht="12" customHeight="1" outlineLevel="1" x14ac:dyDescent="0.3">
      <c r="A146" s="18"/>
      <c r="B146" s="58"/>
      <c r="C146" s="2" t="s">
        <v>215</v>
      </c>
      <c r="D146" s="60" t="s">
        <v>182</v>
      </c>
      <c r="E146" s="60"/>
      <c r="F146" s="2" t="s">
        <v>216</v>
      </c>
      <c r="G146" s="60" t="s">
        <v>185</v>
      </c>
      <c r="H146" s="138"/>
      <c r="I146" s="6"/>
      <c r="J146" s="6"/>
      <c r="K146" s="6">
        <v>1500000</v>
      </c>
      <c r="L146" s="108">
        <v>0</v>
      </c>
      <c r="M146" s="108"/>
      <c r="N146" s="52"/>
      <c r="O146" s="52"/>
      <c r="P146" s="52"/>
      <c r="Q146" s="52"/>
      <c r="R146" s="113"/>
      <c r="S146" s="52"/>
      <c r="T146" s="52"/>
      <c r="U146" s="52"/>
      <c r="V146" s="54">
        <f t="shared" si="27"/>
        <v>1500000</v>
      </c>
      <c r="W146" s="105"/>
      <c r="X146" s="52"/>
      <c r="Y146" s="52"/>
      <c r="Z146" s="52"/>
      <c r="AA146" s="52"/>
      <c r="AB146" s="52"/>
      <c r="AC146" s="52"/>
      <c r="AD146" s="52"/>
      <c r="AE146" s="52"/>
      <c r="AF146" s="52"/>
      <c r="AG146" s="52">
        <v>1000000</v>
      </c>
      <c r="AH146" s="52"/>
      <c r="AI146" s="52"/>
      <c r="AJ146" s="105"/>
      <c r="AK146" s="54">
        <f t="shared" si="28"/>
        <v>0</v>
      </c>
      <c r="AL146" s="56"/>
      <c r="AM146" s="30"/>
      <c r="AN146" s="53"/>
      <c r="AO146" s="53"/>
      <c r="AP146" s="53"/>
      <c r="AQ146" s="53"/>
      <c r="AR146" s="53"/>
      <c r="AS146" s="53"/>
      <c r="AT146" s="53"/>
      <c r="AU146" s="53"/>
      <c r="AV146" s="53"/>
      <c r="AW146" s="53"/>
      <c r="AX146" s="53"/>
      <c r="AY146" s="53"/>
    </row>
    <row r="147" spans="1:51" ht="12" customHeight="1" outlineLevel="1" x14ac:dyDescent="0.3">
      <c r="A147" s="18"/>
      <c r="B147" s="58"/>
      <c r="C147" s="2" t="s">
        <v>217</v>
      </c>
      <c r="D147" s="60" t="s">
        <v>182</v>
      </c>
      <c r="E147" s="60"/>
      <c r="F147" s="2" t="s">
        <v>218</v>
      </c>
      <c r="G147" s="60" t="s">
        <v>185</v>
      </c>
      <c r="H147" s="60"/>
      <c r="I147" s="6">
        <v>128926</v>
      </c>
      <c r="J147" s="6">
        <v>128926</v>
      </c>
      <c r="K147" s="6">
        <v>128926</v>
      </c>
      <c r="L147" s="108">
        <v>128926</v>
      </c>
      <c r="M147" s="108">
        <v>128926</v>
      </c>
      <c r="N147" s="52"/>
      <c r="O147" s="52"/>
      <c r="P147" s="52"/>
      <c r="Q147" s="52"/>
      <c r="R147" s="52"/>
      <c r="S147" s="52"/>
      <c r="T147" s="52"/>
      <c r="U147" s="53"/>
      <c r="V147" s="54">
        <f t="shared" si="27"/>
        <v>644630</v>
      </c>
      <c r="W147" s="105"/>
      <c r="X147" s="52"/>
      <c r="Y147" s="52"/>
      <c r="Z147" s="52"/>
      <c r="AA147" s="52"/>
      <c r="AB147" s="52"/>
      <c r="AC147" s="52"/>
      <c r="AD147" s="52"/>
      <c r="AE147" s="52"/>
      <c r="AF147" s="52"/>
      <c r="AG147" s="52"/>
      <c r="AH147" s="52"/>
      <c r="AI147" s="52"/>
      <c r="AJ147" s="105"/>
      <c r="AK147" s="54">
        <f t="shared" si="28"/>
        <v>0</v>
      </c>
      <c r="AL147" s="56"/>
      <c r="AM147" s="30"/>
      <c r="AN147" s="53"/>
      <c r="AO147" s="53"/>
      <c r="AP147" s="53"/>
      <c r="AQ147" s="53"/>
      <c r="AR147" s="53"/>
      <c r="AS147" s="53"/>
      <c r="AT147" s="53"/>
      <c r="AU147" s="53"/>
      <c r="AV147" s="53"/>
      <c r="AW147" s="53"/>
      <c r="AX147" s="53"/>
      <c r="AY147" s="53"/>
    </row>
    <row r="148" spans="1:51" ht="12" customHeight="1" outlineLevel="1" x14ac:dyDescent="0.3">
      <c r="A148" s="18"/>
      <c r="B148" s="58"/>
      <c r="C148" s="2" t="s">
        <v>219</v>
      </c>
      <c r="D148" s="60" t="s">
        <v>182</v>
      </c>
      <c r="E148" s="60"/>
      <c r="F148" s="2" t="s">
        <v>220</v>
      </c>
      <c r="G148" s="60" t="s">
        <v>185</v>
      </c>
      <c r="H148" s="60"/>
      <c r="I148" s="6"/>
      <c r="J148" s="6">
        <v>433800</v>
      </c>
      <c r="K148" s="6"/>
      <c r="L148" s="108">
        <v>0</v>
      </c>
      <c r="M148" s="108"/>
      <c r="N148" s="52"/>
      <c r="O148" s="52"/>
      <c r="P148" s="52"/>
      <c r="Q148" s="52"/>
      <c r="R148" s="52"/>
      <c r="S148" s="52"/>
      <c r="T148" s="52"/>
      <c r="U148" s="53"/>
      <c r="V148" s="54">
        <f t="shared" si="27"/>
        <v>433800</v>
      </c>
      <c r="W148" s="105"/>
      <c r="X148" s="52"/>
      <c r="Y148" s="52"/>
      <c r="Z148" s="52"/>
      <c r="AA148" s="52"/>
      <c r="AB148" s="52"/>
      <c r="AC148" s="52"/>
      <c r="AD148" s="52"/>
      <c r="AE148" s="52"/>
      <c r="AF148" s="52"/>
      <c r="AG148" s="52"/>
      <c r="AH148" s="52"/>
      <c r="AI148" s="52"/>
      <c r="AJ148" s="105"/>
      <c r="AK148" s="54">
        <f t="shared" si="28"/>
        <v>0</v>
      </c>
      <c r="AL148" s="56"/>
      <c r="AM148" s="30"/>
      <c r="AN148" s="53"/>
      <c r="AO148" s="53"/>
      <c r="AP148" s="53"/>
      <c r="AQ148" s="53"/>
      <c r="AR148" s="53"/>
      <c r="AS148" s="53"/>
      <c r="AT148" s="53"/>
      <c r="AU148" s="53"/>
      <c r="AV148" s="53"/>
      <c r="AW148" s="53"/>
      <c r="AX148" s="53"/>
      <c r="AY148" s="53"/>
    </row>
    <row r="149" spans="1:51" ht="12" customHeight="1" outlineLevel="1" x14ac:dyDescent="0.3">
      <c r="A149" s="18"/>
      <c r="B149" s="58"/>
      <c r="C149" s="2" t="s">
        <v>221</v>
      </c>
      <c r="D149" s="60" t="s">
        <v>182</v>
      </c>
      <c r="E149" s="60" t="s">
        <v>222</v>
      </c>
      <c r="F149" s="2" t="s">
        <v>223</v>
      </c>
      <c r="G149" s="60" t="s">
        <v>185</v>
      </c>
      <c r="H149" s="60"/>
      <c r="I149" s="6"/>
      <c r="J149" s="108">
        <v>0</v>
      </c>
      <c r="K149" s="108">
        <v>0</v>
      </c>
      <c r="L149" s="108">
        <v>300000</v>
      </c>
      <c r="M149" s="108">
        <v>300000</v>
      </c>
      <c r="N149" s="52"/>
      <c r="O149" s="52"/>
      <c r="P149" s="52"/>
      <c r="Q149" s="52"/>
      <c r="R149" s="52"/>
      <c r="S149" s="52"/>
      <c r="T149" s="52"/>
      <c r="U149" s="53"/>
      <c r="V149" s="54">
        <f t="shared" si="27"/>
        <v>600000</v>
      </c>
      <c r="W149" s="105"/>
      <c r="X149" s="52"/>
      <c r="Y149" s="52"/>
      <c r="Z149" s="52"/>
      <c r="AA149" s="52"/>
      <c r="AB149" s="52"/>
      <c r="AC149" s="52"/>
      <c r="AD149" s="52"/>
      <c r="AE149" s="52"/>
      <c r="AF149" s="52"/>
      <c r="AG149" s="52"/>
      <c r="AH149" s="52"/>
      <c r="AI149" s="52"/>
      <c r="AJ149" s="105"/>
      <c r="AK149" s="54">
        <f t="shared" si="28"/>
        <v>0</v>
      </c>
      <c r="AL149" s="56"/>
      <c r="AM149" s="30"/>
      <c r="AN149" s="53"/>
      <c r="AO149" s="53"/>
      <c r="AP149" s="53"/>
      <c r="AQ149" s="53"/>
      <c r="AR149" s="53"/>
      <c r="AS149" s="53"/>
      <c r="AT149" s="53"/>
      <c r="AU149" s="53"/>
      <c r="AV149" s="53"/>
      <c r="AW149" s="53"/>
      <c r="AX149" s="53"/>
      <c r="AY149" s="53"/>
    </row>
    <row r="150" spans="1:51" ht="12" customHeight="1" outlineLevel="1" x14ac:dyDescent="0.3">
      <c r="A150" s="18"/>
      <c r="B150" s="58"/>
      <c r="C150" s="2" t="s">
        <v>224</v>
      </c>
      <c r="D150" s="60" t="s">
        <v>182</v>
      </c>
      <c r="E150" s="60"/>
      <c r="F150" s="2" t="s">
        <v>225</v>
      </c>
      <c r="G150" s="60" t="s">
        <v>185</v>
      </c>
      <c r="H150" s="60"/>
      <c r="I150" s="6"/>
      <c r="J150" s="108">
        <v>524800</v>
      </c>
      <c r="K150" s="108">
        <v>296900</v>
      </c>
      <c r="L150" s="108">
        <v>318504.92</v>
      </c>
      <c r="M150" s="108">
        <v>318504.92</v>
      </c>
      <c r="N150" s="52"/>
      <c r="O150" s="52"/>
      <c r="P150" s="52"/>
      <c r="Q150" s="52"/>
      <c r="R150" s="52"/>
      <c r="S150" s="52"/>
      <c r="T150" s="52"/>
      <c r="U150" s="53"/>
      <c r="V150" s="54">
        <f t="shared" si="27"/>
        <v>1458709.8399999999</v>
      </c>
      <c r="W150" s="105"/>
      <c r="X150" s="52"/>
      <c r="Y150" s="52"/>
      <c r="Z150" s="52"/>
      <c r="AA150" s="52"/>
      <c r="AB150" s="52"/>
      <c r="AC150" s="52"/>
      <c r="AD150" s="52"/>
      <c r="AE150" s="52"/>
      <c r="AF150" s="52"/>
      <c r="AG150" s="52"/>
      <c r="AH150" s="52"/>
      <c r="AI150" s="52"/>
      <c r="AJ150" s="105"/>
      <c r="AK150" s="54"/>
      <c r="AL150" s="56"/>
      <c r="AM150" s="30"/>
      <c r="AN150" s="53"/>
      <c r="AO150" s="53"/>
      <c r="AP150" s="53"/>
      <c r="AQ150" s="53"/>
      <c r="AR150" s="53"/>
      <c r="AS150" s="53"/>
      <c r="AT150" s="53"/>
      <c r="AU150" s="53"/>
      <c r="AV150" s="53"/>
      <c r="AW150" s="53"/>
      <c r="AX150" s="53"/>
      <c r="AY150" s="53"/>
    </row>
    <row r="151" spans="1:51" ht="15.75" customHeight="1" x14ac:dyDescent="0.3">
      <c r="A151" s="18"/>
      <c r="B151" s="41"/>
      <c r="C151" s="62"/>
      <c r="D151" s="42" t="s">
        <v>226</v>
      </c>
      <c r="E151" s="42"/>
      <c r="F151" s="42"/>
      <c r="G151" s="43"/>
      <c r="H151" s="43"/>
      <c r="I151" s="44">
        <f t="shared" ref="I151:T151" si="29">I152</f>
        <v>13847239.65</v>
      </c>
      <c r="J151" s="44">
        <f t="shared" si="29"/>
        <v>13847239.65</v>
      </c>
      <c r="K151" s="44">
        <f t="shared" si="29"/>
        <v>13847239.65</v>
      </c>
      <c r="L151" s="44">
        <f t="shared" si="29"/>
        <v>13847239.65</v>
      </c>
      <c r="M151" s="44">
        <f t="shared" si="29"/>
        <v>13847239.65</v>
      </c>
      <c r="N151" s="44">
        <f t="shared" si="29"/>
        <v>0</v>
      </c>
      <c r="O151" s="44">
        <f t="shared" si="29"/>
        <v>0</v>
      </c>
      <c r="P151" s="44">
        <f t="shared" si="29"/>
        <v>0</v>
      </c>
      <c r="Q151" s="44">
        <f t="shared" si="29"/>
        <v>0</v>
      </c>
      <c r="R151" s="44">
        <f t="shared" si="29"/>
        <v>0</v>
      </c>
      <c r="S151" s="44">
        <f t="shared" si="29"/>
        <v>0</v>
      </c>
      <c r="T151" s="44">
        <f t="shared" si="29"/>
        <v>0</v>
      </c>
      <c r="U151" s="7"/>
      <c r="V151" s="45">
        <f t="shared" si="27"/>
        <v>69236198.25</v>
      </c>
      <c r="W151" s="89">
        <f>+V151/$V$171</f>
        <v>1.7084090110366868E-2</v>
      </c>
      <c r="X151" s="44">
        <v>13670050</v>
      </c>
      <c r="Y151" s="44">
        <v>13670050</v>
      </c>
      <c r="Z151" s="44">
        <v>13670050</v>
      </c>
      <c r="AA151" s="44">
        <v>13670050</v>
      </c>
      <c r="AB151" s="44">
        <v>13670050</v>
      </c>
      <c r="AC151" s="44">
        <v>13670050</v>
      </c>
      <c r="AD151" s="44">
        <v>13670050</v>
      </c>
      <c r="AE151" s="44">
        <v>13670050</v>
      </c>
      <c r="AF151" s="44">
        <v>13670050</v>
      </c>
      <c r="AG151" s="44">
        <v>13670050</v>
      </c>
      <c r="AH151" s="44">
        <v>13670050</v>
      </c>
      <c r="AI151" s="44">
        <v>13670050</v>
      </c>
      <c r="AJ151" s="89"/>
      <c r="AK151" s="103">
        <f t="shared" ref="AK151:AK166" si="30">SUM(X151:AB151)</f>
        <v>68350250</v>
      </c>
      <c r="AL151" s="10"/>
      <c r="AM151" s="30">
        <f>+V151-AK151</f>
        <v>885948.25</v>
      </c>
      <c r="AN151" s="47">
        <f>+AM151/AK151</f>
        <v>1.2961887483952144E-2</v>
      </c>
      <c r="AO151" s="7"/>
      <c r="AP151" s="7"/>
      <c r="AQ151" s="7"/>
      <c r="AR151" s="7"/>
      <c r="AS151" s="7"/>
    </row>
    <row r="152" spans="1:51" ht="12" customHeight="1" outlineLevel="1" x14ac:dyDescent="0.3">
      <c r="A152" s="18"/>
      <c r="B152" s="58"/>
      <c r="C152" s="2" t="s">
        <v>226</v>
      </c>
      <c r="D152" s="60"/>
      <c r="E152" s="60">
        <v>5515</v>
      </c>
      <c r="F152" s="139"/>
      <c r="G152" s="140" t="s">
        <v>63</v>
      </c>
      <c r="H152" s="141"/>
      <c r="I152" s="6">
        <v>13847239.65</v>
      </c>
      <c r="J152" s="6">
        <v>13847239.65</v>
      </c>
      <c r="K152" s="6">
        <v>13847239.65</v>
      </c>
      <c r="L152" s="108">
        <v>13847239.65</v>
      </c>
      <c r="M152" s="108">
        <v>13847239.65</v>
      </c>
      <c r="N152" s="52"/>
      <c r="O152" s="52"/>
      <c r="P152" s="52"/>
      <c r="Q152" s="52"/>
      <c r="R152" s="52"/>
      <c r="S152" s="52"/>
      <c r="T152" s="52"/>
      <c r="U152" s="53"/>
      <c r="V152" s="54">
        <f t="shared" si="27"/>
        <v>69236198.25</v>
      </c>
      <c r="W152" s="105"/>
      <c r="X152" s="52">
        <v>13670050</v>
      </c>
      <c r="Y152" s="52">
        <v>13670050</v>
      </c>
      <c r="Z152" s="52">
        <v>13670050</v>
      </c>
      <c r="AA152" s="52">
        <v>13670050</v>
      </c>
      <c r="AB152" s="52">
        <v>13670050</v>
      </c>
      <c r="AC152" s="52">
        <v>13670050</v>
      </c>
      <c r="AD152" s="52">
        <v>13670050</v>
      </c>
      <c r="AE152" s="52">
        <v>13670050</v>
      </c>
      <c r="AF152" s="52">
        <v>13670050</v>
      </c>
      <c r="AG152" s="52">
        <v>13670050</v>
      </c>
      <c r="AH152" s="52">
        <v>13670050</v>
      </c>
      <c r="AI152" s="52">
        <v>13670050</v>
      </c>
      <c r="AJ152" s="105"/>
      <c r="AK152" s="54">
        <f t="shared" si="30"/>
        <v>68350250</v>
      </c>
      <c r="AL152" s="56"/>
      <c r="AM152" s="30"/>
      <c r="AN152" s="53"/>
      <c r="AO152" s="53"/>
      <c r="AP152" s="53"/>
      <c r="AQ152" s="53"/>
      <c r="AR152" s="53"/>
      <c r="AS152" s="53"/>
      <c r="AT152" s="53"/>
      <c r="AU152" s="53"/>
      <c r="AV152" s="53"/>
      <c r="AW152" s="53"/>
      <c r="AX152" s="53"/>
      <c r="AY152" s="53"/>
    </row>
    <row r="153" spans="1:51" ht="12" customHeight="1" outlineLevel="1" x14ac:dyDescent="0.3">
      <c r="A153" s="18"/>
      <c r="B153" s="58"/>
      <c r="C153" s="5"/>
      <c r="D153" s="50"/>
      <c r="E153" s="50"/>
      <c r="F153" s="5"/>
      <c r="G153" s="50"/>
      <c r="H153" s="50"/>
      <c r="I153" s="52"/>
      <c r="J153" s="52"/>
      <c r="K153" s="52"/>
      <c r="L153" s="52"/>
      <c r="M153" s="52"/>
      <c r="N153" s="52"/>
      <c r="O153" s="52"/>
      <c r="P153" s="52"/>
      <c r="Q153" s="52"/>
      <c r="R153" s="52"/>
      <c r="S153" s="52"/>
      <c r="T153" s="52"/>
      <c r="U153" s="7"/>
      <c r="V153" s="54"/>
      <c r="W153" s="40"/>
      <c r="X153" s="52"/>
      <c r="Y153" s="52"/>
      <c r="Z153" s="52"/>
      <c r="AA153" s="52"/>
      <c r="AB153" s="52"/>
      <c r="AC153" s="52"/>
      <c r="AD153" s="52"/>
      <c r="AE153" s="52"/>
      <c r="AF153" s="52"/>
      <c r="AG153" s="52"/>
      <c r="AH153" s="52"/>
      <c r="AI153" s="52"/>
      <c r="AJ153" s="40"/>
      <c r="AK153" s="54">
        <f t="shared" si="30"/>
        <v>0</v>
      </c>
      <c r="AL153" s="10"/>
      <c r="AM153" s="30"/>
      <c r="AN153" s="7"/>
      <c r="AO153" s="7"/>
      <c r="AP153" s="7"/>
      <c r="AQ153" s="7"/>
      <c r="AR153" s="7"/>
      <c r="AS153" s="7"/>
    </row>
    <row r="154" spans="1:51" ht="15.75" customHeight="1" x14ac:dyDescent="0.3">
      <c r="A154" s="18"/>
      <c r="B154" s="41"/>
      <c r="C154" s="62"/>
      <c r="D154" s="42" t="s">
        <v>227</v>
      </c>
      <c r="E154" s="42"/>
      <c r="F154" s="42"/>
      <c r="G154" s="43"/>
      <c r="H154" s="43"/>
      <c r="I154" s="44">
        <f t="shared" ref="I154:T154" si="31">I155</f>
        <v>0</v>
      </c>
      <c r="J154" s="44">
        <f t="shared" si="31"/>
        <v>0</v>
      </c>
      <c r="K154" s="44">
        <f t="shared" si="31"/>
        <v>0</v>
      </c>
      <c r="L154" s="44">
        <f t="shared" si="31"/>
        <v>0</v>
      </c>
      <c r="M154" s="44">
        <f t="shared" si="31"/>
        <v>27470199.16</v>
      </c>
      <c r="N154" s="44">
        <f t="shared" si="31"/>
        <v>0</v>
      </c>
      <c r="O154" s="44">
        <f t="shared" si="31"/>
        <v>0</v>
      </c>
      <c r="P154" s="44">
        <f t="shared" si="31"/>
        <v>0</v>
      </c>
      <c r="Q154" s="44">
        <f t="shared" si="31"/>
        <v>0</v>
      </c>
      <c r="R154" s="44">
        <f t="shared" si="31"/>
        <v>0</v>
      </c>
      <c r="S154" s="44">
        <f t="shared" si="31"/>
        <v>0</v>
      </c>
      <c r="T154" s="44">
        <f t="shared" si="31"/>
        <v>0</v>
      </c>
      <c r="U154" s="7"/>
      <c r="V154" s="45">
        <f t="shared" ref="V154:V169" si="32">SUM(I154:M154)</f>
        <v>27470199.16</v>
      </c>
      <c r="W154" s="89">
        <f>+V154/$V$171</f>
        <v>6.7782947310970273E-3</v>
      </c>
      <c r="X154" s="44">
        <v>0</v>
      </c>
      <c r="Y154" s="44">
        <v>0</v>
      </c>
      <c r="Z154" s="44">
        <v>0</v>
      </c>
      <c r="AA154" s="44">
        <v>0</v>
      </c>
      <c r="AB154" s="44">
        <v>15006015.547428939</v>
      </c>
      <c r="AC154" s="44">
        <v>15112546.385725521</v>
      </c>
      <c r="AD154" s="44">
        <v>17644245.38378749</v>
      </c>
      <c r="AE154" s="44">
        <v>16412103.45057757</v>
      </c>
      <c r="AF154" s="44">
        <v>17182702.485135932</v>
      </c>
      <c r="AG154" s="44">
        <v>18058913.14971748</v>
      </c>
      <c r="AH154" s="44">
        <v>17757888.77726182</v>
      </c>
      <c r="AI154" s="44">
        <v>18344114.36856664</v>
      </c>
      <c r="AJ154" s="89"/>
      <c r="AK154" s="103">
        <f t="shared" si="30"/>
        <v>15006015.547428939</v>
      </c>
      <c r="AL154" s="10"/>
      <c r="AM154" s="30">
        <f>+V154-AK154</f>
        <v>12464183.612571061</v>
      </c>
      <c r="AN154" s="47"/>
      <c r="AO154" s="7"/>
      <c r="AP154" s="7"/>
      <c r="AQ154" s="7"/>
      <c r="AR154" s="7"/>
      <c r="AS154" s="7"/>
    </row>
    <row r="155" spans="1:51" ht="14.25" customHeight="1" outlineLevel="1" x14ac:dyDescent="0.3">
      <c r="A155" s="18"/>
      <c r="B155" s="58"/>
      <c r="C155" s="5" t="s">
        <v>227</v>
      </c>
      <c r="D155" s="50"/>
      <c r="E155" s="50">
        <v>5416</v>
      </c>
      <c r="F155" s="142">
        <v>6.0000000000000001E-3</v>
      </c>
      <c r="G155" s="50" t="s">
        <v>141</v>
      </c>
      <c r="H155" s="143"/>
      <c r="I155" s="52">
        <v>0</v>
      </c>
      <c r="J155" s="52">
        <v>0</v>
      </c>
      <c r="K155" s="52">
        <v>0</v>
      </c>
      <c r="L155" s="52">
        <v>0</v>
      </c>
      <c r="M155" s="52">
        <v>27470199.16</v>
      </c>
      <c r="N155" s="52"/>
      <c r="O155" s="52"/>
      <c r="P155" s="52"/>
      <c r="Q155" s="52"/>
      <c r="R155" s="52"/>
      <c r="S155" s="52"/>
      <c r="T155" s="52"/>
      <c r="U155" s="53"/>
      <c r="V155" s="54">
        <f t="shared" si="32"/>
        <v>27470199.16</v>
      </c>
      <c r="W155" s="105"/>
      <c r="X155" s="52">
        <v>0</v>
      </c>
      <c r="Y155" s="52">
        <v>0</v>
      </c>
      <c r="Z155" s="52">
        <v>0</v>
      </c>
      <c r="AA155" s="52">
        <v>0</v>
      </c>
      <c r="AB155" s="52">
        <v>15006015.547428939</v>
      </c>
      <c r="AC155" s="52">
        <v>15112546.385725521</v>
      </c>
      <c r="AD155" s="52">
        <v>17644245.38378749</v>
      </c>
      <c r="AE155" s="52">
        <v>16412103.45057757</v>
      </c>
      <c r="AF155" s="52">
        <v>17182702.485135932</v>
      </c>
      <c r="AG155" s="52">
        <v>18058913.14971748</v>
      </c>
      <c r="AH155" s="52">
        <v>17757888.77726182</v>
      </c>
      <c r="AI155" s="52">
        <v>18344114.36856664</v>
      </c>
      <c r="AJ155" s="105"/>
      <c r="AK155" s="54">
        <f t="shared" si="30"/>
        <v>15006015.547428939</v>
      </c>
      <c r="AL155" s="56"/>
      <c r="AM155" s="30"/>
      <c r="AN155" s="53"/>
      <c r="AO155" s="53"/>
      <c r="AP155" s="53"/>
      <c r="AQ155" s="53"/>
      <c r="AR155" s="53"/>
      <c r="AS155" s="53"/>
      <c r="AT155" s="53"/>
      <c r="AU155" s="53"/>
      <c r="AV155" s="53"/>
      <c r="AW155" s="53"/>
      <c r="AX155" s="53"/>
      <c r="AY155" s="53"/>
    </row>
    <row r="156" spans="1:51" ht="12" customHeight="1" outlineLevel="1" x14ac:dyDescent="0.3">
      <c r="A156" s="18"/>
      <c r="B156" s="58"/>
      <c r="C156" s="5"/>
      <c r="D156" s="50"/>
      <c r="E156" s="50"/>
      <c r="F156" s="5"/>
      <c r="G156" s="50"/>
      <c r="H156" s="50"/>
      <c r="I156" s="52">
        <v>0</v>
      </c>
      <c r="J156" s="52">
        <v>0</v>
      </c>
      <c r="K156" s="52">
        <v>0</v>
      </c>
      <c r="L156" s="52">
        <v>0</v>
      </c>
      <c r="M156" s="52"/>
      <c r="N156" s="52"/>
      <c r="O156" s="52"/>
      <c r="P156" s="52"/>
      <c r="Q156" s="52"/>
      <c r="R156" s="52"/>
      <c r="S156" s="52"/>
      <c r="T156" s="52"/>
      <c r="U156" s="53"/>
      <c r="V156" s="54">
        <f t="shared" si="32"/>
        <v>0</v>
      </c>
      <c r="W156" s="105"/>
      <c r="X156" s="52"/>
      <c r="Y156" s="52"/>
      <c r="Z156" s="52"/>
      <c r="AA156" s="52"/>
      <c r="AB156" s="52"/>
      <c r="AC156" s="52"/>
      <c r="AD156" s="52"/>
      <c r="AE156" s="52"/>
      <c r="AF156" s="52"/>
      <c r="AG156" s="52"/>
      <c r="AH156" s="52"/>
      <c r="AI156" s="52"/>
      <c r="AJ156" s="105"/>
      <c r="AK156" s="54">
        <f t="shared" si="30"/>
        <v>0</v>
      </c>
      <c r="AL156" s="56"/>
      <c r="AM156" s="30"/>
      <c r="AN156" s="53"/>
      <c r="AO156" s="53"/>
      <c r="AP156" s="53"/>
      <c r="AQ156" s="53"/>
      <c r="AR156" s="53"/>
      <c r="AS156" s="53"/>
      <c r="AT156" s="53"/>
      <c r="AU156" s="53"/>
      <c r="AV156" s="53"/>
      <c r="AW156" s="53"/>
      <c r="AX156" s="53"/>
      <c r="AY156" s="53"/>
    </row>
    <row r="157" spans="1:51" ht="15.75" customHeight="1" x14ac:dyDescent="0.3">
      <c r="A157" s="22"/>
      <c r="B157" s="41"/>
      <c r="C157" s="62"/>
      <c r="D157" s="42" t="s">
        <v>228</v>
      </c>
      <c r="E157" s="42"/>
      <c r="F157" s="42"/>
      <c r="G157" s="43"/>
      <c r="H157" s="43"/>
      <c r="I157" s="44">
        <v>363797210.24000001</v>
      </c>
      <c r="J157" s="44">
        <v>353746862</v>
      </c>
      <c r="K157" s="44">
        <v>384715838</v>
      </c>
      <c r="L157" s="44">
        <v>356722526.67999995</v>
      </c>
      <c r="M157" s="44">
        <v>407138288.53000003</v>
      </c>
      <c r="N157" s="44">
        <f t="shared" ref="N157:T157" si="33">SUM(N158:N166)</f>
        <v>0</v>
      </c>
      <c r="O157" s="44">
        <f t="shared" si="33"/>
        <v>0</v>
      </c>
      <c r="P157" s="44">
        <f t="shared" si="33"/>
        <v>0</v>
      </c>
      <c r="Q157" s="44">
        <f t="shared" si="33"/>
        <v>0</v>
      </c>
      <c r="R157" s="44">
        <f t="shared" si="33"/>
        <v>0</v>
      </c>
      <c r="S157" s="44">
        <f t="shared" si="33"/>
        <v>0</v>
      </c>
      <c r="T157" s="44">
        <f t="shared" si="33"/>
        <v>0</v>
      </c>
      <c r="U157" s="7"/>
      <c r="V157" s="45">
        <f t="shared" si="32"/>
        <v>1866120725.45</v>
      </c>
      <c r="W157" s="89">
        <f>+V157/$V$171</f>
        <v>0.46046685745647498</v>
      </c>
      <c r="X157" s="44">
        <v>379534052.79593807</v>
      </c>
      <c r="Y157" s="44">
        <v>357191569.23413903</v>
      </c>
      <c r="Z157" s="44">
        <v>384814994.21556967</v>
      </c>
      <c r="AA157" s="44">
        <v>392850297.90220273</v>
      </c>
      <c r="AB157" s="44">
        <v>409050478.36890072</v>
      </c>
      <c r="AC157" s="44">
        <v>399347530.35190392</v>
      </c>
      <c r="AD157" s="44">
        <v>432749706.11176091</v>
      </c>
      <c r="AE157" s="44">
        <v>420395654.94928682</v>
      </c>
      <c r="AF157" s="44">
        <v>434933664.44330603</v>
      </c>
      <c r="AG157" s="44">
        <v>446562863.32585257</v>
      </c>
      <c r="AH157" s="44">
        <v>435870777.46456587</v>
      </c>
      <c r="AI157" s="44">
        <v>442395226.3614437</v>
      </c>
      <c r="AJ157" s="89"/>
      <c r="AK157" s="103">
        <f t="shared" si="30"/>
        <v>1923441392.5167503</v>
      </c>
      <c r="AL157" s="10"/>
      <c r="AM157" s="30">
        <f>+V157-AK157</f>
        <v>-57320667.066750288</v>
      </c>
      <c r="AN157" s="47">
        <f>+AM157/AK157</f>
        <v>-2.9801098848012398E-2</v>
      </c>
      <c r="AO157" s="7"/>
      <c r="AP157" s="7"/>
      <c r="AQ157" s="7"/>
      <c r="AR157" s="7"/>
      <c r="AS157" s="7"/>
    </row>
    <row r="158" spans="1:51" ht="14.25" customHeight="1" outlineLevel="1" x14ac:dyDescent="0.3">
      <c r="A158" s="18"/>
      <c r="B158" s="58"/>
      <c r="C158" s="144" t="s">
        <v>229</v>
      </c>
      <c r="D158" s="2" t="s">
        <v>228</v>
      </c>
      <c r="E158" s="60">
        <v>5617</v>
      </c>
      <c r="F158" s="89">
        <v>0.25</v>
      </c>
      <c r="G158" s="50" t="s">
        <v>52</v>
      </c>
      <c r="H158" s="143"/>
      <c r="I158" s="108">
        <v>331477083.88</v>
      </c>
      <c r="J158" s="108">
        <v>321196627.38999999</v>
      </c>
      <c r="K158" s="108">
        <v>351356621.99000001</v>
      </c>
      <c r="L158" s="109">
        <v>316635839.06999993</v>
      </c>
      <c r="M158" s="109">
        <v>369729543.56999999</v>
      </c>
      <c r="N158" s="52"/>
      <c r="O158" s="52"/>
      <c r="P158" s="52"/>
      <c r="Q158" s="52"/>
      <c r="R158" s="52"/>
      <c r="S158" s="52"/>
      <c r="T158" s="52"/>
      <c r="U158" s="53"/>
      <c r="V158" s="54">
        <f t="shared" si="32"/>
        <v>1690395715.8999999</v>
      </c>
      <c r="W158" s="55"/>
      <c r="X158" s="6">
        <v>335325724.88153821</v>
      </c>
      <c r="Y158" s="6">
        <v>312332022.01973897</v>
      </c>
      <c r="Z158" s="6">
        <v>339399665.98866981</v>
      </c>
      <c r="AA158" s="6">
        <v>346622605.40720582</v>
      </c>
      <c r="AB158" s="6">
        <v>358890226.56081653</v>
      </c>
      <c r="AC158" s="6">
        <v>351857703.73150748</v>
      </c>
      <c r="AD158" s="6">
        <v>384522070.16970658</v>
      </c>
      <c r="AE158" s="6">
        <v>371457622.58668989</v>
      </c>
      <c r="AF158" s="6">
        <v>385274579.71385813</v>
      </c>
      <c r="AG158" s="6">
        <v>396132267.34387368</v>
      </c>
      <c r="AH158" s="6">
        <v>384697335.30794817</v>
      </c>
      <c r="AI158" s="6">
        <v>390467795.33756739</v>
      </c>
      <c r="AJ158" s="9"/>
      <c r="AK158" s="96">
        <f t="shared" si="30"/>
        <v>1692570244.8579693</v>
      </c>
      <c r="AL158" s="56"/>
      <c r="AM158" s="30"/>
      <c r="AN158" s="53"/>
      <c r="AO158" s="53"/>
      <c r="AP158" s="53"/>
      <c r="AQ158" s="53"/>
      <c r="AR158" s="53"/>
      <c r="AS158" s="53"/>
      <c r="AT158" s="53"/>
      <c r="AU158" s="53"/>
      <c r="AV158" s="53"/>
      <c r="AW158" s="53"/>
      <c r="AX158" s="53"/>
      <c r="AY158" s="53"/>
    </row>
    <row r="159" spans="1:51" ht="14.25" customHeight="1" outlineLevel="1" x14ac:dyDescent="0.3">
      <c r="A159" s="18"/>
      <c r="B159" s="58"/>
      <c r="C159" s="2" t="s">
        <v>230</v>
      </c>
      <c r="D159" s="2" t="s">
        <v>228</v>
      </c>
      <c r="E159" s="60"/>
      <c r="F159" s="2" t="s">
        <v>231</v>
      </c>
      <c r="G159" s="50" t="s">
        <v>52</v>
      </c>
      <c r="H159" s="104"/>
      <c r="I159" s="108">
        <v>10117195.199999999</v>
      </c>
      <c r="J159" s="108">
        <v>10378422.25</v>
      </c>
      <c r="K159" s="108">
        <v>11604748.6</v>
      </c>
      <c r="L159" s="109">
        <v>14497589.4</v>
      </c>
      <c r="M159" s="109">
        <v>11400000</v>
      </c>
      <c r="N159" s="52"/>
      <c r="O159" s="52"/>
      <c r="P159" s="52"/>
      <c r="Q159" s="52"/>
      <c r="R159" s="52"/>
      <c r="S159" s="52"/>
      <c r="T159" s="52"/>
      <c r="U159" s="53"/>
      <c r="V159" s="54">
        <f t="shared" si="32"/>
        <v>57997955.449999996</v>
      </c>
      <c r="W159" s="55"/>
      <c r="X159" s="6">
        <v>18562500</v>
      </c>
      <c r="Y159" s="6">
        <v>18840937.5</v>
      </c>
      <c r="Z159" s="6">
        <v>19123551.5625</v>
      </c>
      <c r="AA159" s="6">
        <v>19410404.835937489</v>
      </c>
      <c r="AB159" s="6">
        <v>19701560.90847655</v>
      </c>
      <c r="AC159" s="6">
        <v>19997084.322103702</v>
      </c>
      <c r="AD159" s="6">
        <v>20297040.586935248</v>
      </c>
      <c r="AE159" s="6">
        <v>20601496.19573928</v>
      </c>
      <c r="AF159" s="6">
        <v>20910518.638675369</v>
      </c>
      <c r="AG159" s="6">
        <v>21224176.418255489</v>
      </c>
      <c r="AH159" s="6">
        <v>21542539.06452933</v>
      </c>
      <c r="AI159" s="6">
        <v>21865677.150497261</v>
      </c>
      <c r="AJ159" s="9"/>
      <c r="AK159" s="96">
        <f t="shared" si="30"/>
        <v>95638954.806914032</v>
      </c>
      <c r="AL159" s="56"/>
      <c r="AM159" s="30"/>
      <c r="AN159" s="53"/>
      <c r="AO159" s="53"/>
      <c r="AP159" s="53"/>
      <c r="AQ159" s="53"/>
      <c r="AR159" s="53"/>
      <c r="AS159" s="53"/>
      <c r="AT159" s="53"/>
      <c r="AU159" s="53"/>
      <c r="AV159" s="53"/>
      <c r="AW159" s="53"/>
      <c r="AX159" s="53"/>
      <c r="AY159" s="53"/>
    </row>
    <row r="160" spans="1:51" ht="14.25" customHeight="1" outlineLevel="1" x14ac:dyDescent="0.3">
      <c r="A160" s="18"/>
      <c r="B160" s="58"/>
      <c r="C160" s="2" t="s">
        <v>230</v>
      </c>
      <c r="D160" s="2" t="s">
        <v>228</v>
      </c>
      <c r="E160" s="60"/>
      <c r="F160" s="2" t="s">
        <v>232</v>
      </c>
      <c r="G160" s="50" t="s">
        <v>52</v>
      </c>
      <c r="H160" s="104"/>
      <c r="I160" s="108">
        <v>0</v>
      </c>
      <c r="J160" s="108">
        <v>0</v>
      </c>
      <c r="K160" s="108">
        <v>0</v>
      </c>
      <c r="L160" s="109">
        <v>0</v>
      </c>
      <c r="M160" s="1085">
        <v>0</v>
      </c>
      <c r="N160" s="52"/>
      <c r="O160" s="52"/>
      <c r="P160" s="52"/>
      <c r="Q160" s="52"/>
      <c r="R160" s="52"/>
      <c r="S160" s="52"/>
      <c r="T160" s="52"/>
      <c r="U160" s="53"/>
      <c r="V160" s="54">
        <f t="shared" si="32"/>
        <v>0</v>
      </c>
      <c r="W160" s="55"/>
      <c r="X160" s="6">
        <v>1687500</v>
      </c>
      <c r="Y160" s="6">
        <v>1712812.5</v>
      </c>
      <c r="Z160" s="6">
        <v>1738504.6875</v>
      </c>
      <c r="AA160" s="6">
        <v>1764582.2578125</v>
      </c>
      <c r="AB160" s="6">
        <v>1791050.9916796871</v>
      </c>
      <c r="AC160" s="6">
        <v>1817916.756554882</v>
      </c>
      <c r="AD160" s="6">
        <v>1845185.507903205</v>
      </c>
      <c r="AE160" s="6">
        <v>1872863.290521753</v>
      </c>
      <c r="AF160" s="6">
        <v>1900956.2398795791</v>
      </c>
      <c r="AG160" s="6">
        <v>1929470.5834777721</v>
      </c>
      <c r="AH160" s="6">
        <v>1958412.6422299391</v>
      </c>
      <c r="AI160" s="6">
        <v>1987788.831863387</v>
      </c>
      <c r="AJ160" s="9"/>
      <c r="AK160" s="96">
        <f t="shared" si="30"/>
        <v>8694450.4369921871</v>
      </c>
      <c r="AL160" s="56"/>
      <c r="AM160" s="30"/>
      <c r="AN160" s="53"/>
      <c r="AO160" s="53"/>
      <c r="AP160" s="53"/>
      <c r="AQ160" s="53"/>
      <c r="AR160" s="53"/>
      <c r="AS160" s="53"/>
      <c r="AT160" s="53"/>
      <c r="AU160" s="53"/>
      <c r="AV160" s="53"/>
      <c r="AW160" s="53"/>
      <c r="AX160" s="53"/>
      <c r="AY160" s="53"/>
    </row>
    <row r="161" spans="1:51" ht="14.25" customHeight="1" outlineLevel="1" x14ac:dyDescent="0.3">
      <c r="A161" s="18"/>
      <c r="B161" s="58"/>
      <c r="C161" s="5" t="s">
        <v>230</v>
      </c>
      <c r="D161" s="2" t="s">
        <v>228</v>
      </c>
      <c r="E161" s="50"/>
      <c r="F161" s="5" t="s">
        <v>2258</v>
      </c>
      <c r="G161" s="50"/>
      <c r="H161" s="104"/>
      <c r="I161" s="52">
        <v>-23465.4</v>
      </c>
      <c r="J161" s="52">
        <v>-185084.2</v>
      </c>
      <c r="K161" s="52">
        <v>-35129.15</v>
      </c>
      <c r="L161" s="52">
        <v>-142617.85</v>
      </c>
      <c r="M161" s="52">
        <v>125231.1</v>
      </c>
      <c r="N161" s="52"/>
      <c r="O161" s="52"/>
      <c r="P161" s="52"/>
      <c r="Q161" s="52"/>
      <c r="R161" s="52"/>
      <c r="S161" s="52"/>
      <c r="T161" s="52"/>
      <c r="U161" s="53"/>
      <c r="V161" s="54">
        <f>SUM(I161:M161)</f>
        <v>-261065.49999999997</v>
      </c>
      <c r="W161" s="55"/>
      <c r="X161" s="52"/>
      <c r="Y161" s="52"/>
      <c r="Z161" s="52"/>
      <c r="AA161" s="52"/>
      <c r="AB161" s="52"/>
      <c r="AC161" s="52"/>
      <c r="AD161" s="52"/>
      <c r="AE161" s="52"/>
      <c r="AF161" s="52"/>
      <c r="AG161" s="52"/>
      <c r="AH161" s="52"/>
      <c r="AI161" s="52"/>
      <c r="AJ161" s="55"/>
      <c r="AK161" s="54"/>
      <c r="AL161" s="56"/>
      <c r="AM161" s="30"/>
      <c r="AN161" s="53"/>
      <c r="AO161" s="53"/>
      <c r="AP161" s="53"/>
      <c r="AQ161" s="53"/>
      <c r="AR161" s="53"/>
      <c r="AS161" s="53"/>
      <c r="AT161" s="53"/>
      <c r="AU161" s="53"/>
      <c r="AV161" s="53"/>
      <c r="AW161" s="53"/>
      <c r="AX161" s="53"/>
      <c r="AY161" s="53"/>
    </row>
    <row r="162" spans="1:51" s="1084" customFormat="1" ht="14.25" customHeight="1" outlineLevel="1" x14ac:dyDescent="0.3">
      <c r="A162" s="1073"/>
      <c r="B162" s="1074"/>
      <c r="C162" s="5" t="s">
        <v>230</v>
      </c>
      <c r="D162" s="2" t="s">
        <v>228</v>
      </c>
      <c r="E162" s="1077"/>
      <c r="F162" s="1075" t="s">
        <v>2259</v>
      </c>
      <c r="G162" s="1077"/>
      <c r="H162" s="1078"/>
      <c r="I162" s="1079"/>
      <c r="J162" s="1079"/>
      <c r="K162" s="1079"/>
      <c r="L162" s="1079"/>
      <c r="M162" s="109">
        <v>2572500</v>
      </c>
      <c r="N162" s="1079"/>
      <c r="O162" s="1079"/>
      <c r="P162" s="1079"/>
      <c r="Q162" s="1079"/>
      <c r="R162" s="1079"/>
      <c r="S162" s="1079"/>
      <c r="T162" s="1079"/>
      <c r="U162" s="1080"/>
      <c r="V162" s="1081"/>
      <c r="W162" s="1082"/>
      <c r="X162" s="1079"/>
      <c r="Y162" s="1079"/>
      <c r="Z162" s="1079"/>
      <c r="AA162" s="1079"/>
      <c r="AB162" s="1079"/>
      <c r="AC162" s="1079"/>
      <c r="AD162" s="1079"/>
      <c r="AE162" s="1079"/>
      <c r="AF162" s="1079"/>
      <c r="AG162" s="1079"/>
      <c r="AH162" s="1079"/>
      <c r="AI162" s="1079"/>
      <c r="AJ162" s="1082"/>
      <c r="AK162" s="1081"/>
      <c r="AL162" s="1083"/>
      <c r="AM162" s="30"/>
      <c r="AN162" s="1080"/>
      <c r="AO162" s="1080"/>
      <c r="AP162" s="1080"/>
      <c r="AQ162" s="1080"/>
      <c r="AR162" s="1080"/>
      <c r="AS162" s="1080"/>
      <c r="AT162" s="1080"/>
      <c r="AU162" s="1080"/>
      <c r="AV162" s="1080"/>
      <c r="AW162" s="1080"/>
      <c r="AX162" s="1080"/>
      <c r="AY162" s="1080"/>
    </row>
    <row r="163" spans="1:51" ht="14.25" customHeight="1" outlineLevel="1" x14ac:dyDescent="0.3">
      <c r="A163" s="18"/>
      <c r="B163" s="58"/>
      <c r="C163" s="144" t="s">
        <v>233</v>
      </c>
      <c r="D163" s="2" t="s">
        <v>228</v>
      </c>
      <c r="E163" s="60"/>
      <c r="F163" s="139" t="s">
        <v>234</v>
      </c>
      <c r="G163" s="50" t="s">
        <v>52</v>
      </c>
      <c r="H163" s="104"/>
      <c r="I163" s="108">
        <v>193946.56</v>
      </c>
      <c r="J163" s="108">
        <v>193946.56</v>
      </c>
      <c r="K163" s="108">
        <v>193946.56</v>
      </c>
      <c r="L163" s="109">
        <v>211013.86</v>
      </c>
      <c r="M163" s="109">
        <v>211013.86</v>
      </c>
      <c r="N163" s="52"/>
      <c r="O163" s="52"/>
      <c r="P163" s="52"/>
      <c r="Q163" s="52"/>
      <c r="R163" s="52"/>
      <c r="S163" s="52"/>
      <c r="T163" s="52"/>
      <c r="U163" s="53"/>
      <c r="V163" s="54">
        <f t="shared" si="32"/>
        <v>1003867.3999999999</v>
      </c>
      <c r="W163" s="55"/>
      <c r="X163" s="6">
        <v>193707.91440000001</v>
      </c>
      <c r="Y163" s="6">
        <v>193707.91440000001</v>
      </c>
      <c r="Z163" s="6">
        <v>193707.91440000001</v>
      </c>
      <c r="AA163" s="6">
        <v>202556.177154431</v>
      </c>
      <c r="AB163" s="6">
        <v>202556.177154431</v>
      </c>
      <c r="AC163" s="6">
        <v>202556.177154431</v>
      </c>
      <c r="AD163" s="6">
        <v>211808.6141730574</v>
      </c>
      <c r="AE163" s="6">
        <v>211808.6141730574</v>
      </c>
      <c r="AF163" s="6">
        <v>211808.6141730574</v>
      </c>
      <c r="AG163" s="6">
        <v>221483.68747948459</v>
      </c>
      <c r="AH163" s="6">
        <v>221483.68747948459</v>
      </c>
      <c r="AI163" s="6">
        <v>221483.68747948459</v>
      </c>
      <c r="AJ163" s="9"/>
      <c r="AK163" s="96">
        <f t="shared" si="30"/>
        <v>986236.09750886203</v>
      </c>
      <c r="AL163" s="56"/>
      <c r="AM163" s="30"/>
      <c r="AN163" s="53"/>
      <c r="AO163" s="53"/>
      <c r="AP163" s="53"/>
      <c r="AQ163" s="53"/>
      <c r="AR163" s="53"/>
      <c r="AS163" s="53"/>
      <c r="AT163" s="53"/>
      <c r="AU163" s="53"/>
      <c r="AV163" s="53"/>
      <c r="AW163" s="53"/>
      <c r="AX163" s="53"/>
      <c r="AY163" s="53"/>
    </row>
    <row r="164" spans="1:51" ht="14.25" customHeight="1" outlineLevel="1" x14ac:dyDescent="0.3">
      <c r="A164" s="18"/>
      <c r="B164" s="58"/>
      <c r="C164" s="144" t="s">
        <v>233</v>
      </c>
      <c r="D164" s="2" t="s">
        <v>228</v>
      </c>
      <c r="E164" s="60"/>
      <c r="F164" s="139" t="s">
        <v>235</v>
      </c>
      <c r="G164" s="50" t="s">
        <v>52</v>
      </c>
      <c r="H164" s="104"/>
      <c r="I164" s="108">
        <v>0</v>
      </c>
      <c r="J164" s="108">
        <v>0</v>
      </c>
      <c r="K164" s="108">
        <v>0</v>
      </c>
      <c r="L164" s="109">
        <v>3139252.2</v>
      </c>
      <c r="M164" s="109"/>
      <c r="N164" s="52"/>
      <c r="O164" s="52"/>
      <c r="P164" s="52"/>
      <c r="Q164" s="52"/>
      <c r="R164" s="52"/>
      <c r="S164" s="52"/>
      <c r="T164" s="52"/>
      <c r="U164" s="53"/>
      <c r="V164" s="54">
        <f t="shared" si="32"/>
        <v>3139252.2</v>
      </c>
      <c r="W164" s="55"/>
      <c r="X164" s="6">
        <v>102120</v>
      </c>
      <c r="Y164" s="6">
        <v>103651.8</v>
      </c>
      <c r="Z164" s="6"/>
      <c r="AA164" s="6">
        <v>106784.675655</v>
      </c>
      <c r="AB164" s="6">
        <v>3359979.8194845729</v>
      </c>
      <c r="AC164" s="6"/>
      <c r="AD164" s="6"/>
      <c r="AE164" s="6"/>
      <c r="AF164" s="6"/>
      <c r="AG164" s="6"/>
      <c r="AH164" s="6"/>
      <c r="AI164" s="6"/>
      <c r="AJ164" s="9"/>
      <c r="AK164" s="96">
        <f t="shared" si="30"/>
        <v>3672536.2951395726</v>
      </c>
      <c r="AL164" s="56"/>
      <c r="AM164" s="30"/>
      <c r="AN164" s="53"/>
      <c r="AO164" s="53"/>
      <c r="AP164" s="53"/>
      <c r="AQ164" s="53"/>
      <c r="AR164" s="53"/>
      <c r="AS164" s="53"/>
      <c r="AT164" s="53"/>
      <c r="AU164" s="53"/>
      <c r="AV164" s="53"/>
      <c r="AW164" s="53"/>
      <c r="AX164" s="53"/>
      <c r="AY164" s="53"/>
    </row>
    <row r="165" spans="1:51" ht="14.25" customHeight="1" outlineLevel="1" x14ac:dyDescent="0.3">
      <c r="A165" s="18"/>
      <c r="B165" s="58"/>
      <c r="C165" s="144" t="s">
        <v>236</v>
      </c>
      <c r="D165" s="2" t="s">
        <v>228</v>
      </c>
      <c r="E165" s="60"/>
      <c r="F165" s="2" t="s">
        <v>237</v>
      </c>
      <c r="G165" s="50" t="s">
        <v>52</v>
      </c>
      <c r="H165" s="104"/>
      <c r="I165" s="108">
        <v>600000</v>
      </c>
      <c r="J165" s="108">
        <v>600000</v>
      </c>
      <c r="K165" s="108">
        <v>600000</v>
      </c>
      <c r="L165" s="109">
        <v>1009600</v>
      </c>
      <c r="M165" s="109">
        <v>600000</v>
      </c>
      <c r="N165" s="52"/>
      <c r="O165" s="52"/>
      <c r="P165" s="52"/>
      <c r="Q165" s="52"/>
      <c r="R165" s="52"/>
      <c r="S165" s="52"/>
      <c r="T165" s="52"/>
      <c r="U165" s="53"/>
      <c r="V165" s="54">
        <f t="shared" si="32"/>
        <v>3409600</v>
      </c>
      <c r="W165" s="55"/>
      <c r="X165" s="6">
        <v>600000</v>
      </c>
      <c r="Y165" s="6">
        <v>600000</v>
      </c>
      <c r="Z165" s="6">
        <v>600000</v>
      </c>
      <c r="AA165" s="6">
        <v>627407.02499999979</v>
      </c>
      <c r="AB165" s="6">
        <v>627407.02499999979</v>
      </c>
      <c r="AC165" s="6">
        <v>627407.02499999979</v>
      </c>
      <c r="AD165" s="6">
        <v>656065.95836558391</v>
      </c>
      <c r="AE165" s="6">
        <v>656065.95836558391</v>
      </c>
      <c r="AF165" s="6">
        <v>656065.95836558391</v>
      </c>
      <c r="AG165" s="6">
        <v>686033.98523654114</v>
      </c>
      <c r="AH165" s="6">
        <v>686033.98523654114</v>
      </c>
      <c r="AI165" s="6">
        <v>686033.98523654114</v>
      </c>
      <c r="AJ165" s="9"/>
      <c r="AK165" s="96">
        <f t="shared" si="30"/>
        <v>3054814.05</v>
      </c>
      <c r="AL165" s="56"/>
      <c r="AM165" s="30"/>
      <c r="AN165" s="53"/>
      <c r="AO165" s="53"/>
      <c r="AP165" s="53"/>
      <c r="AQ165" s="53"/>
      <c r="AR165" s="53"/>
      <c r="AS165" s="53"/>
      <c r="AT165" s="53"/>
      <c r="AU165" s="53"/>
      <c r="AV165" s="53"/>
      <c r="AW165" s="53"/>
      <c r="AX165" s="53"/>
      <c r="AY165" s="53"/>
    </row>
    <row r="166" spans="1:51" ht="14.25" customHeight="1" outlineLevel="1" x14ac:dyDescent="0.3">
      <c r="A166" s="18"/>
      <c r="B166" s="58"/>
      <c r="C166" s="2" t="s">
        <v>238</v>
      </c>
      <c r="D166" s="2" t="s">
        <v>228</v>
      </c>
      <c r="E166" s="60"/>
      <c r="F166" s="2" t="s">
        <v>239</v>
      </c>
      <c r="G166" s="50" t="s">
        <v>52</v>
      </c>
      <c r="H166" s="104"/>
      <c r="I166" s="108">
        <v>21432450</v>
      </c>
      <c r="J166" s="108">
        <v>21562950</v>
      </c>
      <c r="K166" s="108">
        <v>20995650</v>
      </c>
      <c r="L166" s="109">
        <v>21371850</v>
      </c>
      <c r="M166" s="109">
        <v>22500000</v>
      </c>
      <c r="N166" s="52"/>
      <c r="O166" s="52"/>
      <c r="P166" s="52"/>
      <c r="Q166" s="52"/>
      <c r="R166" s="52"/>
      <c r="S166" s="52"/>
      <c r="T166" s="52"/>
      <c r="U166" s="53"/>
      <c r="V166" s="54">
        <f t="shared" si="32"/>
        <v>107862900</v>
      </c>
      <c r="W166" s="55"/>
      <c r="X166" s="6">
        <v>23062500</v>
      </c>
      <c r="Y166" s="6">
        <v>23408437.499999989</v>
      </c>
      <c r="Z166" s="6">
        <v>23759564.062499989</v>
      </c>
      <c r="AA166" s="6">
        <v>24115957.523437489</v>
      </c>
      <c r="AB166" s="6">
        <v>24477696.886289049</v>
      </c>
      <c r="AC166" s="6">
        <v>24844862.339583378</v>
      </c>
      <c r="AD166" s="6">
        <v>25217535.274677131</v>
      </c>
      <c r="AE166" s="6">
        <v>25595798.30379729</v>
      </c>
      <c r="AF166" s="6">
        <v>25979735.278354239</v>
      </c>
      <c r="AG166" s="6">
        <v>26369431.30752955</v>
      </c>
      <c r="AH166" s="6">
        <v>26764972.777142491</v>
      </c>
      <c r="AI166" s="6">
        <v>27166447.368799631</v>
      </c>
      <c r="AJ166" s="9"/>
      <c r="AK166" s="96">
        <f t="shared" si="30"/>
        <v>118824155.9722265</v>
      </c>
      <c r="AL166" s="56"/>
      <c r="AM166" s="30"/>
      <c r="AN166" s="53"/>
      <c r="AO166" s="53"/>
      <c r="AP166" s="53"/>
      <c r="AQ166" s="53"/>
      <c r="AR166" s="53"/>
      <c r="AS166" s="53"/>
      <c r="AT166" s="53"/>
      <c r="AU166" s="53"/>
      <c r="AV166" s="53"/>
      <c r="AW166" s="53"/>
      <c r="AX166" s="53"/>
      <c r="AY166" s="53"/>
    </row>
    <row r="167" spans="1:51" s="1084" customFormat="1" ht="14.25" customHeight="1" outlineLevel="1" x14ac:dyDescent="0.3">
      <c r="A167" s="1073"/>
      <c r="B167" s="1074"/>
      <c r="C167" s="1075"/>
      <c r="D167" s="1076"/>
      <c r="E167" s="1077"/>
      <c r="F167" s="1075"/>
      <c r="G167" s="1077"/>
      <c r="H167" s="1078"/>
      <c r="I167" s="1079"/>
      <c r="J167" s="1079"/>
      <c r="K167" s="1079"/>
      <c r="L167" s="1079"/>
      <c r="M167" s="1079"/>
      <c r="N167" s="1079"/>
      <c r="O167" s="1079"/>
      <c r="P167" s="1079"/>
      <c r="Q167" s="1079"/>
      <c r="R167" s="1079"/>
      <c r="S167" s="1079"/>
      <c r="T167" s="1079"/>
      <c r="U167" s="1080"/>
      <c r="V167" s="1081"/>
      <c r="W167" s="1082"/>
      <c r="X167" s="1079"/>
      <c r="Y167" s="1079"/>
      <c r="Z167" s="1079"/>
      <c r="AA167" s="1079"/>
      <c r="AB167" s="1079"/>
      <c r="AC167" s="1079"/>
      <c r="AD167" s="1079"/>
      <c r="AE167" s="1079"/>
      <c r="AF167" s="1079"/>
      <c r="AG167" s="1079"/>
      <c r="AH167" s="1079"/>
      <c r="AI167" s="1079"/>
      <c r="AJ167" s="1082"/>
      <c r="AK167" s="1081"/>
      <c r="AL167" s="1083"/>
      <c r="AM167" s="30"/>
      <c r="AN167" s="1080"/>
      <c r="AO167" s="1080"/>
      <c r="AP167" s="1080"/>
      <c r="AQ167" s="1080"/>
      <c r="AR167" s="1080"/>
      <c r="AS167" s="1080"/>
      <c r="AT167" s="1080"/>
      <c r="AU167" s="1080"/>
      <c r="AV167" s="1080"/>
      <c r="AW167" s="1080"/>
      <c r="AX167" s="1080"/>
      <c r="AY167" s="1080"/>
    </row>
    <row r="168" spans="1:51" ht="15.75" customHeight="1" x14ac:dyDescent="0.3">
      <c r="A168" s="22"/>
      <c r="B168" s="41"/>
      <c r="C168" s="62"/>
      <c r="D168" s="42" t="s">
        <v>240</v>
      </c>
      <c r="E168" s="42"/>
      <c r="F168" s="42"/>
      <c r="G168" s="43"/>
      <c r="H168" s="43"/>
      <c r="I168" s="44">
        <f t="shared" ref="I168:T168" si="34">I169</f>
        <v>0</v>
      </c>
      <c r="J168" s="44">
        <f t="shared" si="34"/>
        <v>0</v>
      </c>
      <c r="K168" s="44">
        <f t="shared" si="34"/>
        <v>0</v>
      </c>
      <c r="L168" s="44">
        <f t="shared" si="34"/>
        <v>0</v>
      </c>
      <c r="M168" s="44">
        <f t="shared" si="34"/>
        <v>0</v>
      </c>
      <c r="N168" s="44">
        <f t="shared" si="34"/>
        <v>0</v>
      </c>
      <c r="O168" s="44">
        <f t="shared" si="34"/>
        <v>0</v>
      </c>
      <c r="P168" s="44">
        <f t="shared" si="34"/>
        <v>0</v>
      </c>
      <c r="Q168" s="44">
        <f t="shared" si="34"/>
        <v>0</v>
      </c>
      <c r="R168" s="44">
        <f t="shared" si="34"/>
        <v>0</v>
      </c>
      <c r="S168" s="44">
        <f t="shared" si="34"/>
        <v>0</v>
      </c>
      <c r="T168" s="44">
        <f t="shared" si="34"/>
        <v>0</v>
      </c>
      <c r="U168" s="7"/>
      <c r="V168" s="45">
        <f t="shared" si="32"/>
        <v>0</v>
      </c>
      <c r="W168" s="145">
        <f>+V168/$V$171</f>
        <v>0</v>
      </c>
      <c r="X168" s="44">
        <v>14118977.889748979</v>
      </c>
      <c r="Y168" s="44">
        <v>13150821.97977848</v>
      </c>
      <c r="Z168" s="44">
        <v>14290512.25215452</v>
      </c>
      <c r="AA168" s="44">
        <v>14594636.017145511</v>
      </c>
      <c r="AB168" s="44">
        <v>15111167.434139639</v>
      </c>
      <c r="AC168" s="44">
        <v>14815061.209747691</v>
      </c>
      <c r="AD168" s="44">
        <v>16190402.954513971</v>
      </c>
      <c r="AE168" s="44">
        <v>15640320.95101852</v>
      </c>
      <c r="AF168" s="44">
        <v>16222087.56689929</v>
      </c>
      <c r="AG168" s="44">
        <v>16679253.361847309</v>
      </c>
      <c r="AH168" s="44">
        <v>16197782.539282029</v>
      </c>
      <c r="AI168" s="44">
        <v>16440749.277371259</v>
      </c>
      <c r="AJ168" s="145"/>
      <c r="AK168" s="103">
        <f>SUM(X168:AB168)</f>
        <v>71266115.572967127</v>
      </c>
      <c r="AL168" s="10"/>
      <c r="AM168" s="30">
        <f>+V168-AK168</f>
        <v>-71266115.572967127</v>
      </c>
      <c r="AN168" s="47">
        <f>+AM168/AK168</f>
        <v>-1</v>
      </c>
      <c r="AO168" s="146" t="s">
        <v>241</v>
      </c>
      <c r="AP168" s="7"/>
      <c r="AQ168" s="7"/>
      <c r="AR168" s="7"/>
      <c r="AS168" s="7"/>
    </row>
    <row r="169" spans="1:51" ht="14.25" customHeight="1" outlineLevel="1" x14ac:dyDescent="0.3">
      <c r="A169" s="18"/>
      <c r="B169" s="58"/>
      <c r="C169" s="2" t="s">
        <v>240</v>
      </c>
      <c r="D169" s="147"/>
      <c r="E169" s="60"/>
      <c r="F169" s="148">
        <v>0.01</v>
      </c>
      <c r="G169" s="60" t="s">
        <v>52</v>
      </c>
      <c r="H169" s="149"/>
      <c r="I169" s="6">
        <f>+$F$169*(SUM(I14:I15))*0</f>
        <v>0</v>
      </c>
      <c r="J169" s="6">
        <f>+$F$169*(SUM(J14:J15))*0</f>
        <v>0</v>
      </c>
      <c r="K169" s="6">
        <v>0</v>
      </c>
      <c r="L169" s="6">
        <f>+$F$169*(SUM(L14:L15))*0</f>
        <v>0</v>
      </c>
      <c r="M169" s="6">
        <f>+$F$169*(SUM(M14:M15))*0</f>
        <v>0</v>
      </c>
      <c r="N169" s="52">
        <f t="shared" ref="N169:T169" si="35">+$F$169*(SUM(N14:N15))</f>
        <v>0</v>
      </c>
      <c r="O169" s="52">
        <f t="shared" si="35"/>
        <v>0</v>
      </c>
      <c r="P169" s="52">
        <f t="shared" si="35"/>
        <v>0</v>
      </c>
      <c r="Q169" s="52">
        <f t="shared" si="35"/>
        <v>0</v>
      </c>
      <c r="R169" s="52">
        <f t="shared" si="35"/>
        <v>0</v>
      </c>
      <c r="S169" s="52">
        <f t="shared" si="35"/>
        <v>0</v>
      </c>
      <c r="T169" s="52">
        <f t="shared" si="35"/>
        <v>0</v>
      </c>
      <c r="U169" s="53"/>
      <c r="V169" s="54">
        <f t="shared" si="32"/>
        <v>0</v>
      </c>
      <c r="W169" s="55"/>
      <c r="X169" s="52">
        <v>14118977.889748979</v>
      </c>
      <c r="Y169" s="52">
        <v>13150821.97977848</v>
      </c>
      <c r="Z169" s="52">
        <v>14290512.25215452</v>
      </c>
      <c r="AA169" s="52">
        <v>14594636.017145511</v>
      </c>
      <c r="AB169" s="52">
        <v>15111167.434139639</v>
      </c>
      <c r="AC169" s="52">
        <v>14815061.209747691</v>
      </c>
      <c r="AD169" s="52">
        <v>16190402.954513971</v>
      </c>
      <c r="AE169" s="52">
        <v>15640320.95101852</v>
      </c>
      <c r="AF169" s="52">
        <v>16222087.56689929</v>
      </c>
      <c r="AG169" s="52">
        <v>16679253.361847309</v>
      </c>
      <c r="AH169" s="52">
        <v>16197782.539282029</v>
      </c>
      <c r="AI169" s="52">
        <v>16440749.277371259</v>
      </c>
      <c r="AJ169" s="55"/>
      <c r="AK169" s="54">
        <f>SUM(X169:AB169)</f>
        <v>71266115.572967127</v>
      </c>
      <c r="AL169" s="56"/>
      <c r="AM169" s="30"/>
      <c r="AN169" s="53"/>
      <c r="AO169" s="53"/>
      <c r="AP169" s="53"/>
      <c r="AQ169" s="53"/>
      <c r="AR169" s="53"/>
      <c r="AS169" s="53"/>
      <c r="AT169" s="53"/>
      <c r="AU169" s="53"/>
      <c r="AV169" s="53"/>
      <c r="AW169" s="53"/>
      <c r="AX169" s="53"/>
      <c r="AY169" s="53"/>
    </row>
    <row r="170" spans="1:51" ht="12" customHeight="1" outlineLevel="1" x14ac:dyDescent="0.3">
      <c r="A170" s="1"/>
      <c r="B170" s="59"/>
      <c r="C170" s="2"/>
      <c r="D170" s="60"/>
      <c r="E170" s="60"/>
      <c r="F170" s="144"/>
      <c r="G170" s="60"/>
      <c r="H170" s="60"/>
      <c r="I170" s="6"/>
      <c r="J170" s="6"/>
      <c r="K170" s="6"/>
      <c r="L170" s="108">
        <v>0</v>
      </c>
      <c r="M170" s="108"/>
      <c r="N170" s="52"/>
      <c r="O170" s="52"/>
      <c r="P170" s="150"/>
      <c r="Q170" s="52"/>
      <c r="R170" s="52"/>
      <c r="S170" s="52"/>
      <c r="T170" s="52"/>
      <c r="U170" s="7"/>
      <c r="V170" s="54"/>
      <c r="W170" s="9"/>
      <c r="X170" s="52"/>
      <c r="Y170" s="52"/>
      <c r="Z170" s="52"/>
      <c r="AA170" s="52"/>
      <c r="AB170" s="52"/>
      <c r="AC170" s="52"/>
      <c r="AD170" s="52"/>
      <c r="AE170" s="52"/>
      <c r="AF170" s="52"/>
      <c r="AG170" s="52"/>
      <c r="AH170" s="52"/>
      <c r="AI170" s="52"/>
      <c r="AJ170" s="9"/>
      <c r="AK170" s="54"/>
      <c r="AL170" s="10"/>
      <c r="AM170" s="30"/>
      <c r="AN170" s="7"/>
      <c r="AO170" s="7"/>
      <c r="AP170" s="7"/>
      <c r="AQ170" s="7"/>
      <c r="AR170" s="7"/>
      <c r="AS170" s="7"/>
    </row>
    <row r="171" spans="1:51" ht="16.5" customHeight="1" x14ac:dyDescent="0.3">
      <c r="A171" s="22"/>
      <c r="B171" s="151" t="s">
        <v>242</v>
      </c>
      <c r="C171" s="152"/>
      <c r="D171" s="85"/>
      <c r="E171" s="85"/>
      <c r="F171" s="152"/>
      <c r="G171" s="85"/>
      <c r="H171" s="85"/>
      <c r="I171" s="86">
        <f>+I128+I106+I93+I87+I81+I75+I58+I46+I154+I157+I73+I151+I70+I168+I125</f>
        <v>753834624.3599999</v>
      </c>
      <c r="J171" s="86">
        <f>+J128+J106+J93+J87+J81+J75+J58+J46+J154+J157+J73+J151+J70+J168+J125</f>
        <v>732033433.55999994</v>
      </c>
      <c r="K171" s="86">
        <f>+K128+K106+K93+K87+K81+K75+K58+K46+K154+K157+K73+K151+K70+K168+K125</f>
        <v>948130563.91999996</v>
      </c>
      <c r="L171" s="86">
        <f>+L128+L106+L93+L87+L81+L75+L58+L46+L154+L157+L73+L151+L70+L168+L125</f>
        <v>763023959.99999988</v>
      </c>
      <c r="M171" s="86">
        <f>+M128+M106+M93+M87+M81+M75+M58+M46+M154+M157+M73+M151+M70+M168+M125</f>
        <v>855648517.57000005</v>
      </c>
      <c r="N171" s="86">
        <f t="shared" ref="N171:T171" si="36">+N128+N106+N93+N87+N81+N75+N58+N46+N154+N157+N73+N151+N70+N168</f>
        <v>0</v>
      </c>
      <c r="O171" s="86">
        <f t="shared" si="36"/>
        <v>0</v>
      </c>
      <c r="P171" s="87">
        <f t="shared" si="36"/>
        <v>0</v>
      </c>
      <c r="Q171" s="86">
        <f t="shared" si="36"/>
        <v>0</v>
      </c>
      <c r="R171" s="86">
        <f t="shared" si="36"/>
        <v>0</v>
      </c>
      <c r="S171" s="86">
        <f t="shared" si="36"/>
        <v>0</v>
      </c>
      <c r="T171" s="86">
        <f t="shared" si="36"/>
        <v>0</v>
      </c>
      <c r="U171" s="7"/>
      <c r="V171" s="88">
        <f>SUM(I171:M171)</f>
        <v>4052671099.4099998</v>
      </c>
      <c r="W171" s="40"/>
      <c r="X171" s="86">
        <v>849621084.91020262</v>
      </c>
      <c r="Y171" s="86">
        <v>811063525.0217371</v>
      </c>
      <c r="Z171" s="86">
        <v>835249068.79734921</v>
      </c>
      <c r="AA171" s="86">
        <v>898997718.80393267</v>
      </c>
      <c r="AB171" s="86">
        <v>934380254.54353487</v>
      </c>
      <c r="AC171" s="86">
        <v>945862775.25470054</v>
      </c>
      <c r="AD171" s="86">
        <v>1243202263.1772029</v>
      </c>
      <c r="AE171" s="86">
        <v>1015045519.545725</v>
      </c>
      <c r="AF171" s="86">
        <v>1053763494.787223</v>
      </c>
      <c r="AG171" s="86">
        <v>1115692490.0667069</v>
      </c>
      <c r="AH171" s="86">
        <v>1110797656.4371099</v>
      </c>
      <c r="AI171" s="86">
        <v>1149723802.142379</v>
      </c>
      <c r="AJ171" s="40"/>
      <c r="AK171" s="88">
        <f>SUM(X171:AB171)</f>
        <v>4329311652.0767565</v>
      </c>
      <c r="AL171" s="10"/>
      <c r="AM171" s="30">
        <f>+V171-AK171</f>
        <v>-276640552.66675663</v>
      </c>
      <c r="AN171" s="47">
        <f>+AM171/AK171</f>
        <v>-6.3899431341250992E-2</v>
      </c>
      <c r="AO171" s="146" t="s">
        <v>243</v>
      </c>
      <c r="AP171" s="7"/>
      <c r="AQ171" s="7"/>
      <c r="AR171" s="7"/>
      <c r="AS171" s="7"/>
    </row>
    <row r="172" spans="1:51" ht="12" customHeight="1" x14ac:dyDescent="0.3">
      <c r="A172" s="153"/>
      <c r="B172" s="154"/>
      <c r="C172" s="154"/>
      <c r="D172" s="155"/>
      <c r="E172" s="60"/>
      <c r="F172" s="154"/>
      <c r="G172" s="60" t="s">
        <v>244</v>
      </c>
      <c r="H172" s="60"/>
      <c r="I172" s="156"/>
      <c r="J172" s="156"/>
      <c r="K172" s="156"/>
      <c r="L172" s="156"/>
      <c r="M172" s="156"/>
      <c r="N172" s="156"/>
      <c r="O172" s="156"/>
      <c r="P172" s="94"/>
      <c r="Q172" s="156"/>
      <c r="R172" s="156"/>
      <c r="S172" s="156"/>
      <c r="T172" s="156"/>
      <c r="U172" s="156"/>
      <c r="V172" s="157"/>
      <c r="W172" s="9"/>
      <c r="X172" s="156"/>
      <c r="Y172" s="156"/>
      <c r="Z172" s="156"/>
      <c r="AA172" s="156"/>
      <c r="AB172" s="156"/>
      <c r="AC172" s="156"/>
      <c r="AD172" s="156"/>
      <c r="AE172" s="156"/>
      <c r="AF172" s="156"/>
      <c r="AG172" s="156"/>
      <c r="AH172" s="156"/>
      <c r="AI172" s="156"/>
      <c r="AJ172" s="9"/>
      <c r="AK172" s="158"/>
      <c r="AL172" s="10"/>
      <c r="AM172" s="30"/>
      <c r="AN172" s="7"/>
      <c r="AO172" s="7"/>
      <c r="AP172" s="7"/>
      <c r="AQ172" s="7"/>
      <c r="AR172" s="7"/>
      <c r="AS172" s="7"/>
    </row>
    <row r="173" spans="1:51" ht="12" customHeight="1" x14ac:dyDescent="0.3">
      <c r="A173" s="22"/>
      <c r="B173" s="23" t="s">
        <v>245</v>
      </c>
      <c r="C173" s="159"/>
      <c r="D173" s="160"/>
      <c r="E173" s="160"/>
      <c r="F173" s="159"/>
      <c r="G173" s="160"/>
      <c r="H173" s="160"/>
      <c r="I173" s="161">
        <f t="shared" ref="I173:T173" si="37">+I42-I171</f>
        <v>1158904645.4689002</v>
      </c>
      <c r="J173" s="161">
        <f t="shared" si="37"/>
        <v>1126194528.8100164</v>
      </c>
      <c r="K173" s="161">
        <f t="shared" si="37"/>
        <v>1071853247.7412835</v>
      </c>
      <c r="L173" s="161">
        <f t="shared" si="37"/>
        <v>1364280982.8299999</v>
      </c>
      <c r="M173" s="161">
        <f t="shared" si="37"/>
        <v>1314925524.9499998</v>
      </c>
      <c r="N173" s="161">
        <f t="shared" si="37"/>
        <v>0</v>
      </c>
      <c r="O173" s="161">
        <f t="shared" si="37"/>
        <v>0</v>
      </c>
      <c r="P173" s="71">
        <f t="shared" si="37"/>
        <v>0</v>
      </c>
      <c r="Q173" s="161">
        <f t="shared" si="37"/>
        <v>0</v>
      </c>
      <c r="R173" s="161">
        <f t="shared" si="37"/>
        <v>0</v>
      </c>
      <c r="S173" s="161">
        <f t="shared" si="37"/>
        <v>0</v>
      </c>
      <c r="T173" s="161">
        <f t="shared" si="37"/>
        <v>0</v>
      </c>
      <c r="U173" s="162"/>
      <c r="V173" s="163">
        <f>+V42-V171</f>
        <v>6036158929.8002014</v>
      </c>
      <c r="W173" s="164"/>
      <c r="X173" s="161">
        <v>1010152243.053085</v>
      </c>
      <c r="Y173" s="161">
        <v>929494086.73315287</v>
      </c>
      <c r="Z173" s="161">
        <v>1055055810.256945</v>
      </c>
      <c r="AA173" s="161">
        <v>1089387224.5502651</v>
      </c>
      <c r="AB173" s="161">
        <v>1167361302.9033389</v>
      </c>
      <c r="AC173" s="161">
        <v>1166192782.30918</v>
      </c>
      <c r="AD173" s="161">
        <v>1090729723.307925</v>
      </c>
      <c r="AE173" s="161">
        <v>1290175908.644285</v>
      </c>
      <c r="AF173" s="161">
        <v>1368189686.343127</v>
      </c>
      <c r="AG173" s="161">
        <v>1421981250.945467</v>
      </c>
      <c r="AH173" s="161">
        <v>1371558019.1651399</v>
      </c>
      <c r="AI173" s="161">
        <v>1412436161.9193461</v>
      </c>
      <c r="AJ173" s="164"/>
      <c r="AK173" s="163">
        <f>+AK42-AK171</f>
        <v>5251450667.496789</v>
      </c>
      <c r="AL173" s="10"/>
      <c r="AM173" s="30">
        <f>+V173-AK173</f>
        <v>784708262.30341244</v>
      </c>
      <c r="AN173" s="47">
        <f>+AM173/AK173</f>
        <v>0.14942695113947621</v>
      </c>
      <c r="AO173" s="146" t="s">
        <v>246</v>
      </c>
      <c r="AP173" s="7"/>
      <c r="AQ173" s="7"/>
      <c r="AR173" s="7"/>
      <c r="AS173" s="7"/>
    </row>
    <row r="174" spans="1:51" ht="12.75" customHeight="1" x14ac:dyDescent="0.3">
      <c r="A174" s="22"/>
      <c r="B174" s="165" t="s">
        <v>247</v>
      </c>
      <c r="C174" s="166"/>
      <c r="D174" s="167"/>
      <c r="E174" s="167"/>
      <c r="F174" s="166"/>
      <c r="G174" s="167"/>
      <c r="H174" s="167"/>
      <c r="I174" s="168">
        <f t="shared" ref="I174:T174" si="38">+I173/I42</f>
        <v>0.60588741170800942</v>
      </c>
      <c r="J174" s="168">
        <f t="shared" si="38"/>
        <v>0.60605832632808321</v>
      </c>
      <c r="K174" s="168">
        <f t="shared" si="38"/>
        <v>0.53062467211544906</v>
      </c>
      <c r="L174" s="168">
        <f t="shared" si="38"/>
        <v>0.64131895496612124</v>
      </c>
      <c r="M174" s="168">
        <f t="shared" si="38"/>
        <v>0.60579620837232229</v>
      </c>
      <c r="N174" s="168" t="e">
        <f t="shared" si="38"/>
        <v>#DIV/0!</v>
      </c>
      <c r="O174" s="168" t="e">
        <f t="shared" si="38"/>
        <v>#DIV/0!</v>
      </c>
      <c r="P174" s="168" t="e">
        <f t="shared" si="38"/>
        <v>#DIV/0!</v>
      </c>
      <c r="Q174" s="168" t="e">
        <f t="shared" si="38"/>
        <v>#DIV/0!</v>
      </c>
      <c r="R174" s="168" t="e">
        <f t="shared" si="38"/>
        <v>#DIV/0!</v>
      </c>
      <c r="S174" s="168" t="e">
        <f t="shared" si="38"/>
        <v>#DIV/0!</v>
      </c>
      <c r="T174" s="168" t="e">
        <f t="shared" si="38"/>
        <v>#DIV/0!</v>
      </c>
      <c r="U174" s="7"/>
      <c r="V174" s="169">
        <f>+V173/V42</f>
        <v>0.59830118183413772</v>
      </c>
      <c r="W174" s="9"/>
      <c r="X174" s="168">
        <v>0.54315879675473311</v>
      </c>
      <c r="Y174" s="168">
        <v>0.53402086805733773</v>
      </c>
      <c r="Z174" s="168">
        <v>0.55814055285345388</v>
      </c>
      <c r="AA174" s="168">
        <v>0.54787541426087372</v>
      </c>
      <c r="AB174" s="168">
        <v>0.55542571291277654</v>
      </c>
      <c r="AC174" s="168">
        <v>0.55216008789764415</v>
      </c>
      <c r="AD174" s="168">
        <v>0.46733569342376169</v>
      </c>
      <c r="AE174" s="168">
        <v>0.5596754797031761</v>
      </c>
      <c r="AF174" s="168">
        <v>0.56491169895554272</v>
      </c>
      <c r="AG174" s="168">
        <v>0.56034833318576915</v>
      </c>
      <c r="AH174" s="168">
        <v>0.5525227640202619</v>
      </c>
      <c r="AI174" s="168">
        <v>0.55126775132347627</v>
      </c>
      <c r="AJ174" s="9"/>
      <c r="AK174" s="169">
        <f>+AK173/AK42</f>
        <v>0.54812451163390719</v>
      </c>
      <c r="AL174" s="10"/>
      <c r="AM174" s="30"/>
      <c r="AN174" s="7"/>
      <c r="AO174" s="7"/>
      <c r="AP174" s="7"/>
      <c r="AQ174" s="7"/>
      <c r="AR174" s="7"/>
      <c r="AS174" s="7"/>
    </row>
    <row r="175" spans="1:51" ht="9" customHeight="1" x14ac:dyDescent="0.3">
      <c r="A175" s="1"/>
      <c r="B175" s="2"/>
      <c r="C175" s="2"/>
      <c r="D175" s="60"/>
      <c r="E175" s="60"/>
      <c r="F175" s="2"/>
      <c r="G175" s="60"/>
      <c r="H175" s="60"/>
      <c r="I175" s="6"/>
      <c r="J175" s="6"/>
      <c r="K175" s="6"/>
      <c r="L175" s="6"/>
      <c r="M175" s="6"/>
      <c r="N175" s="6"/>
      <c r="O175" s="6"/>
      <c r="P175" s="6"/>
      <c r="Q175" s="6"/>
      <c r="R175" s="6"/>
      <c r="S175" s="6"/>
      <c r="T175" s="6"/>
      <c r="U175" s="7"/>
      <c r="V175" s="96"/>
      <c r="W175" s="9"/>
      <c r="X175" s="6"/>
      <c r="Y175" s="6"/>
      <c r="Z175" s="6"/>
      <c r="AA175" s="6"/>
      <c r="AB175" s="6"/>
      <c r="AC175" s="6"/>
      <c r="AD175" s="6"/>
      <c r="AE175" s="6"/>
      <c r="AF175" s="6"/>
      <c r="AG175" s="6"/>
      <c r="AH175" s="6"/>
      <c r="AI175" s="6"/>
      <c r="AJ175" s="9"/>
      <c r="AK175" s="96"/>
      <c r="AL175" s="10"/>
      <c r="AM175" s="30"/>
      <c r="AN175" s="7"/>
      <c r="AO175" s="7"/>
      <c r="AP175" s="7"/>
      <c r="AQ175" s="7"/>
      <c r="AR175" s="7"/>
      <c r="AS175" s="7"/>
    </row>
    <row r="176" spans="1:51" ht="12" customHeight="1" x14ac:dyDescent="0.3">
      <c r="A176" s="18"/>
      <c r="B176" s="62"/>
      <c r="C176" s="62" t="s">
        <v>248</v>
      </c>
      <c r="D176" s="42"/>
      <c r="E176" s="170">
        <v>5417</v>
      </c>
      <c r="F176" s="42"/>
      <c r="G176" s="171" t="s">
        <v>249</v>
      </c>
      <c r="H176" s="171"/>
      <c r="I176" s="44">
        <v>67750</v>
      </c>
      <c r="J176" s="44">
        <v>49000</v>
      </c>
      <c r="K176" s="44">
        <v>49000</v>
      </c>
      <c r="L176" s="172">
        <v>49000</v>
      </c>
      <c r="M176" s="172">
        <v>65000</v>
      </c>
      <c r="N176" s="44"/>
      <c r="O176" s="44"/>
      <c r="P176" s="44"/>
      <c r="Q176" s="44"/>
      <c r="R176" s="44"/>
      <c r="S176" s="44"/>
      <c r="T176" s="44"/>
      <c r="U176" s="173"/>
      <c r="V176" s="103">
        <f>SUM(I176:M176)</f>
        <v>279750</v>
      </c>
      <c r="W176" s="174"/>
      <c r="X176" s="44">
        <v>70000</v>
      </c>
      <c r="Y176" s="44">
        <v>70000</v>
      </c>
      <c r="Z176" s="44">
        <v>70000</v>
      </c>
      <c r="AA176" s="44">
        <v>70000</v>
      </c>
      <c r="AB176" s="44">
        <v>70000</v>
      </c>
      <c r="AC176" s="44">
        <v>70000</v>
      </c>
      <c r="AD176" s="44">
        <v>70000</v>
      </c>
      <c r="AE176" s="44">
        <v>70000</v>
      </c>
      <c r="AF176" s="44">
        <v>70000</v>
      </c>
      <c r="AG176" s="44">
        <v>70000</v>
      </c>
      <c r="AH176" s="44">
        <v>70000</v>
      </c>
      <c r="AI176" s="44">
        <v>70000</v>
      </c>
      <c r="AJ176" s="174"/>
      <c r="AK176" s="103">
        <f>SUM(X176:AB176)</f>
        <v>350000</v>
      </c>
      <c r="AL176" s="10"/>
      <c r="AM176" s="30"/>
      <c r="AN176" s="7"/>
      <c r="AO176" s="7"/>
      <c r="AP176" s="7"/>
      <c r="AQ176" s="7"/>
      <c r="AR176" s="7"/>
      <c r="AS176" s="7"/>
    </row>
    <row r="177" spans="1:51" ht="5.25" customHeight="1" x14ac:dyDescent="0.3">
      <c r="A177" s="18"/>
      <c r="B177" s="5"/>
      <c r="C177" s="5"/>
      <c r="D177" s="50"/>
      <c r="E177" s="50"/>
      <c r="F177" s="175"/>
      <c r="G177" s="50"/>
      <c r="H177" s="50"/>
      <c r="I177" s="52"/>
      <c r="J177" s="52"/>
      <c r="K177" s="52"/>
      <c r="L177" s="52"/>
      <c r="M177" s="52"/>
      <c r="N177" s="52"/>
      <c r="O177" s="52"/>
      <c r="P177" s="52"/>
      <c r="Q177" s="52"/>
      <c r="R177" s="52"/>
      <c r="S177" s="52"/>
      <c r="T177" s="52"/>
      <c r="U177" s="7"/>
      <c r="V177" s="54"/>
      <c r="W177" s="9"/>
      <c r="X177" s="52"/>
      <c r="Y177" s="52"/>
      <c r="Z177" s="52"/>
      <c r="AA177" s="52"/>
      <c r="AB177" s="52"/>
      <c r="AC177" s="52"/>
      <c r="AD177" s="52"/>
      <c r="AE177" s="52"/>
      <c r="AF177" s="52"/>
      <c r="AG177" s="52"/>
      <c r="AH177" s="52"/>
      <c r="AI177" s="52"/>
      <c r="AJ177" s="9"/>
      <c r="AK177" s="54"/>
      <c r="AL177" s="10"/>
      <c r="AM177" s="30"/>
      <c r="AN177" s="7"/>
      <c r="AO177" s="7"/>
      <c r="AP177" s="7"/>
      <c r="AQ177" s="7"/>
      <c r="AR177" s="7"/>
      <c r="AS177" s="7"/>
    </row>
    <row r="178" spans="1:51" ht="15" customHeight="1" x14ac:dyDescent="0.3">
      <c r="A178" s="18"/>
      <c r="B178" s="62"/>
      <c r="C178" s="62" t="s">
        <v>250</v>
      </c>
      <c r="D178" s="42"/>
      <c r="E178" s="170">
        <v>5121</v>
      </c>
      <c r="F178" s="42"/>
      <c r="G178" s="171" t="s">
        <v>250</v>
      </c>
      <c r="H178" s="171"/>
      <c r="I178" s="44">
        <v>140088</v>
      </c>
      <c r="J178" s="44">
        <v>-4508</v>
      </c>
      <c r="K178" s="44">
        <v>-5728</v>
      </c>
      <c r="L178" s="172">
        <v>47373.53</v>
      </c>
      <c r="M178" s="172">
        <v>58840</v>
      </c>
      <c r="N178" s="44"/>
      <c r="O178" s="44"/>
      <c r="P178" s="44"/>
      <c r="Q178" s="44"/>
      <c r="R178" s="44"/>
      <c r="S178" s="44"/>
      <c r="T178" s="44"/>
      <c r="U178" s="173"/>
      <c r="V178" s="103">
        <f>SUM(I178:M178)</f>
        <v>236065.53</v>
      </c>
      <c r="W178" s="174"/>
      <c r="X178" s="44"/>
      <c r="Y178" s="44"/>
      <c r="Z178" s="44"/>
      <c r="AA178" s="44"/>
      <c r="AB178" s="44"/>
      <c r="AC178" s="44"/>
      <c r="AD178" s="44"/>
      <c r="AE178" s="44"/>
      <c r="AF178" s="44"/>
      <c r="AG178" s="44"/>
      <c r="AH178" s="44"/>
      <c r="AI178" s="44"/>
      <c r="AJ178" s="174"/>
      <c r="AK178" s="103">
        <f>SUM(X178:AB178)</f>
        <v>0</v>
      </c>
      <c r="AL178" s="10"/>
      <c r="AM178" s="30"/>
      <c r="AN178" s="7"/>
      <c r="AO178" s="7"/>
      <c r="AP178" s="7"/>
      <c r="AQ178" s="7"/>
      <c r="AR178" s="7"/>
      <c r="AS178" s="7"/>
    </row>
    <row r="179" spans="1:51" ht="5.25" customHeight="1" x14ac:dyDescent="0.3">
      <c r="A179" s="18"/>
      <c r="B179" s="5"/>
      <c r="C179" s="5"/>
      <c r="D179" s="50"/>
      <c r="E179" s="50"/>
      <c r="F179" s="175"/>
      <c r="G179" s="50"/>
      <c r="H179" s="50"/>
      <c r="I179" s="52"/>
      <c r="J179" s="52"/>
      <c r="K179" s="52"/>
      <c r="L179" s="52"/>
      <c r="M179" s="52"/>
      <c r="N179" s="52"/>
      <c r="O179" s="52"/>
      <c r="P179" s="52"/>
      <c r="Q179" s="52"/>
      <c r="R179" s="52"/>
      <c r="S179" s="52"/>
      <c r="T179" s="52"/>
      <c r="U179" s="7"/>
      <c r="V179" s="54"/>
      <c r="W179" s="9"/>
      <c r="X179" s="52"/>
      <c r="Y179" s="52"/>
      <c r="Z179" s="52"/>
      <c r="AA179" s="52"/>
      <c r="AB179" s="52"/>
      <c r="AC179" s="52"/>
      <c r="AD179" s="52"/>
      <c r="AE179" s="52"/>
      <c r="AF179" s="52"/>
      <c r="AG179" s="52"/>
      <c r="AH179" s="52"/>
      <c r="AI179" s="52"/>
      <c r="AJ179" s="9"/>
      <c r="AK179" s="54"/>
      <c r="AL179" s="10"/>
      <c r="AM179" s="30"/>
      <c r="AN179" s="7"/>
      <c r="AO179" s="7"/>
      <c r="AP179" s="7"/>
      <c r="AQ179" s="7"/>
      <c r="AR179" s="7"/>
      <c r="AS179" s="7"/>
    </row>
    <row r="180" spans="1:51" ht="12" customHeight="1" x14ac:dyDescent="0.3">
      <c r="A180" s="18"/>
      <c r="B180" s="62"/>
      <c r="C180" s="62" t="s">
        <v>251</v>
      </c>
      <c r="D180" s="42"/>
      <c r="E180" s="170" t="s">
        <v>252</v>
      </c>
      <c r="F180" s="42"/>
      <c r="G180" s="171" t="s">
        <v>251</v>
      </c>
      <c r="H180" s="171"/>
      <c r="I180" s="44">
        <f>-192200000+4456889.85-50344699.22</f>
        <v>-238087809.37</v>
      </c>
      <c r="J180" s="44">
        <f>-173600000+13370670-58071566</f>
        <v>-218300896</v>
      </c>
      <c r="K180" s="44">
        <v>-262865752</v>
      </c>
      <c r="L180" s="172">
        <v>-85208675.730000004</v>
      </c>
      <c r="M180" s="172">
        <v>-72294338.579999998</v>
      </c>
      <c r="N180" s="44"/>
      <c r="O180" s="44"/>
      <c r="P180" s="44"/>
      <c r="Q180" s="44"/>
      <c r="R180" s="44"/>
      <c r="S180" s="44"/>
      <c r="T180" s="44"/>
      <c r="U180" s="173"/>
      <c r="V180" s="103">
        <f>SUM(I180:M180)</f>
        <v>-876757471.68000007</v>
      </c>
      <c r="W180" s="174"/>
      <c r="X180" s="44"/>
      <c r="Y180" s="44"/>
      <c r="Z180" s="44"/>
      <c r="AA180" s="44"/>
      <c r="AB180" s="44"/>
      <c r="AC180" s="44"/>
      <c r="AD180" s="44"/>
      <c r="AE180" s="44"/>
      <c r="AF180" s="44"/>
      <c r="AG180" s="44"/>
      <c r="AH180" s="44"/>
      <c r="AI180" s="44"/>
      <c r="AJ180" s="174"/>
      <c r="AK180" s="103">
        <f>SUM(X180:AB180)</f>
        <v>0</v>
      </c>
      <c r="AL180" s="10"/>
      <c r="AM180" s="30"/>
      <c r="AN180" s="7"/>
      <c r="AO180" s="176"/>
      <c r="AP180" s="7"/>
      <c r="AQ180" s="7"/>
      <c r="AR180" s="7"/>
      <c r="AS180" s="7"/>
    </row>
    <row r="181" spans="1:51" ht="5.25" customHeight="1" x14ac:dyDescent="0.3">
      <c r="A181" s="18"/>
      <c r="B181" s="5"/>
      <c r="C181" s="5"/>
      <c r="D181" s="50"/>
      <c r="E181" s="50"/>
      <c r="F181" s="175"/>
      <c r="G181" s="50"/>
      <c r="H181" s="50"/>
      <c r="I181" s="52"/>
      <c r="J181" s="52"/>
      <c r="K181" s="52"/>
      <c r="L181" s="52"/>
      <c r="M181" s="52"/>
      <c r="N181" s="52"/>
      <c r="O181" s="52"/>
      <c r="P181" s="52"/>
      <c r="Q181" s="52"/>
      <c r="R181" s="52"/>
      <c r="S181" s="52"/>
      <c r="T181" s="52"/>
      <c r="U181" s="7"/>
      <c r="V181" s="54"/>
      <c r="W181" s="9"/>
      <c r="X181" s="52"/>
      <c r="Y181" s="52"/>
      <c r="Z181" s="52"/>
      <c r="AA181" s="52"/>
      <c r="AB181" s="52"/>
      <c r="AC181" s="52"/>
      <c r="AD181" s="52"/>
      <c r="AE181" s="52"/>
      <c r="AF181" s="52"/>
      <c r="AG181" s="52"/>
      <c r="AH181" s="52"/>
      <c r="AI181" s="52"/>
      <c r="AJ181" s="9"/>
      <c r="AK181" s="54"/>
      <c r="AL181" s="10"/>
      <c r="AM181" s="30"/>
      <c r="AN181" s="7"/>
      <c r="AO181" s="7"/>
      <c r="AP181" s="7"/>
      <c r="AQ181" s="7"/>
      <c r="AR181" s="7"/>
      <c r="AS181" s="7"/>
    </row>
    <row r="182" spans="1:51" ht="12" customHeight="1" x14ac:dyDescent="0.3">
      <c r="A182" s="18"/>
      <c r="B182" s="62"/>
      <c r="C182" s="62" t="s">
        <v>253</v>
      </c>
      <c r="D182" s="42"/>
      <c r="E182" s="170" t="s">
        <v>254</v>
      </c>
      <c r="F182" s="42"/>
      <c r="G182" s="171" t="s">
        <v>253</v>
      </c>
      <c r="H182" s="171"/>
      <c r="I182" s="44"/>
      <c r="J182" s="44">
        <v>3024427.04</v>
      </c>
      <c r="K182" s="44"/>
      <c r="L182" s="172">
        <v>27050.63</v>
      </c>
      <c r="M182" s="172">
        <v>0</v>
      </c>
      <c r="N182" s="44"/>
      <c r="O182" s="44"/>
      <c r="P182" s="44"/>
      <c r="Q182" s="44"/>
      <c r="R182" s="44"/>
      <c r="S182" s="44"/>
      <c r="T182" s="44"/>
      <c r="U182" s="173"/>
      <c r="V182" s="103">
        <f>SUM(I182:M182)</f>
        <v>3051477.67</v>
      </c>
      <c r="W182" s="174"/>
      <c r="X182" s="44"/>
      <c r="Y182" s="44"/>
      <c r="Z182" s="44"/>
      <c r="AA182" s="44"/>
      <c r="AB182" s="44"/>
      <c r="AC182" s="44"/>
      <c r="AD182" s="44"/>
      <c r="AE182" s="44"/>
      <c r="AF182" s="44"/>
      <c r="AG182" s="44"/>
      <c r="AH182" s="44"/>
      <c r="AI182" s="44"/>
      <c r="AJ182" s="174"/>
      <c r="AK182" s="103">
        <f>SUM(X182:AB182)</f>
        <v>0</v>
      </c>
      <c r="AL182" s="10"/>
      <c r="AM182" s="30"/>
      <c r="AN182" s="7"/>
      <c r="AO182" s="7"/>
      <c r="AP182" s="7"/>
      <c r="AQ182" s="7"/>
      <c r="AR182" s="7"/>
      <c r="AS182" s="7"/>
    </row>
    <row r="183" spans="1:51" ht="5.25" customHeight="1" x14ac:dyDescent="0.3">
      <c r="A183" s="18"/>
      <c r="B183" s="5"/>
      <c r="C183" s="5"/>
      <c r="D183" s="50"/>
      <c r="E183" s="50"/>
      <c r="F183" s="175"/>
      <c r="G183" s="50"/>
      <c r="H183" s="50"/>
      <c r="I183" s="52"/>
      <c r="J183" s="52"/>
      <c r="K183" s="52"/>
      <c r="L183" s="52"/>
      <c r="M183" s="52"/>
      <c r="N183" s="52"/>
      <c r="O183" s="52"/>
      <c r="P183" s="52"/>
      <c r="Q183" s="52"/>
      <c r="R183" s="52"/>
      <c r="S183" s="52"/>
      <c r="T183" s="52"/>
      <c r="U183" s="7"/>
      <c r="V183" s="54"/>
      <c r="W183" s="9"/>
      <c r="X183" s="52"/>
      <c r="Y183" s="52"/>
      <c r="Z183" s="52"/>
      <c r="AA183" s="52"/>
      <c r="AB183" s="52"/>
      <c r="AC183" s="52"/>
      <c r="AD183" s="52"/>
      <c r="AE183" s="52"/>
      <c r="AF183" s="52"/>
      <c r="AG183" s="52"/>
      <c r="AH183" s="52"/>
      <c r="AI183" s="52"/>
      <c r="AJ183" s="9"/>
      <c r="AK183" s="54"/>
      <c r="AL183" s="10"/>
      <c r="AM183" s="30"/>
      <c r="AN183" s="53"/>
      <c r="AO183" s="53"/>
      <c r="AP183" s="53"/>
      <c r="AQ183" s="53"/>
      <c r="AR183" s="53"/>
      <c r="AS183" s="53"/>
      <c r="AT183" s="53"/>
      <c r="AU183" s="53"/>
      <c r="AV183" s="53"/>
    </row>
    <row r="184" spans="1:51" ht="12" customHeight="1" x14ac:dyDescent="0.3">
      <c r="A184" s="18"/>
      <c r="B184" s="62"/>
      <c r="C184" s="62" t="s">
        <v>255</v>
      </c>
      <c r="D184" s="42"/>
      <c r="E184" s="170"/>
      <c r="F184" s="42"/>
      <c r="G184" s="171" t="s">
        <v>255</v>
      </c>
      <c r="H184" s="171"/>
      <c r="I184" s="44">
        <f>2686117.68+12622308</f>
        <v>15308425.68</v>
      </c>
      <c r="J184" s="44">
        <f>13158189.45-900777</f>
        <v>12257412.449999999</v>
      </c>
      <c r="K184" s="44">
        <v>6619713</v>
      </c>
      <c r="L184" s="172">
        <v>2350918.27</v>
      </c>
      <c r="M184" s="172">
        <v>2361602.5</v>
      </c>
      <c r="N184" s="44"/>
      <c r="O184" s="44"/>
      <c r="P184" s="44"/>
      <c r="Q184" s="44"/>
      <c r="R184" s="44"/>
      <c r="S184" s="44"/>
      <c r="T184" s="44"/>
      <c r="U184" s="173"/>
      <c r="V184" s="103">
        <f>SUM(I184:M184)</f>
        <v>38898071.899999999</v>
      </c>
      <c r="W184" s="174"/>
      <c r="X184" s="44"/>
      <c r="Y184" s="44"/>
      <c r="Z184" s="44"/>
      <c r="AA184" s="44"/>
      <c r="AB184" s="44"/>
      <c r="AC184" s="44"/>
      <c r="AD184" s="44"/>
      <c r="AE184" s="44"/>
      <c r="AF184" s="44"/>
      <c r="AG184" s="44"/>
      <c r="AH184" s="44"/>
      <c r="AI184" s="44"/>
      <c r="AJ184" s="174"/>
      <c r="AK184" s="103">
        <f>SUM(X184:AB184)</f>
        <v>0</v>
      </c>
      <c r="AL184" s="10"/>
      <c r="AM184" s="30"/>
      <c r="AN184" s="53"/>
      <c r="AO184" s="53"/>
      <c r="AP184" s="53"/>
      <c r="AQ184" s="53"/>
      <c r="AR184" s="53"/>
      <c r="AS184" s="53"/>
      <c r="AT184" s="53"/>
      <c r="AU184" s="53"/>
      <c r="AV184" s="53"/>
    </row>
    <row r="185" spans="1:51" ht="5.25" customHeight="1" x14ac:dyDescent="0.3">
      <c r="A185" s="18"/>
      <c r="B185" s="5"/>
      <c r="C185" s="5"/>
      <c r="D185" s="50"/>
      <c r="E185" s="50"/>
      <c r="F185" s="175"/>
      <c r="G185" s="50"/>
      <c r="H185" s="50"/>
      <c r="I185" s="52"/>
      <c r="J185" s="52"/>
      <c r="K185" s="52"/>
      <c r="L185" s="52"/>
      <c r="M185" s="52"/>
      <c r="N185" s="52"/>
      <c r="O185" s="52"/>
      <c r="P185" s="52"/>
      <c r="Q185" s="52"/>
      <c r="R185" s="52"/>
      <c r="S185" s="52"/>
      <c r="T185" s="52"/>
      <c r="U185" s="7"/>
      <c r="V185" s="54"/>
      <c r="W185" s="9"/>
      <c r="X185" s="52"/>
      <c r="Y185" s="52"/>
      <c r="Z185" s="52"/>
      <c r="AA185" s="52"/>
      <c r="AB185" s="52"/>
      <c r="AC185" s="52"/>
      <c r="AD185" s="52"/>
      <c r="AE185" s="52"/>
      <c r="AF185" s="52"/>
      <c r="AG185" s="52"/>
      <c r="AH185" s="52"/>
      <c r="AI185" s="52"/>
      <c r="AJ185" s="9"/>
      <c r="AK185" s="54"/>
      <c r="AL185" s="10"/>
      <c r="AM185" s="30"/>
      <c r="AN185" s="7"/>
      <c r="AO185" s="7"/>
      <c r="AP185" s="7"/>
      <c r="AQ185" s="7"/>
      <c r="AR185" s="7"/>
      <c r="AS185" s="7"/>
    </row>
    <row r="186" spans="1:51" ht="12" customHeight="1" x14ac:dyDescent="0.3">
      <c r="A186" s="18"/>
      <c r="B186" s="62"/>
      <c r="C186" s="62" t="s">
        <v>256</v>
      </c>
      <c r="D186" s="42"/>
      <c r="E186" s="170">
        <v>5426</v>
      </c>
      <c r="F186" s="42"/>
      <c r="G186" s="171" t="s">
        <v>256</v>
      </c>
      <c r="H186" s="171"/>
      <c r="I186" s="44">
        <v>488319429.44999999</v>
      </c>
      <c r="J186" s="44">
        <v>462332863.76999998</v>
      </c>
      <c r="K186" s="44">
        <v>477732537.75999999</v>
      </c>
      <c r="L186" s="172">
        <v>512501472.88</v>
      </c>
      <c r="M186" s="172">
        <v>277471044.00999999</v>
      </c>
      <c r="N186" s="44"/>
      <c r="O186" s="44"/>
      <c r="P186" s="44"/>
      <c r="Q186" s="44"/>
      <c r="R186" s="44"/>
      <c r="S186" s="44"/>
      <c r="T186" s="44"/>
      <c r="U186" s="173"/>
      <c r="V186" s="103">
        <f>SUM(I186:M186)</f>
        <v>2218357347.8699999</v>
      </c>
      <c r="W186" s="174"/>
      <c r="X186" s="44">
        <v>353553285.06857967</v>
      </c>
      <c r="Y186" s="44">
        <v>325322930.3566035</v>
      </c>
      <c r="Z186" s="44">
        <v>369269533.58993077</v>
      </c>
      <c r="AA186" s="44">
        <v>381285528.59259272</v>
      </c>
      <c r="AB186" s="44">
        <v>408576456.01616877</v>
      </c>
      <c r="AC186" s="44">
        <v>408167473.808213</v>
      </c>
      <c r="AD186" s="44">
        <v>381755403.15777361</v>
      </c>
      <c r="AE186" s="44">
        <v>451561568.02549952</v>
      </c>
      <c r="AF186" s="44">
        <v>478866390.2200945</v>
      </c>
      <c r="AG186" s="44">
        <v>497693437.83091348</v>
      </c>
      <c r="AH186" s="44">
        <v>480045306.70779902</v>
      </c>
      <c r="AI186" s="44">
        <v>494352656.67177099</v>
      </c>
      <c r="AJ186" s="174"/>
      <c r="AK186" s="103">
        <f>SUM(X186:AB186)</f>
        <v>1838007733.6238754</v>
      </c>
      <c r="AL186" s="10"/>
      <c r="AM186" s="30"/>
      <c r="AN186" s="7"/>
      <c r="AO186" s="7"/>
      <c r="AP186" s="7"/>
      <c r="AQ186" s="7"/>
      <c r="AR186" s="7"/>
      <c r="AS186" s="7"/>
    </row>
    <row r="187" spans="1:51" ht="16.5" customHeight="1" x14ac:dyDescent="0.3">
      <c r="A187" s="22"/>
      <c r="B187" s="151"/>
      <c r="C187" s="152" t="s">
        <v>257</v>
      </c>
      <c r="D187" s="85"/>
      <c r="E187" s="85"/>
      <c r="F187" s="152"/>
      <c r="G187" s="85"/>
      <c r="H187" s="85"/>
      <c r="I187" s="86">
        <f t="shared" ref="I187:T187" si="39">I176+I178+I180+I182+I184+I186</f>
        <v>265747883.75999999</v>
      </c>
      <c r="J187" s="86">
        <f t="shared" si="39"/>
        <v>259358299.25999996</v>
      </c>
      <c r="K187" s="86">
        <f t="shared" si="39"/>
        <v>221529770.75999999</v>
      </c>
      <c r="L187" s="86">
        <f t="shared" si="39"/>
        <v>429767139.57999998</v>
      </c>
      <c r="M187" s="86">
        <f t="shared" si="39"/>
        <v>207662147.93000001</v>
      </c>
      <c r="N187" s="86">
        <f t="shared" si="39"/>
        <v>0</v>
      </c>
      <c r="O187" s="86">
        <f t="shared" si="39"/>
        <v>0</v>
      </c>
      <c r="P187" s="86">
        <f t="shared" si="39"/>
        <v>0</v>
      </c>
      <c r="Q187" s="86">
        <f t="shared" si="39"/>
        <v>0</v>
      </c>
      <c r="R187" s="86">
        <f t="shared" si="39"/>
        <v>0</v>
      </c>
      <c r="S187" s="86">
        <f t="shared" si="39"/>
        <v>0</v>
      </c>
      <c r="T187" s="86">
        <f t="shared" si="39"/>
        <v>0</v>
      </c>
      <c r="U187" s="7"/>
      <c r="V187" s="88">
        <f>V176+V178+V180+V182+V184+V186</f>
        <v>1384065241.2899997</v>
      </c>
      <c r="W187" s="40"/>
      <c r="X187" s="86">
        <f t="shared" ref="X187:AI187" si="40">X176+X178+X180+X182+X184+X186</f>
        <v>353623285.06857967</v>
      </c>
      <c r="Y187" s="86">
        <f t="shared" si="40"/>
        <v>325392930.3566035</v>
      </c>
      <c r="Z187" s="86">
        <f t="shared" si="40"/>
        <v>369339533.58993077</v>
      </c>
      <c r="AA187" s="86">
        <f t="shared" si="40"/>
        <v>381355528.59259272</v>
      </c>
      <c r="AB187" s="86">
        <f t="shared" si="40"/>
        <v>408646456.01616877</v>
      </c>
      <c r="AC187" s="86">
        <f t="shared" si="40"/>
        <v>408237473.808213</v>
      </c>
      <c r="AD187" s="86">
        <f t="shared" si="40"/>
        <v>381825403.15777361</v>
      </c>
      <c r="AE187" s="86">
        <f t="shared" si="40"/>
        <v>451631568.02549952</v>
      </c>
      <c r="AF187" s="86">
        <f t="shared" si="40"/>
        <v>478936390.2200945</v>
      </c>
      <c r="AG187" s="86">
        <f t="shared" si="40"/>
        <v>497763437.83091348</v>
      </c>
      <c r="AH187" s="86">
        <f t="shared" si="40"/>
        <v>480115306.70779902</v>
      </c>
      <c r="AI187" s="86">
        <f t="shared" si="40"/>
        <v>494422656.67177099</v>
      </c>
      <c r="AJ187" s="40"/>
      <c r="AK187" s="88">
        <f>AK176+AK178+AK180+AK182+AK184+AK186</f>
        <v>1838357733.6238754</v>
      </c>
      <c r="AL187" s="10"/>
      <c r="AM187" s="30"/>
      <c r="AN187" s="47"/>
      <c r="AO187" s="146"/>
      <c r="AP187" s="7"/>
      <c r="AQ187" s="7"/>
      <c r="AR187" s="7"/>
      <c r="AS187" s="7"/>
    </row>
    <row r="188" spans="1:51" ht="14.25" customHeight="1" x14ac:dyDescent="0.3">
      <c r="A188" s="18"/>
      <c r="B188" s="5"/>
      <c r="C188" s="5"/>
      <c r="D188" s="50"/>
      <c r="E188" s="50"/>
      <c r="F188" s="175"/>
      <c r="G188" s="50"/>
      <c r="H188" s="50"/>
      <c r="I188" s="52"/>
      <c r="J188" s="52"/>
      <c r="K188" s="52"/>
      <c r="L188" s="52"/>
      <c r="M188" s="52"/>
      <c r="N188" s="52"/>
      <c r="O188" s="52"/>
      <c r="P188" s="52"/>
      <c r="Q188" s="52"/>
      <c r="R188" s="52"/>
      <c r="S188" s="52"/>
      <c r="T188" s="52"/>
      <c r="U188" s="7"/>
      <c r="V188" s="177"/>
      <c r="W188" s="9"/>
      <c r="X188" s="52"/>
      <c r="Y188" s="52"/>
      <c r="Z188" s="52"/>
      <c r="AA188" s="52"/>
      <c r="AB188" s="52"/>
      <c r="AC188" s="52"/>
      <c r="AD188" s="52"/>
      <c r="AE188" s="52"/>
      <c r="AF188" s="52"/>
      <c r="AG188" s="52"/>
      <c r="AH188" s="52"/>
      <c r="AI188" s="52"/>
      <c r="AJ188" s="9"/>
      <c r="AK188" s="54"/>
      <c r="AL188" s="10"/>
      <c r="AM188" s="30"/>
      <c r="AN188" s="7"/>
      <c r="AO188" s="7"/>
      <c r="AP188" s="7"/>
      <c r="AQ188" s="7"/>
      <c r="AR188" s="7"/>
      <c r="AS188" s="7"/>
    </row>
    <row r="189" spans="1:51" ht="16.5" customHeight="1" x14ac:dyDescent="0.3">
      <c r="A189" s="22"/>
      <c r="B189" s="151"/>
      <c r="C189" s="152" t="s">
        <v>258</v>
      </c>
      <c r="D189" s="85"/>
      <c r="E189" s="85"/>
      <c r="F189" s="152"/>
      <c r="G189" s="85"/>
      <c r="H189" s="85"/>
      <c r="I189" s="86">
        <f t="shared" ref="I189:T189" si="41">I187+I171</f>
        <v>1019582508.1199999</v>
      </c>
      <c r="J189" s="86">
        <f t="shared" si="41"/>
        <v>991391732.81999993</v>
      </c>
      <c r="K189" s="86">
        <f t="shared" si="41"/>
        <v>1169660334.6799998</v>
      </c>
      <c r="L189" s="86">
        <f t="shared" si="41"/>
        <v>1192791099.5799999</v>
      </c>
      <c r="M189" s="86">
        <f t="shared" si="41"/>
        <v>1063310665.5</v>
      </c>
      <c r="N189" s="86">
        <f t="shared" si="41"/>
        <v>0</v>
      </c>
      <c r="O189" s="86">
        <f t="shared" si="41"/>
        <v>0</v>
      </c>
      <c r="P189" s="86">
        <f t="shared" si="41"/>
        <v>0</v>
      </c>
      <c r="Q189" s="86">
        <f t="shared" si="41"/>
        <v>0</v>
      </c>
      <c r="R189" s="86">
        <f t="shared" si="41"/>
        <v>0</v>
      </c>
      <c r="S189" s="86">
        <f t="shared" si="41"/>
        <v>0</v>
      </c>
      <c r="T189" s="86">
        <f t="shared" si="41"/>
        <v>0</v>
      </c>
      <c r="U189" s="7"/>
      <c r="V189" s="88">
        <f>V187+V171</f>
        <v>5436736340.6999998</v>
      </c>
      <c r="W189" s="40"/>
      <c r="X189" s="86">
        <f t="shared" ref="X189:AI189" si="42">X187+X171</f>
        <v>1203244369.9787822</v>
      </c>
      <c r="Y189" s="86">
        <f t="shared" si="42"/>
        <v>1136456455.3783407</v>
      </c>
      <c r="Z189" s="86">
        <f t="shared" si="42"/>
        <v>1204588602.38728</v>
      </c>
      <c r="AA189" s="86">
        <f t="shared" si="42"/>
        <v>1280353247.3965254</v>
      </c>
      <c r="AB189" s="86">
        <f t="shared" si="42"/>
        <v>1343026710.5597036</v>
      </c>
      <c r="AC189" s="86">
        <f t="shared" si="42"/>
        <v>1354100249.0629134</v>
      </c>
      <c r="AD189" s="86">
        <f t="shared" si="42"/>
        <v>1625027666.3349767</v>
      </c>
      <c r="AE189" s="86">
        <f t="shared" si="42"/>
        <v>1466677087.5712245</v>
      </c>
      <c r="AF189" s="86">
        <f t="shared" si="42"/>
        <v>1532699885.0073175</v>
      </c>
      <c r="AG189" s="86">
        <f t="shared" si="42"/>
        <v>1613455927.8976204</v>
      </c>
      <c r="AH189" s="86">
        <f t="shared" si="42"/>
        <v>1590912963.1449089</v>
      </c>
      <c r="AI189" s="86">
        <f t="shared" si="42"/>
        <v>1644146458.8141501</v>
      </c>
      <c r="AJ189" s="40"/>
      <c r="AK189" s="86">
        <f>AK187+AK171</f>
        <v>6167669385.7006321</v>
      </c>
      <c r="AL189" s="10"/>
      <c r="AM189" s="30"/>
      <c r="AN189" s="47"/>
      <c r="AO189" s="146"/>
      <c r="AP189" s="7"/>
      <c r="AQ189" s="7"/>
      <c r="AR189" s="7"/>
      <c r="AS189" s="7"/>
    </row>
    <row r="190" spans="1:51" ht="12.75" customHeight="1" x14ac:dyDescent="0.3">
      <c r="A190" s="18"/>
      <c r="B190" s="5"/>
      <c r="C190" s="5"/>
      <c r="D190" s="50"/>
      <c r="E190" s="50"/>
      <c r="F190" s="175"/>
      <c r="G190" s="50"/>
      <c r="H190" s="50"/>
      <c r="I190" s="52"/>
      <c r="J190" s="52"/>
      <c r="K190" s="52"/>
      <c r="L190" s="52"/>
      <c r="M190" s="52"/>
      <c r="N190" s="52"/>
      <c r="O190" s="52"/>
      <c r="P190" s="52"/>
      <c r="Q190" s="52"/>
      <c r="R190" s="52"/>
      <c r="S190" s="52"/>
      <c r="T190" s="52"/>
      <c r="U190" s="7"/>
      <c r="V190" s="54"/>
      <c r="W190" s="9"/>
      <c r="X190" s="52"/>
      <c r="Y190" s="52"/>
      <c r="Z190" s="52"/>
      <c r="AA190" s="52"/>
      <c r="AB190" s="52"/>
      <c r="AC190" s="52"/>
      <c r="AD190" s="52"/>
      <c r="AE190" s="52"/>
      <c r="AF190" s="52"/>
      <c r="AG190" s="52"/>
      <c r="AH190" s="52"/>
      <c r="AI190" s="52"/>
      <c r="AJ190" s="9"/>
      <c r="AK190" s="54"/>
      <c r="AL190" s="10"/>
      <c r="AM190" s="30"/>
      <c r="AN190" s="7"/>
      <c r="AO190" s="7"/>
      <c r="AP190" s="7"/>
      <c r="AQ190" s="7"/>
      <c r="AR190" s="7"/>
      <c r="AS190" s="7"/>
      <c r="AT190" s="7"/>
      <c r="AU190" s="7"/>
      <c r="AV190" s="7"/>
      <c r="AW190" s="7"/>
      <c r="AX190" s="7"/>
      <c r="AY190" s="7"/>
    </row>
    <row r="191" spans="1:51" ht="12" customHeight="1" x14ac:dyDescent="0.3">
      <c r="A191" s="22"/>
      <c r="B191" s="31" t="s">
        <v>245</v>
      </c>
      <c r="C191" s="159"/>
      <c r="D191" s="160"/>
      <c r="E191" s="160"/>
      <c r="F191" s="159"/>
      <c r="G191" s="160"/>
      <c r="H191" s="160"/>
      <c r="I191" s="161">
        <f>+I173-I176-I178-I180-I182-I184-I186</f>
        <v>893156761.70889997</v>
      </c>
      <c r="J191" s="161">
        <f>+J173-J176-J178-J180-J182-J184-J186</f>
        <v>866836229.5500164</v>
      </c>
      <c r="K191" s="161">
        <f>+K173-K176-K178-K180-K182-K184-K186</f>
        <v>850323476.98128343</v>
      </c>
      <c r="L191" s="161">
        <f>+L173-L176-L178-L180-L182-L184-L186</f>
        <v>934513843.24999988</v>
      </c>
      <c r="M191" s="161">
        <f>+M173-M176-M178-M180-M182-M184-M186</f>
        <v>1107263377.0199997</v>
      </c>
      <c r="N191" s="161">
        <f t="shared" ref="N191:T191" si="43">+N173-N176+N180-N182-N186-N178-N184</f>
        <v>0</v>
      </c>
      <c r="O191" s="161">
        <f t="shared" si="43"/>
        <v>0</v>
      </c>
      <c r="P191" s="161">
        <f t="shared" si="43"/>
        <v>0</v>
      </c>
      <c r="Q191" s="161">
        <f t="shared" si="43"/>
        <v>0</v>
      </c>
      <c r="R191" s="161">
        <f t="shared" si="43"/>
        <v>0</v>
      </c>
      <c r="S191" s="161">
        <f t="shared" si="43"/>
        <v>0</v>
      </c>
      <c r="T191" s="161">
        <f t="shared" si="43"/>
        <v>0</v>
      </c>
      <c r="U191" s="162"/>
      <c r="V191" s="163">
        <f>+V173-V176-V178-V180-V182-V184-V186</f>
        <v>4652093688.5102024</v>
      </c>
      <c r="W191" s="164"/>
      <c r="X191" s="161">
        <v>656528957.98450518</v>
      </c>
      <c r="Y191" s="161">
        <v>604101156.37654936</v>
      </c>
      <c r="Z191" s="161">
        <v>685716276.66701436</v>
      </c>
      <c r="AA191" s="161">
        <v>708031695.95767212</v>
      </c>
      <c r="AB191" s="161">
        <v>758714846.88717055</v>
      </c>
      <c r="AC191" s="161">
        <v>757955308.50096726</v>
      </c>
      <c r="AD191" s="161">
        <v>708904320.15015113</v>
      </c>
      <c r="AE191" s="161">
        <v>838544340.61878514</v>
      </c>
      <c r="AF191" s="161">
        <v>889253296.12303281</v>
      </c>
      <c r="AG191" s="161">
        <v>924217813.11455369</v>
      </c>
      <c r="AH191" s="161">
        <v>891442712.45734119</v>
      </c>
      <c r="AI191" s="161">
        <v>918013505.24757457</v>
      </c>
      <c r="AJ191" s="164"/>
      <c r="AK191" s="163">
        <f>+AK173-AK176+AK180-AK182-AK186-AK178-AK184</f>
        <v>3413092933.8729134</v>
      </c>
      <c r="AL191" s="10"/>
      <c r="AM191" s="30">
        <f>+V191-AK191</f>
        <v>1239000754.637289</v>
      </c>
      <c r="AN191" s="47">
        <f>+AM191/AK191</f>
        <v>0.36301406924521301</v>
      </c>
      <c r="AO191" s="7"/>
      <c r="AP191" s="7"/>
      <c r="AQ191" s="7"/>
      <c r="AR191" s="7"/>
      <c r="AS191" s="7"/>
    </row>
    <row r="192" spans="1:51" ht="12.75" customHeight="1" x14ac:dyDescent="0.3">
      <c r="A192" s="22"/>
      <c r="B192" s="165" t="s">
        <v>247</v>
      </c>
      <c r="C192" s="166"/>
      <c r="D192" s="167"/>
      <c r="E192" s="167"/>
      <c r="F192" s="166"/>
      <c r="G192" s="167"/>
      <c r="H192" s="167"/>
      <c r="I192" s="168">
        <f t="shared" ref="I192:T192" si="44">+I191/I42</f>
        <v>0.46695165190433685</v>
      </c>
      <c r="J192" s="168">
        <f t="shared" si="44"/>
        <v>0.46648540819740886</v>
      </c>
      <c r="K192" s="168">
        <f t="shared" si="44"/>
        <v>0.42095558987770149</v>
      </c>
      <c r="L192" s="168">
        <f t="shared" si="44"/>
        <v>0.4392947265974928</v>
      </c>
      <c r="M192" s="168">
        <f t="shared" si="44"/>
        <v>0.51012467454668609</v>
      </c>
      <c r="N192" s="168" t="e">
        <f t="shared" si="44"/>
        <v>#DIV/0!</v>
      </c>
      <c r="O192" s="168" t="e">
        <f t="shared" si="44"/>
        <v>#DIV/0!</v>
      </c>
      <c r="P192" s="168" t="e">
        <f t="shared" si="44"/>
        <v>#DIV/0!</v>
      </c>
      <c r="Q192" s="168" t="e">
        <f t="shared" si="44"/>
        <v>#DIV/0!</v>
      </c>
      <c r="R192" s="168" t="e">
        <f t="shared" si="44"/>
        <v>#DIV/0!</v>
      </c>
      <c r="S192" s="168" t="e">
        <f t="shared" si="44"/>
        <v>#DIV/0!</v>
      </c>
      <c r="T192" s="168" t="e">
        <f t="shared" si="44"/>
        <v>#DIV/0!</v>
      </c>
      <c r="U192" s="7"/>
      <c r="V192" s="169">
        <f>+V191/V42</f>
        <v>0.46111329807727858</v>
      </c>
      <c r="W192" s="9"/>
      <c r="X192" s="168">
        <v>0.35301557889503471</v>
      </c>
      <c r="Y192" s="168">
        <v>0.34707334724041328</v>
      </c>
      <c r="Z192" s="168">
        <v>0.36275432829125059</v>
      </c>
      <c r="AA192" s="168">
        <v>0.35608381481872248</v>
      </c>
      <c r="AB192" s="168">
        <v>0.36099340768083399</v>
      </c>
      <c r="AC192" s="168">
        <v>0.35887091406592531</v>
      </c>
      <c r="AD192" s="168">
        <v>0.30373820842044003</v>
      </c>
      <c r="AE192" s="168">
        <v>0.36375869596058052</v>
      </c>
      <c r="AF192" s="168">
        <v>0.36716370202829818</v>
      </c>
      <c r="AG192" s="168">
        <v>0.36419883225253408</v>
      </c>
      <c r="AH192" s="168">
        <v>0.3591115975921001</v>
      </c>
      <c r="AI192" s="168">
        <v>0.35829671766171539</v>
      </c>
      <c r="AJ192" s="9"/>
      <c r="AK192" s="169">
        <f>+AK191/AK42</f>
        <v>0.35624440102223887</v>
      </c>
      <c r="AL192" s="10"/>
      <c r="AM192" s="30"/>
      <c r="AN192" s="7"/>
      <c r="AO192" s="7"/>
      <c r="AP192" s="7"/>
      <c r="AQ192" s="7"/>
      <c r="AR192" s="7"/>
      <c r="AS192" s="7"/>
    </row>
    <row r="193" spans="1:51" ht="11.25" customHeight="1" x14ac:dyDescent="0.3">
      <c r="A193" s="1"/>
      <c r="B193" s="2"/>
      <c r="C193" s="2"/>
      <c r="D193" s="60"/>
      <c r="E193" s="60"/>
      <c r="F193" s="2"/>
      <c r="G193" s="60"/>
      <c r="H193" s="60"/>
      <c r="I193" s="6"/>
      <c r="J193" s="6"/>
      <c r="K193" s="178">
        <f>+K186/K173</f>
        <v>0.44570703943541323</v>
      </c>
      <c r="L193" s="6"/>
      <c r="M193" s="6"/>
      <c r="N193" s="6"/>
      <c r="O193" s="6"/>
      <c r="P193" s="6"/>
      <c r="Q193" s="6"/>
      <c r="R193" s="6"/>
      <c r="S193" s="6" t="s">
        <v>259</v>
      </c>
      <c r="T193" s="179">
        <f>(+V40-V15-V16-V14)-((+V40-V15-V16-V14)*5%)</f>
        <v>3013353039.7767386</v>
      </c>
      <c r="U193" s="7"/>
      <c r="V193" s="180"/>
      <c r="W193" s="9"/>
      <c r="X193" s="6"/>
      <c r="Y193" s="6"/>
      <c r="Z193" s="6"/>
      <c r="AA193" s="6"/>
      <c r="AB193" s="6"/>
      <c r="AC193" s="6"/>
      <c r="AD193" s="6"/>
      <c r="AE193" s="6"/>
      <c r="AF193" s="6"/>
      <c r="AG193" s="6"/>
      <c r="AH193" s="6" t="s">
        <v>259</v>
      </c>
      <c r="AI193" s="6">
        <v>7237655424.5185823</v>
      </c>
      <c r="AJ193" s="9"/>
      <c r="AK193" s="96"/>
      <c r="AL193" s="10"/>
      <c r="AM193" s="30"/>
      <c r="AN193" s="7"/>
      <c r="AO193" s="7"/>
      <c r="AP193" s="7"/>
      <c r="AQ193" s="7"/>
      <c r="AR193" s="7"/>
      <c r="AS193" s="7"/>
    </row>
    <row r="194" spans="1:51" ht="12.75" customHeight="1" x14ac:dyDescent="0.3">
      <c r="A194" s="1"/>
      <c r="B194" s="2"/>
      <c r="C194" s="2"/>
      <c r="D194" s="60"/>
      <c r="E194" s="60" t="s">
        <v>260</v>
      </c>
      <c r="F194" s="60" t="s">
        <v>261</v>
      </c>
      <c r="G194" s="60" t="s">
        <v>262</v>
      </c>
      <c r="H194" s="60" t="s">
        <v>263</v>
      </c>
      <c r="I194" s="6"/>
      <c r="J194" s="6"/>
      <c r="K194" s="6"/>
      <c r="L194" s="6"/>
      <c r="M194" s="6"/>
      <c r="N194" s="6"/>
      <c r="O194" s="6"/>
      <c r="P194" s="6"/>
      <c r="Q194" s="7"/>
      <c r="R194" s="6"/>
      <c r="S194" s="6" t="s">
        <v>264</v>
      </c>
      <c r="T194" s="179">
        <f>+V171-V168-V157-V152-V139-V71-V54</f>
        <v>2081411092.27</v>
      </c>
      <c r="U194" s="7"/>
      <c r="V194" s="96"/>
      <c r="W194" s="9"/>
      <c r="X194" s="6"/>
      <c r="Y194" s="6"/>
      <c r="Z194" s="6"/>
      <c r="AA194" s="6"/>
      <c r="AB194" s="6"/>
      <c r="AC194" s="6"/>
      <c r="AD194" s="6"/>
      <c r="AE194" s="6"/>
      <c r="AF194" s="6"/>
      <c r="AG194" s="6"/>
      <c r="AH194" s="6" t="s">
        <v>264</v>
      </c>
      <c r="AI194" s="6">
        <v>6877857530.3829269</v>
      </c>
      <c r="AJ194" s="9"/>
      <c r="AK194" s="96"/>
      <c r="AL194" s="10"/>
      <c r="AM194" s="30"/>
      <c r="AN194" s="7"/>
      <c r="AO194" s="7"/>
      <c r="AP194" s="7"/>
      <c r="AQ194" s="7"/>
      <c r="AR194" s="7"/>
      <c r="AS194" s="7"/>
    </row>
    <row r="195" spans="1:51" ht="12" customHeight="1" outlineLevel="1" x14ac:dyDescent="0.3">
      <c r="A195" s="1"/>
      <c r="B195" s="60"/>
      <c r="C195" s="60"/>
      <c r="D195" s="60"/>
      <c r="E195" s="181">
        <v>2.1000000000000001E-2</v>
      </c>
      <c r="F195" s="181">
        <v>2.3E-2</v>
      </c>
      <c r="G195" s="181">
        <v>0.02</v>
      </c>
      <c r="H195" s="181">
        <v>0.02</v>
      </c>
      <c r="I195" s="182"/>
      <c r="J195" s="182"/>
      <c r="K195" s="182"/>
      <c r="L195" s="182"/>
      <c r="M195" s="182"/>
      <c r="N195" s="182"/>
      <c r="O195" s="183">
        <f>1*(1+G195)*(1+H196)*(1+I196)*(1+J196)*(1+K196)*(1+L196)</f>
        <v>1.1686890974519375</v>
      </c>
      <c r="P195" s="182"/>
      <c r="Q195" s="182"/>
      <c r="R195" s="182"/>
      <c r="S195" s="182"/>
      <c r="T195" s="7"/>
      <c r="U195" s="7"/>
      <c r="V195" s="184"/>
      <c r="W195" s="9"/>
      <c r="X195" s="182"/>
      <c r="Y195" s="182"/>
      <c r="Z195" s="182"/>
      <c r="AA195" s="182"/>
      <c r="AB195" s="182"/>
      <c r="AC195" s="182"/>
      <c r="AD195" s="182"/>
      <c r="AE195" s="182"/>
      <c r="AF195" s="182"/>
      <c r="AG195" s="182"/>
      <c r="AH195" s="182"/>
      <c r="AI195" s="182"/>
      <c r="AJ195" s="9"/>
      <c r="AK195" s="184"/>
      <c r="AL195" s="10"/>
      <c r="AM195" s="30"/>
      <c r="AN195" s="7"/>
      <c r="AO195" s="7"/>
      <c r="AP195" s="7"/>
      <c r="AQ195" s="7"/>
      <c r="AR195" s="7"/>
      <c r="AS195" s="7"/>
    </row>
    <row r="196" spans="1:51" ht="12" customHeight="1" outlineLevel="1" x14ac:dyDescent="0.3">
      <c r="A196" s="1"/>
      <c r="B196" s="60"/>
      <c r="C196" s="60"/>
      <c r="D196" s="60"/>
      <c r="E196" s="60"/>
      <c r="F196" s="185"/>
      <c r="G196" s="186" t="s">
        <v>265</v>
      </c>
      <c r="H196" s="187">
        <f>+H195</f>
        <v>0.02</v>
      </c>
      <c r="I196" s="187">
        <v>2.9000000000000001E-2</v>
      </c>
      <c r="J196" s="187">
        <v>2.9000000000000001E-2</v>
      </c>
      <c r="K196" s="187">
        <v>3.4000000000000002E-2</v>
      </c>
      <c r="L196" s="187">
        <v>2.5999999999999999E-2</v>
      </c>
      <c r="M196" s="187">
        <v>2.1000000000000001E-2</v>
      </c>
      <c r="N196" s="187">
        <f t="shared" ref="N196:T196" si="45">+ipcene</f>
        <v>2.9000000000000001E-2</v>
      </c>
      <c r="O196" s="187">
        <f t="shared" si="45"/>
        <v>2.9000000000000001E-2</v>
      </c>
      <c r="P196" s="187">
        <f t="shared" si="45"/>
        <v>2.9000000000000001E-2</v>
      </c>
      <c r="Q196" s="187">
        <f t="shared" si="45"/>
        <v>2.9000000000000001E-2</v>
      </c>
      <c r="R196" s="187">
        <f t="shared" si="45"/>
        <v>2.9000000000000001E-2</v>
      </c>
      <c r="S196" s="187">
        <f t="shared" si="45"/>
        <v>2.9000000000000001E-2</v>
      </c>
      <c r="T196" s="187">
        <f t="shared" si="45"/>
        <v>2.9000000000000001E-2</v>
      </c>
      <c r="U196" s="188"/>
      <c r="V196" s="189"/>
      <c r="W196" s="190"/>
      <c r="X196" s="187">
        <v>1.4999999999999999E-2</v>
      </c>
      <c r="Y196" s="187">
        <v>1.4999999999999999E-2</v>
      </c>
      <c r="Z196" s="187">
        <v>1.4999999999999999E-2</v>
      </c>
      <c r="AA196" s="187">
        <v>1.4999999999999999E-2</v>
      </c>
      <c r="AB196" s="187">
        <v>1.4999999999999999E-2</v>
      </c>
      <c r="AC196" s="187">
        <v>1.4999999999999999E-2</v>
      </c>
      <c r="AD196" s="187">
        <v>1.4999999999999999E-2</v>
      </c>
      <c r="AE196" s="187">
        <v>1.4999999999999999E-2</v>
      </c>
      <c r="AF196" s="187">
        <v>1.4999999999999999E-2</v>
      </c>
      <c r="AG196" s="187">
        <v>1.4999999999999999E-2</v>
      </c>
      <c r="AH196" s="187">
        <v>1.4999999999999999E-2</v>
      </c>
      <c r="AI196" s="187">
        <v>1.4999999999999999E-2</v>
      </c>
      <c r="AJ196" s="190"/>
      <c r="AK196" s="189"/>
      <c r="AL196" s="191"/>
      <c r="AM196" s="30"/>
      <c r="AN196" s="7"/>
      <c r="AO196" s="7"/>
      <c r="AP196" s="7"/>
      <c r="AQ196" s="7"/>
      <c r="AR196" s="7"/>
      <c r="AS196" s="7"/>
    </row>
    <row r="197" spans="1:51" ht="12" customHeight="1" outlineLevel="1" x14ac:dyDescent="0.3">
      <c r="A197" s="1"/>
      <c r="B197" s="60"/>
      <c r="C197" s="60"/>
      <c r="D197" s="60"/>
      <c r="E197" s="60"/>
      <c r="F197" s="192"/>
      <c r="G197" s="193" t="s">
        <v>266</v>
      </c>
      <c r="H197" s="193"/>
      <c r="I197" s="183">
        <f>100*(1+ipcene)</f>
        <v>102.89999999999999</v>
      </c>
      <c r="J197" s="183">
        <f t="shared" ref="J197:T197" si="46">+I197*(1+J196)</f>
        <v>105.88409999999999</v>
      </c>
      <c r="K197" s="183">
        <f t="shared" si="46"/>
        <v>109.4841594</v>
      </c>
      <c r="L197" s="183">
        <f t="shared" si="46"/>
        <v>112.3307475444</v>
      </c>
      <c r="M197" s="183">
        <f t="shared" si="46"/>
        <v>114.68969324283239</v>
      </c>
      <c r="N197" s="183">
        <f t="shared" si="46"/>
        <v>118.01569434687453</v>
      </c>
      <c r="O197" s="183">
        <f t="shared" si="46"/>
        <v>121.43814948293388</v>
      </c>
      <c r="P197" s="183">
        <f t="shared" si="46"/>
        <v>124.95985581793896</v>
      </c>
      <c r="Q197" s="183">
        <f t="shared" si="46"/>
        <v>128.58369163665918</v>
      </c>
      <c r="R197" s="183">
        <f t="shared" si="46"/>
        <v>132.31261869412228</v>
      </c>
      <c r="S197" s="183">
        <f t="shared" si="46"/>
        <v>136.14968463625181</v>
      </c>
      <c r="T197" s="183">
        <f t="shared" si="46"/>
        <v>140.09802549070309</v>
      </c>
      <c r="U197" s="7"/>
      <c r="V197" s="194"/>
      <c r="W197" s="9"/>
      <c r="X197" s="195">
        <v>101.5</v>
      </c>
      <c r="Y197" s="195">
        <v>103.02249999999999</v>
      </c>
      <c r="Z197" s="195">
        <v>104.5678375</v>
      </c>
      <c r="AA197" s="195">
        <v>106.1363550625</v>
      </c>
      <c r="AB197" s="195">
        <v>107.72840038843739</v>
      </c>
      <c r="AC197" s="195">
        <v>109.344326394264</v>
      </c>
      <c r="AD197" s="195">
        <v>110.984491290178</v>
      </c>
      <c r="AE197" s="195">
        <v>112.6492586595306</v>
      </c>
      <c r="AF197" s="195">
        <v>114.3389975394236</v>
      </c>
      <c r="AG197" s="195">
        <v>116.0540825025149</v>
      </c>
      <c r="AH197" s="195">
        <v>117.7948937400526</v>
      </c>
      <c r="AI197" s="195">
        <v>119.5618171461534</v>
      </c>
      <c r="AJ197" s="9"/>
      <c r="AK197" s="194"/>
      <c r="AL197" s="10"/>
      <c r="AM197" s="30"/>
      <c r="AN197" s="7"/>
      <c r="AO197" s="7"/>
      <c r="AP197" s="7"/>
      <c r="AQ197" s="7"/>
      <c r="AR197" s="7"/>
      <c r="AS197" s="7"/>
    </row>
    <row r="198" spans="1:51" ht="12" customHeight="1" outlineLevel="1" x14ac:dyDescent="0.3">
      <c r="A198" s="1"/>
      <c r="B198" s="2"/>
      <c r="C198" s="2"/>
      <c r="D198" s="2"/>
      <c r="E198" s="60"/>
      <c r="F198" s="192"/>
      <c r="G198" s="193" t="s">
        <v>267</v>
      </c>
      <c r="H198" s="196">
        <f>1*(1+E195)*(1+F195)*(1+G195)</f>
        <v>1.0653726599999997</v>
      </c>
      <c r="I198" s="197"/>
      <c r="J198" s="197"/>
      <c r="K198" s="197">
        <f>1*(1+H196)*(1+I196)*(1+J196)</f>
        <v>1.0800178199999999</v>
      </c>
      <c r="L198" s="183">
        <f>1*(1+I196)*(1+J196)*(1+K196)</f>
        <v>1.094841594</v>
      </c>
      <c r="M198" s="183"/>
      <c r="N198" s="183">
        <f>1*(1+K196)*(1+L196)*(1+M196)</f>
        <v>1.083162564</v>
      </c>
      <c r="O198" s="183">
        <f>1*(1+L196)*(1+M196)*(1+N196)</f>
        <v>1.0779248339999998</v>
      </c>
      <c r="P198" s="183"/>
      <c r="Q198" s="183">
        <f>1*(1+N196)*(1+O196)*(1+P196)</f>
        <v>1.0895473889999998</v>
      </c>
      <c r="R198" s="183">
        <f>1*(1+O196)*(1+P196)*(1+Q196)</f>
        <v>1.0895473889999998</v>
      </c>
      <c r="S198" s="183"/>
      <c r="T198" s="183"/>
      <c r="U198" s="198"/>
      <c r="V198" s="194"/>
      <c r="W198" s="9"/>
      <c r="X198" s="195"/>
      <c r="Y198" s="195"/>
      <c r="Z198" s="195">
        <v>1.0508295000000001</v>
      </c>
      <c r="AA198" s="195">
        <v>1.045678375</v>
      </c>
      <c r="AB198" s="195"/>
      <c r="AC198" s="195">
        <v>1.045678375</v>
      </c>
      <c r="AD198" s="195">
        <v>1.045678375</v>
      </c>
      <c r="AE198" s="195"/>
      <c r="AF198" s="195">
        <v>1.045678375</v>
      </c>
      <c r="AG198" s="195">
        <v>1.045678375</v>
      </c>
      <c r="AH198" s="195"/>
      <c r="AI198" s="195"/>
      <c r="AJ198" s="9"/>
      <c r="AK198" s="194"/>
      <c r="AL198" s="10"/>
      <c r="AM198" s="30"/>
      <c r="AN198" s="7"/>
      <c r="AO198" s="7"/>
      <c r="AP198" s="7"/>
      <c r="AQ198" s="7"/>
      <c r="AR198" s="7"/>
      <c r="AS198" s="7"/>
    </row>
    <row r="199" spans="1:51" ht="12" customHeight="1" outlineLevel="1" x14ac:dyDescent="0.3">
      <c r="A199" s="18"/>
      <c r="B199" s="5"/>
      <c r="C199" s="5"/>
      <c r="D199" s="5"/>
      <c r="E199" s="50"/>
      <c r="F199" s="199"/>
      <c r="G199" s="200" t="s">
        <v>268</v>
      </c>
      <c r="H199" s="201"/>
      <c r="I199" s="202"/>
      <c r="J199" s="202"/>
      <c r="K199" s="202">
        <f t="shared" ref="K199:T199" si="47">+J199</f>
        <v>0</v>
      </c>
      <c r="L199" s="202">
        <f t="shared" si="47"/>
        <v>0</v>
      </c>
      <c r="M199" s="202">
        <f t="shared" si="47"/>
        <v>0</v>
      </c>
      <c r="N199" s="202">
        <f t="shared" si="47"/>
        <v>0</v>
      </c>
      <c r="O199" s="202">
        <f t="shared" si="47"/>
        <v>0</v>
      </c>
      <c r="P199" s="202">
        <f t="shared" si="47"/>
        <v>0</v>
      </c>
      <c r="Q199" s="202">
        <f t="shared" si="47"/>
        <v>0</v>
      </c>
      <c r="R199" s="202">
        <f t="shared" si="47"/>
        <v>0</v>
      </c>
      <c r="S199" s="202">
        <f t="shared" si="47"/>
        <v>0</v>
      </c>
      <c r="T199" s="202">
        <f t="shared" si="47"/>
        <v>0</v>
      </c>
      <c r="U199" s="203"/>
      <c r="V199" s="204"/>
      <c r="W199" s="205"/>
      <c r="X199" s="202"/>
      <c r="Y199" s="202"/>
      <c r="Z199" s="202">
        <v>1.01</v>
      </c>
      <c r="AA199" s="202">
        <v>1.01</v>
      </c>
      <c r="AB199" s="202">
        <v>1.01</v>
      </c>
      <c r="AC199" s="202">
        <v>1.01</v>
      </c>
      <c r="AD199" s="202">
        <v>1.01</v>
      </c>
      <c r="AE199" s="202">
        <v>1.01</v>
      </c>
      <c r="AF199" s="202">
        <v>1.01</v>
      </c>
      <c r="AG199" s="202">
        <v>1.01</v>
      </c>
      <c r="AH199" s="202">
        <v>1.01</v>
      </c>
      <c r="AI199" s="202">
        <v>1.01</v>
      </c>
      <c r="AJ199" s="205"/>
      <c r="AK199" s="204"/>
      <c r="AL199" s="206"/>
      <c r="AM199" s="30"/>
      <c r="AN199" s="53"/>
      <c r="AO199" s="53"/>
      <c r="AP199" s="53"/>
      <c r="AQ199" s="53"/>
      <c r="AR199" s="53"/>
      <c r="AS199" s="53"/>
    </row>
    <row r="200" spans="1:51" ht="13.5" customHeight="1" outlineLevel="1" x14ac:dyDescent="0.3">
      <c r="A200" s="1"/>
      <c r="B200" s="2"/>
      <c r="C200" s="2"/>
      <c r="D200" s="2"/>
      <c r="E200" s="60"/>
      <c r="F200" s="60"/>
      <c r="G200" s="207"/>
      <c r="H200" s="207"/>
      <c r="I200" s="208"/>
      <c r="J200" s="208"/>
      <c r="K200" s="208"/>
      <c r="L200" s="209"/>
      <c r="M200" s="209"/>
      <c r="N200" s="209"/>
      <c r="O200" s="209"/>
      <c r="P200" s="209"/>
      <c r="Q200" s="209"/>
      <c r="R200" s="195"/>
      <c r="S200" s="209"/>
      <c r="T200" s="209"/>
      <c r="U200" s="198"/>
      <c r="V200" s="210"/>
      <c r="W200" s="9"/>
      <c r="X200" s="209"/>
      <c r="Y200" s="209"/>
      <c r="Z200" s="209"/>
      <c r="AA200" s="209"/>
      <c r="AB200" s="209"/>
      <c r="AC200" s="209"/>
      <c r="AD200" s="209"/>
      <c r="AE200" s="209"/>
      <c r="AF200" s="209"/>
      <c r="AG200" s="209"/>
      <c r="AH200" s="209"/>
      <c r="AI200" s="209"/>
      <c r="AJ200" s="9"/>
      <c r="AK200" s="211"/>
      <c r="AL200" s="10"/>
      <c r="AM200" s="30"/>
      <c r="AN200" s="7"/>
      <c r="AO200" s="7"/>
      <c r="AP200" s="7"/>
      <c r="AQ200" s="7"/>
      <c r="AR200" s="7"/>
      <c r="AS200" s="7"/>
    </row>
    <row r="201" spans="1:51" ht="12" customHeight="1" outlineLevel="1" x14ac:dyDescent="0.3">
      <c r="A201" s="1"/>
      <c r="B201" s="2"/>
      <c r="C201" s="2"/>
      <c r="D201" s="2"/>
      <c r="E201" s="60"/>
      <c r="F201" s="212"/>
      <c r="G201" s="213"/>
      <c r="H201" s="213"/>
      <c r="I201" s="214"/>
      <c r="J201" s="214"/>
      <c r="K201" s="214"/>
      <c r="L201" s="215">
        <f t="shared" ref="L201:T201" si="48">+K201</f>
        <v>0</v>
      </c>
      <c r="M201" s="215">
        <f t="shared" si="48"/>
        <v>0</v>
      </c>
      <c r="N201" s="215">
        <f t="shared" si="48"/>
        <v>0</v>
      </c>
      <c r="O201" s="215">
        <f t="shared" si="48"/>
        <v>0</v>
      </c>
      <c r="P201" s="215">
        <f t="shared" si="48"/>
        <v>0</v>
      </c>
      <c r="Q201" s="215">
        <f t="shared" si="48"/>
        <v>0</v>
      </c>
      <c r="R201" s="215">
        <f t="shared" si="48"/>
        <v>0</v>
      </c>
      <c r="S201" s="215">
        <f t="shared" si="48"/>
        <v>0</v>
      </c>
      <c r="T201" s="215">
        <f t="shared" si="48"/>
        <v>0</v>
      </c>
      <c r="U201" s="198"/>
      <c r="V201" s="216"/>
      <c r="W201" s="9"/>
      <c r="X201" s="215"/>
      <c r="Y201" s="215"/>
      <c r="Z201" s="215">
        <v>1.0249999999999999</v>
      </c>
      <c r="AA201" s="215">
        <v>1.0249999999999999</v>
      </c>
      <c r="AB201" s="215">
        <v>1.0249999999999999</v>
      </c>
      <c r="AC201" s="215">
        <v>1.0249999999999999</v>
      </c>
      <c r="AD201" s="215">
        <v>1.0249999999999999</v>
      </c>
      <c r="AE201" s="215">
        <v>1.0249999999999999</v>
      </c>
      <c r="AF201" s="215">
        <v>1.0249999999999999</v>
      </c>
      <c r="AG201" s="215">
        <v>1.0249999999999999</v>
      </c>
      <c r="AH201" s="215">
        <v>1.0249999999999999</v>
      </c>
      <c r="AI201" s="215">
        <v>1.0249999999999999</v>
      </c>
      <c r="AJ201" s="9"/>
      <c r="AK201" s="216"/>
      <c r="AL201" s="10"/>
      <c r="AM201" s="30"/>
      <c r="AN201" s="7"/>
      <c r="AO201" s="7"/>
      <c r="AP201" s="7"/>
      <c r="AQ201" s="7"/>
      <c r="AR201" s="7"/>
      <c r="AS201" s="7"/>
    </row>
    <row r="202" spans="1:51" ht="12" customHeight="1" outlineLevel="1" x14ac:dyDescent="0.3">
      <c r="A202" s="18"/>
      <c r="B202" s="5"/>
      <c r="C202" s="5"/>
      <c r="D202" s="5"/>
      <c r="E202" s="50"/>
      <c r="F202" s="192"/>
      <c r="G202" s="193" t="s">
        <v>269</v>
      </c>
      <c r="H202" s="193"/>
      <c r="I202" s="1069">
        <v>1460.32</v>
      </c>
      <c r="J202" s="1069">
        <v>1419</v>
      </c>
      <c r="K202" s="1069">
        <v>1437.53</v>
      </c>
      <c r="L202" s="1069">
        <v>1431.4</v>
      </c>
      <c r="M202" s="1069">
        <v>1434</v>
      </c>
      <c r="N202" s="217">
        <f t="shared" ref="N202:T202" si="49">+N203*N201</f>
        <v>0</v>
      </c>
      <c r="O202" s="217">
        <f t="shared" si="49"/>
        <v>0</v>
      </c>
      <c r="P202" s="217">
        <f t="shared" si="49"/>
        <v>0</v>
      </c>
      <c r="Q202" s="217">
        <f t="shared" si="49"/>
        <v>0</v>
      </c>
      <c r="R202" s="217">
        <f t="shared" si="49"/>
        <v>0</v>
      </c>
      <c r="S202" s="217">
        <f t="shared" si="49"/>
        <v>0</v>
      </c>
      <c r="T202" s="217">
        <f t="shared" si="49"/>
        <v>0</v>
      </c>
      <c r="U202" s="218"/>
      <c r="V202" s="219"/>
      <c r="W202" s="55"/>
      <c r="X202" s="217">
        <v>1537.5</v>
      </c>
      <c r="Y202" s="217">
        <v>1560.5625</v>
      </c>
      <c r="Z202" s="217">
        <v>1583.9709375</v>
      </c>
      <c r="AA202" s="217">
        <v>1607.7305015624991</v>
      </c>
      <c r="AB202" s="217">
        <v>1631.8464590859371</v>
      </c>
      <c r="AC202" s="217">
        <v>1656.324155972226</v>
      </c>
      <c r="AD202" s="217">
        <v>1681.1690183118089</v>
      </c>
      <c r="AE202" s="217">
        <v>1706.3865535864859</v>
      </c>
      <c r="AF202" s="217">
        <v>1731.9823518902831</v>
      </c>
      <c r="AG202" s="217">
        <v>1757.962087168637</v>
      </c>
      <c r="AH202" s="217">
        <v>1784.3315184761659</v>
      </c>
      <c r="AI202" s="217">
        <v>1811.0964912533091</v>
      </c>
      <c r="AJ202" s="55"/>
      <c r="AK202" s="219"/>
      <c r="AL202" s="56"/>
      <c r="AM202" s="220"/>
      <c r="AN202" s="53"/>
      <c r="AO202" s="53"/>
      <c r="AP202" s="53"/>
      <c r="AQ202" s="53"/>
      <c r="AR202" s="53"/>
      <c r="AS202" s="53"/>
      <c r="AT202" s="53"/>
      <c r="AU202" s="53"/>
      <c r="AV202" s="53"/>
      <c r="AW202" s="53"/>
      <c r="AX202" s="53"/>
      <c r="AY202" s="53"/>
    </row>
    <row r="203" spans="1:51" ht="12" customHeight="1" outlineLevel="1" x14ac:dyDescent="0.3">
      <c r="A203" s="18"/>
      <c r="B203" s="5"/>
      <c r="C203" s="5"/>
      <c r="D203" s="5"/>
      <c r="E203" s="50"/>
      <c r="F203" s="199"/>
      <c r="G203" s="200" t="s">
        <v>270</v>
      </c>
      <c r="H203" s="200"/>
      <c r="I203" s="1070">
        <v>1415</v>
      </c>
      <c r="J203" s="1070">
        <v>1420</v>
      </c>
      <c r="K203" s="1070">
        <v>1405</v>
      </c>
      <c r="L203" s="1071">
        <v>1415</v>
      </c>
      <c r="M203" s="1070">
        <v>1380</v>
      </c>
      <c r="N203" s="221">
        <f t="shared" ref="N203:T203" si="50">+M203*N204</f>
        <v>1400.6999999999998</v>
      </c>
      <c r="O203" s="221">
        <f t="shared" si="50"/>
        <v>1421.7104999999997</v>
      </c>
      <c r="P203" s="221">
        <f t="shared" si="50"/>
        <v>1443.0361574999995</v>
      </c>
      <c r="Q203" s="221">
        <f t="shared" si="50"/>
        <v>1464.6816998624993</v>
      </c>
      <c r="R203" s="221">
        <f t="shared" si="50"/>
        <v>1486.6519253604365</v>
      </c>
      <c r="S203" s="221">
        <f t="shared" si="50"/>
        <v>1508.9517042408429</v>
      </c>
      <c r="T203" s="221">
        <f t="shared" si="50"/>
        <v>1531.5859798044553</v>
      </c>
      <c r="U203" s="218"/>
      <c r="V203" s="222"/>
      <c r="W203" s="55"/>
      <c r="X203" s="221">
        <v>1500</v>
      </c>
      <c r="Y203" s="221">
        <v>1522.5</v>
      </c>
      <c r="Z203" s="221">
        <v>1545.3375000000001</v>
      </c>
      <c r="AA203" s="221">
        <v>1568.517562499999</v>
      </c>
      <c r="AB203" s="221">
        <v>1592.045325937499</v>
      </c>
      <c r="AC203" s="221">
        <v>1615.926005826562</v>
      </c>
      <c r="AD203" s="221">
        <v>1640.16489591396</v>
      </c>
      <c r="AE203" s="221">
        <v>1664.767369352669</v>
      </c>
      <c r="AF203" s="221">
        <v>1689.7388798929589</v>
      </c>
      <c r="AG203" s="221">
        <v>1715.0849630913531</v>
      </c>
      <c r="AH203" s="221">
        <v>1740.8112375377229</v>
      </c>
      <c r="AI203" s="221">
        <v>1766.923406100789</v>
      </c>
      <c r="AJ203" s="55"/>
      <c r="AK203" s="219"/>
      <c r="AL203" s="56"/>
      <c r="AM203" s="220"/>
      <c r="AN203" s="53"/>
      <c r="AO203" s="53"/>
      <c r="AP203" s="53"/>
      <c r="AQ203" s="53"/>
      <c r="AR203" s="53"/>
      <c r="AS203" s="53"/>
      <c r="AT203" s="53"/>
      <c r="AU203" s="53"/>
      <c r="AV203" s="53"/>
      <c r="AW203" s="53"/>
      <c r="AX203" s="53"/>
      <c r="AY203" s="53"/>
    </row>
    <row r="204" spans="1:51" ht="9.75" customHeight="1" outlineLevel="1" x14ac:dyDescent="0.3">
      <c r="A204" s="1"/>
      <c r="B204" s="2"/>
      <c r="C204" s="2"/>
      <c r="D204" s="2"/>
      <c r="E204" s="60"/>
      <c r="F204" s="2"/>
      <c r="G204" s="60"/>
      <c r="H204" s="60"/>
      <c r="I204" s="60">
        <v>1.0149999999999999</v>
      </c>
      <c r="J204" s="60">
        <f t="shared" ref="J204:T204" si="51">+I204</f>
        <v>1.0149999999999999</v>
      </c>
      <c r="K204" s="60">
        <f t="shared" si="51"/>
        <v>1.0149999999999999</v>
      </c>
      <c r="L204" s="60">
        <f t="shared" si="51"/>
        <v>1.0149999999999999</v>
      </c>
      <c r="M204" s="60">
        <f t="shared" si="51"/>
        <v>1.0149999999999999</v>
      </c>
      <c r="N204" s="60">
        <f t="shared" si="51"/>
        <v>1.0149999999999999</v>
      </c>
      <c r="O204" s="60">
        <f t="shared" si="51"/>
        <v>1.0149999999999999</v>
      </c>
      <c r="P204" s="60">
        <f t="shared" si="51"/>
        <v>1.0149999999999999</v>
      </c>
      <c r="Q204" s="60">
        <f t="shared" si="51"/>
        <v>1.0149999999999999</v>
      </c>
      <c r="R204" s="60">
        <f t="shared" si="51"/>
        <v>1.0149999999999999</v>
      </c>
      <c r="S204" s="60">
        <f t="shared" si="51"/>
        <v>1.0149999999999999</v>
      </c>
      <c r="T204" s="60">
        <f t="shared" si="51"/>
        <v>1.0149999999999999</v>
      </c>
      <c r="U204" s="7"/>
      <c r="V204" s="223"/>
      <c r="W204" s="9"/>
      <c r="X204" s="60">
        <v>1.0149999999999999</v>
      </c>
      <c r="Y204" s="60">
        <v>1.0149999999999999</v>
      </c>
      <c r="Z204" s="60">
        <v>1.0149999999999999</v>
      </c>
      <c r="AA204" s="60">
        <v>1.0149999999999999</v>
      </c>
      <c r="AB204" s="60">
        <v>1.0149999999999999</v>
      </c>
      <c r="AC204" s="60">
        <v>1.0149999999999999</v>
      </c>
      <c r="AD204" s="60">
        <v>1.0149999999999999</v>
      </c>
      <c r="AE204" s="60">
        <v>1.0149999999999999</v>
      </c>
      <c r="AF204" s="60">
        <v>1.0149999999999999</v>
      </c>
      <c r="AG204" s="60">
        <v>1.0149999999999999</v>
      </c>
      <c r="AH204" s="60">
        <v>1.0149999999999999</v>
      </c>
      <c r="AI204" s="60">
        <v>1.0149999999999999</v>
      </c>
      <c r="AJ204" s="9"/>
      <c r="AK204" s="224"/>
      <c r="AL204" s="10"/>
      <c r="AM204" s="30"/>
      <c r="AN204" s="7"/>
      <c r="AO204" s="7"/>
      <c r="AP204" s="7"/>
      <c r="AQ204" s="7"/>
      <c r="AR204" s="7"/>
      <c r="AS204" s="7"/>
    </row>
    <row r="205" spans="1:51" ht="14.25" customHeight="1" outlineLevel="1" x14ac:dyDescent="0.3">
      <c r="A205" s="1"/>
      <c r="B205" s="2"/>
      <c r="C205" s="225"/>
      <c r="D205" s="7"/>
      <c r="E205" s="60"/>
      <c r="F205" s="225"/>
      <c r="G205" s="60"/>
      <c r="H205" s="60"/>
      <c r="I205" s="226"/>
      <c r="J205" s="226"/>
      <c r="K205" s="226"/>
      <c r="L205" s="226"/>
      <c r="M205" s="226"/>
      <c r="N205" s="226"/>
      <c r="O205" s="226"/>
      <c r="P205" s="226"/>
      <c r="Q205" s="226"/>
      <c r="R205" s="226"/>
      <c r="S205" s="226"/>
      <c r="T205" s="226"/>
      <c r="U205" s="7"/>
      <c r="V205" s="227"/>
      <c r="W205" s="9"/>
      <c r="X205" s="226"/>
      <c r="Y205" s="226"/>
      <c r="Z205" s="226"/>
      <c r="AA205" s="226"/>
      <c r="AB205" s="226"/>
      <c r="AC205" s="226"/>
      <c r="AD205" s="226"/>
      <c r="AE205" s="226"/>
      <c r="AF205" s="226"/>
      <c r="AG205" s="226"/>
      <c r="AH205" s="226"/>
      <c r="AI205" s="226"/>
      <c r="AJ205" s="9"/>
      <c r="AK205" s="227"/>
      <c r="AL205" s="10"/>
      <c r="AM205" s="30"/>
      <c r="AN205" s="7"/>
      <c r="AO205" s="7"/>
      <c r="AP205" s="7"/>
      <c r="AQ205" s="7"/>
      <c r="AR205" s="7"/>
      <c r="AS205" s="7"/>
    </row>
    <row r="206" spans="1:51" ht="14.25" customHeight="1" x14ac:dyDescent="0.3">
      <c r="A206" s="1"/>
      <c r="B206" s="2"/>
      <c r="C206" s="7"/>
      <c r="D206" s="7"/>
      <c r="E206" s="60"/>
      <c r="F206" s="225"/>
      <c r="G206" s="60"/>
      <c r="H206" s="60"/>
      <c r="I206" s="228"/>
      <c r="J206" s="228"/>
      <c r="K206" s="229"/>
      <c r="L206" s="229"/>
      <c r="M206" s="229"/>
      <c r="N206" s="229"/>
      <c r="O206" s="229"/>
      <c r="P206" s="229"/>
      <c r="Q206" s="229"/>
      <c r="R206" s="229"/>
      <c r="S206" s="229" t="s">
        <v>245</v>
      </c>
      <c r="T206" s="229">
        <f>+T193-T194</f>
        <v>931941947.50673866</v>
      </c>
      <c r="U206" s="229" t="s">
        <v>271</v>
      </c>
      <c r="V206" s="230">
        <f>(+V40-V14-V15)-((+V40-V14-V15)*5%)</f>
        <v>3013353039.7767386</v>
      </c>
      <c r="W206" s="9"/>
      <c r="X206" s="129"/>
      <c r="Y206" s="129"/>
      <c r="Z206" s="129"/>
      <c r="AA206" s="229"/>
      <c r="AB206" s="229"/>
      <c r="AC206" s="229"/>
      <c r="AD206" s="229"/>
      <c r="AE206" s="229"/>
      <c r="AF206" s="229"/>
      <c r="AG206" s="229"/>
      <c r="AH206" s="229" t="s">
        <v>245</v>
      </c>
      <c r="AI206" s="229">
        <f>+AI193-AI194</f>
        <v>359797894.1356554</v>
      </c>
      <c r="AJ206" s="229" t="s">
        <v>271</v>
      </c>
      <c r="AK206" s="227">
        <f>(+AK40-AK14-AK15)-((+AK40-AK14-AK15)*5%)</f>
        <v>2810481340.1416645</v>
      </c>
      <c r="AL206" s="10"/>
      <c r="AM206" s="30"/>
      <c r="AN206" s="7"/>
      <c r="AO206" s="7"/>
      <c r="AP206" s="7"/>
      <c r="AQ206" s="7"/>
      <c r="AR206" s="7"/>
      <c r="AS206" s="7"/>
    </row>
    <row r="207" spans="1:51" ht="14.25" customHeight="1" x14ac:dyDescent="0.3">
      <c r="A207" s="1"/>
      <c r="B207" s="2"/>
      <c r="C207" s="7"/>
      <c r="D207" s="7"/>
      <c r="E207" s="60"/>
      <c r="F207" s="225"/>
      <c r="G207" s="60"/>
      <c r="H207" s="231" t="s">
        <v>272</v>
      </c>
      <c r="I207" s="195"/>
      <c r="J207" s="195"/>
      <c r="K207" s="195"/>
      <c r="L207" s="195"/>
      <c r="M207" s="195"/>
      <c r="N207" s="195"/>
      <c r="O207" s="195"/>
      <c r="P207" s="228"/>
      <c r="Q207" s="106"/>
      <c r="R207" s="106"/>
      <c r="S207" s="129" t="s">
        <v>247</v>
      </c>
      <c r="T207" s="232">
        <f>+T206/T193</f>
        <v>0.30927074763725226</v>
      </c>
      <c r="U207" s="229" t="s">
        <v>273</v>
      </c>
      <c r="V207" s="230">
        <f>V171-V158-V166</f>
        <v>2254412483.5100002</v>
      </c>
      <c r="W207" s="9"/>
      <c r="X207" s="129"/>
      <c r="Y207" s="129"/>
      <c r="Z207" s="129"/>
      <c r="AA207" s="195"/>
      <c r="AB207" s="195"/>
      <c r="AC207" s="195"/>
      <c r="AD207" s="195"/>
      <c r="AE207" s="228"/>
      <c r="AF207" s="106"/>
      <c r="AG207" s="106"/>
      <c r="AH207" s="129" t="s">
        <v>247</v>
      </c>
      <c r="AI207" s="232">
        <f>+AI206/AI193</f>
        <v>4.9711940266842371E-2</v>
      </c>
      <c r="AJ207" s="229" t="s">
        <v>273</v>
      </c>
      <c r="AK207" s="227">
        <f>AK171-AK158-AK166</f>
        <v>2517917251.2465606</v>
      </c>
      <c r="AL207" s="10"/>
      <c r="AM207" s="30"/>
      <c r="AN207" s="7"/>
      <c r="AO207" s="7"/>
      <c r="AP207" s="7"/>
      <c r="AQ207" s="7"/>
      <c r="AR207" s="7"/>
      <c r="AS207" s="7"/>
    </row>
    <row r="208" spans="1:51" ht="12" customHeight="1" x14ac:dyDescent="0.3">
      <c r="A208" s="1"/>
      <c r="B208" s="2"/>
      <c r="C208" s="233"/>
      <c r="D208" s="60"/>
      <c r="E208" s="60"/>
      <c r="F208" s="2"/>
      <c r="G208" s="60"/>
      <c r="H208" s="234" t="s">
        <v>274</v>
      </c>
      <c r="I208" s="235">
        <v>1.5</v>
      </c>
      <c r="J208" s="226"/>
      <c r="K208" s="226"/>
      <c r="L208" s="226"/>
      <c r="M208" s="226"/>
      <c r="N208" s="226"/>
      <c r="O208" s="226"/>
      <c r="P208" s="226"/>
      <c r="Q208" s="236"/>
      <c r="R208" s="236"/>
      <c r="S208" s="236"/>
      <c r="T208" s="236"/>
      <c r="U208" s="229" t="s">
        <v>275</v>
      </c>
      <c r="V208" s="230">
        <f>+V206-V207</f>
        <v>758940556.26673841</v>
      </c>
      <c r="W208" s="9"/>
      <c r="X208" s="236"/>
      <c r="Y208" s="236"/>
      <c r="Z208" s="236"/>
      <c r="AA208" s="226"/>
      <c r="AB208" s="226"/>
      <c r="AC208" s="226"/>
      <c r="AD208" s="226"/>
      <c r="AE208" s="226"/>
      <c r="AF208" s="236"/>
      <c r="AG208" s="236"/>
      <c r="AH208" s="236"/>
      <c r="AI208" s="236"/>
      <c r="AJ208" s="229" t="s">
        <v>275</v>
      </c>
      <c r="AK208" s="227">
        <f>+AK206-AK207</f>
        <v>292564088.89510393</v>
      </c>
      <c r="AL208" s="10"/>
      <c r="AM208" s="30"/>
      <c r="AN208" s="7"/>
      <c r="AO208" s="7"/>
      <c r="AP208" s="7"/>
      <c r="AQ208" s="7"/>
      <c r="AR208" s="7"/>
      <c r="AS208" s="7"/>
    </row>
    <row r="209" spans="1:45" ht="12" customHeight="1" x14ac:dyDescent="0.3">
      <c r="A209" s="1"/>
      <c r="B209" s="2"/>
      <c r="C209" s="2"/>
      <c r="D209" s="60"/>
      <c r="E209" s="60"/>
      <c r="F209" s="2"/>
      <c r="G209" s="60"/>
      <c r="H209" s="234" t="s">
        <v>276</v>
      </c>
      <c r="I209" s="61">
        <v>1.5</v>
      </c>
      <c r="J209" s="61"/>
      <c r="K209" s="61"/>
      <c r="L209" s="61"/>
      <c r="M209" s="61"/>
      <c r="N209" s="61"/>
      <c r="O209" s="61"/>
      <c r="P209" s="61"/>
      <c r="Q209" s="61"/>
      <c r="R209" s="61"/>
      <c r="S209" s="61" t="s">
        <v>277</v>
      </c>
      <c r="T209" s="6">
        <f>+V152+V139+V71+V54</f>
        <v>105139281.69</v>
      </c>
      <c r="U209" s="229" t="s">
        <v>247</v>
      </c>
      <c r="V209" s="158">
        <f>+V208/V206</f>
        <v>0.25185915697517103</v>
      </c>
      <c r="W209" s="9"/>
      <c r="X209" s="61"/>
      <c r="Y209" s="61"/>
      <c r="Z209" s="61"/>
      <c r="AA209" s="61"/>
      <c r="AB209" s="61"/>
      <c r="AC209" s="61"/>
      <c r="AD209" s="61"/>
      <c r="AE209" s="61"/>
      <c r="AF209" s="61"/>
      <c r="AG209" s="61"/>
      <c r="AH209" s="61" t="s">
        <v>277</v>
      </c>
      <c r="AI209" s="6">
        <f>+AK152+AK139+AK71+AK54</f>
        <v>101811580</v>
      </c>
      <c r="AJ209" s="229" t="s">
        <v>247</v>
      </c>
      <c r="AK209" s="158">
        <f>+AK208/AK206</f>
        <v>0.10409750270050076</v>
      </c>
      <c r="AL209" s="10"/>
      <c r="AM209" s="30"/>
      <c r="AN209" s="7"/>
      <c r="AO209" s="7"/>
      <c r="AP209" s="7"/>
      <c r="AQ209" s="7"/>
      <c r="AR209" s="7"/>
      <c r="AS209" s="7"/>
    </row>
    <row r="210" spans="1:45" ht="12" customHeight="1" x14ac:dyDescent="0.3">
      <c r="A210" s="1"/>
      <c r="B210" s="2"/>
      <c r="C210" s="2"/>
      <c r="D210" s="60"/>
      <c r="E210" s="60"/>
      <c r="F210" s="2"/>
      <c r="G210" s="60"/>
      <c r="H210" s="234" t="s">
        <v>278</v>
      </c>
      <c r="I210" s="6">
        <v>1500</v>
      </c>
      <c r="J210" s="6"/>
      <c r="K210" s="6"/>
      <c r="L210" s="226"/>
      <c r="M210" s="226"/>
      <c r="N210" s="226"/>
      <c r="O210" s="226"/>
      <c r="P210" s="226"/>
      <c r="Q210" s="236"/>
      <c r="R210" s="236"/>
      <c r="S210" s="236"/>
      <c r="T210" s="236"/>
      <c r="U210" s="226" t="s">
        <v>279</v>
      </c>
      <c r="V210" s="230">
        <f>V208*35%</f>
        <v>265629194.69335842</v>
      </c>
      <c r="W210" s="9"/>
      <c r="X210" s="6"/>
      <c r="Y210" s="6"/>
      <c r="Z210" s="6"/>
      <c r="AA210" s="226"/>
      <c r="AB210" s="226"/>
      <c r="AC210" s="226"/>
      <c r="AD210" s="226"/>
      <c r="AE210" s="226"/>
      <c r="AF210" s="236"/>
      <c r="AG210" s="236"/>
      <c r="AH210" s="236"/>
      <c r="AI210" s="236"/>
      <c r="AJ210" s="226" t="s">
        <v>279</v>
      </c>
      <c r="AK210" s="230">
        <f>AK208*35%</f>
        <v>102397431.11328638</v>
      </c>
      <c r="AL210" s="10"/>
      <c r="AM210" s="30"/>
      <c r="AN210" s="7"/>
      <c r="AO210" s="7"/>
      <c r="AP210" s="7"/>
      <c r="AQ210" s="7"/>
      <c r="AR210" s="7"/>
      <c r="AS210" s="7"/>
    </row>
    <row r="211" spans="1:45" ht="12" customHeight="1" x14ac:dyDescent="0.3">
      <c r="A211" s="1"/>
      <c r="B211" s="2"/>
      <c r="C211" s="2"/>
      <c r="D211" s="60"/>
      <c r="E211" s="60"/>
      <c r="F211" s="2"/>
      <c r="G211" s="60"/>
      <c r="H211" s="237" t="s">
        <v>280</v>
      </c>
      <c r="I211" s="229" t="s">
        <v>281</v>
      </c>
      <c r="J211" s="229"/>
      <c r="K211" s="229"/>
      <c r="L211" s="229"/>
      <c r="M211" s="229"/>
      <c r="N211" s="229"/>
      <c r="O211" s="229"/>
      <c r="P211" s="229"/>
      <c r="Q211" s="229"/>
      <c r="R211" s="229"/>
      <c r="S211" s="229"/>
      <c r="T211" s="229"/>
      <c r="U211" s="226" t="s">
        <v>282</v>
      </c>
      <c r="V211" s="230">
        <f>V208-V210</f>
        <v>493311361.57337999</v>
      </c>
      <c r="W211" s="9"/>
      <c r="X211" s="229"/>
      <c r="Y211" s="229"/>
      <c r="Z211" s="229"/>
      <c r="AA211" s="229"/>
      <c r="AB211" s="229"/>
      <c r="AC211" s="229"/>
      <c r="AD211" s="229"/>
      <c r="AE211" s="229"/>
      <c r="AF211" s="229"/>
      <c r="AG211" s="229"/>
      <c r="AH211" s="229"/>
      <c r="AI211" s="229"/>
      <c r="AJ211" s="226" t="s">
        <v>282</v>
      </c>
      <c r="AK211" s="230">
        <f>AK208-AK210</f>
        <v>190166657.78181756</v>
      </c>
      <c r="AL211" s="10"/>
      <c r="AM211" s="30"/>
      <c r="AN211" s="7"/>
      <c r="AO211" s="7"/>
      <c r="AP211" s="7"/>
      <c r="AQ211" s="7"/>
      <c r="AR211" s="7"/>
      <c r="AS211" s="7"/>
    </row>
    <row r="212" spans="1:45" ht="9" customHeight="1" x14ac:dyDescent="0.3">
      <c r="A212" s="1"/>
      <c r="B212" s="2"/>
      <c r="C212" s="2"/>
      <c r="D212" s="60"/>
      <c r="E212" s="60"/>
      <c r="F212" s="2"/>
      <c r="G212" s="60"/>
      <c r="H212" s="60"/>
      <c r="I212" s="61"/>
      <c r="J212" s="61"/>
      <c r="K212" s="61"/>
      <c r="L212" s="61"/>
      <c r="M212" s="61"/>
      <c r="N212" s="61"/>
      <c r="O212" s="61"/>
      <c r="P212" s="61"/>
      <c r="Q212" s="61"/>
      <c r="R212" s="61"/>
      <c r="S212" s="61"/>
      <c r="T212" s="61"/>
      <c r="U212" s="226" t="s">
        <v>247</v>
      </c>
      <c r="V212" s="158">
        <f>V211/V206</f>
        <v>0.16370845203386117</v>
      </c>
      <c r="W212" s="9"/>
      <c r="X212" s="61"/>
      <c r="Y212" s="61"/>
      <c r="Z212" s="61"/>
      <c r="AA212" s="61"/>
      <c r="AB212" s="61"/>
      <c r="AC212" s="61"/>
      <c r="AD212" s="61"/>
      <c r="AE212" s="61"/>
      <c r="AF212" s="61"/>
      <c r="AG212" s="61"/>
      <c r="AH212" s="61"/>
      <c r="AI212" s="61"/>
      <c r="AJ212" s="226" t="s">
        <v>247</v>
      </c>
      <c r="AK212" s="158">
        <f>AK211/AK206</f>
        <v>6.7663376755325494E-2</v>
      </c>
      <c r="AL212" s="10"/>
      <c r="AM212" s="30"/>
      <c r="AN212" s="7"/>
      <c r="AO212" s="7"/>
      <c r="AP212" s="7"/>
      <c r="AQ212" s="7"/>
      <c r="AR212" s="7"/>
      <c r="AS212" s="7"/>
    </row>
    <row r="213" spans="1:45" ht="9" customHeight="1" x14ac:dyDescent="0.3">
      <c r="A213" s="1"/>
      <c r="B213" s="2"/>
      <c r="C213" s="2"/>
      <c r="D213" s="60"/>
      <c r="E213" s="60"/>
      <c r="F213" s="2"/>
      <c r="G213" s="60"/>
      <c r="H213" s="238"/>
      <c r="I213" s="61" t="s">
        <v>283</v>
      </c>
      <c r="J213" s="61"/>
      <c r="K213" s="61"/>
      <c r="L213" s="61"/>
      <c r="M213" s="61"/>
      <c r="N213" s="61"/>
      <c r="O213" s="61"/>
      <c r="P213" s="61"/>
      <c r="Q213" s="61"/>
      <c r="R213" s="61"/>
      <c r="S213" s="61"/>
      <c r="T213" s="61"/>
      <c r="U213" s="7"/>
      <c r="V213" s="223"/>
      <c r="W213" s="9"/>
      <c r="X213" s="61"/>
      <c r="Y213" s="61"/>
      <c r="Z213" s="61"/>
      <c r="AA213" s="61"/>
      <c r="AB213" s="61"/>
      <c r="AC213" s="61"/>
      <c r="AD213" s="61"/>
      <c r="AE213" s="61"/>
      <c r="AF213" s="61"/>
      <c r="AG213" s="61"/>
      <c r="AH213" s="61"/>
      <c r="AI213" s="61"/>
      <c r="AJ213" s="9"/>
      <c r="AK213" s="223"/>
      <c r="AL213" s="10"/>
      <c r="AM213" s="30"/>
      <c r="AN213" s="7"/>
      <c r="AO213" s="7"/>
      <c r="AP213" s="7"/>
      <c r="AQ213" s="7"/>
      <c r="AR213" s="7"/>
      <c r="AS213" s="7"/>
    </row>
    <row r="214" spans="1:45" ht="9" customHeight="1" x14ac:dyDescent="0.3">
      <c r="A214" s="1"/>
      <c r="B214" s="2"/>
      <c r="C214" s="2"/>
      <c r="D214" s="60"/>
      <c r="E214" s="60"/>
      <c r="F214" s="2"/>
      <c r="G214" s="60"/>
      <c r="H214" s="239"/>
      <c r="I214" s="2" t="s">
        <v>284</v>
      </c>
      <c r="J214" s="2"/>
      <c r="K214" s="2"/>
      <c r="L214" s="61"/>
      <c r="M214" s="61"/>
      <c r="N214" s="61"/>
      <c r="O214" s="61"/>
      <c r="P214" s="61"/>
      <c r="Q214" s="61"/>
      <c r="R214" s="61"/>
      <c r="S214" s="61"/>
      <c r="T214" s="61"/>
      <c r="U214" s="7"/>
      <c r="V214" s="223"/>
      <c r="W214" s="9"/>
      <c r="X214" s="61"/>
      <c r="Y214" s="61"/>
      <c r="Z214" s="61"/>
      <c r="AA214" s="61"/>
      <c r="AB214" s="61"/>
      <c r="AC214" s="61"/>
      <c r="AD214" s="61"/>
      <c r="AE214" s="61"/>
      <c r="AF214" s="61"/>
      <c r="AG214" s="61"/>
      <c r="AH214" s="61"/>
      <c r="AI214" s="61"/>
      <c r="AJ214" s="9"/>
      <c r="AK214" s="223"/>
      <c r="AL214" s="10"/>
      <c r="AM214" s="30"/>
      <c r="AN214" s="7"/>
      <c r="AO214" s="7"/>
      <c r="AP214" s="7"/>
      <c r="AQ214" s="7"/>
      <c r="AR214" s="7"/>
      <c r="AS214" s="7"/>
    </row>
    <row r="215" spans="1:45" ht="9" customHeight="1" x14ac:dyDescent="0.3">
      <c r="A215" s="1"/>
      <c r="B215" s="2"/>
      <c r="C215" s="2"/>
      <c r="D215" s="60"/>
      <c r="E215" s="60"/>
      <c r="F215" s="2"/>
      <c r="G215" s="60"/>
      <c r="H215" s="240"/>
      <c r="I215" s="12" t="s">
        <v>285</v>
      </c>
      <c r="J215" s="12" t="e">
        <f>+#REF!/7</f>
        <v>#REF!</v>
      </c>
      <c r="K215" s="12"/>
      <c r="L215" s="61"/>
      <c r="M215" s="61"/>
      <c r="N215" s="61"/>
      <c r="O215" s="61"/>
      <c r="P215" s="61"/>
      <c r="Q215" s="61"/>
      <c r="R215" s="61"/>
      <c r="S215" s="61"/>
      <c r="T215" s="61"/>
      <c r="U215" s="7"/>
      <c r="V215" s="223"/>
      <c r="W215" s="9"/>
      <c r="X215" s="61"/>
      <c r="Y215" s="61"/>
      <c r="Z215" s="61"/>
      <c r="AA215" s="61"/>
      <c r="AB215" s="61"/>
      <c r="AC215" s="61"/>
      <c r="AD215" s="61"/>
      <c r="AE215" s="61"/>
      <c r="AF215" s="61"/>
      <c r="AG215" s="61"/>
      <c r="AH215" s="61"/>
      <c r="AI215" s="61"/>
      <c r="AJ215" s="9"/>
      <c r="AK215" s="223"/>
      <c r="AL215" s="10"/>
      <c r="AM215" s="30"/>
      <c r="AN215" s="7"/>
      <c r="AO215" s="7"/>
      <c r="AP215" s="7"/>
      <c r="AQ215" s="7"/>
      <c r="AR215" s="7"/>
      <c r="AS215" s="7"/>
    </row>
    <row r="216" spans="1:45" ht="9" customHeight="1" x14ac:dyDescent="0.3">
      <c r="A216" s="1"/>
      <c r="B216" s="2"/>
      <c r="C216" s="2"/>
      <c r="D216" s="60"/>
      <c r="E216" s="60"/>
      <c r="F216" s="2"/>
      <c r="G216" s="60"/>
      <c r="H216" s="241"/>
      <c r="I216" s="17" t="s">
        <v>286</v>
      </c>
      <c r="J216" s="17"/>
      <c r="K216" s="17"/>
      <c r="L216" s="61"/>
      <c r="M216" s="61"/>
      <c r="N216" s="61"/>
      <c r="O216" s="61"/>
      <c r="P216" s="61"/>
      <c r="Q216" s="61"/>
      <c r="R216" s="61"/>
      <c r="S216" s="61"/>
      <c r="T216" s="61"/>
      <c r="U216" s="7"/>
      <c r="V216" s="223"/>
      <c r="W216" s="9"/>
      <c r="X216" s="61"/>
      <c r="Y216" s="61"/>
      <c r="Z216" s="61"/>
      <c r="AA216" s="61"/>
      <c r="AB216" s="61"/>
      <c r="AC216" s="61"/>
      <c r="AD216" s="61"/>
      <c r="AE216" s="61"/>
      <c r="AF216" s="61"/>
      <c r="AG216" s="61"/>
      <c r="AH216" s="61"/>
      <c r="AI216" s="61"/>
      <c r="AJ216" s="9"/>
      <c r="AK216" s="223"/>
      <c r="AL216" s="10"/>
      <c r="AM216" s="30"/>
      <c r="AN216" s="7"/>
      <c r="AO216" s="7"/>
      <c r="AP216" s="7"/>
      <c r="AQ216" s="7"/>
      <c r="AR216" s="7"/>
      <c r="AS216" s="7"/>
    </row>
    <row r="217" spans="1:45" ht="9" customHeight="1" x14ac:dyDescent="0.3">
      <c r="A217" s="1"/>
      <c r="B217" s="2"/>
      <c r="C217" s="2"/>
      <c r="D217" s="60"/>
      <c r="E217" s="60"/>
      <c r="F217" s="2"/>
      <c r="G217" s="60"/>
      <c r="H217" s="60"/>
      <c r="I217" s="61"/>
      <c r="J217" s="61"/>
      <c r="K217" s="61"/>
      <c r="L217" s="61"/>
      <c r="M217" s="61"/>
      <c r="N217" s="61"/>
      <c r="O217" s="61"/>
      <c r="P217" s="61"/>
      <c r="Q217" s="61"/>
      <c r="R217" s="61"/>
      <c r="S217" s="61"/>
      <c r="T217" s="61"/>
      <c r="U217" s="7"/>
      <c r="V217" s="223"/>
      <c r="W217" s="9"/>
      <c r="X217" s="61"/>
      <c r="Y217" s="61"/>
      <c r="Z217" s="61"/>
      <c r="AA217" s="61"/>
      <c r="AB217" s="61"/>
      <c r="AC217" s="61"/>
      <c r="AD217" s="61"/>
      <c r="AE217" s="61"/>
      <c r="AF217" s="61"/>
      <c r="AG217" s="61"/>
      <c r="AH217" s="61"/>
      <c r="AI217" s="61"/>
      <c r="AJ217" s="9"/>
      <c r="AK217" s="223"/>
      <c r="AL217" s="10"/>
      <c r="AM217" s="30"/>
      <c r="AN217" s="7"/>
      <c r="AO217" s="7"/>
      <c r="AP217" s="7"/>
      <c r="AQ217" s="7"/>
      <c r="AR217" s="7"/>
      <c r="AS217" s="7"/>
    </row>
    <row r="218" spans="1:45" ht="13.5" customHeight="1" x14ac:dyDescent="0.3">
      <c r="A218" s="1"/>
      <c r="B218" s="2"/>
      <c r="C218" s="2"/>
      <c r="D218" s="60"/>
      <c r="E218" s="60"/>
      <c r="F218" s="242"/>
      <c r="G218" s="243" t="s">
        <v>287</v>
      </c>
      <c r="H218" s="244"/>
      <c r="I218" s="245" t="str">
        <f t="shared" ref="I218:T218" si="52">+I4</f>
        <v>Ene-26</v>
      </c>
      <c r="J218" s="245">
        <f t="shared" si="52"/>
        <v>46078</v>
      </c>
      <c r="K218" s="245">
        <f t="shared" si="52"/>
        <v>46106</v>
      </c>
      <c r="L218" s="245" t="str">
        <f t="shared" si="52"/>
        <v>Abr-26</v>
      </c>
      <c r="M218" s="245">
        <f t="shared" si="52"/>
        <v>46167</v>
      </c>
      <c r="N218" s="245">
        <f t="shared" si="52"/>
        <v>46198</v>
      </c>
      <c r="O218" s="245">
        <f t="shared" si="52"/>
        <v>46228</v>
      </c>
      <c r="P218" s="245">
        <f t="shared" si="52"/>
        <v>46259</v>
      </c>
      <c r="Q218" s="245">
        <f t="shared" si="52"/>
        <v>46290</v>
      </c>
      <c r="R218" s="245">
        <f t="shared" si="52"/>
        <v>46320</v>
      </c>
      <c r="S218" s="245">
        <f t="shared" si="52"/>
        <v>46351</v>
      </c>
      <c r="T218" s="245">
        <f t="shared" si="52"/>
        <v>46381</v>
      </c>
      <c r="U218" s="7"/>
      <c r="V218" s="223"/>
      <c r="W218" s="9"/>
      <c r="X218" s="245"/>
      <c r="Y218" s="245"/>
      <c r="Z218" s="245"/>
      <c r="AA218" s="245"/>
      <c r="AB218" s="245"/>
      <c r="AC218" s="245"/>
      <c r="AD218" s="245"/>
      <c r="AE218" s="245"/>
      <c r="AF218" s="245"/>
      <c r="AG218" s="245"/>
      <c r="AH218" s="245"/>
      <c r="AI218" s="245"/>
      <c r="AJ218" s="9"/>
      <c r="AK218" s="246"/>
      <c r="AL218" s="10"/>
      <c r="AM218" s="30"/>
      <c r="AN218" s="7"/>
      <c r="AO218" s="7"/>
      <c r="AP218" s="7"/>
      <c r="AQ218" s="7"/>
      <c r="AR218" s="7"/>
      <c r="AS218" s="7"/>
    </row>
    <row r="219" spans="1:45" ht="13.5" customHeight="1" x14ac:dyDescent="0.3">
      <c r="A219" s="1"/>
      <c r="B219" s="2"/>
      <c r="C219" s="2"/>
      <c r="D219" s="60"/>
      <c r="E219" s="60"/>
      <c r="F219" s="2"/>
      <c r="G219" s="60"/>
      <c r="H219" s="61" t="s">
        <v>288</v>
      </c>
      <c r="I219" s="247">
        <f t="shared" ref="I219:T219" si="53">+I40</f>
        <v>2033358816.6889</v>
      </c>
      <c r="J219" s="247">
        <f t="shared" si="53"/>
        <v>1982638579.3700163</v>
      </c>
      <c r="K219" s="247">
        <f t="shared" si="53"/>
        <v>2145968559.7712834</v>
      </c>
      <c r="L219" s="247">
        <f t="shared" si="53"/>
        <v>2238128326.8899999</v>
      </c>
      <c r="M219" s="248">
        <f t="shared" si="53"/>
        <v>2292377273.9499998</v>
      </c>
      <c r="N219" s="247">
        <f t="shared" si="53"/>
        <v>0</v>
      </c>
      <c r="O219" s="248">
        <f t="shared" si="53"/>
        <v>0</v>
      </c>
      <c r="P219" s="247">
        <f t="shared" si="53"/>
        <v>0</v>
      </c>
      <c r="Q219" s="248">
        <f t="shared" si="53"/>
        <v>0</v>
      </c>
      <c r="R219" s="247">
        <f t="shared" si="53"/>
        <v>0</v>
      </c>
      <c r="S219" s="248">
        <f t="shared" si="53"/>
        <v>0</v>
      </c>
      <c r="T219" s="247">
        <f t="shared" si="53"/>
        <v>0</v>
      </c>
      <c r="U219" s="7"/>
      <c r="V219" s="223"/>
      <c r="W219" s="9"/>
      <c r="X219" s="248"/>
      <c r="Y219" s="248"/>
      <c r="Z219" s="248"/>
      <c r="AA219" s="248"/>
      <c r="AB219" s="248"/>
      <c r="AC219" s="248"/>
      <c r="AD219" s="248"/>
      <c r="AE219" s="248"/>
      <c r="AF219" s="248"/>
      <c r="AG219" s="248"/>
      <c r="AH219" s="248"/>
      <c r="AI219" s="248"/>
      <c r="AJ219" s="9"/>
      <c r="AK219" s="96"/>
      <c r="AL219" s="10"/>
      <c r="AM219" s="30"/>
      <c r="AN219" s="7"/>
      <c r="AO219" s="7"/>
      <c r="AP219" s="7"/>
      <c r="AQ219" s="7"/>
      <c r="AR219" s="7"/>
      <c r="AS219" s="7"/>
    </row>
    <row r="220" spans="1:45" ht="13.5" customHeight="1" x14ac:dyDescent="0.3">
      <c r="A220" s="1"/>
      <c r="B220" s="2"/>
      <c r="C220" s="2"/>
      <c r="D220" s="60"/>
      <c r="E220" s="60"/>
      <c r="F220" s="2"/>
      <c r="G220" s="60"/>
      <c r="H220" s="61" t="s">
        <v>45</v>
      </c>
      <c r="I220" s="249">
        <f t="shared" ref="I220:T220" si="54">+I157+I128+I106+I93+I87+I81+I75+I58+I46+I151+I73+I70+I168</f>
        <v>753834624.36000013</v>
      </c>
      <c r="J220" s="249">
        <f t="shared" si="54"/>
        <v>732033433.56000006</v>
      </c>
      <c r="K220" s="249">
        <f t="shared" si="54"/>
        <v>763868295.50999999</v>
      </c>
      <c r="L220" s="249">
        <f t="shared" si="54"/>
        <v>763023960</v>
      </c>
      <c r="M220" s="249">
        <f t="shared" si="54"/>
        <v>828178318.41000009</v>
      </c>
      <c r="N220" s="249">
        <f t="shared" si="54"/>
        <v>0</v>
      </c>
      <c r="O220" s="249">
        <f t="shared" si="54"/>
        <v>0</v>
      </c>
      <c r="P220" s="249">
        <f t="shared" si="54"/>
        <v>0</v>
      </c>
      <c r="Q220" s="249">
        <f t="shared" si="54"/>
        <v>0</v>
      </c>
      <c r="R220" s="249">
        <f t="shared" si="54"/>
        <v>0</v>
      </c>
      <c r="S220" s="249">
        <f t="shared" si="54"/>
        <v>0</v>
      </c>
      <c r="T220" s="249">
        <f t="shared" si="54"/>
        <v>0</v>
      </c>
      <c r="U220" s="7"/>
      <c r="V220" s="223"/>
      <c r="W220" s="9"/>
      <c r="X220" s="249"/>
      <c r="Y220" s="249"/>
      <c r="Z220" s="249"/>
      <c r="AA220" s="249"/>
      <c r="AB220" s="249"/>
      <c r="AC220" s="249"/>
      <c r="AD220" s="249"/>
      <c r="AE220" s="249"/>
      <c r="AF220" s="249"/>
      <c r="AG220" s="249"/>
      <c r="AH220" s="249"/>
      <c r="AI220" s="249"/>
      <c r="AJ220" s="9"/>
      <c r="AK220" s="96"/>
      <c r="AL220" s="10"/>
      <c r="AM220" s="30"/>
      <c r="AN220" s="7"/>
      <c r="AO220" s="7"/>
      <c r="AP220" s="7"/>
      <c r="AQ220" s="7"/>
      <c r="AR220" s="7"/>
      <c r="AS220" s="7"/>
    </row>
    <row r="221" spans="1:45" ht="13.5" customHeight="1" x14ac:dyDescent="0.3">
      <c r="A221" s="1"/>
      <c r="B221" s="2"/>
      <c r="C221" s="2"/>
      <c r="D221" s="60"/>
      <c r="E221" s="60"/>
      <c r="F221" s="2"/>
      <c r="G221" s="60"/>
      <c r="H221" s="250" t="s">
        <v>289</v>
      </c>
      <c r="I221" s="251">
        <f t="shared" ref="I221:T221" si="55">+I220+I219</f>
        <v>2787193441.0489001</v>
      </c>
      <c r="J221" s="251">
        <f t="shared" si="55"/>
        <v>2714672012.9300165</v>
      </c>
      <c r="K221" s="251">
        <f t="shared" si="55"/>
        <v>2909836855.2812834</v>
      </c>
      <c r="L221" s="251">
        <f t="shared" si="55"/>
        <v>3001152286.8899999</v>
      </c>
      <c r="M221" s="251">
        <f t="shared" si="55"/>
        <v>3120555592.3599997</v>
      </c>
      <c r="N221" s="251">
        <f t="shared" si="55"/>
        <v>0</v>
      </c>
      <c r="O221" s="251">
        <f t="shared" si="55"/>
        <v>0</v>
      </c>
      <c r="P221" s="251">
        <f t="shared" si="55"/>
        <v>0</v>
      </c>
      <c r="Q221" s="251">
        <f t="shared" si="55"/>
        <v>0</v>
      </c>
      <c r="R221" s="251">
        <f t="shared" si="55"/>
        <v>0</v>
      </c>
      <c r="S221" s="251">
        <f t="shared" si="55"/>
        <v>0</v>
      </c>
      <c r="T221" s="251">
        <f t="shared" si="55"/>
        <v>0</v>
      </c>
      <c r="U221" s="7"/>
      <c r="V221" s="223"/>
      <c r="W221" s="9"/>
      <c r="X221" s="251"/>
      <c r="Y221" s="251"/>
      <c r="Z221" s="251"/>
      <c r="AA221" s="251"/>
      <c r="AB221" s="251"/>
      <c r="AC221" s="251"/>
      <c r="AD221" s="251"/>
      <c r="AE221" s="251"/>
      <c r="AF221" s="251"/>
      <c r="AG221" s="251"/>
      <c r="AH221" s="251"/>
      <c r="AI221" s="251"/>
      <c r="AJ221" s="9"/>
      <c r="AK221" s="252"/>
      <c r="AL221" s="10"/>
      <c r="AM221" s="30"/>
      <c r="AN221" s="7"/>
      <c r="AO221" s="7"/>
      <c r="AP221" s="7"/>
      <c r="AQ221" s="7"/>
      <c r="AR221" s="7"/>
      <c r="AS221" s="7"/>
    </row>
    <row r="222" spans="1:45" ht="13.5" customHeight="1" x14ac:dyDescent="0.3">
      <c r="A222" s="1"/>
      <c r="B222" s="2"/>
      <c r="C222" s="2"/>
      <c r="D222" s="60"/>
      <c r="E222" s="60"/>
      <c r="F222" s="2"/>
      <c r="G222" s="60"/>
      <c r="H222" s="156">
        <v>0.21</v>
      </c>
      <c r="I222" s="249">
        <f t="shared" ref="I222:T222" si="56">+I221*$H$222</f>
        <v>585310622.62026906</v>
      </c>
      <c r="J222" s="249">
        <f t="shared" si="56"/>
        <v>570081122.71530342</v>
      </c>
      <c r="K222" s="249">
        <f t="shared" si="56"/>
        <v>611065739.60906947</v>
      </c>
      <c r="L222" s="249">
        <f t="shared" si="56"/>
        <v>630241980.24689996</v>
      </c>
      <c r="M222" s="249">
        <f t="shared" si="56"/>
        <v>655316674.39559996</v>
      </c>
      <c r="N222" s="249">
        <f t="shared" si="56"/>
        <v>0</v>
      </c>
      <c r="O222" s="249">
        <f t="shared" si="56"/>
        <v>0</v>
      </c>
      <c r="P222" s="249">
        <f t="shared" si="56"/>
        <v>0</v>
      </c>
      <c r="Q222" s="249">
        <f t="shared" si="56"/>
        <v>0</v>
      </c>
      <c r="R222" s="249">
        <f t="shared" si="56"/>
        <v>0</v>
      </c>
      <c r="S222" s="249">
        <f t="shared" si="56"/>
        <v>0</v>
      </c>
      <c r="T222" s="249">
        <f t="shared" si="56"/>
        <v>0</v>
      </c>
      <c r="U222" s="7"/>
      <c r="V222" s="223"/>
      <c r="W222" s="9"/>
      <c r="X222" s="249"/>
      <c r="Y222" s="249"/>
      <c r="Z222" s="249"/>
      <c r="AA222" s="249"/>
      <c r="AB222" s="249"/>
      <c r="AC222" s="249"/>
      <c r="AD222" s="249"/>
      <c r="AE222" s="249"/>
      <c r="AF222" s="249"/>
      <c r="AG222" s="249"/>
      <c r="AH222" s="249"/>
      <c r="AI222" s="249"/>
      <c r="AJ222" s="9"/>
      <c r="AK222" s="96"/>
      <c r="AL222" s="10"/>
      <c r="AM222" s="30"/>
      <c r="AN222" s="7"/>
      <c r="AO222" s="7"/>
      <c r="AP222" s="7"/>
      <c r="AQ222" s="7"/>
      <c r="AR222" s="7"/>
      <c r="AS222" s="7"/>
    </row>
    <row r="223" spans="1:45" ht="13.5" customHeight="1" x14ac:dyDescent="0.3">
      <c r="A223" s="1"/>
      <c r="B223" s="2"/>
      <c r="C223" s="2"/>
      <c r="D223" s="60"/>
      <c r="E223" s="60"/>
      <c r="F223" s="2"/>
      <c r="G223" s="60"/>
      <c r="H223" s="250" t="s">
        <v>290</v>
      </c>
      <c r="I223" s="253">
        <f t="shared" ref="I223:T223" si="57">+I221+I222</f>
        <v>3372504063.6691694</v>
      </c>
      <c r="J223" s="253">
        <f t="shared" si="57"/>
        <v>3284753135.6453199</v>
      </c>
      <c r="K223" s="253">
        <f t="shared" si="57"/>
        <v>3520902594.8903527</v>
      </c>
      <c r="L223" s="253">
        <f t="shared" si="57"/>
        <v>3631394267.1368999</v>
      </c>
      <c r="M223" s="253">
        <f t="shared" si="57"/>
        <v>3775872266.7555995</v>
      </c>
      <c r="N223" s="253">
        <f t="shared" si="57"/>
        <v>0</v>
      </c>
      <c r="O223" s="253">
        <f t="shared" si="57"/>
        <v>0</v>
      </c>
      <c r="P223" s="253">
        <f t="shared" si="57"/>
        <v>0</v>
      </c>
      <c r="Q223" s="253">
        <f t="shared" si="57"/>
        <v>0</v>
      </c>
      <c r="R223" s="253">
        <f t="shared" si="57"/>
        <v>0</v>
      </c>
      <c r="S223" s="253">
        <f t="shared" si="57"/>
        <v>0</v>
      </c>
      <c r="T223" s="253">
        <f t="shared" si="57"/>
        <v>0</v>
      </c>
      <c r="U223" s="7"/>
      <c r="V223" s="223"/>
      <c r="W223" s="9"/>
      <c r="X223" s="253"/>
      <c r="Y223" s="253"/>
      <c r="Z223" s="253"/>
      <c r="AA223" s="253"/>
      <c r="AB223" s="253"/>
      <c r="AC223" s="253"/>
      <c r="AD223" s="253"/>
      <c r="AE223" s="253"/>
      <c r="AF223" s="253"/>
      <c r="AG223" s="253"/>
      <c r="AH223" s="253"/>
      <c r="AI223" s="253"/>
      <c r="AJ223" s="9"/>
      <c r="AK223" s="252"/>
      <c r="AL223" s="10"/>
      <c r="AM223" s="30"/>
      <c r="AN223" s="7"/>
      <c r="AO223" s="7"/>
      <c r="AP223" s="7"/>
      <c r="AQ223" s="7"/>
      <c r="AR223" s="7"/>
      <c r="AS223" s="7"/>
    </row>
    <row r="224" spans="1:45" ht="12.75" customHeight="1" x14ac:dyDescent="0.3">
      <c r="A224" s="1"/>
      <c r="B224" s="2"/>
      <c r="C224" s="2"/>
      <c r="D224" s="60"/>
      <c r="E224" s="60"/>
      <c r="F224" s="2"/>
      <c r="G224" s="60"/>
      <c r="H224" s="254">
        <v>6.0000000000000001E-3</v>
      </c>
      <c r="I224" s="255">
        <f t="shared" ref="I224:T224" si="58">+I223*$H$224</f>
        <v>20235024.382015016</v>
      </c>
      <c r="J224" s="255">
        <f t="shared" si="58"/>
        <v>19708518.81387192</v>
      </c>
      <c r="K224" s="255">
        <f t="shared" si="58"/>
        <v>21125415.569342118</v>
      </c>
      <c r="L224" s="255">
        <f t="shared" si="58"/>
        <v>21788365.602821399</v>
      </c>
      <c r="M224" s="255">
        <f t="shared" si="58"/>
        <v>22655233.600533597</v>
      </c>
      <c r="N224" s="255">
        <f t="shared" si="58"/>
        <v>0</v>
      </c>
      <c r="O224" s="255">
        <f t="shared" si="58"/>
        <v>0</v>
      </c>
      <c r="P224" s="255">
        <f t="shared" si="58"/>
        <v>0</v>
      </c>
      <c r="Q224" s="255">
        <f t="shared" si="58"/>
        <v>0</v>
      </c>
      <c r="R224" s="255">
        <f t="shared" si="58"/>
        <v>0</v>
      </c>
      <c r="S224" s="255">
        <f t="shared" si="58"/>
        <v>0</v>
      </c>
      <c r="T224" s="255">
        <f t="shared" si="58"/>
        <v>0</v>
      </c>
      <c r="U224" s="7"/>
      <c r="V224" s="223"/>
      <c r="W224" s="9"/>
      <c r="X224" s="255"/>
      <c r="Y224" s="255"/>
      <c r="Z224" s="255"/>
      <c r="AA224" s="255"/>
      <c r="AB224" s="255"/>
      <c r="AC224" s="255"/>
      <c r="AD224" s="255"/>
      <c r="AE224" s="255"/>
      <c r="AF224" s="255"/>
      <c r="AG224" s="255"/>
      <c r="AH224" s="255"/>
      <c r="AI224" s="255"/>
      <c r="AJ224" s="9"/>
      <c r="AK224" s="256"/>
      <c r="AL224" s="10"/>
      <c r="AM224" s="30"/>
      <c r="AN224" s="7"/>
      <c r="AO224" s="7"/>
      <c r="AP224" s="7"/>
      <c r="AQ224" s="7"/>
      <c r="AR224" s="7"/>
      <c r="AS224" s="7"/>
    </row>
    <row r="225" spans="1:45" ht="9" customHeight="1" x14ac:dyDescent="0.3">
      <c r="A225" s="1"/>
      <c r="B225" s="2"/>
      <c r="C225" s="2"/>
      <c r="D225" s="60"/>
      <c r="E225" s="60"/>
      <c r="F225" s="2"/>
      <c r="G225" s="60"/>
      <c r="H225" s="60"/>
      <c r="I225" s="61"/>
      <c r="J225" s="61"/>
      <c r="K225" s="61"/>
      <c r="L225" s="61"/>
      <c r="M225" s="61"/>
      <c r="N225" s="61"/>
      <c r="O225" s="61"/>
      <c r="P225" s="61"/>
      <c r="Q225" s="61"/>
      <c r="R225" s="61"/>
      <c r="S225" s="61"/>
      <c r="T225" s="61"/>
      <c r="U225" s="7"/>
      <c r="V225" s="223"/>
      <c r="W225" s="9"/>
      <c r="X225" s="61"/>
      <c r="Y225" s="61"/>
      <c r="Z225" s="61"/>
      <c r="AA225" s="61"/>
      <c r="AB225" s="61"/>
      <c r="AC225" s="61"/>
      <c r="AD225" s="61"/>
      <c r="AE225" s="61"/>
      <c r="AF225" s="61"/>
      <c r="AG225" s="61"/>
      <c r="AH225" s="61"/>
      <c r="AI225" s="61"/>
      <c r="AJ225" s="9"/>
      <c r="AK225" s="223"/>
      <c r="AL225" s="10"/>
      <c r="AM225" s="30"/>
      <c r="AN225" s="7"/>
      <c r="AO225" s="7"/>
      <c r="AP225" s="7"/>
      <c r="AQ225" s="7"/>
      <c r="AR225" s="7"/>
      <c r="AS225" s="7"/>
    </row>
    <row r="226" spans="1:45" ht="12.75" customHeight="1" x14ac:dyDescent="0.3">
      <c r="A226" s="1"/>
      <c r="B226" s="233"/>
      <c r="C226" s="233"/>
      <c r="D226" s="1"/>
      <c r="E226" s="1"/>
      <c r="F226" s="257"/>
      <c r="G226" s="243"/>
      <c r="H226" s="258" t="s">
        <v>291</v>
      </c>
      <c r="I226" s="259">
        <f>+I224*0</f>
        <v>0</v>
      </c>
      <c r="J226" s="259">
        <v>0</v>
      </c>
      <c r="K226" s="259">
        <v>0</v>
      </c>
      <c r="L226" s="259">
        <v>0</v>
      </c>
      <c r="M226" s="260">
        <f t="shared" ref="M226:T226" si="59">+M224*66%</f>
        <v>14952454.176352175</v>
      </c>
      <c r="N226" s="259">
        <f t="shared" si="59"/>
        <v>0</v>
      </c>
      <c r="O226" s="259">
        <f t="shared" si="59"/>
        <v>0</v>
      </c>
      <c r="P226" s="259">
        <f t="shared" si="59"/>
        <v>0</v>
      </c>
      <c r="Q226" s="259">
        <f t="shared" si="59"/>
        <v>0</v>
      </c>
      <c r="R226" s="259">
        <f t="shared" si="59"/>
        <v>0</v>
      </c>
      <c r="S226" s="259">
        <f t="shared" si="59"/>
        <v>0</v>
      </c>
      <c r="T226" s="259">
        <f t="shared" si="59"/>
        <v>0</v>
      </c>
      <c r="U226" s="261"/>
      <c r="V226" s="223"/>
      <c r="W226" s="262"/>
      <c r="X226" s="259"/>
      <c r="Y226" s="259"/>
      <c r="Z226" s="259"/>
      <c r="AA226" s="259"/>
      <c r="AB226" s="259"/>
      <c r="AC226" s="259"/>
      <c r="AD226" s="259"/>
      <c r="AE226" s="259"/>
      <c r="AF226" s="259"/>
      <c r="AG226" s="259"/>
      <c r="AH226" s="259"/>
      <c r="AI226" s="259"/>
      <c r="AJ226" s="262"/>
      <c r="AK226" s="263"/>
      <c r="AL226" s="264"/>
      <c r="AM226" s="30"/>
      <c r="AN226" s="261"/>
      <c r="AO226" s="261"/>
      <c r="AP226" s="261"/>
      <c r="AQ226" s="261"/>
      <c r="AR226" s="261"/>
      <c r="AS226" s="261"/>
    </row>
    <row r="227" spans="1:45" ht="14.25" customHeight="1" x14ac:dyDescent="0.3">
      <c r="A227" s="1"/>
      <c r="B227" s="2"/>
      <c r="C227" s="2"/>
      <c r="D227" s="60"/>
      <c r="E227" s="60"/>
      <c r="F227" s="2"/>
      <c r="G227" s="60"/>
      <c r="H227" s="61" t="s">
        <v>292</v>
      </c>
      <c r="I227" s="61"/>
      <c r="J227" s="61"/>
      <c r="K227" s="61"/>
      <c r="L227" s="265" t="s">
        <v>293</v>
      </c>
      <c r="M227" s="266"/>
      <c r="N227" s="61"/>
      <c r="O227" s="61"/>
      <c r="P227" s="61"/>
      <c r="Q227" s="61"/>
      <c r="R227" s="61"/>
      <c r="S227" s="61"/>
      <c r="T227" s="61"/>
      <c r="U227" s="7"/>
      <c r="V227" s="223"/>
      <c r="W227" s="9"/>
      <c r="X227" s="61"/>
      <c r="Y227" s="61"/>
      <c r="Z227" s="61"/>
      <c r="AA227" s="61"/>
      <c r="AB227" s="61"/>
      <c r="AC227" s="61"/>
      <c r="AD227" s="61"/>
      <c r="AE227" s="61"/>
      <c r="AF227" s="61"/>
      <c r="AG227" s="61"/>
      <c r="AH227" s="61"/>
      <c r="AI227" s="61"/>
      <c r="AJ227" s="9"/>
      <c r="AK227" s="223"/>
      <c r="AL227" s="10"/>
      <c r="AM227" s="136"/>
      <c r="AN227" s="7"/>
      <c r="AO227" s="7"/>
      <c r="AP227" s="7"/>
      <c r="AQ227" s="7"/>
      <c r="AR227" s="7"/>
      <c r="AS227" s="7"/>
    </row>
    <row r="228" spans="1:45" ht="9" customHeight="1" x14ac:dyDescent="0.3">
      <c r="A228" s="1"/>
      <c r="B228" s="2"/>
      <c r="C228" s="2"/>
      <c r="D228" s="60"/>
      <c r="E228" s="60"/>
      <c r="F228" s="2"/>
      <c r="G228" s="60"/>
      <c r="H228" s="60"/>
      <c r="I228" s="61"/>
      <c r="J228" s="61"/>
      <c r="K228" s="61"/>
      <c r="L228" s="61"/>
      <c r="M228" s="61"/>
      <c r="N228" s="61"/>
      <c r="O228" s="61"/>
      <c r="P228" s="61"/>
      <c r="Q228" s="61"/>
      <c r="R228" s="61"/>
      <c r="S228" s="61"/>
      <c r="T228" s="61"/>
      <c r="U228" s="7"/>
      <c r="V228" s="223"/>
      <c r="W228" s="9"/>
      <c r="X228" s="61"/>
      <c r="Y228" s="61"/>
      <c r="Z228" s="61"/>
      <c r="AA228" s="61"/>
      <c r="AB228" s="61"/>
      <c r="AC228" s="61"/>
      <c r="AD228" s="61"/>
      <c r="AE228" s="61"/>
      <c r="AF228" s="61"/>
      <c r="AG228" s="61"/>
      <c r="AH228" s="61"/>
      <c r="AI228" s="61"/>
      <c r="AJ228" s="9"/>
      <c r="AK228" s="223"/>
      <c r="AL228" s="10"/>
      <c r="AM228" s="136"/>
      <c r="AN228" s="7"/>
      <c r="AO228" s="7"/>
      <c r="AP228" s="7"/>
      <c r="AQ228" s="7"/>
      <c r="AR228" s="7"/>
      <c r="AS228" s="7"/>
    </row>
    <row r="229" spans="1:45" ht="9" customHeight="1" x14ac:dyDescent="0.3">
      <c r="A229" s="1"/>
      <c r="B229" s="2"/>
      <c r="C229" s="2"/>
      <c r="D229" s="60"/>
      <c r="E229" s="60"/>
      <c r="F229" s="2"/>
      <c r="G229" s="60"/>
      <c r="H229" s="60"/>
      <c r="I229" s="61"/>
      <c r="J229" s="61"/>
      <c r="K229" s="61"/>
      <c r="L229" s="61"/>
      <c r="M229" s="61"/>
      <c r="N229" s="61"/>
      <c r="O229" s="61"/>
      <c r="P229" s="61"/>
      <c r="Q229" s="61"/>
      <c r="R229" s="61"/>
      <c r="S229" s="61"/>
      <c r="T229" s="61"/>
      <c r="U229" s="7"/>
      <c r="V229" s="223"/>
      <c r="W229" s="9"/>
      <c r="X229" s="61"/>
      <c r="Y229" s="61"/>
      <c r="Z229" s="61"/>
      <c r="AA229" s="61"/>
      <c r="AB229" s="61"/>
      <c r="AC229" s="61"/>
      <c r="AD229" s="61"/>
      <c r="AE229" s="61"/>
      <c r="AF229" s="61"/>
      <c r="AG229" s="61"/>
      <c r="AH229" s="61"/>
      <c r="AI229" s="61"/>
      <c r="AJ229" s="9"/>
      <c r="AK229" s="223"/>
      <c r="AL229" s="10"/>
      <c r="AM229" s="267"/>
      <c r="AN229" s="7"/>
      <c r="AO229" s="7"/>
      <c r="AP229" s="7"/>
      <c r="AQ229" s="7"/>
      <c r="AR229" s="7"/>
      <c r="AS229" s="7"/>
    </row>
    <row r="230" spans="1:45" ht="9" customHeight="1" x14ac:dyDescent="0.3">
      <c r="A230" s="1"/>
      <c r="B230" s="2"/>
      <c r="C230" s="2"/>
      <c r="D230" s="60"/>
      <c r="E230" s="60"/>
      <c r="F230" s="2"/>
      <c r="G230" s="60"/>
      <c r="H230" s="60"/>
      <c r="I230" s="61"/>
      <c r="J230" s="61"/>
      <c r="K230" s="61"/>
      <c r="L230" s="61"/>
      <c r="M230" s="61"/>
      <c r="N230" s="61"/>
      <c r="O230" s="61"/>
      <c r="P230" s="61"/>
      <c r="Q230" s="61"/>
      <c r="R230" s="61"/>
      <c r="S230" s="61"/>
      <c r="T230" s="61"/>
      <c r="U230" s="7"/>
      <c r="V230" s="223"/>
      <c r="W230" s="9"/>
      <c r="X230" s="61"/>
      <c r="Y230" s="61"/>
      <c r="Z230" s="61"/>
      <c r="AA230" s="61"/>
      <c r="AB230" s="61"/>
      <c r="AC230" s="61"/>
      <c r="AD230" s="61"/>
      <c r="AE230" s="61"/>
      <c r="AF230" s="61"/>
      <c r="AG230" s="61"/>
      <c r="AH230" s="61"/>
      <c r="AI230" s="61"/>
      <c r="AJ230" s="9"/>
      <c r="AK230" s="223"/>
      <c r="AL230" s="10"/>
      <c r="AM230" s="267"/>
      <c r="AN230" s="7"/>
      <c r="AO230" s="7"/>
      <c r="AP230" s="7"/>
      <c r="AQ230" s="7"/>
      <c r="AR230" s="7"/>
      <c r="AS230" s="7"/>
    </row>
    <row r="231" spans="1:45" ht="9" customHeight="1" x14ac:dyDescent="0.3">
      <c r="A231" s="1"/>
      <c r="B231" s="2"/>
      <c r="C231" s="2"/>
      <c r="D231" s="60"/>
      <c r="E231" s="60"/>
      <c r="F231" s="2"/>
      <c r="G231" s="60"/>
      <c r="H231" s="60"/>
      <c r="I231" s="61"/>
      <c r="J231" s="61"/>
      <c r="K231" s="61"/>
      <c r="L231" s="61"/>
      <c r="M231" s="61"/>
      <c r="N231" s="61"/>
      <c r="O231" s="61"/>
      <c r="P231" s="61"/>
      <c r="Q231" s="61"/>
      <c r="R231" s="61"/>
      <c r="S231" s="61"/>
      <c r="T231" s="61"/>
      <c r="U231" s="7"/>
      <c r="V231" s="223"/>
      <c r="W231" s="9"/>
      <c r="X231" s="61"/>
      <c r="Y231" s="61"/>
      <c r="Z231" s="61"/>
      <c r="AA231" s="61"/>
      <c r="AB231" s="61"/>
      <c r="AC231" s="61"/>
      <c r="AD231" s="61"/>
      <c r="AE231" s="61"/>
      <c r="AF231" s="61"/>
      <c r="AG231" s="61"/>
      <c r="AH231" s="61"/>
      <c r="AI231" s="61"/>
      <c r="AJ231" s="9"/>
      <c r="AK231" s="223"/>
      <c r="AL231" s="10"/>
      <c r="AM231" s="267"/>
      <c r="AN231" s="7"/>
      <c r="AO231" s="7"/>
      <c r="AP231" s="7"/>
      <c r="AQ231" s="7"/>
      <c r="AR231" s="7"/>
      <c r="AS231" s="7"/>
    </row>
    <row r="232" spans="1:45" ht="9" customHeight="1" x14ac:dyDescent="0.3">
      <c r="A232" s="1"/>
      <c r="B232" s="2"/>
      <c r="C232" s="2"/>
      <c r="D232" s="60"/>
      <c r="E232" s="60"/>
      <c r="F232" s="2"/>
      <c r="G232" s="60"/>
      <c r="H232" s="60"/>
      <c r="I232" s="61"/>
      <c r="J232" s="61"/>
      <c r="K232" s="61"/>
      <c r="L232" s="61"/>
      <c r="M232" s="61"/>
      <c r="N232" s="61"/>
      <c r="O232" s="61"/>
      <c r="P232" s="61"/>
      <c r="Q232" s="61"/>
      <c r="R232" s="61"/>
      <c r="S232" s="61"/>
      <c r="T232" s="61"/>
      <c r="U232" s="7"/>
      <c r="V232" s="223"/>
      <c r="W232" s="9"/>
      <c r="X232" s="61"/>
      <c r="Y232" s="61"/>
      <c r="Z232" s="61"/>
      <c r="AA232" s="61"/>
      <c r="AB232" s="61"/>
      <c r="AC232" s="61"/>
      <c r="AD232" s="61"/>
      <c r="AE232" s="61"/>
      <c r="AF232" s="61"/>
      <c r="AG232" s="61"/>
      <c r="AH232" s="61"/>
      <c r="AI232" s="61"/>
      <c r="AJ232" s="9"/>
      <c r="AK232" s="223"/>
      <c r="AL232" s="10"/>
      <c r="AM232" s="146" t="s">
        <v>294</v>
      </c>
      <c r="AN232" s="7"/>
      <c r="AO232" s="7"/>
      <c r="AP232" s="7"/>
      <c r="AQ232" s="7"/>
      <c r="AR232" s="7"/>
      <c r="AS232" s="7"/>
    </row>
    <row r="233" spans="1:45" ht="9" customHeight="1" x14ac:dyDescent="0.3">
      <c r="A233" s="1"/>
      <c r="B233" s="2"/>
      <c r="C233" s="2"/>
      <c r="D233" s="60"/>
      <c r="E233" s="60"/>
      <c r="F233" s="2"/>
      <c r="G233" s="60"/>
      <c r="H233" s="60"/>
      <c r="I233" s="61"/>
      <c r="J233" s="61"/>
      <c r="K233" s="61"/>
      <c r="L233" s="61"/>
      <c r="M233" s="61"/>
      <c r="N233" s="61"/>
      <c r="O233" s="61"/>
      <c r="P233" s="61"/>
      <c r="Q233" s="61"/>
      <c r="R233" s="61"/>
      <c r="S233" s="61"/>
      <c r="T233" s="61"/>
      <c r="U233" s="7"/>
      <c r="V233" s="223"/>
      <c r="W233" s="9"/>
      <c r="X233" s="61"/>
      <c r="Y233" s="61"/>
      <c r="Z233" s="61"/>
      <c r="AA233" s="61"/>
      <c r="AB233" s="61"/>
      <c r="AC233" s="61"/>
      <c r="AD233" s="61"/>
      <c r="AE233" s="61"/>
      <c r="AF233" s="61"/>
      <c r="AG233" s="61"/>
      <c r="AH233" s="61"/>
      <c r="AI233" s="61"/>
      <c r="AJ233" s="9"/>
      <c r="AK233" s="223"/>
      <c r="AL233" s="10"/>
      <c r="AM233" s="146"/>
      <c r="AN233" s="7"/>
      <c r="AO233" s="7"/>
      <c r="AP233" s="7"/>
      <c r="AQ233" s="7"/>
      <c r="AR233" s="7"/>
      <c r="AS233" s="7"/>
    </row>
    <row r="234" spans="1:45" ht="9" customHeight="1" x14ac:dyDescent="0.3">
      <c r="A234" s="1"/>
      <c r="B234" s="2"/>
      <c r="C234" s="2"/>
      <c r="D234" s="60"/>
      <c r="E234" s="60"/>
      <c r="F234" s="2"/>
      <c r="G234" s="60"/>
      <c r="H234" s="60"/>
      <c r="I234" s="61"/>
      <c r="J234" s="61"/>
      <c r="K234" s="61"/>
      <c r="L234" s="61"/>
      <c r="M234" s="61"/>
      <c r="N234" s="61"/>
      <c r="O234" s="61"/>
      <c r="P234" s="61"/>
      <c r="Q234" s="61"/>
      <c r="R234" s="61"/>
      <c r="S234" s="61"/>
      <c r="T234" s="61"/>
      <c r="U234" s="7"/>
      <c r="V234" s="223"/>
      <c r="W234" s="9"/>
      <c r="X234" s="61"/>
      <c r="Y234" s="61"/>
      <c r="Z234" s="61"/>
      <c r="AA234" s="61"/>
      <c r="AB234" s="61"/>
      <c r="AC234" s="61"/>
      <c r="AD234" s="61"/>
      <c r="AE234" s="61"/>
      <c r="AF234" s="61"/>
      <c r="AG234" s="61"/>
      <c r="AH234" s="61"/>
      <c r="AI234" s="61"/>
      <c r="AJ234" s="9"/>
      <c r="AK234" s="223"/>
      <c r="AL234" s="10"/>
      <c r="AM234" s="146" t="s">
        <v>295</v>
      </c>
      <c r="AN234" s="7"/>
      <c r="AO234" s="7"/>
      <c r="AP234" s="7"/>
      <c r="AQ234" s="7"/>
      <c r="AR234" s="7"/>
      <c r="AS234" s="7"/>
    </row>
    <row r="235" spans="1:45" ht="9" customHeight="1" x14ac:dyDescent="0.3">
      <c r="A235" s="1"/>
      <c r="B235" s="2"/>
      <c r="C235" s="2"/>
      <c r="D235" s="60"/>
      <c r="E235" s="60"/>
      <c r="F235" s="2"/>
      <c r="G235" s="60"/>
      <c r="H235" s="60"/>
      <c r="I235" s="61"/>
      <c r="J235" s="61"/>
      <c r="K235" s="61"/>
      <c r="L235" s="61"/>
      <c r="M235" s="61"/>
      <c r="N235" s="61"/>
      <c r="O235" s="61"/>
      <c r="P235" s="61"/>
      <c r="Q235" s="61"/>
      <c r="R235" s="61"/>
      <c r="S235" s="61"/>
      <c r="T235" s="61"/>
      <c r="U235" s="7"/>
      <c r="V235" s="223"/>
      <c r="W235" s="9"/>
      <c r="X235" s="61"/>
      <c r="Y235" s="61"/>
      <c r="Z235" s="61"/>
      <c r="AA235" s="61"/>
      <c r="AB235" s="61"/>
      <c r="AC235" s="61"/>
      <c r="AD235" s="61"/>
      <c r="AE235" s="61"/>
      <c r="AF235" s="61"/>
      <c r="AG235" s="61"/>
      <c r="AH235" s="61"/>
      <c r="AI235" s="61"/>
      <c r="AJ235" s="9"/>
      <c r="AK235" s="223"/>
      <c r="AL235" s="10"/>
      <c r="AM235" s="136"/>
      <c r="AN235" s="7"/>
      <c r="AO235" s="7"/>
      <c r="AP235" s="7"/>
      <c r="AQ235" s="7"/>
      <c r="AR235" s="7"/>
      <c r="AS235" s="7"/>
    </row>
    <row r="236" spans="1:45" ht="9" customHeight="1" x14ac:dyDescent="0.3">
      <c r="A236" s="1"/>
      <c r="B236" s="2"/>
      <c r="C236" s="2"/>
      <c r="D236" s="60"/>
      <c r="E236" s="60"/>
      <c r="F236" s="2"/>
      <c r="G236" s="60"/>
      <c r="H236" s="60"/>
      <c r="I236" s="61"/>
      <c r="J236" s="61"/>
      <c r="K236" s="61"/>
      <c r="L236" s="61"/>
      <c r="M236" s="61"/>
      <c r="N236" s="61"/>
      <c r="O236" s="61"/>
      <c r="P236" s="61"/>
      <c r="Q236" s="61"/>
      <c r="R236" s="61"/>
      <c r="S236" s="61"/>
      <c r="T236" s="61"/>
      <c r="U236" s="7"/>
      <c r="V236" s="223"/>
      <c r="W236" s="9"/>
      <c r="X236" s="61"/>
      <c r="Y236" s="61"/>
      <c r="Z236" s="61"/>
      <c r="AA236" s="61"/>
      <c r="AB236" s="61"/>
      <c r="AC236" s="61"/>
      <c r="AD236" s="61"/>
      <c r="AE236" s="61"/>
      <c r="AF236" s="61"/>
      <c r="AG236" s="61"/>
      <c r="AH236" s="61"/>
      <c r="AI236" s="61"/>
      <c r="AJ236" s="9"/>
      <c r="AK236" s="223"/>
      <c r="AL236" s="10"/>
      <c r="AM236" s="136"/>
      <c r="AN236" s="7"/>
      <c r="AO236" s="7"/>
      <c r="AP236" s="7"/>
      <c r="AQ236" s="7"/>
      <c r="AR236" s="7"/>
      <c r="AS236" s="7"/>
    </row>
    <row r="237" spans="1:45" ht="9" customHeight="1" x14ac:dyDescent="0.3">
      <c r="A237" s="1"/>
      <c r="B237" s="2"/>
      <c r="C237" s="2"/>
      <c r="D237" s="60"/>
      <c r="E237" s="60"/>
      <c r="F237" s="2"/>
      <c r="G237" s="60"/>
      <c r="H237" s="60"/>
      <c r="I237" s="61"/>
      <c r="J237" s="61"/>
      <c r="K237" s="61"/>
      <c r="L237" s="61"/>
      <c r="M237" s="61"/>
      <c r="N237" s="61"/>
      <c r="O237" s="61"/>
      <c r="P237" s="61"/>
      <c r="Q237" s="61"/>
      <c r="R237" s="61"/>
      <c r="S237" s="61"/>
      <c r="T237" s="61"/>
      <c r="U237" s="7"/>
      <c r="V237" s="223"/>
      <c r="W237" s="9"/>
      <c r="X237" s="61"/>
      <c r="Y237" s="61"/>
      <c r="Z237" s="61"/>
      <c r="AA237" s="61"/>
      <c r="AB237" s="61"/>
      <c r="AC237" s="61"/>
      <c r="AD237" s="61"/>
      <c r="AE237" s="61"/>
      <c r="AF237" s="61"/>
      <c r="AG237" s="61"/>
      <c r="AH237" s="61"/>
      <c r="AI237" s="61"/>
      <c r="AJ237" s="9"/>
      <c r="AK237" s="223"/>
      <c r="AL237" s="10"/>
      <c r="AM237" s="136"/>
      <c r="AN237" s="7"/>
      <c r="AO237" s="7"/>
      <c r="AP237" s="7"/>
      <c r="AQ237" s="7"/>
      <c r="AR237" s="7"/>
      <c r="AS237" s="7"/>
    </row>
    <row r="238" spans="1:45" ht="9" customHeight="1" x14ac:dyDescent="0.3">
      <c r="A238" s="1"/>
      <c r="B238" s="2"/>
      <c r="C238" s="2"/>
      <c r="D238" s="60"/>
      <c r="E238" s="60"/>
      <c r="F238" s="2"/>
      <c r="G238" s="60"/>
      <c r="H238" s="60"/>
      <c r="I238" s="61"/>
      <c r="J238" s="61"/>
      <c r="K238" s="61"/>
      <c r="L238" s="61"/>
      <c r="M238" s="61"/>
      <c r="N238" s="61"/>
      <c r="O238" s="61"/>
      <c r="P238" s="61"/>
      <c r="Q238" s="61"/>
      <c r="R238" s="61"/>
      <c r="S238" s="61"/>
      <c r="T238" s="61"/>
      <c r="U238" s="7"/>
      <c r="V238" s="223"/>
      <c r="W238" s="9"/>
      <c r="X238" s="61"/>
      <c r="Y238" s="61"/>
      <c r="Z238" s="61"/>
      <c r="AA238" s="61"/>
      <c r="AB238" s="61"/>
      <c r="AC238" s="61"/>
      <c r="AD238" s="61"/>
      <c r="AE238" s="61"/>
      <c r="AF238" s="61"/>
      <c r="AG238" s="61"/>
      <c r="AH238" s="61"/>
      <c r="AI238" s="61"/>
      <c r="AJ238" s="9"/>
      <c r="AK238" s="223"/>
      <c r="AL238" s="10"/>
      <c r="AM238" s="136"/>
      <c r="AN238" s="7"/>
      <c r="AO238" s="7"/>
      <c r="AP238" s="7"/>
      <c r="AQ238" s="7"/>
      <c r="AR238" s="7"/>
      <c r="AS238" s="7"/>
    </row>
    <row r="239" spans="1:45" ht="9" customHeight="1" x14ac:dyDescent="0.3">
      <c r="A239" s="1"/>
      <c r="B239" s="2"/>
      <c r="C239" s="2"/>
      <c r="D239" s="60"/>
      <c r="E239" s="60"/>
      <c r="F239" s="2"/>
      <c r="G239" s="60"/>
      <c r="H239" s="60"/>
      <c r="I239" s="61"/>
      <c r="J239" s="61"/>
      <c r="K239" s="61"/>
      <c r="L239" s="61"/>
      <c r="M239" s="61"/>
      <c r="N239" s="61"/>
      <c r="O239" s="61"/>
      <c r="P239" s="61"/>
      <c r="Q239" s="61"/>
      <c r="R239" s="61"/>
      <c r="S239" s="61"/>
      <c r="T239" s="61"/>
      <c r="U239" s="7"/>
      <c r="V239" s="223"/>
      <c r="W239" s="9"/>
      <c r="X239" s="61"/>
      <c r="Y239" s="61"/>
      <c r="Z239" s="61"/>
      <c r="AA239" s="61"/>
      <c r="AB239" s="61"/>
      <c r="AC239" s="61"/>
      <c r="AD239" s="61"/>
      <c r="AE239" s="61"/>
      <c r="AF239" s="61"/>
      <c r="AG239" s="61"/>
      <c r="AH239" s="61"/>
      <c r="AI239" s="61"/>
      <c r="AJ239" s="9"/>
      <c r="AK239" s="223"/>
      <c r="AL239" s="10"/>
      <c r="AM239" s="136"/>
      <c r="AN239" s="7"/>
      <c r="AO239" s="7"/>
      <c r="AP239" s="7"/>
      <c r="AQ239" s="7"/>
      <c r="AR239" s="7"/>
      <c r="AS239" s="7"/>
    </row>
    <row r="240" spans="1:45" ht="9" customHeight="1" x14ac:dyDescent="0.3">
      <c r="A240" s="1"/>
      <c r="B240" s="2"/>
      <c r="C240" s="2"/>
      <c r="D240" s="60"/>
      <c r="E240" s="60"/>
      <c r="F240" s="2"/>
      <c r="G240" s="60"/>
      <c r="H240" s="60"/>
      <c r="I240" s="61"/>
      <c r="J240" s="61"/>
      <c r="K240" s="61"/>
      <c r="L240" s="61"/>
      <c r="M240" s="61"/>
      <c r="N240" s="61"/>
      <c r="O240" s="61"/>
      <c r="P240" s="61"/>
      <c r="Q240" s="61"/>
      <c r="R240" s="61"/>
      <c r="S240" s="61"/>
      <c r="T240" s="61"/>
      <c r="U240" s="7"/>
      <c r="V240" s="223"/>
      <c r="W240" s="9"/>
      <c r="X240" s="61"/>
      <c r="Y240" s="61"/>
      <c r="Z240" s="61"/>
      <c r="AA240" s="61"/>
      <c r="AB240" s="61"/>
      <c r="AC240" s="61"/>
      <c r="AD240" s="61"/>
      <c r="AE240" s="61"/>
      <c r="AF240" s="61"/>
      <c r="AG240" s="61"/>
      <c r="AH240" s="61"/>
      <c r="AI240" s="61"/>
      <c r="AJ240" s="9"/>
      <c r="AK240" s="223"/>
      <c r="AL240" s="10"/>
      <c r="AM240" s="136"/>
      <c r="AN240" s="7"/>
      <c r="AO240" s="7"/>
      <c r="AP240" s="7"/>
      <c r="AQ240" s="7"/>
      <c r="AR240" s="7"/>
      <c r="AS240" s="7"/>
    </row>
    <row r="241" spans="1:45" ht="9" customHeight="1" x14ac:dyDescent="0.3">
      <c r="A241" s="1"/>
      <c r="B241" s="2"/>
      <c r="C241" s="2"/>
      <c r="D241" s="60"/>
      <c r="E241" s="60"/>
      <c r="F241" s="2"/>
      <c r="G241" s="60"/>
      <c r="H241" s="60"/>
      <c r="I241" s="61"/>
      <c r="J241" s="61"/>
      <c r="K241" s="61"/>
      <c r="L241" s="61"/>
      <c r="M241" s="61"/>
      <c r="N241" s="61"/>
      <c r="O241" s="61"/>
      <c r="P241" s="61"/>
      <c r="Q241" s="61"/>
      <c r="R241" s="61"/>
      <c r="S241" s="61"/>
      <c r="T241" s="61"/>
      <c r="U241" s="7"/>
      <c r="V241" s="223"/>
      <c r="W241" s="9"/>
      <c r="X241" s="61"/>
      <c r="Y241" s="61"/>
      <c r="Z241" s="61"/>
      <c r="AA241" s="61"/>
      <c r="AB241" s="61"/>
      <c r="AC241" s="61"/>
      <c r="AD241" s="61"/>
      <c r="AE241" s="61"/>
      <c r="AF241" s="61"/>
      <c r="AG241" s="61"/>
      <c r="AH241" s="61"/>
      <c r="AI241" s="61"/>
      <c r="AJ241" s="9"/>
      <c r="AK241" s="223"/>
      <c r="AL241" s="10"/>
      <c r="AM241" s="136"/>
      <c r="AN241" s="7"/>
      <c r="AO241" s="7"/>
      <c r="AP241" s="7"/>
      <c r="AQ241" s="7"/>
      <c r="AR241" s="7"/>
      <c r="AS241" s="7"/>
    </row>
    <row r="242" spans="1:45" ht="9" customHeight="1" x14ac:dyDescent="0.3">
      <c r="A242" s="1"/>
      <c r="B242" s="2"/>
      <c r="C242" s="2"/>
      <c r="D242" s="60"/>
      <c r="E242" s="60"/>
      <c r="F242" s="2"/>
      <c r="G242" s="60"/>
      <c r="H242" s="60"/>
      <c r="I242" s="61"/>
      <c r="J242" s="61"/>
      <c r="K242" s="61"/>
      <c r="L242" s="61"/>
      <c r="M242" s="61"/>
      <c r="N242" s="61"/>
      <c r="O242" s="61"/>
      <c r="P242" s="61"/>
      <c r="Q242" s="61"/>
      <c r="R242" s="61"/>
      <c r="S242" s="61"/>
      <c r="T242" s="61"/>
      <c r="U242" s="7"/>
      <c r="V242" s="223"/>
      <c r="W242" s="9"/>
      <c r="X242" s="61"/>
      <c r="Y242" s="61"/>
      <c r="Z242" s="61"/>
      <c r="AA242" s="61"/>
      <c r="AB242" s="61"/>
      <c r="AC242" s="61"/>
      <c r="AD242" s="61"/>
      <c r="AE242" s="61"/>
      <c r="AF242" s="61"/>
      <c r="AG242" s="61"/>
      <c r="AH242" s="61"/>
      <c r="AI242" s="61"/>
      <c r="AJ242" s="9"/>
      <c r="AK242" s="223"/>
      <c r="AL242" s="10"/>
      <c r="AM242" s="136"/>
      <c r="AN242" s="7"/>
      <c r="AO242" s="7"/>
      <c r="AP242" s="7"/>
      <c r="AQ242" s="7"/>
      <c r="AR242" s="7"/>
      <c r="AS242" s="7"/>
    </row>
    <row r="243" spans="1:45" ht="9" customHeight="1" x14ac:dyDescent="0.3">
      <c r="A243" s="1"/>
      <c r="B243" s="2"/>
      <c r="C243" s="2"/>
      <c r="D243" s="60"/>
      <c r="E243" s="60"/>
      <c r="F243" s="2"/>
      <c r="G243" s="60"/>
      <c r="H243" s="60"/>
      <c r="I243" s="61"/>
      <c r="J243" s="61"/>
      <c r="K243" s="61"/>
      <c r="L243" s="61"/>
      <c r="M243" s="61"/>
      <c r="N243" s="61"/>
      <c r="O243" s="61"/>
      <c r="P243" s="61"/>
      <c r="Q243" s="61"/>
      <c r="R243" s="61"/>
      <c r="S243" s="61"/>
      <c r="T243" s="61"/>
      <c r="U243" s="7"/>
      <c r="V243" s="223"/>
      <c r="W243" s="9"/>
      <c r="X243" s="61"/>
      <c r="Y243" s="61"/>
      <c r="Z243" s="61"/>
      <c r="AA243" s="61"/>
      <c r="AB243" s="61"/>
      <c r="AC243" s="61"/>
      <c r="AD243" s="61"/>
      <c r="AE243" s="61"/>
      <c r="AF243" s="61"/>
      <c r="AG243" s="61"/>
      <c r="AH243" s="61"/>
      <c r="AI243" s="61"/>
      <c r="AJ243" s="9"/>
      <c r="AK243" s="223"/>
      <c r="AL243" s="10"/>
      <c r="AM243" s="136"/>
      <c r="AN243" s="7"/>
      <c r="AO243" s="7"/>
      <c r="AP243" s="7"/>
      <c r="AQ243" s="7"/>
      <c r="AR243" s="7"/>
      <c r="AS243" s="7"/>
    </row>
    <row r="244" spans="1:45" ht="9" customHeight="1" x14ac:dyDescent="0.3">
      <c r="A244" s="1"/>
      <c r="B244" s="2"/>
      <c r="C244" s="2"/>
      <c r="D244" s="60"/>
      <c r="E244" s="60"/>
      <c r="F244" s="2"/>
      <c r="G244" s="60"/>
      <c r="H244" s="60"/>
      <c r="I244" s="61"/>
      <c r="J244" s="61"/>
      <c r="K244" s="61"/>
      <c r="L244" s="61"/>
      <c r="M244" s="61"/>
      <c r="N244" s="61"/>
      <c r="O244" s="61"/>
      <c r="P244" s="61"/>
      <c r="Q244" s="61"/>
      <c r="R244" s="61"/>
      <c r="S244" s="61"/>
      <c r="T244" s="61"/>
      <c r="U244" s="7"/>
      <c r="V244" s="223"/>
      <c r="W244" s="9"/>
      <c r="X244" s="61"/>
      <c r="Y244" s="61"/>
      <c r="Z244" s="61"/>
      <c r="AA244" s="61"/>
      <c r="AB244" s="61"/>
      <c r="AC244" s="61"/>
      <c r="AD244" s="61"/>
      <c r="AE244" s="61"/>
      <c r="AF244" s="61"/>
      <c r="AG244" s="61"/>
      <c r="AH244" s="61"/>
      <c r="AI244" s="61"/>
      <c r="AJ244" s="9"/>
      <c r="AK244" s="223"/>
      <c r="AL244" s="10"/>
      <c r="AM244" s="136"/>
      <c r="AN244" s="7"/>
      <c r="AO244" s="7"/>
      <c r="AP244" s="7"/>
      <c r="AQ244" s="7"/>
      <c r="AR244" s="7"/>
      <c r="AS244" s="7"/>
    </row>
    <row r="245" spans="1:45" ht="9" customHeight="1" x14ac:dyDescent="0.3">
      <c r="A245" s="1"/>
      <c r="B245" s="2"/>
      <c r="C245" s="2"/>
      <c r="D245" s="60"/>
      <c r="E245" s="60"/>
      <c r="F245" s="2"/>
      <c r="G245" s="60"/>
      <c r="H245" s="60"/>
      <c r="I245" s="61"/>
      <c r="J245" s="61"/>
      <c r="K245" s="61"/>
      <c r="L245" s="61"/>
      <c r="M245" s="61"/>
      <c r="N245" s="61"/>
      <c r="O245" s="61"/>
      <c r="P245" s="61"/>
      <c r="Q245" s="61"/>
      <c r="R245" s="61"/>
      <c r="S245" s="61"/>
      <c r="T245" s="61"/>
      <c r="U245" s="7"/>
      <c r="V245" s="223"/>
      <c r="W245" s="9"/>
      <c r="X245" s="61"/>
      <c r="Y245" s="61"/>
      <c r="Z245" s="61"/>
      <c r="AA245" s="61"/>
      <c r="AB245" s="61"/>
      <c r="AC245" s="61"/>
      <c r="AD245" s="61"/>
      <c r="AE245" s="61"/>
      <c r="AF245" s="61"/>
      <c r="AG245" s="61"/>
      <c r="AH245" s="61"/>
      <c r="AI245" s="61"/>
      <c r="AJ245" s="9"/>
      <c r="AK245" s="223"/>
      <c r="AL245" s="10"/>
      <c r="AM245" s="136"/>
      <c r="AN245" s="7"/>
      <c r="AO245" s="7"/>
      <c r="AP245" s="7"/>
      <c r="AQ245" s="7"/>
      <c r="AR245" s="7"/>
      <c r="AS245" s="7"/>
    </row>
    <row r="246" spans="1:45" ht="9" customHeight="1" x14ac:dyDescent="0.3">
      <c r="A246" s="1"/>
      <c r="B246" s="2"/>
      <c r="C246" s="2"/>
      <c r="D246" s="60"/>
      <c r="E246" s="60"/>
      <c r="F246" s="2"/>
      <c r="G246" s="60"/>
      <c r="H246" s="60"/>
      <c r="I246" s="61"/>
      <c r="J246" s="61"/>
      <c r="K246" s="61"/>
      <c r="L246" s="61"/>
      <c r="M246" s="61"/>
      <c r="N246" s="61"/>
      <c r="O246" s="61"/>
      <c r="P246" s="61"/>
      <c r="Q246" s="61"/>
      <c r="R246" s="61"/>
      <c r="S246" s="61"/>
      <c r="T246" s="61"/>
      <c r="U246" s="7"/>
      <c r="V246" s="223"/>
      <c r="W246" s="9"/>
      <c r="X246" s="61"/>
      <c r="Y246" s="61"/>
      <c r="Z246" s="61"/>
      <c r="AA246" s="61"/>
      <c r="AB246" s="61"/>
      <c r="AC246" s="61"/>
      <c r="AD246" s="61"/>
      <c r="AE246" s="61"/>
      <c r="AF246" s="61"/>
      <c r="AG246" s="61"/>
      <c r="AH246" s="61"/>
      <c r="AI246" s="61"/>
      <c r="AJ246" s="9"/>
      <c r="AK246" s="223"/>
      <c r="AL246" s="10"/>
      <c r="AM246" s="136"/>
      <c r="AN246" s="7"/>
      <c r="AO246" s="7"/>
      <c r="AP246" s="7"/>
      <c r="AQ246" s="7"/>
      <c r="AR246" s="7"/>
      <c r="AS246" s="7"/>
    </row>
    <row r="247" spans="1:45" ht="9" customHeight="1" x14ac:dyDescent="0.3">
      <c r="A247" s="1"/>
      <c r="B247" s="2"/>
      <c r="C247" s="2"/>
      <c r="D247" s="60"/>
      <c r="E247" s="60"/>
      <c r="F247" s="2"/>
      <c r="G247" s="60"/>
      <c r="H247" s="60"/>
      <c r="I247" s="61"/>
      <c r="J247" s="61"/>
      <c r="K247" s="61"/>
      <c r="L247" s="61"/>
      <c r="M247" s="61"/>
      <c r="N247" s="61"/>
      <c r="O247" s="61"/>
      <c r="P247" s="61"/>
      <c r="Q247" s="61"/>
      <c r="R247" s="61"/>
      <c r="S247" s="61"/>
      <c r="T247" s="61"/>
      <c r="U247" s="7"/>
      <c r="V247" s="223"/>
      <c r="W247" s="9"/>
      <c r="X247" s="61"/>
      <c r="Y247" s="61"/>
      <c r="Z247" s="61"/>
      <c r="AA247" s="61"/>
      <c r="AB247" s="61"/>
      <c r="AC247" s="61"/>
      <c r="AD247" s="61"/>
      <c r="AE247" s="61"/>
      <c r="AF247" s="61"/>
      <c r="AG247" s="61"/>
      <c r="AH247" s="61"/>
      <c r="AI247" s="61"/>
      <c r="AJ247" s="9"/>
      <c r="AK247" s="223"/>
      <c r="AL247" s="10"/>
      <c r="AM247" s="136"/>
      <c r="AN247" s="7"/>
      <c r="AO247" s="7"/>
      <c r="AP247" s="7"/>
      <c r="AQ247" s="7"/>
      <c r="AR247" s="7"/>
      <c r="AS247" s="7"/>
    </row>
    <row r="248" spans="1:45" ht="9" customHeight="1" x14ac:dyDescent="0.3">
      <c r="A248" s="1"/>
      <c r="B248" s="2"/>
      <c r="C248" s="2"/>
      <c r="D248" s="60"/>
      <c r="E248" s="60"/>
      <c r="F248" s="2"/>
      <c r="G248" s="60"/>
      <c r="H248" s="60"/>
      <c r="I248" s="61"/>
      <c r="J248" s="61"/>
      <c r="K248" s="61"/>
      <c r="L248" s="61"/>
      <c r="M248" s="61"/>
      <c r="N248" s="61"/>
      <c r="O248" s="61"/>
      <c r="P248" s="61"/>
      <c r="Q248" s="61"/>
      <c r="R248" s="61"/>
      <c r="S248" s="61"/>
      <c r="T248" s="61"/>
      <c r="U248" s="7"/>
      <c r="V248" s="223"/>
      <c r="W248" s="9"/>
      <c r="X248" s="61"/>
      <c r="Y248" s="61"/>
      <c r="Z248" s="61"/>
      <c r="AA248" s="61"/>
      <c r="AB248" s="61"/>
      <c r="AC248" s="61"/>
      <c r="AD248" s="61"/>
      <c r="AE248" s="61"/>
      <c r="AF248" s="61"/>
      <c r="AG248" s="61"/>
      <c r="AH248" s="61"/>
      <c r="AI248" s="61"/>
      <c r="AJ248" s="9"/>
      <c r="AK248" s="223"/>
      <c r="AL248" s="10"/>
      <c r="AM248" s="136"/>
      <c r="AN248" s="7"/>
      <c r="AO248" s="7"/>
      <c r="AP248" s="7"/>
      <c r="AQ248" s="7"/>
      <c r="AR248" s="7"/>
      <c r="AS248" s="7"/>
    </row>
    <row r="249" spans="1:45" ht="9" customHeight="1" x14ac:dyDescent="0.3">
      <c r="A249" s="1"/>
      <c r="B249" s="2"/>
      <c r="C249" s="2"/>
      <c r="D249" s="60"/>
      <c r="E249" s="60"/>
      <c r="F249" s="2"/>
      <c r="G249" s="60"/>
      <c r="H249" s="60"/>
      <c r="I249" s="61"/>
      <c r="J249" s="61"/>
      <c r="K249" s="61"/>
      <c r="L249" s="61"/>
      <c r="M249" s="61"/>
      <c r="N249" s="61"/>
      <c r="O249" s="61"/>
      <c r="P249" s="61"/>
      <c r="Q249" s="61"/>
      <c r="R249" s="61"/>
      <c r="S249" s="61"/>
      <c r="T249" s="61"/>
      <c r="U249" s="7"/>
      <c r="V249" s="223"/>
      <c r="W249" s="9"/>
      <c r="X249" s="61"/>
      <c r="Y249" s="61"/>
      <c r="Z249" s="61"/>
      <c r="AA249" s="61"/>
      <c r="AB249" s="61"/>
      <c r="AC249" s="61"/>
      <c r="AD249" s="61"/>
      <c r="AE249" s="61"/>
      <c r="AF249" s="61"/>
      <c r="AG249" s="61"/>
      <c r="AH249" s="61"/>
      <c r="AI249" s="61"/>
      <c r="AJ249" s="9"/>
      <c r="AK249" s="223"/>
      <c r="AL249" s="10"/>
      <c r="AM249" s="136"/>
      <c r="AN249" s="7"/>
      <c r="AO249" s="7"/>
      <c r="AP249" s="7"/>
      <c r="AQ249" s="7"/>
      <c r="AR249" s="7"/>
      <c r="AS249" s="7"/>
    </row>
    <row r="250" spans="1:45" ht="9" customHeight="1" x14ac:dyDescent="0.3">
      <c r="A250" s="1"/>
      <c r="B250" s="2"/>
      <c r="C250" s="2"/>
      <c r="D250" s="60"/>
      <c r="E250" s="60"/>
      <c r="F250" s="2"/>
      <c r="G250" s="60"/>
      <c r="H250" s="60"/>
      <c r="I250" s="61"/>
      <c r="J250" s="61"/>
      <c r="K250" s="61"/>
      <c r="L250" s="61"/>
      <c r="M250" s="61"/>
      <c r="N250" s="61"/>
      <c r="O250" s="61"/>
      <c r="P250" s="61"/>
      <c r="Q250" s="61"/>
      <c r="R250" s="61"/>
      <c r="S250" s="61"/>
      <c r="T250" s="61"/>
      <c r="U250" s="7"/>
      <c r="V250" s="223"/>
      <c r="W250" s="9"/>
      <c r="X250" s="61"/>
      <c r="Y250" s="61"/>
      <c r="Z250" s="61"/>
      <c r="AA250" s="61"/>
      <c r="AB250" s="61"/>
      <c r="AC250" s="61"/>
      <c r="AD250" s="61"/>
      <c r="AE250" s="61"/>
      <c r="AF250" s="61"/>
      <c r="AG250" s="61"/>
      <c r="AH250" s="61"/>
      <c r="AI250" s="61"/>
      <c r="AJ250" s="9"/>
      <c r="AK250" s="223"/>
      <c r="AL250" s="10"/>
      <c r="AM250" s="136"/>
      <c r="AN250" s="7"/>
      <c r="AO250" s="7"/>
      <c r="AP250" s="7"/>
      <c r="AQ250" s="7"/>
      <c r="AR250" s="7"/>
      <c r="AS250" s="7"/>
    </row>
    <row r="251" spans="1:45" ht="9" customHeight="1" x14ac:dyDescent="0.3">
      <c r="A251" s="1"/>
      <c r="B251" s="2"/>
      <c r="C251" s="2"/>
      <c r="D251" s="60"/>
      <c r="E251" s="60"/>
      <c r="F251" s="2"/>
      <c r="G251" s="60"/>
      <c r="H251" s="60"/>
      <c r="I251" s="61"/>
      <c r="J251" s="61"/>
      <c r="K251" s="61"/>
      <c r="L251" s="61"/>
      <c r="M251" s="61"/>
      <c r="N251" s="61"/>
      <c r="O251" s="61"/>
      <c r="P251" s="61"/>
      <c r="Q251" s="61"/>
      <c r="R251" s="61"/>
      <c r="S251" s="61"/>
      <c r="T251" s="61"/>
      <c r="U251" s="7"/>
      <c r="V251" s="223"/>
      <c r="W251" s="9"/>
      <c r="X251" s="61"/>
      <c r="Y251" s="61"/>
      <c r="Z251" s="61"/>
      <c r="AA251" s="61"/>
      <c r="AB251" s="61"/>
      <c r="AC251" s="61"/>
      <c r="AD251" s="61"/>
      <c r="AE251" s="61"/>
      <c r="AF251" s="61"/>
      <c r="AG251" s="61"/>
      <c r="AH251" s="61"/>
      <c r="AI251" s="61"/>
      <c r="AJ251" s="9"/>
      <c r="AK251" s="223"/>
      <c r="AL251" s="10"/>
      <c r="AM251" s="136"/>
      <c r="AN251" s="7"/>
      <c r="AO251" s="7"/>
      <c r="AP251" s="7"/>
      <c r="AQ251" s="7"/>
      <c r="AR251" s="7"/>
      <c r="AS251" s="7"/>
    </row>
    <row r="252" spans="1:45" ht="9" customHeight="1" x14ac:dyDescent="0.3">
      <c r="A252" s="1"/>
      <c r="B252" s="2"/>
      <c r="C252" s="2"/>
      <c r="D252" s="60"/>
      <c r="E252" s="60"/>
      <c r="F252" s="2"/>
      <c r="G252" s="60"/>
      <c r="H252" s="60"/>
      <c r="I252" s="61"/>
      <c r="J252" s="61"/>
      <c r="K252" s="61"/>
      <c r="L252" s="61"/>
      <c r="M252" s="61"/>
      <c r="N252" s="61"/>
      <c r="O252" s="61"/>
      <c r="P252" s="61"/>
      <c r="Q252" s="61"/>
      <c r="R252" s="61"/>
      <c r="S252" s="61"/>
      <c r="T252" s="61"/>
      <c r="U252" s="7"/>
      <c r="V252" s="223"/>
      <c r="W252" s="9"/>
      <c r="X252" s="61"/>
      <c r="Y252" s="61"/>
      <c r="Z252" s="61"/>
      <c r="AA252" s="61"/>
      <c r="AB252" s="61"/>
      <c r="AC252" s="61"/>
      <c r="AD252" s="61"/>
      <c r="AE252" s="61"/>
      <c r="AF252" s="61"/>
      <c r="AG252" s="61"/>
      <c r="AH252" s="61"/>
      <c r="AI252" s="61"/>
      <c r="AJ252" s="9"/>
      <c r="AK252" s="223"/>
      <c r="AL252" s="10"/>
      <c r="AM252" s="136"/>
      <c r="AN252" s="7"/>
      <c r="AO252" s="7"/>
      <c r="AP252" s="7"/>
      <c r="AQ252" s="7"/>
      <c r="AR252" s="7"/>
      <c r="AS252" s="7"/>
    </row>
    <row r="253" spans="1:45" ht="9" customHeight="1" x14ac:dyDescent="0.3">
      <c r="A253" s="1"/>
      <c r="B253" s="2"/>
      <c r="C253" s="2"/>
      <c r="D253" s="60"/>
      <c r="E253" s="60"/>
      <c r="F253" s="2"/>
      <c r="G253" s="60"/>
      <c r="H253" s="60"/>
      <c r="I253" s="61"/>
      <c r="J253" s="61"/>
      <c r="K253" s="61"/>
      <c r="L253" s="61"/>
      <c r="M253" s="61"/>
      <c r="N253" s="61"/>
      <c r="O253" s="61"/>
      <c r="P253" s="61"/>
      <c r="Q253" s="61"/>
      <c r="R253" s="61"/>
      <c r="S253" s="61"/>
      <c r="T253" s="61"/>
      <c r="U253" s="7"/>
      <c r="V253" s="223"/>
      <c r="W253" s="9"/>
      <c r="X253" s="61"/>
      <c r="Y253" s="61"/>
      <c r="Z253" s="61"/>
      <c r="AA253" s="61"/>
      <c r="AB253" s="61"/>
      <c r="AC253" s="61"/>
      <c r="AD253" s="61"/>
      <c r="AE253" s="61"/>
      <c r="AF253" s="61"/>
      <c r="AG253" s="61"/>
      <c r="AH253" s="61"/>
      <c r="AI253" s="61"/>
      <c r="AJ253" s="9"/>
      <c r="AK253" s="223"/>
      <c r="AL253" s="10"/>
      <c r="AM253" s="136"/>
      <c r="AN253" s="7"/>
      <c r="AO253" s="7"/>
      <c r="AP253" s="7"/>
      <c r="AQ253" s="7"/>
      <c r="AR253" s="7"/>
      <c r="AS253" s="7"/>
    </row>
    <row r="254" spans="1:45" ht="9" customHeight="1" x14ac:dyDescent="0.3">
      <c r="A254" s="1"/>
      <c r="B254" s="2"/>
      <c r="C254" s="2"/>
      <c r="D254" s="60"/>
      <c r="E254" s="60"/>
      <c r="F254" s="2"/>
      <c r="G254" s="60"/>
      <c r="H254" s="60"/>
      <c r="I254" s="61"/>
      <c r="J254" s="61"/>
      <c r="K254" s="61"/>
      <c r="L254" s="61"/>
      <c r="M254" s="61"/>
      <c r="N254" s="61"/>
      <c r="O254" s="61"/>
      <c r="P254" s="61"/>
      <c r="Q254" s="61"/>
      <c r="R254" s="61"/>
      <c r="S254" s="61"/>
      <c r="T254" s="61"/>
      <c r="U254" s="7"/>
      <c r="V254" s="223"/>
      <c r="W254" s="9"/>
      <c r="X254" s="61"/>
      <c r="Y254" s="61"/>
      <c r="Z254" s="61"/>
      <c r="AA254" s="61"/>
      <c r="AB254" s="61"/>
      <c r="AC254" s="61"/>
      <c r="AD254" s="61"/>
      <c r="AE254" s="61"/>
      <c r="AF254" s="61"/>
      <c r="AG254" s="61"/>
      <c r="AH254" s="61"/>
      <c r="AI254" s="61"/>
      <c r="AJ254" s="9"/>
      <c r="AK254" s="223"/>
      <c r="AL254" s="10"/>
      <c r="AM254" s="136"/>
      <c r="AN254" s="7"/>
      <c r="AO254" s="7"/>
      <c r="AP254" s="7"/>
      <c r="AQ254" s="7"/>
      <c r="AR254" s="7"/>
      <c r="AS254" s="7"/>
    </row>
    <row r="255" spans="1:45" ht="9" customHeight="1" x14ac:dyDescent="0.3">
      <c r="A255" s="1"/>
      <c r="B255" s="2"/>
      <c r="C255" s="2"/>
      <c r="D255" s="60"/>
      <c r="E255" s="60"/>
      <c r="F255" s="2"/>
      <c r="G255" s="60"/>
      <c r="H255" s="60"/>
      <c r="I255" s="61"/>
      <c r="J255" s="61"/>
      <c r="K255" s="61"/>
      <c r="L255" s="61"/>
      <c r="M255" s="61"/>
      <c r="N255" s="61"/>
      <c r="O255" s="61"/>
      <c r="P255" s="61"/>
      <c r="Q255" s="61"/>
      <c r="R255" s="61"/>
      <c r="S255" s="61"/>
      <c r="T255" s="61"/>
      <c r="U255" s="7"/>
      <c r="V255" s="223"/>
      <c r="W255" s="9"/>
      <c r="X255" s="61"/>
      <c r="Y255" s="61"/>
      <c r="Z255" s="61"/>
      <c r="AA255" s="61"/>
      <c r="AB255" s="61"/>
      <c r="AC255" s="61"/>
      <c r="AD255" s="61"/>
      <c r="AE255" s="61"/>
      <c r="AF255" s="61"/>
      <c r="AG255" s="61"/>
      <c r="AH255" s="61"/>
      <c r="AI255" s="61"/>
      <c r="AJ255" s="9"/>
      <c r="AK255" s="223"/>
      <c r="AL255" s="10"/>
      <c r="AM255" s="136"/>
      <c r="AN255" s="7"/>
      <c r="AO255" s="7"/>
      <c r="AP255" s="7"/>
      <c r="AQ255" s="7"/>
      <c r="AR255" s="7"/>
      <c r="AS255" s="7"/>
    </row>
    <row r="256" spans="1:45" ht="9" customHeight="1" x14ac:dyDescent="0.3">
      <c r="A256" s="1"/>
      <c r="B256" s="2"/>
      <c r="C256" s="2"/>
      <c r="D256" s="60"/>
      <c r="E256" s="60"/>
      <c r="F256" s="2"/>
      <c r="G256" s="60"/>
      <c r="H256" s="60"/>
      <c r="I256" s="61"/>
      <c r="J256" s="61"/>
      <c r="K256" s="61"/>
      <c r="L256" s="61"/>
      <c r="M256" s="61"/>
      <c r="N256" s="61"/>
      <c r="O256" s="61"/>
      <c r="P256" s="61"/>
      <c r="Q256" s="61"/>
      <c r="R256" s="61"/>
      <c r="S256" s="61"/>
      <c r="T256" s="61"/>
      <c r="U256" s="7"/>
      <c r="V256" s="223"/>
      <c r="W256" s="9"/>
      <c r="X256" s="61"/>
      <c r="Y256" s="61"/>
      <c r="Z256" s="61"/>
      <c r="AA256" s="61"/>
      <c r="AB256" s="61"/>
      <c r="AC256" s="61"/>
      <c r="AD256" s="61"/>
      <c r="AE256" s="61"/>
      <c r="AF256" s="61"/>
      <c r="AG256" s="61"/>
      <c r="AH256" s="61"/>
      <c r="AI256" s="61"/>
      <c r="AJ256" s="9"/>
      <c r="AK256" s="223"/>
      <c r="AL256" s="10"/>
      <c r="AM256" s="136"/>
      <c r="AN256" s="7"/>
      <c r="AO256" s="7"/>
      <c r="AP256" s="7"/>
      <c r="AQ256" s="7"/>
      <c r="AR256" s="7"/>
      <c r="AS256" s="7"/>
    </row>
    <row r="257" spans="1:45" ht="9" customHeight="1" x14ac:dyDescent="0.3">
      <c r="A257" s="1"/>
      <c r="B257" s="2"/>
      <c r="C257" s="2"/>
      <c r="D257" s="60"/>
      <c r="E257" s="60"/>
      <c r="F257" s="2"/>
      <c r="G257" s="60"/>
      <c r="H257" s="60"/>
      <c r="I257" s="61"/>
      <c r="J257" s="61"/>
      <c r="K257" s="61"/>
      <c r="L257" s="61"/>
      <c r="M257" s="61"/>
      <c r="N257" s="61"/>
      <c r="O257" s="61"/>
      <c r="P257" s="61"/>
      <c r="Q257" s="61"/>
      <c r="R257" s="61"/>
      <c r="S257" s="61"/>
      <c r="T257" s="61"/>
      <c r="U257" s="7"/>
      <c r="V257" s="223"/>
      <c r="W257" s="9"/>
      <c r="X257" s="61"/>
      <c r="Y257" s="61"/>
      <c r="Z257" s="61"/>
      <c r="AA257" s="61"/>
      <c r="AB257" s="61"/>
      <c r="AC257" s="61"/>
      <c r="AD257" s="61"/>
      <c r="AE257" s="61"/>
      <c r="AF257" s="61"/>
      <c r="AG257" s="61"/>
      <c r="AH257" s="61"/>
      <c r="AI257" s="61"/>
      <c r="AJ257" s="9"/>
      <c r="AK257" s="223"/>
      <c r="AL257" s="10"/>
      <c r="AM257" s="136"/>
      <c r="AN257" s="7"/>
      <c r="AO257" s="7"/>
      <c r="AP257" s="7"/>
      <c r="AQ257" s="7"/>
      <c r="AR257" s="7"/>
      <c r="AS257" s="7"/>
    </row>
    <row r="258" spans="1:45" ht="9" customHeight="1" x14ac:dyDescent="0.3">
      <c r="A258" s="1"/>
      <c r="B258" s="2"/>
      <c r="C258" s="2"/>
      <c r="D258" s="60"/>
      <c r="E258" s="60"/>
      <c r="F258" s="2"/>
      <c r="G258" s="60"/>
      <c r="H258" s="60"/>
      <c r="I258" s="61"/>
      <c r="J258" s="61"/>
      <c r="K258" s="61"/>
      <c r="L258" s="61"/>
      <c r="M258" s="61"/>
      <c r="N258" s="61"/>
      <c r="O258" s="61"/>
      <c r="P258" s="61"/>
      <c r="Q258" s="61"/>
      <c r="R258" s="61"/>
      <c r="S258" s="61"/>
      <c r="T258" s="61"/>
      <c r="U258" s="7"/>
      <c r="V258" s="223"/>
      <c r="W258" s="9"/>
      <c r="X258" s="61"/>
      <c r="Y258" s="61"/>
      <c r="Z258" s="61"/>
      <c r="AA258" s="61"/>
      <c r="AB258" s="61"/>
      <c r="AC258" s="61"/>
      <c r="AD258" s="61"/>
      <c r="AE258" s="61"/>
      <c r="AF258" s="61"/>
      <c r="AG258" s="61"/>
      <c r="AH258" s="61"/>
      <c r="AI258" s="61"/>
      <c r="AJ258" s="9"/>
      <c r="AK258" s="223"/>
      <c r="AL258" s="10"/>
      <c r="AM258" s="136"/>
      <c r="AN258" s="7"/>
      <c r="AO258" s="7"/>
      <c r="AP258" s="7"/>
      <c r="AQ258" s="7"/>
      <c r="AR258" s="7"/>
      <c r="AS258" s="7"/>
    </row>
    <row r="259" spans="1:45" ht="9" customHeight="1" x14ac:dyDescent="0.3">
      <c r="A259" s="1"/>
      <c r="B259" s="2"/>
      <c r="C259" s="2"/>
      <c r="D259" s="60"/>
      <c r="E259" s="60"/>
      <c r="F259" s="2"/>
      <c r="G259" s="60"/>
      <c r="H259" s="60"/>
      <c r="I259" s="61"/>
      <c r="J259" s="61"/>
      <c r="K259" s="61"/>
      <c r="L259" s="61"/>
      <c r="M259" s="61"/>
      <c r="N259" s="61"/>
      <c r="O259" s="61"/>
      <c r="P259" s="61"/>
      <c r="Q259" s="61"/>
      <c r="R259" s="61"/>
      <c r="S259" s="61"/>
      <c r="T259" s="61"/>
      <c r="U259" s="7"/>
      <c r="V259" s="223"/>
      <c r="W259" s="9"/>
      <c r="X259" s="61"/>
      <c r="Y259" s="61"/>
      <c r="Z259" s="61"/>
      <c r="AA259" s="61"/>
      <c r="AB259" s="61"/>
      <c r="AC259" s="61"/>
      <c r="AD259" s="61"/>
      <c r="AE259" s="61"/>
      <c r="AF259" s="61"/>
      <c r="AG259" s="61"/>
      <c r="AH259" s="61"/>
      <c r="AI259" s="61"/>
      <c r="AJ259" s="9"/>
      <c r="AK259" s="223"/>
      <c r="AL259" s="10"/>
      <c r="AM259" s="136"/>
      <c r="AN259" s="7"/>
      <c r="AO259" s="7"/>
      <c r="AP259" s="7"/>
      <c r="AQ259" s="7"/>
      <c r="AR259" s="7"/>
      <c r="AS259" s="7"/>
    </row>
    <row r="260" spans="1:45" ht="9" customHeight="1" x14ac:dyDescent="0.3">
      <c r="A260" s="1"/>
      <c r="B260" s="2"/>
      <c r="C260" s="2"/>
      <c r="D260" s="60"/>
      <c r="E260" s="60"/>
      <c r="F260" s="2"/>
      <c r="G260" s="60"/>
      <c r="H260" s="60"/>
      <c r="I260" s="61"/>
      <c r="J260" s="61"/>
      <c r="K260" s="61"/>
      <c r="L260" s="61"/>
      <c r="M260" s="61"/>
      <c r="N260" s="61"/>
      <c r="O260" s="61"/>
      <c r="P260" s="61"/>
      <c r="Q260" s="61"/>
      <c r="R260" s="61"/>
      <c r="S260" s="61"/>
      <c r="T260" s="61"/>
      <c r="U260" s="7"/>
      <c r="V260" s="223"/>
      <c r="W260" s="9"/>
      <c r="X260" s="61"/>
      <c r="Y260" s="61"/>
      <c r="Z260" s="61"/>
      <c r="AA260" s="61"/>
      <c r="AB260" s="61"/>
      <c r="AC260" s="61"/>
      <c r="AD260" s="61"/>
      <c r="AE260" s="61"/>
      <c r="AF260" s="61"/>
      <c r="AG260" s="61"/>
      <c r="AH260" s="61"/>
      <c r="AI260" s="61"/>
      <c r="AJ260" s="9"/>
      <c r="AK260" s="223"/>
      <c r="AL260" s="10"/>
      <c r="AM260" s="136"/>
      <c r="AN260" s="7"/>
      <c r="AO260" s="7"/>
      <c r="AP260" s="7"/>
      <c r="AQ260" s="7"/>
      <c r="AR260" s="7"/>
      <c r="AS260" s="7"/>
    </row>
    <row r="261" spans="1:45" ht="9" customHeight="1" x14ac:dyDescent="0.3">
      <c r="A261" s="1"/>
      <c r="B261" s="2"/>
      <c r="C261" s="2"/>
      <c r="D261" s="60"/>
      <c r="E261" s="60"/>
      <c r="F261" s="2"/>
      <c r="G261" s="60"/>
      <c r="H261" s="60"/>
      <c r="I261" s="61"/>
      <c r="J261" s="61"/>
      <c r="K261" s="61"/>
      <c r="L261" s="61"/>
      <c r="M261" s="61"/>
      <c r="N261" s="61"/>
      <c r="O261" s="61"/>
      <c r="P261" s="61"/>
      <c r="Q261" s="61"/>
      <c r="R261" s="61"/>
      <c r="S261" s="61"/>
      <c r="T261" s="61"/>
      <c r="U261" s="7"/>
      <c r="V261" s="223"/>
      <c r="W261" s="9"/>
      <c r="X261" s="61"/>
      <c r="Y261" s="61"/>
      <c r="Z261" s="61"/>
      <c r="AA261" s="61"/>
      <c r="AB261" s="61"/>
      <c r="AC261" s="61"/>
      <c r="AD261" s="61"/>
      <c r="AE261" s="61"/>
      <c r="AF261" s="61"/>
      <c r="AG261" s="61"/>
      <c r="AH261" s="61"/>
      <c r="AI261" s="61"/>
      <c r="AJ261" s="9"/>
      <c r="AK261" s="223"/>
      <c r="AL261" s="10"/>
      <c r="AM261" s="136"/>
      <c r="AN261" s="7"/>
      <c r="AO261" s="7"/>
      <c r="AP261" s="7"/>
      <c r="AQ261" s="7"/>
      <c r="AR261" s="7"/>
      <c r="AS261" s="7"/>
    </row>
    <row r="262" spans="1:45" ht="9" customHeight="1" x14ac:dyDescent="0.3">
      <c r="A262" s="1"/>
      <c r="B262" s="2"/>
      <c r="C262" s="2"/>
      <c r="D262" s="60"/>
      <c r="E262" s="60"/>
      <c r="F262" s="2"/>
      <c r="G262" s="60"/>
      <c r="H262" s="60"/>
      <c r="I262" s="61"/>
      <c r="J262" s="61"/>
      <c r="K262" s="61"/>
      <c r="L262" s="61"/>
      <c r="M262" s="61"/>
      <c r="N262" s="61"/>
      <c r="O262" s="61"/>
      <c r="P262" s="61"/>
      <c r="Q262" s="61"/>
      <c r="R262" s="61"/>
      <c r="S262" s="61"/>
      <c r="T262" s="61"/>
      <c r="U262" s="7"/>
      <c r="V262" s="223"/>
      <c r="W262" s="9"/>
      <c r="X262" s="61"/>
      <c r="Y262" s="61"/>
      <c r="Z262" s="61"/>
      <c r="AA262" s="61"/>
      <c r="AB262" s="61"/>
      <c r="AC262" s="61"/>
      <c r="AD262" s="61"/>
      <c r="AE262" s="61"/>
      <c r="AF262" s="61"/>
      <c r="AG262" s="61"/>
      <c r="AH262" s="61"/>
      <c r="AI262" s="61"/>
      <c r="AJ262" s="9"/>
      <c r="AK262" s="223"/>
      <c r="AL262" s="10"/>
      <c r="AM262" s="136"/>
      <c r="AN262" s="7"/>
      <c r="AO262" s="7"/>
      <c r="AP262" s="7"/>
      <c r="AQ262" s="7"/>
      <c r="AR262" s="7"/>
      <c r="AS262" s="7"/>
    </row>
    <row r="263" spans="1:45" ht="9" customHeight="1" x14ac:dyDescent="0.3">
      <c r="A263" s="1"/>
      <c r="B263" s="2"/>
      <c r="C263" s="2"/>
      <c r="D263" s="60"/>
      <c r="E263" s="60"/>
      <c r="F263" s="2"/>
      <c r="G263" s="60"/>
      <c r="H263" s="60"/>
      <c r="I263" s="61"/>
      <c r="J263" s="61"/>
      <c r="K263" s="61"/>
      <c r="L263" s="61"/>
      <c r="M263" s="61"/>
      <c r="N263" s="61"/>
      <c r="O263" s="61"/>
      <c r="P263" s="61"/>
      <c r="Q263" s="61"/>
      <c r="R263" s="61"/>
      <c r="S263" s="61"/>
      <c r="T263" s="61"/>
      <c r="U263" s="7"/>
      <c r="V263" s="223"/>
      <c r="W263" s="9"/>
      <c r="X263" s="61"/>
      <c r="Y263" s="61"/>
      <c r="Z263" s="61"/>
      <c r="AA263" s="61"/>
      <c r="AB263" s="61"/>
      <c r="AC263" s="61"/>
      <c r="AD263" s="61"/>
      <c r="AE263" s="61"/>
      <c r="AF263" s="61"/>
      <c r="AG263" s="61"/>
      <c r="AH263" s="61"/>
      <c r="AI263" s="61"/>
      <c r="AJ263" s="9"/>
      <c r="AK263" s="223"/>
      <c r="AL263" s="10"/>
      <c r="AM263" s="136"/>
      <c r="AN263" s="7"/>
      <c r="AO263" s="7"/>
      <c r="AP263" s="7"/>
      <c r="AQ263" s="7"/>
      <c r="AR263" s="7"/>
      <c r="AS263" s="7"/>
    </row>
    <row r="264" spans="1:45" ht="9" customHeight="1" x14ac:dyDescent="0.3">
      <c r="A264" s="1"/>
      <c r="B264" s="2"/>
      <c r="C264" s="2"/>
      <c r="D264" s="60"/>
      <c r="E264" s="60"/>
      <c r="F264" s="2"/>
      <c r="G264" s="60"/>
      <c r="H264" s="60"/>
      <c r="I264" s="61"/>
      <c r="J264" s="61"/>
      <c r="K264" s="61"/>
      <c r="L264" s="61"/>
      <c r="M264" s="61"/>
      <c r="N264" s="61"/>
      <c r="O264" s="61"/>
      <c r="P264" s="61"/>
      <c r="Q264" s="61"/>
      <c r="R264" s="61"/>
      <c r="S264" s="61"/>
      <c r="T264" s="61"/>
      <c r="U264" s="7"/>
      <c r="V264" s="223"/>
      <c r="W264" s="9"/>
      <c r="X264" s="61"/>
      <c r="Y264" s="61"/>
      <c r="Z264" s="61"/>
      <c r="AA264" s="61"/>
      <c r="AB264" s="61"/>
      <c r="AC264" s="61"/>
      <c r="AD264" s="61"/>
      <c r="AE264" s="61"/>
      <c r="AF264" s="61"/>
      <c r="AG264" s="61"/>
      <c r="AH264" s="61"/>
      <c r="AI264" s="61"/>
      <c r="AJ264" s="9"/>
      <c r="AK264" s="223"/>
      <c r="AL264" s="10"/>
      <c r="AM264" s="136"/>
      <c r="AN264" s="7"/>
      <c r="AO264" s="7"/>
      <c r="AP264" s="7"/>
      <c r="AQ264" s="7"/>
      <c r="AR264" s="7"/>
      <c r="AS264" s="7"/>
    </row>
    <row r="265" spans="1:45" ht="9" customHeight="1" x14ac:dyDescent="0.3">
      <c r="A265" s="1"/>
      <c r="B265" s="2"/>
      <c r="C265" s="2"/>
      <c r="D265" s="60"/>
      <c r="E265" s="60"/>
      <c r="F265" s="2"/>
      <c r="G265" s="60"/>
      <c r="H265" s="60"/>
      <c r="I265" s="61"/>
      <c r="J265" s="61"/>
      <c r="K265" s="61"/>
      <c r="L265" s="61"/>
      <c r="M265" s="61"/>
      <c r="N265" s="61"/>
      <c r="O265" s="61"/>
      <c r="P265" s="61"/>
      <c r="Q265" s="61"/>
      <c r="R265" s="61"/>
      <c r="S265" s="61"/>
      <c r="T265" s="61"/>
      <c r="U265" s="7"/>
      <c r="V265" s="223"/>
      <c r="W265" s="9"/>
      <c r="X265" s="61"/>
      <c r="Y265" s="61"/>
      <c r="Z265" s="61"/>
      <c r="AA265" s="61"/>
      <c r="AB265" s="61"/>
      <c r="AC265" s="61"/>
      <c r="AD265" s="61"/>
      <c r="AE265" s="61"/>
      <c r="AF265" s="61"/>
      <c r="AG265" s="61"/>
      <c r="AH265" s="61"/>
      <c r="AI265" s="61"/>
      <c r="AJ265" s="9"/>
      <c r="AK265" s="223"/>
      <c r="AL265" s="10"/>
      <c r="AM265" s="136"/>
      <c r="AN265" s="7"/>
      <c r="AO265" s="7"/>
      <c r="AP265" s="7"/>
      <c r="AQ265" s="7"/>
      <c r="AR265" s="7"/>
      <c r="AS265" s="7"/>
    </row>
    <row r="266" spans="1:45" ht="9" customHeight="1" x14ac:dyDescent="0.3">
      <c r="A266" s="1"/>
      <c r="B266" s="2"/>
      <c r="C266" s="2"/>
      <c r="D266" s="60"/>
      <c r="E266" s="60"/>
      <c r="F266" s="2"/>
      <c r="G266" s="60"/>
      <c r="H266" s="60"/>
      <c r="I266" s="61"/>
      <c r="J266" s="61"/>
      <c r="K266" s="61"/>
      <c r="L266" s="61"/>
      <c r="M266" s="61"/>
      <c r="N266" s="61"/>
      <c r="O266" s="61"/>
      <c r="P266" s="61"/>
      <c r="Q266" s="61"/>
      <c r="R266" s="61"/>
      <c r="S266" s="61"/>
      <c r="T266" s="61"/>
      <c r="U266" s="7"/>
      <c r="V266" s="223"/>
      <c r="W266" s="9"/>
      <c r="X266" s="61"/>
      <c r="Y266" s="61"/>
      <c r="Z266" s="61"/>
      <c r="AA266" s="61"/>
      <c r="AB266" s="61"/>
      <c r="AC266" s="61"/>
      <c r="AD266" s="61"/>
      <c r="AE266" s="61"/>
      <c r="AF266" s="61"/>
      <c r="AG266" s="61"/>
      <c r="AH266" s="61"/>
      <c r="AI266" s="61"/>
      <c r="AJ266" s="9"/>
      <c r="AK266" s="223"/>
      <c r="AL266" s="10"/>
      <c r="AM266" s="136"/>
      <c r="AN266" s="7"/>
      <c r="AO266" s="7"/>
      <c r="AP266" s="7"/>
      <c r="AQ266" s="7"/>
      <c r="AR266" s="7"/>
      <c r="AS266" s="7"/>
    </row>
    <row r="267" spans="1:45" ht="9" customHeight="1" x14ac:dyDescent="0.3">
      <c r="A267" s="1"/>
      <c r="B267" s="2"/>
      <c r="C267" s="2"/>
      <c r="D267" s="60"/>
      <c r="E267" s="60"/>
      <c r="F267" s="2"/>
      <c r="G267" s="60"/>
      <c r="H267" s="60"/>
      <c r="I267" s="61"/>
      <c r="J267" s="61"/>
      <c r="K267" s="61"/>
      <c r="L267" s="61"/>
      <c r="M267" s="61"/>
      <c r="N267" s="61"/>
      <c r="O267" s="61"/>
      <c r="P267" s="61"/>
      <c r="Q267" s="61"/>
      <c r="R267" s="61"/>
      <c r="S267" s="61"/>
      <c r="T267" s="61"/>
      <c r="U267" s="7"/>
      <c r="V267" s="223"/>
      <c r="W267" s="9"/>
      <c r="X267" s="61"/>
      <c r="Y267" s="61"/>
      <c r="Z267" s="61"/>
      <c r="AA267" s="61"/>
      <c r="AB267" s="61"/>
      <c r="AC267" s="61"/>
      <c r="AD267" s="61"/>
      <c r="AE267" s="61"/>
      <c r="AF267" s="61"/>
      <c r="AG267" s="61"/>
      <c r="AH267" s="61"/>
      <c r="AI267" s="61"/>
      <c r="AJ267" s="9"/>
      <c r="AK267" s="223"/>
      <c r="AL267" s="10"/>
      <c r="AM267" s="136"/>
      <c r="AN267" s="7"/>
      <c r="AO267" s="7"/>
      <c r="AP267" s="7"/>
      <c r="AQ267" s="7"/>
      <c r="AR267" s="7"/>
      <c r="AS267" s="7"/>
    </row>
    <row r="268" spans="1:45" ht="9" customHeight="1" x14ac:dyDescent="0.3">
      <c r="A268" s="1"/>
      <c r="B268" s="2"/>
      <c r="C268" s="2"/>
      <c r="D268" s="60"/>
      <c r="E268" s="60"/>
      <c r="F268" s="2"/>
      <c r="G268" s="60"/>
      <c r="H268" s="60"/>
      <c r="I268" s="61"/>
      <c r="J268" s="61"/>
      <c r="K268" s="61"/>
      <c r="L268" s="61"/>
      <c r="M268" s="61"/>
      <c r="N268" s="61"/>
      <c r="O268" s="61"/>
      <c r="P268" s="61"/>
      <c r="Q268" s="61"/>
      <c r="R268" s="61"/>
      <c r="S268" s="61"/>
      <c r="T268" s="61"/>
      <c r="U268" s="7"/>
      <c r="V268" s="223"/>
      <c r="W268" s="9"/>
      <c r="X268" s="61"/>
      <c r="Y268" s="61"/>
      <c r="Z268" s="61"/>
      <c r="AA268" s="61"/>
      <c r="AB268" s="61"/>
      <c r="AC268" s="61"/>
      <c r="AD268" s="61"/>
      <c r="AE268" s="61"/>
      <c r="AF268" s="61"/>
      <c r="AG268" s="61"/>
      <c r="AH268" s="61"/>
      <c r="AI268" s="61"/>
      <c r="AJ268" s="9"/>
      <c r="AK268" s="223"/>
      <c r="AL268" s="10"/>
      <c r="AM268" s="136"/>
      <c r="AN268" s="7"/>
      <c r="AO268" s="7"/>
      <c r="AP268" s="7"/>
      <c r="AQ268" s="7"/>
      <c r="AR268" s="7"/>
      <c r="AS268" s="7"/>
    </row>
    <row r="269" spans="1:45" ht="9" customHeight="1" x14ac:dyDescent="0.3">
      <c r="A269" s="1"/>
      <c r="B269" s="2"/>
      <c r="C269" s="2"/>
      <c r="D269" s="60"/>
      <c r="E269" s="60"/>
      <c r="F269" s="2"/>
      <c r="G269" s="60"/>
      <c r="H269" s="60"/>
      <c r="I269" s="61"/>
      <c r="J269" s="61"/>
      <c r="K269" s="61"/>
      <c r="L269" s="61"/>
      <c r="M269" s="61"/>
      <c r="N269" s="61"/>
      <c r="O269" s="61"/>
      <c r="P269" s="61"/>
      <c r="Q269" s="61"/>
      <c r="R269" s="61"/>
      <c r="S269" s="61"/>
      <c r="T269" s="61"/>
      <c r="U269" s="7"/>
      <c r="V269" s="223"/>
      <c r="W269" s="9"/>
      <c r="X269" s="61"/>
      <c r="Y269" s="61"/>
      <c r="Z269" s="61"/>
      <c r="AA269" s="61"/>
      <c r="AB269" s="61"/>
      <c r="AC269" s="61"/>
      <c r="AD269" s="61"/>
      <c r="AE269" s="61"/>
      <c r="AF269" s="61"/>
      <c r="AG269" s="61"/>
      <c r="AH269" s="61"/>
      <c r="AI269" s="61"/>
      <c r="AJ269" s="9"/>
      <c r="AK269" s="223"/>
      <c r="AL269" s="10"/>
      <c r="AM269" s="136"/>
      <c r="AN269" s="7"/>
      <c r="AO269" s="7"/>
      <c r="AP269" s="7"/>
      <c r="AQ269" s="7"/>
      <c r="AR269" s="7"/>
      <c r="AS269" s="7"/>
    </row>
    <row r="270" spans="1:45" ht="9" customHeight="1" x14ac:dyDescent="0.3">
      <c r="A270" s="1"/>
      <c r="B270" s="2"/>
      <c r="C270" s="2"/>
      <c r="D270" s="60"/>
      <c r="E270" s="60"/>
      <c r="F270" s="2"/>
      <c r="G270" s="60"/>
      <c r="H270" s="60"/>
      <c r="I270" s="61"/>
      <c r="J270" s="61"/>
      <c r="K270" s="61"/>
      <c r="L270" s="61"/>
      <c r="M270" s="61"/>
      <c r="N270" s="61"/>
      <c r="O270" s="61"/>
      <c r="P270" s="61"/>
      <c r="Q270" s="61"/>
      <c r="R270" s="61"/>
      <c r="S270" s="61"/>
      <c r="T270" s="61"/>
      <c r="U270" s="7"/>
      <c r="V270" s="223"/>
      <c r="W270" s="9"/>
      <c r="X270" s="61"/>
      <c r="Y270" s="61"/>
      <c r="Z270" s="61"/>
      <c r="AA270" s="61"/>
      <c r="AB270" s="61"/>
      <c r="AC270" s="61"/>
      <c r="AD270" s="61"/>
      <c r="AE270" s="61"/>
      <c r="AF270" s="61"/>
      <c r="AG270" s="61"/>
      <c r="AH270" s="61"/>
      <c r="AI270" s="61"/>
      <c r="AJ270" s="9"/>
      <c r="AK270" s="223"/>
      <c r="AL270" s="10"/>
      <c r="AM270" s="136"/>
      <c r="AN270" s="7"/>
      <c r="AO270" s="7"/>
      <c r="AP270" s="7"/>
      <c r="AQ270" s="7"/>
      <c r="AR270" s="7"/>
      <c r="AS270" s="7"/>
    </row>
    <row r="271" spans="1:45" ht="9" customHeight="1" x14ac:dyDescent="0.3">
      <c r="A271" s="1"/>
      <c r="B271" s="2"/>
      <c r="C271" s="2"/>
      <c r="D271" s="60"/>
      <c r="E271" s="60"/>
      <c r="F271" s="2"/>
      <c r="G271" s="60"/>
      <c r="H271" s="60"/>
      <c r="I271" s="61"/>
      <c r="J271" s="61"/>
      <c r="K271" s="61"/>
      <c r="L271" s="61"/>
      <c r="M271" s="61"/>
      <c r="N271" s="61"/>
      <c r="O271" s="61"/>
      <c r="P271" s="61"/>
      <c r="Q271" s="61"/>
      <c r="R271" s="61"/>
      <c r="S271" s="61"/>
      <c r="T271" s="61"/>
      <c r="U271" s="7"/>
      <c r="V271" s="223"/>
      <c r="W271" s="9"/>
      <c r="X271" s="61"/>
      <c r="Y271" s="61"/>
      <c r="Z271" s="61"/>
      <c r="AA271" s="61"/>
      <c r="AB271" s="61"/>
      <c r="AC271" s="61"/>
      <c r="AD271" s="61"/>
      <c r="AE271" s="61"/>
      <c r="AF271" s="61"/>
      <c r="AG271" s="61"/>
      <c r="AH271" s="61"/>
      <c r="AI271" s="61"/>
      <c r="AJ271" s="9"/>
      <c r="AK271" s="223"/>
      <c r="AL271" s="10"/>
      <c r="AM271" s="136"/>
      <c r="AN271" s="7"/>
      <c r="AO271" s="7"/>
      <c r="AP271" s="7"/>
      <c r="AQ271" s="7"/>
      <c r="AR271" s="7"/>
      <c r="AS271" s="7"/>
    </row>
    <row r="272" spans="1:45" ht="9" customHeight="1" x14ac:dyDescent="0.3">
      <c r="A272" s="1"/>
      <c r="B272" s="2"/>
      <c r="C272" s="2"/>
      <c r="D272" s="60"/>
      <c r="E272" s="60"/>
      <c r="F272" s="2"/>
      <c r="G272" s="60"/>
      <c r="H272" s="60"/>
      <c r="I272" s="61"/>
      <c r="J272" s="61"/>
      <c r="K272" s="61"/>
      <c r="L272" s="61"/>
      <c r="M272" s="61"/>
      <c r="N272" s="61"/>
      <c r="O272" s="61"/>
      <c r="P272" s="61"/>
      <c r="Q272" s="61"/>
      <c r="R272" s="61"/>
      <c r="S272" s="61"/>
      <c r="T272" s="61"/>
      <c r="U272" s="7"/>
      <c r="V272" s="223"/>
      <c r="W272" s="9"/>
      <c r="X272" s="61"/>
      <c r="Y272" s="61"/>
      <c r="Z272" s="61"/>
      <c r="AA272" s="61"/>
      <c r="AB272" s="61"/>
      <c r="AC272" s="61"/>
      <c r="AD272" s="61"/>
      <c r="AE272" s="61"/>
      <c r="AF272" s="61"/>
      <c r="AG272" s="61"/>
      <c r="AH272" s="61"/>
      <c r="AI272" s="61"/>
      <c r="AJ272" s="9"/>
      <c r="AK272" s="223"/>
      <c r="AL272" s="10"/>
      <c r="AM272" s="136"/>
      <c r="AN272" s="7"/>
      <c r="AO272" s="7"/>
      <c r="AP272" s="7"/>
      <c r="AQ272" s="7"/>
      <c r="AR272" s="7"/>
      <c r="AS272" s="7"/>
    </row>
    <row r="273" spans="1:45" ht="9" customHeight="1" x14ac:dyDescent="0.3">
      <c r="A273" s="1"/>
      <c r="B273" s="2"/>
      <c r="C273" s="2"/>
      <c r="D273" s="60"/>
      <c r="E273" s="60"/>
      <c r="F273" s="2"/>
      <c r="G273" s="60"/>
      <c r="H273" s="60"/>
      <c r="I273" s="61"/>
      <c r="J273" s="61"/>
      <c r="K273" s="61"/>
      <c r="L273" s="61"/>
      <c r="M273" s="61"/>
      <c r="N273" s="61"/>
      <c r="O273" s="61"/>
      <c r="P273" s="61"/>
      <c r="Q273" s="61"/>
      <c r="R273" s="61"/>
      <c r="S273" s="61"/>
      <c r="T273" s="61"/>
      <c r="U273" s="7"/>
      <c r="V273" s="223"/>
      <c r="W273" s="9"/>
      <c r="X273" s="61"/>
      <c r="Y273" s="61"/>
      <c r="Z273" s="61"/>
      <c r="AA273" s="61"/>
      <c r="AB273" s="61"/>
      <c r="AC273" s="61"/>
      <c r="AD273" s="61"/>
      <c r="AE273" s="61"/>
      <c r="AF273" s="61"/>
      <c r="AG273" s="61"/>
      <c r="AH273" s="61"/>
      <c r="AI273" s="61"/>
      <c r="AJ273" s="9"/>
      <c r="AK273" s="223"/>
      <c r="AL273" s="10"/>
      <c r="AM273" s="136"/>
      <c r="AN273" s="7"/>
      <c r="AO273" s="7"/>
      <c r="AP273" s="7"/>
      <c r="AQ273" s="7"/>
      <c r="AR273" s="7"/>
      <c r="AS273" s="7"/>
    </row>
    <row r="274" spans="1:45" ht="9" customHeight="1" x14ac:dyDescent="0.3">
      <c r="A274" s="1"/>
      <c r="B274" s="2"/>
      <c r="C274" s="2"/>
      <c r="D274" s="60"/>
      <c r="E274" s="60"/>
      <c r="F274" s="2"/>
      <c r="G274" s="60"/>
      <c r="H274" s="60"/>
      <c r="I274" s="61"/>
      <c r="J274" s="61"/>
      <c r="K274" s="61"/>
      <c r="L274" s="61"/>
      <c r="M274" s="61"/>
      <c r="N274" s="61"/>
      <c r="O274" s="61"/>
      <c r="P274" s="61"/>
      <c r="Q274" s="61"/>
      <c r="R274" s="61"/>
      <c r="S274" s="61"/>
      <c r="T274" s="61"/>
      <c r="U274" s="7"/>
      <c r="V274" s="223"/>
      <c r="W274" s="9"/>
      <c r="X274" s="61"/>
      <c r="Y274" s="61"/>
      <c r="Z274" s="61"/>
      <c r="AA274" s="61"/>
      <c r="AB274" s="61"/>
      <c r="AC274" s="61"/>
      <c r="AD274" s="61"/>
      <c r="AE274" s="61"/>
      <c r="AF274" s="61"/>
      <c r="AG274" s="61"/>
      <c r="AH274" s="61"/>
      <c r="AI274" s="61"/>
      <c r="AJ274" s="9"/>
      <c r="AK274" s="223"/>
      <c r="AL274" s="10"/>
      <c r="AM274" s="136"/>
      <c r="AN274" s="7"/>
      <c r="AO274" s="7"/>
      <c r="AP274" s="7"/>
      <c r="AQ274" s="7"/>
      <c r="AR274" s="7"/>
      <c r="AS274" s="7"/>
    </row>
    <row r="275" spans="1:45" ht="9" customHeight="1" x14ac:dyDescent="0.3">
      <c r="A275" s="1"/>
      <c r="B275" s="2"/>
      <c r="C275" s="2"/>
      <c r="D275" s="60"/>
      <c r="E275" s="60"/>
      <c r="F275" s="2"/>
      <c r="G275" s="60"/>
      <c r="H275" s="60"/>
      <c r="I275" s="61"/>
      <c r="J275" s="61"/>
      <c r="K275" s="61"/>
      <c r="L275" s="61"/>
      <c r="M275" s="61"/>
      <c r="N275" s="61"/>
      <c r="O275" s="61"/>
      <c r="P275" s="61"/>
      <c r="Q275" s="61"/>
      <c r="R275" s="61"/>
      <c r="S275" s="61"/>
      <c r="T275" s="61"/>
      <c r="U275" s="7"/>
      <c r="V275" s="223"/>
      <c r="W275" s="9"/>
      <c r="X275" s="61"/>
      <c r="Y275" s="61"/>
      <c r="Z275" s="61"/>
      <c r="AA275" s="61"/>
      <c r="AB275" s="61"/>
      <c r="AC275" s="61"/>
      <c r="AD275" s="61"/>
      <c r="AE275" s="61"/>
      <c r="AF275" s="61"/>
      <c r="AG275" s="61"/>
      <c r="AH275" s="61"/>
      <c r="AI275" s="61"/>
      <c r="AJ275" s="9"/>
      <c r="AK275" s="223"/>
      <c r="AL275" s="10"/>
      <c r="AM275" s="136"/>
      <c r="AN275" s="7"/>
      <c r="AO275" s="7"/>
      <c r="AP275" s="7"/>
      <c r="AQ275" s="7"/>
      <c r="AR275" s="7"/>
      <c r="AS275" s="7"/>
    </row>
    <row r="276" spans="1:45" ht="9" customHeight="1" x14ac:dyDescent="0.3">
      <c r="A276" s="1"/>
      <c r="B276" s="2"/>
      <c r="C276" s="2"/>
      <c r="D276" s="60"/>
      <c r="E276" s="60"/>
      <c r="F276" s="2"/>
      <c r="G276" s="60"/>
      <c r="H276" s="60"/>
      <c r="I276" s="61"/>
      <c r="J276" s="61"/>
      <c r="K276" s="61"/>
      <c r="L276" s="61"/>
      <c r="M276" s="61"/>
      <c r="N276" s="61"/>
      <c r="O276" s="61"/>
      <c r="P276" s="61"/>
      <c r="Q276" s="61"/>
      <c r="R276" s="61"/>
      <c r="S276" s="61"/>
      <c r="T276" s="61"/>
      <c r="U276" s="7"/>
      <c r="V276" s="223"/>
      <c r="W276" s="9"/>
      <c r="X276" s="61"/>
      <c r="Y276" s="61"/>
      <c r="Z276" s="61"/>
      <c r="AA276" s="61"/>
      <c r="AB276" s="61"/>
      <c r="AC276" s="61"/>
      <c r="AD276" s="61"/>
      <c r="AE276" s="61"/>
      <c r="AF276" s="61"/>
      <c r="AG276" s="61"/>
      <c r="AH276" s="61"/>
      <c r="AI276" s="61"/>
      <c r="AJ276" s="9"/>
      <c r="AK276" s="223"/>
      <c r="AL276" s="10"/>
      <c r="AM276" s="136"/>
      <c r="AN276" s="7"/>
      <c r="AO276" s="7"/>
      <c r="AP276" s="7"/>
      <c r="AQ276" s="7"/>
      <c r="AR276" s="7"/>
      <c r="AS276" s="7"/>
    </row>
    <row r="277" spans="1:45" ht="9" customHeight="1" x14ac:dyDescent="0.3">
      <c r="A277" s="1"/>
      <c r="B277" s="2"/>
      <c r="C277" s="2"/>
      <c r="D277" s="60"/>
      <c r="E277" s="60"/>
      <c r="F277" s="2"/>
      <c r="G277" s="60"/>
      <c r="H277" s="60"/>
      <c r="I277" s="61"/>
      <c r="J277" s="61"/>
      <c r="K277" s="61"/>
      <c r="L277" s="61"/>
      <c r="M277" s="61"/>
      <c r="N277" s="61"/>
      <c r="O277" s="61"/>
      <c r="P277" s="61"/>
      <c r="Q277" s="61"/>
      <c r="R277" s="61"/>
      <c r="S277" s="61"/>
      <c r="T277" s="61"/>
      <c r="U277" s="7"/>
      <c r="V277" s="223"/>
      <c r="W277" s="9"/>
      <c r="X277" s="61"/>
      <c r="Y277" s="61"/>
      <c r="Z277" s="61"/>
      <c r="AA277" s="61"/>
      <c r="AB277" s="61"/>
      <c r="AC277" s="61"/>
      <c r="AD277" s="61"/>
      <c r="AE277" s="61"/>
      <c r="AF277" s="61"/>
      <c r="AG277" s="61"/>
      <c r="AH277" s="61"/>
      <c r="AI277" s="61"/>
      <c r="AJ277" s="9"/>
      <c r="AK277" s="223"/>
      <c r="AL277" s="10"/>
      <c r="AM277" s="136"/>
      <c r="AN277" s="7"/>
      <c r="AO277" s="7"/>
      <c r="AP277" s="7"/>
      <c r="AQ277" s="7"/>
      <c r="AR277" s="7"/>
      <c r="AS277" s="7"/>
    </row>
    <row r="278" spans="1:45" ht="9" customHeight="1" x14ac:dyDescent="0.3">
      <c r="A278" s="1"/>
      <c r="B278" s="2"/>
      <c r="C278" s="2"/>
      <c r="D278" s="60"/>
      <c r="E278" s="60"/>
      <c r="F278" s="2"/>
      <c r="G278" s="60"/>
      <c r="H278" s="60"/>
      <c r="I278" s="61"/>
      <c r="J278" s="61"/>
      <c r="K278" s="61"/>
      <c r="L278" s="61"/>
      <c r="M278" s="61"/>
      <c r="N278" s="61"/>
      <c r="O278" s="61"/>
      <c r="P278" s="61"/>
      <c r="Q278" s="61"/>
      <c r="R278" s="61"/>
      <c r="S278" s="61"/>
      <c r="T278" s="61"/>
      <c r="U278" s="7"/>
      <c r="V278" s="223"/>
      <c r="W278" s="9"/>
      <c r="X278" s="61"/>
      <c r="Y278" s="61"/>
      <c r="Z278" s="61"/>
      <c r="AA278" s="61"/>
      <c r="AB278" s="61"/>
      <c r="AC278" s="61"/>
      <c r="AD278" s="61"/>
      <c r="AE278" s="61"/>
      <c r="AF278" s="61"/>
      <c r="AG278" s="61"/>
      <c r="AH278" s="61"/>
      <c r="AI278" s="61"/>
      <c r="AJ278" s="9"/>
      <c r="AK278" s="223"/>
      <c r="AL278" s="10"/>
      <c r="AM278" s="136"/>
      <c r="AN278" s="7"/>
      <c r="AO278" s="7"/>
      <c r="AP278" s="7"/>
      <c r="AQ278" s="7"/>
      <c r="AR278" s="7"/>
      <c r="AS278" s="7"/>
    </row>
    <row r="279" spans="1:45" ht="9" customHeight="1" x14ac:dyDescent="0.3">
      <c r="A279" s="1"/>
      <c r="B279" s="2"/>
      <c r="C279" s="2"/>
      <c r="D279" s="60"/>
      <c r="E279" s="60"/>
      <c r="F279" s="2"/>
      <c r="G279" s="60"/>
      <c r="H279" s="60"/>
      <c r="I279" s="61"/>
      <c r="J279" s="61"/>
      <c r="K279" s="61"/>
      <c r="L279" s="61"/>
      <c r="M279" s="61"/>
      <c r="N279" s="61"/>
      <c r="O279" s="61"/>
      <c r="P279" s="61"/>
      <c r="Q279" s="61"/>
      <c r="R279" s="61"/>
      <c r="S279" s="61"/>
      <c r="T279" s="61"/>
      <c r="U279" s="7"/>
      <c r="V279" s="223"/>
      <c r="W279" s="9"/>
      <c r="X279" s="61"/>
      <c r="Y279" s="61"/>
      <c r="Z279" s="61"/>
      <c r="AA279" s="61"/>
      <c r="AB279" s="61"/>
      <c r="AC279" s="61"/>
      <c r="AD279" s="61"/>
      <c r="AE279" s="61"/>
      <c r="AF279" s="61"/>
      <c r="AG279" s="61"/>
      <c r="AH279" s="61"/>
      <c r="AI279" s="61"/>
      <c r="AJ279" s="9"/>
      <c r="AK279" s="223"/>
      <c r="AL279" s="10"/>
      <c r="AM279" s="136"/>
      <c r="AN279" s="7"/>
      <c r="AO279" s="7"/>
      <c r="AP279" s="7"/>
      <c r="AQ279" s="7"/>
      <c r="AR279" s="7"/>
      <c r="AS279" s="7"/>
    </row>
    <row r="280" spans="1:45" ht="9" customHeight="1" x14ac:dyDescent="0.3">
      <c r="A280" s="1"/>
      <c r="B280" s="2"/>
      <c r="C280" s="2"/>
      <c r="D280" s="60"/>
      <c r="E280" s="60"/>
      <c r="F280" s="2"/>
      <c r="G280" s="60"/>
      <c r="H280" s="60"/>
      <c r="I280" s="61"/>
      <c r="J280" s="61"/>
      <c r="K280" s="61"/>
      <c r="L280" s="61"/>
      <c r="M280" s="61"/>
      <c r="N280" s="61"/>
      <c r="O280" s="61"/>
      <c r="P280" s="61"/>
      <c r="Q280" s="61"/>
      <c r="R280" s="61"/>
      <c r="S280" s="61"/>
      <c r="T280" s="61"/>
      <c r="U280" s="7"/>
      <c r="V280" s="223"/>
      <c r="W280" s="9"/>
      <c r="X280" s="61"/>
      <c r="Y280" s="61"/>
      <c r="Z280" s="61"/>
      <c r="AA280" s="61"/>
      <c r="AB280" s="61"/>
      <c r="AC280" s="61"/>
      <c r="AD280" s="61"/>
      <c r="AE280" s="61"/>
      <c r="AF280" s="61"/>
      <c r="AG280" s="61"/>
      <c r="AH280" s="61"/>
      <c r="AI280" s="61"/>
      <c r="AJ280" s="9"/>
      <c r="AK280" s="223"/>
      <c r="AL280" s="10"/>
      <c r="AM280" s="136"/>
      <c r="AN280" s="7"/>
      <c r="AO280" s="7"/>
      <c r="AP280" s="7"/>
      <c r="AQ280" s="7"/>
      <c r="AR280" s="7"/>
      <c r="AS280" s="7"/>
    </row>
    <row r="281" spans="1:45" ht="9" customHeight="1" x14ac:dyDescent="0.3">
      <c r="A281" s="1"/>
      <c r="B281" s="2"/>
      <c r="C281" s="2"/>
      <c r="D281" s="60"/>
      <c r="E281" s="60"/>
      <c r="F281" s="2"/>
      <c r="G281" s="60"/>
      <c r="H281" s="60"/>
      <c r="I281" s="61"/>
      <c r="J281" s="61"/>
      <c r="K281" s="61"/>
      <c r="L281" s="61"/>
      <c r="M281" s="61"/>
      <c r="N281" s="61"/>
      <c r="O281" s="61"/>
      <c r="P281" s="61"/>
      <c r="Q281" s="61"/>
      <c r="R281" s="61"/>
      <c r="S281" s="61"/>
      <c r="T281" s="61"/>
      <c r="U281" s="7"/>
      <c r="V281" s="223"/>
      <c r="W281" s="9"/>
      <c r="X281" s="61"/>
      <c r="Y281" s="61"/>
      <c r="Z281" s="61"/>
      <c r="AA281" s="61"/>
      <c r="AB281" s="61"/>
      <c r="AC281" s="61"/>
      <c r="AD281" s="61"/>
      <c r="AE281" s="61"/>
      <c r="AF281" s="61"/>
      <c r="AG281" s="61"/>
      <c r="AH281" s="61"/>
      <c r="AI281" s="61"/>
      <c r="AJ281" s="9"/>
      <c r="AK281" s="223"/>
      <c r="AL281" s="10"/>
      <c r="AM281" s="136"/>
      <c r="AN281" s="7"/>
      <c r="AO281" s="7"/>
      <c r="AP281" s="7"/>
      <c r="AQ281" s="7"/>
      <c r="AR281" s="7"/>
      <c r="AS281" s="7"/>
    </row>
    <row r="282" spans="1:45" ht="9" customHeight="1" x14ac:dyDescent="0.3">
      <c r="A282" s="1"/>
      <c r="B282" s="2"/>
      <c r="C282" s="2"/>
      <c r="D282" s="60"/>
      <c r="E282" s="60"/>
      <c r="F282" s="2"/>
      <c r="G282" s="60"/>
      <c r="H282" s="60"/>
      <c r="I282" s="61"/>
      <c r="J282" s="61"/>
      <c r="K282" s="61"/>
      <c r="L282" s="61"/>
      <c r="M282" s="61"/>
      <c r="N282" s="61"/>
      <c r="O282" s="61"/>
      <c r="P282" s="61"/>
      <c r="Q282" s="61"/>
      <c r="R282" s="61"/>
      <c r="S282" s="61"/>
      <c r="T282" s="61"/>
      <c r="U282" s="7"/>
      <c r="V282" s="223"/>
      <c r="W282" s="9"/>
      <c r="X282" s="61"/>
      <c r="Y282" s="61"/>
      <c r="Z282" s="61"/>
      <c r="AA282" s="61"/>
      <c r="AB282" s="61"/>
      <c r="AC282" s="61"/>
      <c r="AD282" s="61"/>
      <c r="AE282" s="61"/>
      <c r="AF282" s="61"/>
      <c r="AG282" s="61"/>
      <c r="AH282" s="61"/>
      <c r="AI282" s="61"/>
      <c r="AJ282" s="9"/>
      <c r="AK282" s="223"/>
      <c r="AL282" s="10"/>
      <c r="AM282" s="136"/>
      <c r="AN282" s="7"/>
      <c r="AO282" s="7"/>
      <c r="AP282" s="7"/>
      <c r="AQ282" s="7"/>
      <c r="AR282" s="7"/>
      <c r="AS282" s="7"/>
    </row>
    <row r="283" spans="1:45" ht="9" customHeight="1" x14ac:dyDescent="0.3">
      <c r="A283" s="1"/>
      <c r="B283" s="2"/>
      <c r="C283" s="2"/>
      <c r="D283" s="60"/>
      <c r="E283" s="60"/>
      <c r="F283" s="2"/>
      <c r="G283" s="60"/>
      <c r="H283" s="60"/>
      <c r="I283" s="61"/>
      <c r="J283" s="61"/>
      <c r="K283" s="61"/>
      <c r="L283" s="61"/>
      <c r="M283" s="61"/>
      <c r="N283" s="61"/>
      <c r="O283" s="61"/>
      <c r="P283" s="61"/>
      <c r="Q283" s="61"/>
      <c r="R283" s="61"/>
      <c r="S283" s="61"/>
      <c r="T283" s="61"/>
      <c r="U283" s="7"/>
      <c r="V283" s="223"/>
      <c r="W283" s="9"/>
      <c r="X283" s="61"/>
      <c r="Y283" s="61"/>
      <c r="Z283" s="61"/>
      <c r="AA283" s="61"/>
      <c r="AB283" s="61"/>
      <c r="AC283" s="61"/>
      <c r="AD283" s="61"/>
      <c r="AE283" s="61"/>
      <c r="AF283" s="61"/>
      <c r="AG283" s="61"/>
      <c r="AH283" s="61"/>
      <c r="AI283" s="61"/>
      <c r="AJ283" s="9"/>
      <c r="AK283" s="223"/>
      <c r="AL283" s="10"/>
      <c r="AM283" s="136"/>
      <c r="AN283" s="7"/>
      <c r="AO283" s="7"/>
      <c r="AP283" s="7"/>
      <c r="AQ283" s="7"/>
      <c r="AR283" s="7"/>
      <c r="AS283" s="7"/>
    </row>
    <row r="284" spans="1:45" ht="9" customHeight="1" x14ac:dyDescent="0.3">
      <c r="A284" s="1"/>
      <c r="B284" s="2"/>
      <c r="C284" s="2"/>
      <c r="D284" s="60"/>
      <c r="E284" s="60"/>
      <c r="F284" s="2"/>
      <c r="G284" s="60"/>
      <c r="H284" s="60"/>
      <c r="I284" s="61"/>
      <c r="J284" s="61"/>
      <c r="K284" s="61"/>
      <c r="L284" s="61"/>
      <c r="M284" s="61"/>
      <c r="N284" s="61"/>
      <c r="O284" s="61"/>
      <c r="P284" s="61"/>
      <c r="Q284" s="61"/>
      <c r="R284" s="61"/>
      <c r="S284" s="61"/>
      <c r="T284" s="61"/>
      <c r="U284" s="7"/>
      <c r="V284" s="223"/>
      <c r="W284" s="9"/>
      <c r="X284" s="61"/>
      <c r="Y284" s="61"/>
      <c r="Z284" s="61"/>
      <c r="AA284" s="61"/>
      <c r="AB284" s="61"/>
      <c r="AC284" s="61"/>
      <c r="AD284" s="61"/>
      <c r="AE284" s="61"/>
      <c r="AF284" s="61"/>
      <c r="AG284" s="61"/>
      <c r="AH284" s="61"/>
      <c r="AI284" s="61"/>
      <c r="AJ284" s="9"/>
      <c r="AK284" s="223"/>
      <c r="AL284" s="10"/>
      <c r="AM284" s="136"/>
      <c r="AN284" s="7"/>
      <c r="AO284" s="7"/>
      <c r="AP284" s="7"/>
      <c r="AQ284" s="7"/>
      <c r="AR284" s="7"/>
      <c r="AS284" s="7"/>
    </row>
    <row r="285" spans="1:45" ht="9" customHeight="1" x14ac:dyDescent="0.3">
      <c r="A285" s="1"/>
      <c r="B285" s="2"/>
      <c r="C285" s="2"/>
      <c r="D285" s="60"/>
      <c r="E285" s="60"/>
      <c r="F285" s="2"/>
      <c r="G285" s="60"/>
      <c r="H285" s="60"/>
      <c r="I285" s="61"/>
      <c r="J285" s="61"/>
      <c r="K285" s="61"/>
      <c r="L285" s="61"/>
      <c r="M285" s="61"/>
      <c r="N285" s="61"/>
      <c r="O285" s="61"/>
      <c r="P285" s="61"/>
      <c r="Q285" s="61"/>
      <c r="R285" s="61"/>
      <c r="S285" s="61"/>
      <c r="T285" s="61"/>
      <c r="U285" s="7"/>
      <c r="V285" s="223"/>
      <c r="W285" s="9"/>
      <c r="X285" s="61"/>
      <c r="Y285" s="61"/>
      <c r="Z285" s="61"/>
      <c r="AA285" s="61"/>
      <c r="AB285" s="61"/>
      <c r="AC285" s="61"/>
      <c r="AD285" s="61"/>
      <c r="AE285" s="61"/>
      <c r="AF285" s="61"/>
      <c r="AG285" s="61"/>
      <c r="AH285" s="61"/>
      <c r="AI285" s="61"/>
      <c r="AJ285" s="9"/>
      <c r="AK285" s="223"/>
      <c r="AL285" s="10"/>
      <c r="AM285" s="136"/>
      <c r="AN285" s="7"/>
      <c r="AO285" s="7"/>
      <c r="AP285" s="7"/>
      <c r="AQ285" s="7"/>
      <c r="AR285" s="7"/>
      <c r="AS285" s="7"/>
    </row>
    <row r="286" spans="1:45" ht="9" customHeight="1" x14ac:dyDescent="0.3">
      <c r="A286" s="1"/>
      <c r="B286" s="2"/>
      <c r="C286" s="2"/>
      <c r="D286" s="60"/>
      <c r="E286" s="60"/>
      <c r="F286" s="2"/>
      <c r="G286" s="60"/>
      <c r="H286" s="60"/>
      <c r="I286" s="61"/>
      <c r="J286" s="61"/>
      <c r="K286" s="61"/>
      <c r="L286" s="61"/>
      <c r="M286" s="61"/>
      <c r="N286" s="61"/>
      <c r="O286" s="61"/>
      <c r="P286" s="61"/>
      <c r="Q286" s="61"/>
      <c r="R286" s="61"/>
      <c r="S286" s="61"/>
      <c r="T286" s="61"/>
      <c r="U286" s="7"/>
      <c r="V286" s="223"/>
      <c r="W286" s="9"/>
      <c r="X286" s="61"/>
      <c r="Y286" s="61"/>
      <c r="Z286" s="61"/>
      <c r="AA286" s="61"/>
      <c r="AB286" s="61"/>
      <c r="AC286" s="61"/>
      <c r="AD286" s="61"/>
      <c r="AE286" s="61"/>
      <c r="AF286" s="61"/>
      <c r="AG286" s="61"/>
      <c r="AH286" s="61"/>
      <c r="AI286" s="61"/>
      <c r="AJ286" s="9"/>
      <c r="AK286" s="223"/>
      <c r="AL286" s="10"/>
      <c r="AM286" s="136"/>
      <c r="AN286" s="7"/>
      <c r="AO286" s="7"/>
      <c r="AP286" s="7"/>
      <c r="AQ286" s="7"/>
      <c r="AR286" s="7"/>
      <c r="AS286" s="7"/>
    </row>
    <row r="287" spans="1:45" ht="9" customHeight="1" x14ac:dyDescent="0.3">
      <c r="A287" s="1"/>
      <c r="B287" s="2"/>
      <c r="C287" s="2"/>
      <c r="D287" s="60"/>
      <c r="E287" s="60"/>
      <c r="F287" s="2"/>
      <c r="G287" s="60"/>
      <c r="H287" s="60"/>
      <c r="I287" s="61"/>
      <c r="J287" s="61"/>
      <c r="K287" s="61"/>
      <c r="L287" s="61"/>
      <c r="M287" s="61"/>
      <c r="N287" s="61"/>
      <c r="O287" s="61"/>
      <c r="P287" s="61"/>
      <c r="Q287" s="61"/>
      <c r="R287" s="61"/>
      <c r="S287" s="61"/>
      <c r="T287" s="61"/>
      <c r="U287" s="7"/>
      <c r="V287" s="223"/>
      <c r="W287" s="9"/>
      <c r="X287" s="61"/>
      <c r="Y287" s="61"/>
      <c r="Z287" s="61"/>
      <c r="AA287" s="61"/>
      <c r="AB287" s="61"/>
      <c r="AC287" s="61"/>
      <c r="AD287" s="61"/>
      <c r="AE287" s="61"/>
      <c r="AF287" s="61"/>
      <c r="AG287" s="61"/>
      <c r="AH287" s="61"/>
      <c r="AI287" s="61"/>
      <c r="AJ287" s="9"/>
      <c r="AK287" s="223"/>
      <c r="AL287" s="10"/>
      <c r="AM287" s="136"/>
      <c r="AN287" s="7"/>
      <c r="AO287" s="7"/>
      <c r="AP287" s="7"/>
      <c r="AQ287" s="7"/>
      <c r="AR287" s="7"/>
      <c r="AS287" s="7"/>
    </row>
    <row r="288" spans="1:45" ht="9" customHeight="1" x14ac:dyDescent="0.3">
      <c r="A288" s="1"/>
      <c r="B288" s="2"/>
      <c r="C288" s="2"/>
      <c r="D288" s="60"/>
      <c r="E288" s="60"/>
      <c r="F288" s="2"/>
      <c r="G288" s="60"/>
      <c r="H288" s="60"/>
      <c r="I288" s="61"/>
      <c r="J288" s="61"/>
      <c r="K288" s="61"/>
      <c r="L288" s="61"/>
      <c r="M288" s="61"/>
      <c r="N288" s="61"/>
      <c r="O288" s="61"/>
      <c r="P288" s="61"/>
      <c r="Q288" s="61"/>
      <c r="R288" s="61"/>
      <c r="S288" s="61"/>
      <c r="T288" s="61"/>
      <c r="U288" s="7"/>
      <c r="V288" s="223"/>
      <c r="W288" s="9"/>
      <c r="X288" s="61"/>
      <c r="Y288" s="61"/>
      <c r="Z288" s="61"/>
      <c r="AA288" s="61"/>
      <c r="AB288" s="61"/>
      <c r="AC288" s="61"/>
      <c r="AD288" s="61"/>
      <c r="AE288" s="61"/>
      <c r="AF288" s="61"/>
      <c r="AG288" s="61"/>
      <c r="AH288" s="61"/>
      <c r="AI288" s="61"/>
      <c r="AJ288" s="9"/>
      <c r="AK288" s="223"/>
      <c r="AL288" s="10"/>
      <c r="AM288" s="136"/>
      <c r="AN288" s="7"/>
      <c r="AO288" s="7"/>
      <c r="AP288" s="7"/>
      <c r="AQ288" s="7"/>
      <c r="AR288" s="7"/>
      <c r="AS288" s="7"/>
    </row>
    <row r="289" spans="1:45" ht="9" customHeight="1" x14ac:dyDescent="0.3">
      <c r="A289" s="1"/>
      <c r="B289" s="2"/>
      <c r="C289" s="2"/>
      <c r="D289" s="60"/>
      <c r="E289" s="60"/>
      <c r="F289" s="2"/>
      <c r="G289" s="60"/>
      <c r="H289" s="60"/>
      <c r="I289" s="61"/>
      <c r="J289" s="61"/>
      <c r="K289" s="61"/>
      <c r="L289" s="61"/>
      <c r="M289" s="61"/>
      <c r="N289" s="61"/>
      <c r="O289" s="61"/>
      <c r="P289" s="61"/>
      <c r="Q289" s="61"/>
      <c r="R289" s="61"/>
      <c r="S289" s="61"/>
      <c r="T289" s="61"/>
      <c r="U289" s="7"/>
      <c r="V289" s="223"/>
      <c r="W289" s="9"/>
      <c r="X289" s="61"/>
      <c r="Y289" s="61"/>
      <c r="Z289" s="61"/>
      <c r="AA289" s="61"/>
      <c r="AB289" s="61"/>
      <c r="AC289" s="61"/>
      <c r="AD289" s="61"/>
      <c r="AE289" s="61"/>
      <c r="AF289" s="61"/>
      <c r="AG289" s="61"/>
      <c r="AH289" s="61"/>
      <c r="AI289" s="61"/>
      <c r="AJ289" s="9"/>
      <c r="AK289" s="223"/>
      <c r="AL289" s="10"/>
      <c r="AM289" s="136"/>
      <c r="AN289" s="7"/>
      <c r="AO289" s="7"/>
      <c r="AP289" s="7"/>
      <c r="AQ289" s="7"/>
      <c r="AR289" s="7"/>
      <c r="AS289" s="7"/>
    </row>
    <row r="290" spans="1:45" ht="9" customHeight="1" x14ac:dyDescent="0.3">
      <c r="A290" s="1"/>
      <c r="B290" s="2"/>
      <c r="C290" s="2"/>
      <c r="D290" s="60"/>
      <c r="E290" s="60"/>
      <c r="F290" s="2"/>
      <c r="G290" s="60"/>
      <c r="H290" s="60"/>
      <c r="I290" s="61"/>
      <c r="J290" s="61"/>
      <c r="K290" s="61"/>
      <c r="L290" s="61"/>
      <c r="M290" s="61"/>
      <c r="N290" s="61"/>
      <c r="O290" s="61"/>
      <c r="P290" s="61"/>
      <c r="Q290" s="61"/>
      <c r="R290" s="61"/>
      <c r="S290" s="61"/>
      <c r="T290" s="61"/>
      <c r="U290" s="7"/>
      <c r="V290" s="223"/>
      <c r="W290" s="9"/>
      <c r="X290" s="61"/>
      <c r="Y290" s="61"/>
      <c r="Z290" s="61"/>
      <c r="AA290" s="61"/>
      <c r="AB290" s="61"/>
      <c r="AC290" s="61"/>
      <c r="AD290" s="61"/>
      <c r="AE290" s="61"/>
      <c r="AF290" s="61"/>
      <c r="AG290" s="61"/>
      <c r="AH290" s="61"/>
      <c r="AI290" s="61"/>
      <c r="AJ290" s="9"/>
      <c r="AK290" s="223"/>
      <c r="AL290" s="10"/>
      <c r="AM290" s="136"/>
      <c r="AN290" s="7"/>
      <c r="AO290" s="7"/>
      <c r="AP290" s="7"/>
      <c r="AQ290" s="7"/>
      <c r="AR290" s="7"/>
      <c r="AS290" s="7"/>
    </row>
    <row r="291" spans="1:45" ht="9" customHeight="1" x14ac:dyDescent="0.3">
      <c r="A291" s="1"/>
      <c r="B291" s="2"/>
      <c r="C291" s="2"/>
      <c r="D291" s="60"/>
      <c r="E291" s="60"/>
      <c r="F291" s="2"/>
      <c r="G291" s="60"/>
      <c r="H291" s="60"/>
      <c r="I291" s="61"/>
      <c r="J291" s="61"/>
      <c r="K291" s="61"/>
      <c r="L291" s="61"/>
      <c r="M291" s="61"/>
      <c r="N291" s="61"/>
      <c r="O291" s="61"/>
      <c r="P291" s="61"/>
      <c r="Q291" s="61"/>
      <c r="R291" s="61"/>
      <c r="S291" s="61"/>
      <c r="T291" s="61"/>
      <c r="U291" s="7"/>
      <c r="V291" s="223"/>
      <c r="W291" s="9"/>
      <c r="X291" s="61"/>
      <c r="Y291" s="61"/>
      <c r="Z291" s="61"/>
      <c r="AA291" s="61"/>
      <c r="AB291" s="61"/>
      <c r="AC291" s="61"/>
      <c r="AD291" s="61"/>
      <c r="AE291" s="61"/>
      <c r="AF291" s="61"/>
      <c r="AG291" s="61"/>
      <c r="AH291" s="61"/>
      <c r="AI291" s="61"/>
      <c r="AJ291" s="9"/>
      <c r="AK291" s="223"/>
      <c r="AL291" s="10"/>
      <c r="AM291" s="136"/>
      <c r="AN291" s="7"/>
      <c r="AO291" s="7"/>
      <c r="AP291" s="7"/>
      <c r="AQ291" s="7"/>
      <c r="AR291" s="7"/>
      <c r="AS291" s="7"/>
    </row>
    <row r="292" spans="1:45" ht="9" customHeight="1" x14ac:dyDescent="0.3">
      <c r="A292" s="1"/>
      <c r="B292" s="2"/>
      <c r="C292" s="2"/>
      <c r="D292" s="60"/>
      <c r="E292" s="60"/>
      <c r="F292" s="2"/>
      <c r="G292" s="60"/>
      <c r="H292" s="60"/>
      <c r="I292" s="61"/>
      <c r="J292" s="61"/>
      <c r="K292" s="61"/>
      <c r="L292" s="61"/>
      <c r="M292" s="61"/>
      <c r="N292" s="61"/>
      <c r="O292" s="61"/>
      <c r="P292" s="61"/>
      <c r="Q292" s="61"/>
      <c r="R292" s="61"/>
      <c r="S292" s="61"/>
      <c r="T292" s="61"/>
      <c r="U292" s="7"/>
      <c r="V292" s="223"/>
      <c r="W292" s="9"/>
      <c r="X292" s="61"/>
      <c r="Y292" s="61"/>
      <c r="Z292" s="61"/>
      <c r="AA292" s="61"/>
      <c r="AB292" s="61"/>
      <c r="AC292" s="61"/>
      <c r="AD292" s="61"/>
      <c r="AE292" s="61"/>
      <c r="AF292" s="61"/>
      <c r="AG292" s="61"/>
      <c r="AH292" s="61"/>
      <c r="AI292" s="61"/>
      <c r="AJ292" s="9"/>
      <c r="AK292" s="223"/>
      <c r="AL292" s="10"/>
      <c r="AM292" s="136"/>
      <c r="AN292" s="7"/>
      <c r="AO292" s="7"/>
      <c r="AP292" s="7"/>
      <c r="AQ292" s="7"/>
      <c r="AR292" s="7"/>
      <c r="AS292" s="7"/>
    </row>
    <row r="293" spans="1:45" ht="9" customHeight="1" x14ac:dyDescent="0.3">
      <c r="A293" s="1"/>
      <c r="B293" s="2"/>
      <c r="C293" s="2"/>
      <c r="D293" s="60"/>
      <c r="E293" s="60"/>
      <c r="F293" s="2"/>
      <c r="G293" s="60"/>
      <c r="H293" s="60"/>
      <c r="I293" s="61"/>
      <c r="J293" s="61"/>
      <c r="K293" s="61"/>
      <c r="L293" s="61"/>
      <c r="M293" s="61"/>
      <c r="N293" s="61"/>
      <c r="O293" s="61"/>
      <c r="P293" s="61"/>
      <c r="Q293" s="61"/>
      <c r="R293" s="61"/>
      <c r="S293" s="61"/>
      <c r="T293" s="61"/>
      <c r="U293" s="7"/>
      <c r="V293" s="223"/>
      <c r="W293" s="9"/>
      <c r="X293" s="61"/>
      <c r="Y293" s="61"/>
      <c r="Z293" s="61"/>
      <c r="AA293" s="61"/>
      <c r="AB293" s="61"/>
      <c r="AC293" s="61"/>
      <c r="AD293" s="61"/>
      <c r="AE293" s="61"/>
      <c r="AF293" s="61"/>
      <c r="AG293" s="61"/>
      <c r="AH293" s="61"/>
      <c r="AI293" s="61"/>
      <c r="AJ293" s="9"/>
      <c r="AK293" s="223"/>
      <c r="AL293" s="10"/>
      <c r="AM293" s="136"/>
      <c r="AN293" s="7"/>
      <c r="AO293" s="7"/>
      <c r="AP293" s="7"/>
      <c r="AQ293" s="7"/>
      <c r="AR293" s="7"/>
      <c r="AS293" s="7"/>
    </row>
    <row r="294" spans="1:45" ht="9" customHeight="1" x14ac:dyDescent="0.3">
      <c r="A294" s="1"/>
      <c r="B294" s="2"/>
      <c r="C294" s="2"/>
      <c r="D294" s="60"/>
      <c r="E294" s="60"/>
      <c r="F294" s="2"/>
      <c r="G294" s="60"/>
      <c r="H294" s="60"/>
      <c r="I294" s="61"/>
      <c r="J294" s="61"/>
      <c r="K294" s="61"/>
      <c r="L294" s="61"/>
      <c r="M294" s="61"/>
      <c r="N294" s="61"/>
      <c r="O294" s="61"/>
      <c r="P294" s="61"/>
      <c r="Q294" s="61"/>
      <c r="R294" s="61"/>
      <c r="S294" s="61"/>
      <c r="T294" s="61"/>
      <c r="U294" s="7"/>
      <c r="V294" s="223"/>
      <c r="W294" s="9"/>
      <c r="X294" s="61"/>
      <c r="Y294" s="61"/>
      <c r="Z294" s="61"/>
      <c r="AA294" s="61"/>
      <c r="AB294" s="61"/>
      <c r="AC294" s="61"/>
      <c r="AD294" s="61"/>
      <c r="AE294" s="61"/>
      <c r="AF294" s="61"/>
      <c r="AG294" s="61"/>
      <c r="AH294" s="61"/>
      <c r="AI294" s="61"/>
      <c r="AJ294" s="9"/>
      <c r="AK294" s="223"/>
      <c r="AL294" s="10"/>
      <c r="AM294" s="136"/>
      <c r="AN294" s="7"/>
      <c r="AO294" s="7"/>
      <c r="AP294" s="7"/>
      <c r="AQ294" s="7"/>
      <c r="AR294" s="7"/>
      <c r="AS294" s="7"/>
    </row>
    <row r="295" spans="1:45" ht="9" customHeight="1" x14ac:dyDescent="0.3">
      <c r="A295" s="1"/>
      <c r="B295" s="2"/>
      <c r="C295" s="2"/>
      <c r="D295" s="60"/>
      <c r="E295" s="60"/>
      <c r="F295" s="2"/>
      <c r="G295" s="60"/>
      <c r="H295" s="60"/>
      <c r="I295" s="61"/>
      <c r="J295" s="61"/>
      <c r="K295" s="61"/>
      <c r="L295" s="61"/>
      <c r="M295" s="61"/>
      <c r="N295" s="61"/>
      <c r="O295" s="61"/>
      <c r="P295" s="61"/>
      <c r="Q295" s="61"/>
      <c r="R295" s="61"/>
      <c r="S295" s="61"/>
      <c r="T295" s="61"/>
      <c r="U295" s="7"/>
      <c r="V295" s="223"/>
      <c r="W295" s="9"/>
      <c r="X295" s="61"/>
      <c r="Y295" s="61"/>
      <c r="Z295" s="61"/>
      <c r="AA295" s="61"/>
      <c r="AB295" s="61"/>
      <c r="AC295" s="61"/>
      <c r="AD295" s="61"/>
      <c r="AE295" s="61"/>
      <c r="AF295" s="61"/>
      <c r="AG295" s="61"/>
      <c r="AH295" s="61"/>
      <c r="AI295" s="61"/>
      <c r="AJ295" s="9"/>
      <c r="AK295" s="223"/>
      <c r="AL295" s="10"/>
      <c r="AM295" s="136"/>
      <c r="AN295" s="7"/>
      <c r="AO295" s="7"/>
      <c r="AP295" s="7"/>
      <c r="AQ295" s="7"/>
      <c r="AR295" s="7"/>
      <c r="AS295" s="7"/>
    </row>
    <row r="296" spans="1:45" ht="9" customHeight="1" x14ac:dyDescent="0.3">
      <c r="A296" s="1"/>
      <c r="B296" s="2"/>
      <c r="C296" s="2"/>
      <c r="D296" s="60"/>
      <c r="E296" s="60"/>
      <c r="F296" s="2"/>
      <c r="G296" s="60"/>
      <c r="H296" s="60"/>
      <c r="I296" s="61"/>
      <c r="J296" s="61"/>
      <c r="K296" s="61"/>
      <c r="L296" s="61"/>
      <c r="M296" s="61"/>
      <c r="N296" s="61"/>
      <c r="O296" s="61"/>
      <c r="P296" s="61"/>
      <c r="Q296" s="61"/>
      <c r="R296" s="61"/>
      <c r="S296" s="61"/>
      <c r="T296" s="61"/>
      <c r="U296" s="7"/>
      <c r="V296" s="223"/>
      <c r="W296" s="9"/>
      <c r="X296" s="61"/>
      <c r="Y296" s="61"/>
      <c r="Z296" s="61"/>
      <c r="AA296" s="61"/>
      <c r="AB296" s="61"/>
      <c r="AC296" s="61"/>
      <c r="AD296" s="61"/>
      <c r="AE296" s="61"/>
      <c r="AF296" s="61"/>
      <c r="AG296" s="61"/>
      <c r="AH296" s="61"/>
      <c r="AI296" s="61"/>
      <c r="AJ296" s="9"/>
      <c r="AK296" s="223"/>
      <c r="AL296" s="10"/>
      <c r="AM296" s="136"/>
      <c r="AN296" s="7"/>
      <c r="AO296" s="7"/>
      <c r="AP296" s="7"/>
      <c r="AQ296" s="7"/>
      <c r="AR296" s="7"/>
      <c r="AS296" s="7"/>
    </row>
    <row r="297" spans="1:45" ht="9" customHeight="1" x14ac:dyDescent="0.3">
      <c r="A297" s="1"/>
      <c r="B297" s="2"/>
      <c r="C297" s="2"/>
      <c r="D297" s="60"/>
      <c r="E297" s="60"/>
      <c r="F297" s="2"/>
      <c r="G297" s="60"/>
      <c r="H297" s="60"/>
      <c r="I297" s="61"/>
      <c r="J297" s="61"/>
      <c r="K297" s="61"/>
      <c r="L297" s="61"/>
      <c r="M297" s="61"/>
      <c r="N297" s="61"/>
      <c r="O297" s="61"/>
      <c r="P297" s="61"/>
      <c r="Q297" s="61"/>
      <c r="R297" s="61"/>
      <c r="S297" s="61"/>
      <c r="T297" s="61"/>
      <c r="U297" s="7"/>
      <c r="V297" s="223"/>
      <c r="W297" s="9"/>
      <c r="X297" s="61"/>
      <c r="Y297" s="61"/>
      <c r="Z297" s="61"/>
      <c r="AA297" s="61"/>
      <c r="AB297" s="61"/>
      <c r="AC297" s="61"/>
      <c r="AD297" s="61"/>
      <c r="AE297" s="61"/>
      <c r="AF297" s="61"/>
      <c r="AG297" s="61"/>
      <c r="AH297" s="61"/>
      <c r="AI297" s="61"/>
      <c r="AJ297" s="9"/>
      <c r="AK297" s="223"/>
      <c r="AL297" s="10"/>
      <c r="AM297" s="136"/>
      <c r="AN297" s="7"/>
      <c r="AO297" s="7"/>
      <c r="AP297" s="7"/>
      <c r="AQ297" s="7"/>
      <c r="AR297" s="7"/>
      <c r="AS297" s="7"/>
    </row>
    <row r="298" spans="1:45" ht="9" customHeight="1" x14ac:dyDescent="0.3">
      <c r="A298" s="1"/>
      <c r="B298" s="2"/>
      <c r="C298" s="2"/>
      <c r="D298" s="60"/>
      <c r="E298" s="60"/>
      <c r="F298" s="2"/>
      <c r="G298" s="60"/>
      <c r="H298" s="60"/>
      <c r="I298" s="61"/>
      <c r="J298" s="61"/>
      <c r="K298" s="61"/>
      <c r="L298" s="61"/>
      <c r="M298" s="61"/>
      <c r="N298" s="61"/>
      <c r="O298" s="61"/>
      <c r="P298" s="61"/>
      <c r="Q298" s="61"/>
      <c r="R298" s="61"/>
      <c r="S298" s="61"/>
      <c r="T298" s="61"/>
      <c r="U298" s="7"/>
      <c r="V298" s="223"/>
      <c r="W298" s="9"/>
      <c r="X298" s="61"/>
      <c r="Y298" s="61"/>
      <c r="Z298" s="61"/>
      <c r="AA298" s="61"/>
      <c r="AB298" s="61"/>
      <c r="AC298" s="61"/>
      <c r="AD298" s="61"/>
      <c r="AE298" s="61"/>
      <c r="AF298" s="61"/>
      <c r="AG298" s="61"/>
      <c r="AH298" s="61"/>
      <c r="AI298" s="61"/>
      <c r="AJ298" s="9"/>
      <c r="AK298" s="223"/>
      <c r="AL298" s="10"/>
      <c r="AM298" s="136"/>
      <c r="AN298" s="7"/>
      <c r="AO298" s="7"/>
      <c r="AP298" s="7"/>
      <c r="AQ298" s="7"/>
      <c r="AR298" s="7"/>
      <c r="AS298" s="7"/>
    </row>
    <row r="299" spans="1:45" ht="9" customHeight="1" x14ac:dyDescent="0.3">
      <c r="A299" s="1"/>
      <c r="B299" s="2"/>
      <c r="C299" s="2"/>
      <c r="D299" s="60"/>
      <c r="E299" s="60"/>
      <c r="F299" s="2"/>
      <c r="G299" s="60"/>
      <c r="H299" s="60"/>
      <c r="I299" s="61"/>
      <c r="J299" s="61"/>
      <c r="K299" s="61"/>
      <c r="L299" s="61"/>
      <c r="M299" s="61"/>
      <c r="N299" s="61"/>
      <c r="O299" s="61"/>
      <c r="P299" s="61"/>
      <c r="Q299" s="61"/>
      <c r="R299" s="61"/>
      <c r="S299" s="61"/>
      <c r="T299" s="61"/>
      <c r="U299" s="7"/>
      <c r="V299" s="223"/>
      <c r="W299" s="9"/>
      <c r="X299" s="61"/>
      <c r="Y299" s="61"/>
      <c r="Z299" s="61"/>
      <c r="AA299" s="61"/>
      <c r="AB299" s="61"/>
      <c r="AC299" s="61"/>
      <c r="AD299" s="61"/>
      <c r="AE299" s="61"/>
      <c r="AF299" s="61"/>
      <c r="AG299" s="61"/>
      <c r="AH299" s="61"/>
      <c r="AI299" s="61"/>
      <c r="AJ299" s="9"/>
      <c r="AK299" s="223"/>
      <c r="AL299" s="10"/>
      <c r="AM299" s="136"/>
      <c r="AN299" s="7"/>
      <c r="AO299" s="7"/>
      <c r="AP299" s="7"/>
      <c r="AQ299" s="7"/>
      <c r="AR299" s="7"/>
      <c r="AS299" s="7"/>
    </row>
    <row r="300" spans="1:45" ht="9" customHeight="1" x14ac:dyDescent="0.3">
      <c r="A300" s="1"/>
      <c r="B300" s="2"/>
      <c r="C300" s="2"/>
      <c r="D300" s="60"/>
      <c r="E300" s="60"/>
      <c r="F300" s="2"/>
      <c r="G300" s="60"/>
      <c r="H300" s="60"/>
      <c r="I300" s="61"/>
      <c r="J300" s="61"/>
      <c r="K300" s="61"/>
      <c r="L300" s="61"/>
      <c r="M300" s="61"/>
      <c r="N300" s="61"/>
      <c r="O300" s="61"/>
      <c r="P300" s="61"/>
      <c r="Q300" s="61"/>
      <c r="R300" s="61"/>
      <c r="S300" s="61"/>
      <c r="T300" s="61"/>
      <c r="U300" s="7"/>
      <c r="V300" s="223"/>
      <c r="W300" s="9"/>
      <c r="X300" s="61"/>
      <c r="Y300" s="61"/>
      <c r="Z300" s="61"/>
      <c r="AA300" s="61"/>
      <c r="AB300" s="61"/>
      <c r="AC300" s="61"/>
      <c r="AD300" s="61"/>
      <c r="AE300" s="61"/>
      <c r="AF300" s="61"/>
      <c r="AG300" s="61"/>
      <c r="AH300" s="61"/>
      <c r="AI300" s="61"/>
      <c r="AJ300" s="9"/>
      <c r="AK300" s="223"/>
      <c r="AL300" s="10"/>
      <c r="AM300" s="136"/>
      <c r="AN300" s="7"/>
      <c r="AO300" s="7"/>
      <c r="AP300" s="7"/>
      <c r="AQ300" s="7"/>
      <c r="AR300" s="7"/>
      <c r="AS300" s="7"/>
    </row>
    <row r="301" spans="1:45" ht="9" customHeight="1" x14ac:dyDescent="0.3">
      <c r="A301" s="1"/>
      <c r="B301" s="2"/>
      <c r="C301" s="2"/>
      <c r="D301" s="60"/>
      <c r="E301" s="60"/>
      <c r="F301" s="2"/>
      <c r="G301" s="60"/>
      <c r="H301" s="60"/>
      <c r="I301" s="61"/>
      <c r="J301" s="61"/>
      <c r="K301" s="61"/>
      <c r="L301" s="61"/>
      <c r="M301" s="61"/>
      <c r="N301" s="61"/>
      <c r="O301" s="61"/>
      <c r="P301" s="61"/>
      <c r="Q301" s="61"/>
      <c r="R301" s="61"/>
      <c r="S301" s="61"/>
      <c r="T301" s="61"/>
      <c r="U301" s="7"/>
      <c r="V301" s="223"/>
      <c r="W301" s="9"/>
      <c r="X301" s="61"/>
      <c r="Y301" s="61"/>
      <c r="Z301" s="61"/>
      <c r="AA301" s="61"/>
      <c r="AB301" s="61"/>
      <c r="AC301" s="61"/>
      <c r="AD301" s="61"/>
      <c r="AE301" s="61"/>
      <c r="AF301" s="61"/>
      <c r="AG301" s="61"/>
      <c r="AH301" s="61"/>
      <c r="AI301" s="61"/>
      <c r="AJ301" s="9"/>
      <c r="AK301" s="223"/>
      <c r="AL301" s="10"/>
      <c r="AM301" s="136"/>
      <c r="AN301" s="7"/>
      <c r="AO301" s="7"/>
      <c r="AP301" s="7"/>
      <c r="AQ301" s="7"/>
      <c r="AR301" s="7"/>
      <c r="AS301" s="7"/>
    </row>
    <row r="302" spans="1:45" ht="9" customHeight="1" x14ac:dyDescent="0.3">
      <c r="A302" s="1"/>
      <c r="B302" s="2"/>
      <c r="C302" s="2"/>
      <c r="D302" s="60"/>
      <c r="E302" s="60"/>
      <c r="F302" s="2"/>
      <c r="G302" s="60"/>
      <c r="H302" s="60"/>
      <c r="I302" s="61"/>
      <c r="J302" s="61"/>
      <c r="K302" s="61"/>
      <c r="L302" s="61"/>
      <c r="M302" s="61"/>
      <c r="N302" s="61"/>
      <c r="O302" s="61"/>
      <c r="P302" s="61"/>
      <c r="Q302" s="61"/>
      <c r="R302" s="61"/>
      <c r="S302" s="61"/>
      <c r="T302" s="61"/>
      <c r="U302" s="7"/>
      <c r="V302" s="223"/>
      <c r="W302" s="9"/>
      <c r="X302" s="61"/>
      <c r="Y302" s="61"/>
      <c r="Z302" s="61"/>
      <c r="AA302" s="61"/>
      <c r="AB302" s="61"/>
      <c r="AC302" s="61"/>
      <c r="AD302" s="61"/>
      <c r="AE302" s="61"/>
      <c r="AF302" s="61"/>
      <c r="AG302" s="61"/>
      <c r="AH302" s="61"/>
      <c r="AI302" s="61"/>
      <c r="AJ302" s="9"/>
      <c r="AK302" s="223"/>
      <c r="AL302" s="10"/>
      <c r="AM302" s="136"/>
      <c r="AN302" s="7"/>
      <c r="AO302" s="7"/>
      <c r="AP302" s="7"/>
      <c r="AQ302" s="7"/>
      <c r="AR302" s="7"/>
      <c r="AS302" s="7"/>
    </row>
    <row r="303" spans="1:45" ht="9" customHeight="1" x14ac:dyDescent="0.3">
      <c r="A303" s="1"/>
      <c r="B303" s="2"/>
      <c r="C303" s="2"/>
      <c r="D303" s="60"/>
      <c r="E303" s="60"/>
      <c r="F303" s="2"/>
      <c r="G303" s="60"/>
      <c r="H303" s="60"/>
      <c r="I303" s="61"/>
      <c r="J303" s="61"/>
      <c r="K303" s="61"/>
      <c r="L303" s="61"/>
      <c r="M303" s="61"/>
      <c r="N303" s="61"/>
      <c r="O303" s="61"/>
      <c r="P303" s="61"/>
      <c r="Q303" s="61"/>
      <c r="R303" s="61"/>
      <c r="S303" s="61"/>
      <c r="T303" s="61"/>
      <c r="U303" s="7"/>
      <c r="V303" s="223"/>
      <c r="W303" s="9"/>
      <c r="X303" s="61"/>
      <c r="Y303" s="61"/>
      <c r="Z303" s="61"/>
      <c r="AA303" s="61"/>
      <c r="AB303" s="61"/>
      <c r="AC303" s="61"/>
      <c r="AD303" s="61"/>
      <c r="AE303" s="61"/>
      <c r="AF303" s="61"/>
      <c r="AG303" s="61"/>
      <c r="AH303" s="61"/>
      <c r="AI303" s="61"/>
      <c r="AJ303" s="9"/>
      <c r="AK303" s="223"/>
      <c r="AL303" s="10"/>
      <c r="AM303" s="136"/>
      <c r="AN303" s="7"/>
      <c r="AO303" s="7"/>
      <c r="AP303" s="7"/>
      <c r="AQ303" s="7"/>
      <c r="AR303" s="7"/>
      <c r="AS303" s="7"/>
    </row>
    <row r="304" spans="1:45" ht="9" customHeight="1" x14ac:dyDescent="0.3">
      <c r="A304" s="1"/>
      <c r="B304" s="2"/>
      <c r="C304" s="2"/>
      <c r="D304" s="60"/>
      <c r="E304" s="60"/>
      <c r="F304" s="2"/>
      <c r="G304" s="60"/>
      <c r="H304" s="60"/>
      <c r="I304" s="61"/>
      <c r="J304" s="61"/>
      <c r="K304" s="61"/>
      <c r="L304" s="61"/>
      <c r="M304" s="61"/>
      <c r="N304" s="61"/>
      <c r="O304" s="61"/>
      <c r="P304" s="61"/>
      <c r="Q304" s="61"/>
      <c r="R304" s="61"/>
      <c r="S304" s="61"/>
      <c r="T304" s="61"/>
      <c r="U304" s="7"/>
      <c r="V304" s="223"/>
      <c r="W304" s="9"/>
      <c r="X304" s="61"/>
      <c r="Y304" s="61"/>
      <c r="Z304" s="61"/>
      <c r="AA304" s="61"/>
      <c r="AB304" s="61"/>
      <c r="AC304" s="61"/>
      <c r="AD304" s="61"/>
      <c r="AE304" s="61"/>
      <c r="AF304" s="61"/>
      <c r="AG304" s="61"/>
      <c r="AH304" s="61"/>
      <c r="AI304" s="61"/>
      <c r="AJ304" s="9"/>
      <c r="AK304" s="223"/>
      <c r="AL304" s="10"/>
      <c r="AM304" s="136"/>
      <c r="AN304" s="7"/>
      <c r="AO304" s="7"/>
      <c r="AP304" s="7"/>
      <c r="AQ304" s="7"/>
      <c r="AR304" s="7"/>
      <c r="AS304" s="7"/>
    </row>
    <row r="305" spans="1:45" ht="9" customHeight="1" x14ac:dyDescent="0.3">
      <c r="A305" s="1"/>
      <c r="B305" s="2"/>
      <c r="C305" s="2"/>
      <c r="D305" s="60"/>
      <c r="E305" s="60"/>
      <c r="F305" s="2"/>
      <c r="G305" s="60"/>
      <c r="H305" s="60"/>
      <c r="I305" s="61"/>
      <c r="J305" s="61"/>
      <c r="K305" s="61"/>
      <c r="L305" s="61"/>
      <c r="M305" s="61"/>
      <c r="N305" s="61"/>
      <c r="O305" s="61"/>
      <c r="P305" s="61"/>
      <c r="Q305" s="61"/>
      <c r="R305" s="61"/>
      <c r="S305" s="61"/>
      <c r="T305" s="61"/>
      <c r="U305" s="7"/>
      <c r="V305" s="223"/>
      <c r="W305" s="9"/>
      <c r="X305" s="61"/>
      <c r="Y305" s="61"/>
      <c r="Z305" s="61"/>
      <c r="AA305" s="61"/>
      <c r="AB305" s="61"/>
      <c r="AC305" s="61"/>
      <c r="AD305" s="61"/>
      <c r="AE305" s="61"/>
      <c r="AF305" s="61"/>
      <c r="AG305" s="61"/>
      <c r="AH305" s="61"/>
      <c r="AI305" s="61"/>
      <c r="AJ305" s="9"/>
      <c r="AK305" s="223"/>
      <c r="AL305" s="10"/>
      <c r="AM305" s="136"/>
      <c r="AN305" s="7"/>
      <c r="AO305" s="7"/>
      <c r="AP305" s="7"/>
      <c r="AQ305" s="7"/>
      <c r="AR305" s="7"/>
      <c r="AS305" s="7"/>
    </row>
    <row r="306" spans="1:45" ht="9" customHeight="1" x14ac:dyDescent="0.3">
      <c r="A306" s="1"/>
      <c r="B306" s="2"/>
      <c r="C306" s="2"/>
      <c r="D306" s="60"/>
      <c r="E306" s="60"/>
      <c r="F306" s="2"/>
      <c r="G306" s="60"/>
      <c r="H306" s="60"/>
      <c r="I306" s="61"/>
      <c r="J306" s="61"/>
      <c r="K306" s="61"/>
      <c r="L306" s="61"/>
      <c r="M306" s="61"/>
      <c r="N306" s="61"/>
      <c r="O306" s="61"/>
      <c r="P306" s="61"/>
      <c r="Q306" s="61"/>
      <c r="R306" s="61"/>
      <c r="S306" s="61"/>
      <c r="T306" s="61"/>
      <c r="U306" s="7"/>
      <c r="V306" s="223"/>
      <c r="W306" s="9"/>
      <c r="X306" s="61"/>
      <c r="Y306" s="61"/>
      <c r="Z306" s="61"/>
      <c r="AA306" s="61"/>
      <c r="AB306" s="61"/>
      <c r="AC306" s="61"/>
      <c r="AD306" s="61"/>
      <c r="AE306" s="61"/>
      <c r="AF306" s="61"/>
      <c r="AG306" s="61"/>
      <c r="AH306" s="61"/>
      <c r="AI306" s="61"/>
      <c r="AJ306" s="9"/>
      <c r="AK306" s="223"/>
      <c r="AL306" s="10"/>
      <c r="AM306" s="136"/>
      <c r="AN306" s="7"/>
      <c r="AO306" s="7"/>
      <c r="AP306" s="7"/>
      <c r="AQ306" s="7"/>
      <c r="AR306" s="7"/>
      <c r="AS306" s="7"/>
    </row>
    <row r="307" spans="1:45" ht="9" customHeight="1" x14ac:dyDescent="0.3">
      <c r="A307" s="1"/>
      <c r="B307" s="2"/>
      <c r="C307" s="2"/>
      <c r="D307" s="60"/>
      <c r="E307" s="60"/>
      <c r="F307" s="2"/>
      <c r="G307" s="60"/>
      <c r="H307" s="60"/>
      <c r="I307" s="61"/>
      <c r="J307" s="61"/>
      <c r="K307" s="61"/>
      <c r="L307" s="61"/>
      <c r="M307" s="61"/>
      <c r="N307" s="61"/>
      <c r="O307" s="61"/>
      <c r="P307" s="61"/>
      <c r="Q307" s="61"/>
      <c r="R307" s="61"/>
      <c r="S307" s="61"/>
      <c r="T307" s="61"/>
      <c r="U307" s="7"/>
      <c r="V307" s="223"/>
      <c r="W307" s="9"/>
      <c r="X307" s="61"/>
      <c r="Y307" s="61"/>
      <c r="Z307" s="61"/>
      <c r="AA307" s="61"/>
      <c r="AB307" s="61"/>
      <c r="AC307" s="61"/>
      <c r="AD307" s="61"/>
      <c r="AE307" s="61"/>
      <c r="AF307" s="61"/>
      <c r="AG307" s="61"/>
      <c r="AH307" s="61"/>
      <c r="AI307" s="61"/>
      <c r="AJ307" s="9"/>
      <c r="AK307" s="223"/>
      <c r="AL307" s="10"/>
      <c r="AM307" s="136"/>
      <c r="AN307" s="7"/>
      <c r="AO307" s="7"/>
      <c r="AP307" s="7"/>
      <c r="AQ307" s="7"/>
      <c r="AR307" s="7"/>
      <c r="AS307" s="7"/>
    </row>
    <row r="308" spans="1:45" ht="9" customHeight="1" x14ac:dyDescent="0.3">
      <c r="A308" s="1"/>
      <c r="B308" s="2"/>
      <c r="C308" s="2"/>
      <c r="D308" s="60"/>
      <c r="E308" s="60"/>
      <c r="F308" s="2"/>
      <c r="G308" s="60"/>
      <c r="H308" s="60"/>
      <c r="I308" s="61"/>
      <c r="J308" s="61"/>
      <c r="K308" s="61"/>
      <c r="L308" s="61"/>
      <c r="M308" s="61"/>
      <c r="N308" s="61"/>
      <c r="O308" s="61"/>
      <c r="P308" s="61"/>
      <c r="Q308" s="61"/>
      <c r="R308" s="61"/>
      <c r="S308" s="61"/>
      <c r="T308" s="61"/>
      <c r="U308" s="7"/>
      <c r="V308" s="223"/>
      <c r="W308" s="9"/>
      <c r="X308" s="61"/>
      <c r="Y308" s="61"/>
      <c r="Z308" s="61"/>
      <c r="AA308" s="61"/>
      <c r="AB308" s="61"/>
      <c r="AC308" s="61"/>
      <c r="AD308" s="61"/>
      <c r="AE308" s="61"/>
      <c r="AF308" s="61"/>
      <c r="AG308" s="61"/>
      <c r="AH308" s="61"/>
      <c r="AI308" s="61"/>
      <c r="AJ308" s="9"/>
      <c r="AK308" s="223"/>
      <c r="AL308" s="10"/>
      <c r="AM308" s="136"/>
      <c r="AN308" s="7"/>
      <c r="AO308" s="7"/>
      <c r="AP308" s="7"/>
      <c r="AQ308" s="7"/>
      <c r="AR308" s="7"/>
      <c r="AS308" s="7"/>
    </row>
    <row r="309" spans="1:45" ht="9" customHeight="1" x14ac:dyDescent="0.3">
      <c r="A309" s="1"/>
      <c r="B309" s="2"/>
      <c r="C309" s="2"/>
      <c r="D309" s="60"/>
      <c r="E309" s="60"/>
      <c r="F309" s="2"/>
      <c r="G309" s="60"/>
      <c r="H309" s="60"/>
      <c r="I309" s="61"/>
      <c r="J309" s="61"/>
      <c r="K309" s="61"/>
      <c r="L309" s="61"/>
      <c r="M309" s="61"/>
      <c r="N309" s="61"/>
      <c r="O309" s="61"/>
      <c r="P309" s="61"/>
      <c r="Q309" s="61"/>
      <c r="R309" s="61"/>
      <c r="S309" s="61"/>
      <c r="T309" s="61"/>
      <c r="U309" s="7"/>
      <c r="V309" s="223"/>
      <c r="W309" s="9"/>
      <c r="X309" s="61"/>
      <c r="Y309" s="61"/>
      <c r="Z309" s="61"/>
      <c r="AA309" s="61"/>
      <c r="AB309" s="61"/>
      <c r="AC309" s="61"/>
      <c r="AD309" s="61"/>
      <c r="AE309" s="61"/>
      <c r="AF309" s="61"/>
      <c r="AG309" s="61"/>
      <c r="AH309" s="61"/>
      <c r="AI309" s="61"/>
      <c r="AJ309" s="9"/>
      <c r="AK309" s="223"/>
      <c r="AL309" s="10"/>
      <c r="AM309" s="136"/>
      <c r="AN309" s="7"/>
      <c r="AO309" s="7"/>
      <c r="AP309" s="7"/>
      <c r="AQ309" s="7"/>
      <c r="AR309" s="7"/>
      <c r="AS309" s="7"/>
    </row>
    <row r="310" spans="1:45" ht="9" customHeight="1" x14ac:dyDescent="0.3">
      <c r="A310" s="1"/>
      <c r="B310" s="2"/>
      <c r="C310" s="2"/>
      <c r="D310" s="60"/>
      <c r="E310" s="60"/>
      <c r="F310" s="2"/>
      <c r="G310" s="60"/>
      <c r="H310" s="60"/>
      <c r="I310" s="61"/>
      <c r="J310" s="61"/>
      <c r="K310" s="61"/>
      <c r="L310" s="61"/>
      <c r="M310" s="61"/>
      <c r="N310" s="61"/>
      <c r="O310" s="61"/>
      <c r="P310" s="61"/>
      <c r="Q310" s="61"/>
      <c r="R310" s="61"/>
      <c r="S310" s="61"/>
      <c r="T310" s="61"/>
      <c r="U310" s="7"/>
      <c r="V310" s="223"/>
      <c r="W310" s="9"/>
      <c r="X310" s="61"/>
      <c r="Y310" s="61"/>
      <c r="Z310" s="61"/>
      <c r="AA310" s="61"/>
      <c r="AB310" s="61"/>
      <c r="AC310" s="61"/>
      <c r="AD310" s="61"/>
      <c r="AE310" s="61"/>
      <c r="AF310" s="61"/>
      <c r="AG310" s="61"/>
      <c r="AH310" s="61"/>
      <c r="AI310" s="61"/>
      <c r="AJ310" s="9"/>
      <c r="AK310" s="223"/>
      <c r="AL310" s="10"/>
      <c r="AM310" s="136"/>
      <c r="AN310" s="7"/>
      <c r="AO310" s="7"/>
      <c r="AP310" s="7"/>
      <c r="AQ310" s="7"/>
      <c r="AR310" s="7"/>
      <c r="AS310" s="7"/>
    </row>
    <row r="311" spans="1:45" ht="9" customHeight="1" x14ac:dyDescent="0.3">
      <c r="A311" s="1"/>
      <c r="B311" s="2"/>
      <c r="C311" s="2"/>
      <c r="D311" s="60"/>
      <c r="E311" s="60"/>
      <c r="F311" s="2"/>
      <c r="G311" s="60"/>
      <c r="H311" s="60"/>
      <c r="I311" s="61"/>
      <c r="J311" s="61"/>
      <c r="K311" s="61"/>
      <c r="L311" s="61"/>
      <c r="M311" s="61"/>
      <c r="N311" s="61"/>
      <c r="O311" s="61"/>
      <c r="P311" s="61"/>
      <c r="Q311" s="61"/>
      <c r="R311" s="61"/>
      <c r="S311" s="61"/>
      <c r="T311" s="61"/>
      <c r="U311" s="7"/>
      <c r="V311" s="223"/>
      <c r="W311" s="9"/>
      <c r="X311" s="61"/>
      <c r="Y311" s="61"/>
      <c r="Z311" s="61"/>
      <c r="AA311" s="61"/>
      <c r="AB311" s="61"/>
      <c r="AC311" s="61"/>
      <c r="AD311" s="61"/>
      <c r="AE311" s="61"/>
      <c r="AF311" s="61"/>
      <c r="AG311" s="61"/>
      <c r="AH311" s="61"/>
      <c r="AI311" s="61"/>
      <c r="AJ311" s="9"/>
      <c r="AK311" s="223"/>
      <c r="AL311" s="10"/>
      <c r="AM311" s="136"/>
      <c r="AN311" s="7"/>
      <c r="AO311" s="7"/>
      <c r="AP311" s="7"/>
      <c r="AQ311" s="7"/>
      <c r="AR311" s="7"/>
      <c r="AS311" s="7"/>
    </row>
    <row r="312" spans="1:45" ht="9" customHeight="1" x14ac:dyDescent="0.3">
      <c r="A312" s="1"/>
      <c r="B312" s="2"/>
      <c r="C312" s="2"/>
      <c r="D312" s="60"/>
      <c r="E312" s="60"/>
      <c r="F312" s="2"/>
      <c r="G312" s="60"/>
      <c r="H312" s="60"/>
      <c r="I312" s="61"/>
      <c r="J312" s="61"/>
      <c r="K312" s="61"/>
      <c r="L312" s="61"/>
      <c r="M312" s="61"/>
      <c r="N312" s="61"/>
      <c r="O312" s="61"/>
      <c r="P312" s="61"/>
      <c r="Q312" s="61"/>
      <c r="R312" s="61"/>
      <c r="S312" s="61"/>
      <c r="T312" s="61"/>
      <c r="U312" s="7"/>
      <c r="V312" s="223"/>
      <c r="W312" s="9"/>
      <c r="X312" s="61"/>
      <c r="Y312" s="61"/>
      <c r="Z312" s="61"/>
      <c r="AA312" s="61"/>
      <c r="AB312" s="61"/>
      <c r="AC312" s="61"/>
      <c r="AD312" s="61"/>
      <c r="AE312" s="61"/>
      <c r="AF312" s="61"/>
      <c r="AG312" s="61"/>
      <c r="AH312" s="61"/>
      <c r="AI312" s="61"/>
      <c r="AJ312" s="9"/>
      <c r="AK312" s="223"/>
      <c r="AL312" s="10"/>
      <c r="AM312" s="136"/>
      <c r="AN312" s="7"/>
      <c r="AO312" s="7"/>
      <c r="AP312" s="7"/>
      <c r="AQ312" s="7"/>
      <c r="AR312" s="7"/>
      <c r="AS312" s="7"/>
    </row>
    <row r="313" spans="1:45" ht="9" customHeight="1" x14ac:dyDescent="0.3">
      <c r="A313" s="1"/>
      <c r="B313" s="2"/>
      <c r="C313" s="2"/>
      <c r="D313" s="60"/>
      <c r="E313" s="60"/>
      <c r="F313" s="2"/>
      <c r="G313" s="60"/>
      <c r="H313" s="60"/>
      <c r="I313" s="61"/>
      <c r="J313" s="61"/>
      <c r="K313" s="61"/>
      <c r="L313" s="61"/>
      <c r="M313" s="61"/>
      <c r="N313" s="61"/>
      <c r="O313" s="61"/>
      <c r="P313" s="61"/>
      <c r="Q313" s="61"/>
      <c r="R313" s="61"/>
      <c r="S313" s="61"/>
      <c r="T313" s="61"/>
      <c r="U313" s="7"/>
      <c r="V313" s="223"/>
      <c r="W313" s="9"/>
      <c r="X313" s="61"/>
      <c r="Y313" s="61"/>
      <c r="Z313" s="61"/>
      <c r="AA313" s="61"/>
      <c r="AB313" s="61"/>
      <c r="AC313" s="61"/>
      <c r="AD313" s="61"/>
      <c r="AE313" s="61"/>
      <c r="AF313" s="61"/>
      <c r="AG313" s="61"/>
      <c r="AH313" s="61"/>
      <c r="AI313" s="61"/>
      <c r="AJ313" s="9"/>
      <c r="AK313" s="223"/>
      <c r="AL313" s="10"/>
      <c r="AM313" s="136"/>
      <c r="AN313" s="7"/>
      <c r="AO313" s="7"/>
      <c r="AP313" s="7"/>
      <c r="AQ313" s="7"/>
      <c r="AR313" s="7"/>
      <c r="AS313" s="7"/>
    </row>
    <row r="314" spans="1:45" ht="9" customHeight="1" x14ac:dyDescent="0.3">
      <c r="A314" s="1"/>
      <c r="B314" s="2"/>
      <c r="C314" s="2"/>
      <c r="D314" s="60"/>
      <c r="E314" s="60"/>
      <c r="F314" s="2"/>
      <c r="G314" s="60"/>
      <c r="H314" s="60"/>
      <c r="I314" s="61"/>
      <c r="J314" s="61"/>
      <c r="K314" s="61"/>
      <c r="L314" s="61"/>
      <c r="M314" s="61"/>
      <c r="N314" s="61"/>
      <c r="O314" s="61"/>
      <c r="P314" s="61"/>
      <c r="Q314" s="61"/>
      <c r="R314" s="61"/>
      <c r="S314" s="61"/>
      <c r="T314" s="61"/>
      <c r="U314" s="7"/>
      <c r="V314" s="223"/>
      <c r="W314" s="9"/>
      <c r="X314" s="61"/>
      <c r="Y314" s="61"/>
      <c r="Z314" s="61"/>
      <c r="AA314" s="61"/>
      <c r="AB314" s="61"/>
      <c r="AC314" s="61"/>
      <c r="AD314" s="61"/>
      <c r="AE314" s="61"/>
      <c r="AF314" s="61"/>
      <c r="AG314" s="61"/>
      <c r="AH314" s="61"/>
      <c r="AI314" s="61"/>
      <c r="AJ314" s="9"/>
      <c r="AK314" s="223"/>
      <c r="AL314" s="10"/>
      <c r="AM314" s="136"/>
      <c r="AN314" s="7"/>
      <c r="AO314" s="7"/>
      <c r="AP314" s="7"/>
      <c r="AQ314" s="7"/>
      <c r="AR314" s="7"/>
      <c r="AS314" s="7"/>
    </row>
    <row r="315" spans="1:45" ht="9" customHeight="1" x14ac:dyDescent="0.3">
      <c r="A315" s="1"/>
      <c r="B315" s="2"/>
      <c r="C315" s="2"/>
      <c r="D315" s="60"/>
      <c r="E315" s="60"/>
      <c r="F315" s="2"/>
      <c r="G315" s="60"/>
      <c r="H315" s="60"/>
      <c r="I315" s="61"/>
      <c r="J315" s="61"/>
      <c r="K315" s="61"/>
      <c r="L315" s="61"/>
      <c r="M315" s="61"/>
      <c r="N315" s="61"/>
      <c r="O315" s="61"/>
      <c r="P315" s="61"/>
      <c r="Q315" s="61"/>
      <c r="R315" s="61"/>
      <c r="S315" s="61"/>
      <c r="T315" s="61"/>
      <c r="U315" s="7"/>
      <c r="V315" s="223"/>
      <c r="W315" s="9"/>
      <c r="X315" s="61"/>
      <c r="Y315" s="61"/>
      <c r="Z315" s="61"/>
      <c r="AA315" s="61"/>
      <c r="AB315" s="61"/>
      <c r="AC315" s="61"/>
      <c r="AD315" s="61"/>
      <c r="AE315" s="61"/>
      <c r="AF315" s="61"/>
      <c r="AG315" s="61"/>
      <c r="AH315" s="61"/>
      <c r="AI315" s="61"/>
      <c r="AJ315" s="9"/>
      <c r="AK315" s="223"/>
      <c r="AL315" s="10"/>
      <c r="AM315" s="136"/>
      <c r="AN315" s="7"/>
      <c r="AO315" s="7"/>
      <c r="AP315" s="7"/>
      <c r="AQ315" s="7"/>
      <c r="AR315" s="7"/>
      <c r="AS315" s="7"/>
    </row>
    <row r="316" spans="1:45" ht="9" customHeight="1" x14ac:dyDescent="0.3">
      <c r="A316" s="1"/>
      <c r="B316" s="2"/>
      <c r="C316" s="2"/>
      <c r="D316" s="60"/>
      <c r="E316" s="60"/>
      <c r="F316" s="2"/>
      <c r="G316" s="60"/>
      <c r="H316" s="60"/>
      <c r="I316" s="61"/>
      <c r="J316" s="61"/>
      <c r="K316" s="61"/>
      <c r="L316" s="61"/>
      <c r="M316" s="61"/>
      <c r="N316" s="61"/>
      <c r="O316" s="61"/>
      <c r="P316" s="61"/>
      <c r="Q316" s="61"/>
      <c r="R316" s="61"/>
      <c r="S316" s="61"/>
      <c r="T316" s="61"/>
      <c r="U316" s="7"/>
      <c r="V316" s="223"/>
      <c r="W316" s="9"/>
      <c r="X316" s="61"/>
      <c r="Y316" s="61"/>
      <c r="Z316" s="61"/>
      <c r="AA316" s="61"/>
      <c r="AB316" s="61"/>
      <c r="AC316" s="61"/>
      <c r="AD316" s="61"/>
      <c r="AE316" s="61"/>
      <c r="AF316" s="61"/>
      <c r="AG316" s="61"/>
      <c r="AH316" s="61"/>
      <c r="AI316" s="61"/>
      <c r="AJ316" s="9"/>
      <c r="AK316" s="223"/>
      <c r="AL316" s="10"/>
      <c r="AM316" s="136"/>
      <c r="AN316" s="7"/>
      <c r="AO316" s="7"/>
      <c r="AP316" s="7"/>
      <c r="AQ316" s="7"/>
      <c r="AR316" s="7"/>
      <c r="AS316" s="7"/>
    </row>
    <row r="317" spans="1:45" ht="9" customHeight="1" x14ac:dyDescent="0.3">
      <c r="A317" s="1"/>
      <c r="B317" s="2"/>
      <c r="C317" s="2"/>
      <c r="D317" s="60"/>
      <c r="E317" s="60"/>
      <c r="F317" s="2"/>
      <c r="G317" s="60"/>
      <c r="H317" s="60"/>
      <c r="I317" s="61"/>
      <c r="J317" s="61"/>
      <c r="K317" s="61"/>
      <c r="L317" s="61"/>
      <c r="M317" s="61"/>
      <c r="N317" s="61"/>
      <c r="O317" s="61"/>
      <c r="P317" s="61"/>
      <c r="Q317" s="61"/>
      <c r="R317" s="61"/>
      <c r="S317" s="61"/>
      <c r="T317" s="61"/>
      <c r="U317" s="7"/>
      <c r="V317" s="223"/>
      <c r="W317" s="9"/>
      <c r="X317" s="61"/>
      <c r="Y317" s="61"/>
      <c r="Z317" s="61"/>
      <c r="AA317" s="61"/>
      <c r="AB317" s="61"/>
      <c r="AC317" s="61"/>
      <c r="AD317" s="61"/>
      <c r="AE317" s="61"/>
      <c r="AF317" s="61"/>
      <c r="AG317" s="61"/>
      <c r="AH317" s="61"/>
      <c r="AI317" s="61"/>
      <c r="AJ317" s="9"/>
      <c r="AK317" s="223"/>
      <c r="AL317" s="10"/>
      <c r="AM317" s="136"/>
      <c r="AN317" s="7"/>
      <c r="AO317" s="7"/>
      <c r="AP317" s="7"/>
      <c r="AQ317" s="7"/>
      <c r="AR317" s="7"/>
      <c r="AS317" s="7"/>
    </row>
    <row r="318" spans="1:45" ht="9" customHeight="1" x14ac:dyDescent="0.3">
      <c r="A318" s="1"/>
      <c r="B318" s="2"/>
      <c r="C318" s="2"/>
      <c r="D318" s="60"/>
      <c r="E318" s="60"/>
      <c r="F318" s="2"/>
      <c r="G318" s="60"/>
      <c r="H318" s="60"/>
      <c r="I318" s="61"/>
      <c r="J318" s="61"/>
      <c r="K318" s="61"/>
      <c r="L318" s="61"/>
      <c r="M318" s="61"/>
      <c r="N318" s="61"/>
      <c r="O318" s="61"/>
      <c r="P318" s="61"/>
      <c r="Q318" s="61"/>
      <c r="R318" s="61"/>
      <c r="S318" s="61"/>
      <c r="T318" s="61"/>
      <c r="U318" s="7"/>
      <c r="V318" s="223"/>
      <c r="W318" s="9"/>
      <c r="X318" s="61"/>
      <c r="Y318" s="61"/>
      <c r="Z318" s="61"/>
      <c r="AA318" s="61"/>
      <c r="AB318" s="61"/>
      <c r="AC318" s="61"/>
      <c r="AD318" s="61"/>
      <c r="AE318" s="61"/>
      <c r="AF318" s="61"/>
      <c r="AG318" s="61"/>
      <c r="AH318" s="61"/>
      <c r="AI318" s="61"/>
      <c r="AJ318" s="9"/>
      <c r="AK318" s="223"/>
      <c r="AL318" s="10"/>
      <c r="AM318" s="136"/>
      <c r="AN318" s="7"/>
      <c r="AO318" s="7"/>
      <c r="AP318" s="7"/>
      <c r="AQ318" s="7"/>
      <c r="AR318" s="7"/>
      <c r="AS318" s="7"/>
    </row>
    <row r="319" spans="1:45" ht="9" customHeight="1" x14ac:dyDescent="0.3">
      <c r="A319" s="1"/>
      <c r="B319" s="2"/>
      <c r="C319" s="2"/>
      <c r="D319" s="60"/>
      <c r="E319" s="60"/>
      <c r="F319" s="2"/>
      <c r="G319" s="60"/>
      <c r="H319" s="60"/>
      <c r="I319" s="61"/>
      <c r="J319" s="61"/>
      <c r="K319" s="61"/>
      <c r="L319" s="61"/>
      <c r="M319" s="61"/>
      <c r="N319" s="61"/>
      <c r="O319" s="61"/>
      <c r="P319" s="61"/>
      <c r="Q319" s="61"/>
      <c r="R319" s="61"/>
      <c r="S319" s="61"/>
      <c r="T319" s="61"/>
      <c r="U319" s="7"/>
      <c r="V319" s="223"/>
      <c r="W319" s="9"/>
      <c r="X319" s="61"/>
      <c r="Y319" s="61"/>
      <c r="Z319" s="61"/>
      <c r="AA319" s="61"/>
      <c r="AB319" s="61"/>
      <c r="AC319" s="61"/>
      <c r="AD319" s="61"/>
      <c r="AE319" s="61"/>
      <c r="AF319" s="61"/>
      <c r="AG319" s="61"/>
      <c r="AH319" s="61"/>
      <c r="AI319" s="61"/>
      <c r="AJ319" s="9"/>
      <c r="AK319" s="223"/>
      <c r="AL319" s="10"/>
      <c r="AM319" s="136"/>
      <c r="AN319" s="7"/>
      <c r="AO319" s="7"/>
      <c r="AP319" s="7"/>
      <c r="AQ319" s="7"/>
      <c r="AR319" s="7"/>
      <c r="AS319" s="7"/>
    </row>
    <row r="320" spans="1:45" ht="9" customHeight="1" x14ac:dyDescent="0.3">
      <c r="A320" s="1"/>
      <c r="B320" s="2"/>
      <c r="C320" s="2"/>
      <c r="D320" s="60"/>
      <c r="E320" s="60"/>
      <c r="F320" s="2"/>
      <c r="G320" s="60"/>
      <c r="H320" s="60"/>
      <c r="I320" s="61"/>
      <c r="J320" s="61"/>
      <c r="K320" s="61"/>
      <c r="L320" s="61"/>
      <c r="M320" s="61"/>
      <c r="N320" s="61"/>
      <c r="O320" s="61"/>
      <c r="P320" s="61"/>
      <c r="Q320" s="61"/>
      <c r="R320" s="61"/>
      <c r="S320" s="61"/>
      <c r="T320" s="61"/>
      <c r="U320" s="7"/>
      <c r="V320" s="223"/>
      <c r="W320" s="9"/>
      <c r="X320" s="61"/>
      <c r="Y320" s="61"/>
      <c r="Z320" s="61"/>
      <c r="AA320" s="61"/>
      <c r="AB320" s="61"/>
      <c r="AC320" s="61"/>
      <c r="AD320" s="61"/>
      <c r="AE320" s="61"/>
      <c r="AF320" s="61"/>
      <c r="AG320" s="61"/>
      <c r="AH320" s="61"/>
      <c r="AI320" s="61"/>
      <c r="AJ320" s="9"/>
      <c r="AK320" s="223"/>
      <c r="AL320" s="10"/>
      <c r="AM320" s="136"/>
      <c r="AN320" s="7"/>
      <c r="AO320" s="7"/>
      <c r="AP320" s="7"/>
      <c r="AQ320" s="7"/>
      <c r="AR320" s="7"/>
      <c r="AS320" s="7"/>
    </row>
    <row r="321" spans="1:45" ht="9" customHeight="1" x14ac:dyDescent="0.3">
      <c r="A321" s="1"/>
      <c r="B321" s="2"/>
      <c r="C321" s="2"/>
      <c r="D321" s="60"/>
      <c r="E321" s="60"/>
      <c r="F321" s="2"/>
      <c r="G321" s="60"/>
      <c r="H321" s="60"/>
      <c r="I321" s="61"/>
      <c r="J321" s="61"/>
      <c r="K321" s="61"/>
      <c r="L321" s="61"/>
      <c r="M321" s="61"/>
      <c r="N321" s="61"/>
      <c r="O321" s="61"/>
      <c r="P321" s="61"/>
      <c r="Q321" s="61"/>
      <c r="R321" s="61"/>
      <c r="S321" s="61"/>
      <c r="T321" s="61"/>
      <c r="U321" s="7"/>
      <c r="V321" s="223"/>
      <c r="W321" s="9"/>
      <c r="X321" s="61"/>
      <c r="Y321" s="61"/>
      <c r="Z321" s="61"/>
      <c r="AA321" s="61"/>
      <c r="AB321" s="61"/>
      <c r="AC321" s="61"/>
      <c r="AD321" s="61"/>
      <c r="AE321" s="61"/>
      <c r="AF321" s="61"/>
      <c r="AG321" s="61"/>
      <c r="AH321" s="61"/>
      <c r="AI321" s="61"/>
      <c r="AJ321" s="9"/>
      <c r="AK321" s="223"/>
      <c r="AL321" s="10"/>
      <c r="AM321" s="136"/>
      <c r="AN321" s="7"/>
      <c r="AO321" s="7"/>
      <c r="AP321" s="7"/>
      <c r="AQ321" s="7"/>
      <c r="AR321" s="7"/>
      <c r="AS321" s="7"/>
    </row>
    <row r="322" spans="1:45" ht="9" customHeight="1" x14ac:dyDescent="0.3">
      <c r="A322" s="1"/>
      <c r="B322" s="2"/>
      <c r="C322" s="2"/>
      <c r="D322" s="60"/>
      <c r="E322" s="60"/>
      <c r="F322" s="2"/>
      <c r="G322" s="60"/>
      <c r="H322" s="60"/>
      <c r="I322" s="61"/>
      <c r="J322" s="61"/>
      <c r="K322" s="61"/>
      <c r="L322" s="61"/>
      <c r="M322" s="61"/>
      <c r="N322" s="61"/>
      <c r="O322" s="61"/>
      <c r="P322" s="61"/>
      <c r="Q322" s="61"/>
      <c r="R322" s="61"/>
      <c r="S322" s="61"/>
      <c r="T322" s="61"/>
      <c r="U322" s="7"/>
      <c r="V322" s="223"/>
      <c r="W322" s="9"/>
      <c r="X322" s="61"/>
      <c r="Y322" s="61"/>
      <c r="Z322" s="61"/>
      <c r="AA322" s="61"/>
      <c r="AB322" s="61"/>
      <c r="AC322" s="61"/>
      <c r="AD322" s="61"/>
      <c r="AE322" s="61"/>
      <c r="AF322" s="61"/>
      <c r="AG322" s="61"/>
      <c r="AH322" s="61"/>
      <c r="AI322" s="61"/>
      <c r="AJ322" s="9"/>
      <c r="AK322" s="223"/>
      <c r="AL322" s="10"/>
      <c r="AM322" s="136"/>
      <c r="AN322" s="7"/>
      <c r="AO322" s="7"/>
      <c r="AP322" s="7"/>
      <c r="AQ322" s="7"/>
      <c r="AR322" s="7"/>
      <c r="AS322" s="7"/>
    </row>
    <row r="323" spans="1:45" ht="9" customHeight="1" x14ac:dyDescent="0.3">
      <c r="A323" s="1"/>
      <c r="B323" s="2"/>
      <c r="C323" s="2"/>
      <c r="D323" s="60"/>
      <c r="E323" s="60"/>
      <c r="F323" s="2"/>
      <c r="G323" s="60"/>
      <c r="H323" s="60"/>
      <c r="I323" s="61"/>
      <c r="J323" s="61"/>
      <c r="K323" s="61"/>
      <c r="L323" s="61"/>
      <c r="M323" s="61"/>
      <c r="N323" s="61"/>
      <c r="O323" s="61"/>
      <c r="P323" s="61"/>
      <c r="Q323" s="61"/>
      <c r="R323" s="61"/>
      <c r="S323" s="61"/>
      <c r="T323" s="61"/>
      <c r="U323" s="7"/>
      <c r="V323" s="223"/>
      <c r="W323" s="9"/>
      <c r="X323" s="61"/>
      <c r="Y323" s="61"/>
      <c r="Z323" s="61"/>
      <c r="AA323" s="61"/>
      <c r="AB323" s="61"/>
      <c r="AC323" s="61"/>
      <c r="AD323" s="61"/>
      <c r="AE323" s="61"/>
      <c r="AF323" s="61"/>
      <c r="AG323" s="61"/>
      <c r="AH323" s="61"/>
      <c r="AI323" s="61"/>
      <c r="AJ323" s="9"/>
      <c r="AK323" s="223"/>
      <c r="AL323" s="10"/>
      <c r="AM323" s="136"/>
      <c r="AN323" s="7"/>
      <c r="AO323" s="7"/>
      <c r="AP323" s="7"/>
      <c r="AQ323" s="7"/>
      <c r="AR323" s="7"/>
      <c r="AS323" s="7"/>
    </row>
    <row r="324" spans="1:45" ht="9" customHeight="1" x14ac:dyDescent="0.3">
      <c r="A324" s="1"/>
      <c r="B324" s="2"/>
      <c r="C324" s="2"/>
      <c r="D324" s="60"/>
      <c r="E324" s="60"/>
      <c r="F324" s="2"/>
      <c r="G324" s="60"/>
      <c r="H324" s="60"/>
      <c r="I324" s="61"/>
      <c r="J324" s="61"/>
      <c r="K324" s="61"/>
      <c r="L324" s="61"/>
      <c r="M324" s="61"/>
      <c r="N324" s="61"/>
      <c r="O324" s="61"/>
      <c r="P324" s="61"/>
      <c r="Q324" s="61"/>
      <c r="R324" s="61"/>
      <c r="S324" s="61"/>
      <c r="T324" s="61"/>
      <c r="U324" s="7"/>
      <c r="V324" s="223"/>
      <c r="W324" s="9"/>
      <c r="X324" s="61"/>
      <c r="Y324" s="61"/>
      <c r="Z324" s="61"/>
      <c r="AA324" s="61"/>
      <c r="AB324" s="61"/>
      <c r="AC324" s="61"/>
      <c r="AD324" s="61"/>
      <c r="AE324" s="61"/>
      <c r="AF324" s="61"/>
      <c r="AG324" s="61"/>
      <c r="AH324" s="61"/>
      <c r="AI324" s="61"/>
      <c r="AJ324" s="9"/>
      <c r="AK324" s="223"/>
      <c r="AL324" s="10"/>
      <c r="AM324" s="136"/>
      <c r="AN324" s="7"/>
      <c r="AO324" s="7"/>
      <c r="AP324" s="7"/>
      <c r="AQ324" s="7"/>
      <c r="AR324" s="7"/>
      <c r="AS324" s="7"/>
    </row>
    <row r="325" spans="1:45" ht="9" customHeight="1" x14ac:dyDescent="0.3">
      <c r="A325" s="1"/>
      <c r="B325" s="2"/>
      <c r="C325" s="2"/>
      <c r="D325" s="60"/>
      <c r="E325" s="60"/>
      <c r="F325" s="2"/>
      <c r="G325" s="60"/>
      <c r="H325" s="60"/>
      <c r="I325" s="61"/>
      <c r="J325" s="61"/>
      <c r="K325" s="61"/>
      <c r="L325" s="61"/>
      <c r="M325" s="61"/>
      <c r="N325" s="61"/>
      <c r="O325" s="61"/>
      <c r="P325" s="61"/>
      <c r="Q325" s="61"/>
      <c r="R325" s="61"/>
      <c r="S325" s="61"/>
      <c r="T325" s="61"/>
      <c r="U325" s="7"/>
      <c r="V325" s="223"/>
      <c r="W325" s="9"/>
      <c r="X325" s="61"/>
      <c r="Y325" s="61"/>
      <c r="Z325" s="61"/>
      <c r="AA325" s="61"/>
      <c r="AB325" s="61"/>
      <c r="AC325" s="61"/>
      <c r="AD325" s="61"/>
      <c r="AE325" s="61"/>
      <c r="AF325" s="61"/>
      <c r="AG325" s="61"/>
      <c r="AH325" s="61"/>
      <c r="AI325" s="61"/>
      <c r="AJ325" s="9"/>
      <c r="AK325" s="223"/>
      <c r="AL325" s="10"/>
      <c r="AM325" s="136"/>
      <c r="AN325" s="7"/>
      <c r="AO325" s="7"/>
      <c r="AP325" s="7"/>
      <c r="AQ325" s="7"/>
      <c r="AR325" s="7"/>
      <c r="AS325" s="7"/>
    </row>
    <row r="326" spans="1:45" ht="9" customHeight="1" x14ac:dyDescent="0.3">
      <c r="A326" s="1"/>
      <c r="B326" s="2"/>
      <c r="C326" s="2"/>
      <c r="D326" s="60"/>
      <c r="E326" s="60"/>
      <c r="F326" s="2"/>
      <c r="G326" s="60"/>
      <c r="H326" s="60"/>
      <c r="I326" s="61"/>
      <c r="J326" s="61"/>
      <c r="K326" s="61"/>
      <c r="L326" s="61"/>
      <c r="M326" s="61"/>
      <c r="N326" s="61"/>
      <c r="O326" s="61"/>
      <c r="P326" s="61"/>
      <c r="Q326" s="61"/>
      <c r="R326" s="61"/>
      <c r="S326" s="61"/>
      <c r="T326" s="61"/>
      <c r="U326" s="7"/>
      <c r="V326" s="223"/>
      <c r="W326" s="9"/>
      <c r="X326" s="61"/>
      <c r="Y326" s="61"/>
      <c r="Z326" s="61"/>
      <c r="AA326" s="61"/>
      <c r="AB326" s="61"/>
      <c r="AC326" s="61"/>
      <c r="AD326" s="61"/>
      <c r="AE326" s="61"/>
      <c r="AF326" s="61"/>
      <c r="AG326" s="61"/>
      <c r="AH326" s="61"/>
      <c r="AI326" s="61"/>
      <c r="AJ326" s="9"/>
      <c r="AK326" s="223"/>
      <c r="AL326" s="10"/>
      <c r="AM326" s="136"/>
      <c r="AN326" s="7"/>
      <c r="AO326" s="7"/>
      <c r="AP326" s="7"/>
      <c r="AQ326" s="7"/>
      <c r="AR326" s="7"/>
      <c r="AS326" s="7"/>
    </row>
    <row r="327" spans="1:45" ht="9" customHeight="1" x14ac:dyDescent="0.3">
      <c r="A327" s="1"/>
      <c r="B327" s="2"/>
      <c r="C327" s="2"/>
      <c r="D327" s="60"/>
      <c r="E327" s="60"/>
      <c r="F327" s="2"/>
      <c r="G327" s="60"/>
      <c r="H327" s="60"/>
      <c r="I327" s="61"/>
      <c r="J327" s="61"/>
      <c r="K327" s="61"/>
      <c r="L327" s="61"/>
      <c r="M327" s="61"/>
      <c r="N327" s="61"/>
      <c r="O327" s="61"/>
      <c r="P327" s="61"/>
      <c r="Q327" s="61"/>
      <c r="R327" s="61"/>
      <c r="S327" s="61"/>
      <c r="T327" s="61"/>
      <c r="U327" s="7"/>
      <c r="V327" s="223"/>
      <c r="W327" s="9"/>
      <c r="X327" s="61"/>
      <c r="Y327" s="61"/>
      <c r="Z327" s="61"/>
      <c r="AA327" s="61"/>
      <c r="AB327" s="61"/>
      <c r="AC327" s="61"/>
      <c r="AD327" s="61"/>
      <c r="AE327" s="61"/>
      <c r="AF327" s="61"/>
      <c r="AG327" s="61"/>
      <c r="AH327" s="61"/>
      <c r="AI327" s="61"/>
      <c r="AJ327" s="9"/>
      <c r="AK327" s="223"/>
      <c r="AL327" s="10"/>
      <c r="AM327" s="136"/>
      <c r="AN327" s="7"/>
      <c r="AO327" s="7"/>
      <c r="AP327" s="7"/>
      <c r="AQ327" s="7"/>
      <c r="AR327" s="7"/>
      <c r="AS327" s="7"/>
    </row>
    <row r="328" spans="1:45" ht="9" customHeight="1" x14ac:dyDescent="0.3">
      <c r="A328" s="1"/>
      <c r="B328" s="2"/>
      <c r="C328" s="2"/>
      <c r="D328" s="60"/>
      <c r="E328" s="60"/>
      <c r="F328" s="2"/>
      <c r="G328" s="60"/>
      <c r="H328" s="60"/>
      <c r="I328" s="61"/>
      <c r="J328" s="61"/>
      <c r="K328" s="61"/>
      <c r="L328" s="61"/>
      <c r="M328" s="61"/>
      <c r="N328" s="61"/>
      <c r="O328" s="61"/>
      <c r="P328" s="61"/>
      <c r="Q328" s="61"/>
      <c r="R328" s="61"/>
      <c r="S328" s="61"/>
      <c r="T328" s="61"/>
      <c r="U328" s="7"/>
      <c r="V328" s="223"/>
      <c r="W328" s="9"/>
      <c r="X328" s="61"/>
      <c r="Y328" s="61"/>
      <c r="Z328" s="61"/>
      <c r="AA328" s="61"/>
      <c r="AB328" s="61"/>
      <c r="AC328" s="61"/>
      <c r="AD328" s="61"/>
      <c r="AE328" s="61"/>
      <c r="AF328" s="61"/>
      <c r="AG328" s="61"/>
      <c r="AH328" s="61"/>
      <c r="AI328" s="61"/>
      <c r="AJ328" s="9"/>
      <c r="AK328" s="223"/>
      <c r="AL328" s="10"/>
      <c r="AM328" s="136"/>
      <c r="AN328" s="7"/>
      <c r="AO328" s="7"/>
      <c r="AP328" s="7"/>
      <c r="AQ328" s="7"/>
      <c r="AR328" s="7"/>
      <c r="AS328" s="7"/>
    </row>
    <row r="329" spans="1:45" ht="9" customHeight="1" x14ac:dyDescent="0.3">
      <c r="A329" s="1"/>
      <c r="B329" s="2"/>
      <c r="C329" s="2"/>
      <c r="D329" s="60"/>
      <c r="E329" s="60"/>
      <c r="F329" s="2"/>
      <c r="G329" s="60"/>
      <c r="H329" s="60"/>
      <c r="I329" s="61"/>
      <c r="J329" s="61"/>
      <c r="K329" s="61"/>
      <c r="L329" s="61"/>
      <c r="M329" s="61"/>
      <c r="N329" s="61"/>
      <c r="O329" s="61"/>
      <c r="P329" s="61"/>
      <c r="Q329" s="61"/>
      <c r="R329" s="61"/>
      <c r="S329" s="61"/>
      <c r="T329" s="61"/>
      <c r="U329" s="7"/>
      <c r="V329" s="223"/>
      <c r="W329" s="9"/>
      <c r="X329" s="61"/>
      <c r="Y329" s="61"/>
      <c r="Z329" s="61"/>
      <c r="AA329" s="61"/>
      <c r="AB329" s="61"/>
      <c r="AC329" s="61"/>
      <c r="AD329" s="61"/>
      <c r="AE329" s="61"/>
      <c r="AF329" s="61"/>
      <c r="AG329" s="61"/>
      <c r="AH329" s="61"/>
      <c r="AI329" s="61"/>
      <c r="AJ329" s="9"/>
      <c r="AK329" s="223"/>
      <c r="AL329" s="10"/>
      <c r="AM329" s="136"/>
      <c r="AN329" s="7"/>
      <c r="AO329" s="7"/>
      <c r="AP329" s="7"/>
      <c r="AQ329" s="7"/>
      <c r="AR329" s="7"/>
      <c r="AS329" s="7"/>
    </row>
    <row r="330" spans="1:45" ht="9" customHeight="1" x14ac:dyDescent="0.3">
      <c r="A330" s="1"/>
      <c r="B330" s="2"/>
      <c r="C330" s="2"/>
      <c r="D330" s="60"/>
      <c r="E330" s="60"/>
      <c r="F330" s="2"/>
      <c r="G330" s="60"/>
      <c r="H330" s="60"/>
      <c r="I330" s="61"/>
      <c r="J330" s="61"/>
      <c r="K330" s="61"/>
      <c r="L330" s="61"/>
      <c r="M330" s="61"/>
      <c r="N330" s="61"/>
      <c r="O330" s="61"/>
      <c r="P330" s="61"/>
      <c r="Q330" s="61"/>
      <c r="R330" s="61"/>
      <c r="S330" s="61"/>
      <c r="T330" s="61"/>
      <c r="U330" s="7"/>
      <c r="V330" s="223"/>
      <c r="W330" s="9"/>
      <c r="X330" s="61"/>
      <c r="Y330" s="61"/>
      <c r="Z330" s="61"/>
      <c r="AA330" s="61"/>
      <c r="AB330" s="61"/>
      <c r="AC330" s="61"/>
      <c r="AD330" s="61"/>
      <c r="AE330" s="61"/>
      <c r="AF330" s="61"/>
      <c r="AG330" s="61"/>
      <c r="AH330" s="61"/>
      <c r="AI330" s="61"/>
      <c r="AJ330" s="9"/>
      <c r="AK330" s="223"/>
      <c r="AL330" s="10"/>
      <c r="AM330" s="136"/>
      <c r="AN330" s="7"/>
      <c r="AO330" s="7"/>
      <c r="AP330" s="7"/>
      <c r="AQ330" s="7"/>
      <c r="AR330" s="7"/>
      <c r="AS330" s="7"/>
    </row>
    <row r="331" spans="1:45" ht="9" customHeight="1" x14ac:dyDescent="0.3">
      <c r="A331" s="1"/>
      <c r="B331" s="2"/>
      <c r="C331" s="2"/>
      <c r="D331" s="60"/>
      <c r="E331" s="60"/>
      <c r="F331" s="2"/>
      <c r="G331" s="60"/>
      <c r="H331" s="60"/>
      <c r="I331" s="61"/>
      <c r="J331" s="61"/>
      <c r="K331" s="61"/>
      <c r="L331" s="61"/>
      <c r="M331" s="61"/>
      <c r="N331" s="61"/>
      <c r="O331" s="61"/>
      <c r="P331" s="61"/>
      <c r="Q331" s="61"/>
      <c r="R331" s="61"/>
      <c r="S331" s="61"/>
      <c r="T331" s="61"/>
      <c r="U331" s="7"/>
      <c r="V331" s="223"/>
      <c r="W331" s="9"/>
      <c r="X331" s="61"/>
      <c r="Y331" s="61"/>
      <c r="Z331" s="61"/>
      <c r="AA331" s="61"/>
      <c r="AB331" s="61"/>
      <c r="AC331" s="61"/>
      <c r="AD331" s="61"/>
      <c r="AE331" s="61"/>
      <c r="AF331" s="61"/>
      <c r="AG331" s="61"/>
      <c r="AH331" s="61"/>
      <c r="AI331" s="61"/>
      <c r="AJ331" s="9"/>
      <c r="AK331" s="223"/>
      <c r="AL331" s="10"/>
      <c r="AM331" s="136"/>
      <c r="AN331" s="7"/>
      <c r="AO331" s="7"/>
      <c r="AP331" s="7"/>
      <c r="AQ331" s="7"/>
      <c r="AR331" s="7"/>
      <c r="AS331" s="7"/>
    </row>
    <row r="332" spans="1:45" ht="9" customHeight="1" x14ac:dyDescent="0.3">
      <c r="A332" s="1"/>
      <c r="B332" s="2"/>
      <c r="C332" s="2"/>
      <c r="D332" s="60"/>
      <c r="E332" s="60"/>
      <c r="F332" s="2"/>
      <c r="G332" s="60"/>
      <c r="H332" s="60"/>
      <c r="I332" s="61"/>
      <c r="J332" s="61"/>
      <c r="K332" s="61"/>
      <c r="L332" s="61"/>
      <c r="M332" s="61"/>
      <c r="N332" s="61"/>
      <c r="O332" s="61"/>
      <c r="P332" s="61"/>
      <c r="Q332" s="61"/>
      <c r="R332" s="61"/>
      <c r="S332" s="61"/>
      <c r="T332" s="61"/>
      <c r="U332" s="7"/>
      <c r="V332" s="223"/>
      <c r="W332" s="9"/>
      <c r="X332" s="61"/>
      <c r="Y332" s="61"/>
      <c r="Z332" s="61"/>
      <c r="AA332" s="61"/>
      <c r="AB332" s="61"/>
      <c r="AC332" s="61"/>
      <c r="AD332" s="61"/>
      <c r="AE332" s="61"/>
      <c r="AF332" s="61"/>
      <c r="AG332" s="61"/>
      <c r="AH332" s="61"/>
      <c r="AI332" s="61"/>
      <c r="AJ332" s="9"/>
      <c r="AK332" s="223"/>
      <c r="AL332" s="10"/>
      <c r="AM332" s="136"/>
      <c r="AN332" s="7"/>
      <c r="AO332" s="7"/>
      <c r="AP332" s="7"/>
      <c r="AQ332" s="7"/>
      <c r="AR332" s="7"/>
      <c r="AS332" s="7"/>
    </row>
    <row r="333" spans="1:45" ht="9" customHeight="1" x14ac:dyDescent="0.3">
      <c r="A333" s="1"/>
      <c r="B333" s="2"/>
      <c r="C333" s="2"/>
      <c r="D333" s="60"/>
      <c r="E333" s="60"/>
      <c r="F333" s="2"/>
      <c r="G333" s="60"/>
      <c r="H333" s="60"/>
      <c r="I333" s="61"/>
      <c r="J333" s="61"/>
      <c r="K333" s="61"/>
      <c r="L333" s="61"/>
      <c r="M333" s="61"/>
      <c r="N333" s="61"/>
      <c r="O333" s="61"/>
      <c r="P333" s="61"/>
      <c r="Q333" s="61"/>
      <c r="R333" s="61"/>
      <c r="S333" s="61"/>
      <c r="T333" s="61"/>
      <c r="U333" s="7"/>
      <c r="V333" s="223"/>
      <c r="W333" s="9"/>
      <c r="X333" s="61"/>
      <c r="Y333" s="61"/>
      <c r="Z333" s="61"/>
      <c r="AA333" s="61"/>
      <c r="AB333" s="61"/>
      <c r="AC333" s="61"/>
      <c r="AD333" s="61"/>
      <c r="AE333" s="61"/>
      <c r="AF333" s="61"/>
      <c r="AG333" s="61"/>
      <c r="AH333" s="61"/>
      <c r="AI333" s="61"/>
      <c r="AJ333" s="9"/>
      <c r="AK333" s="223"/>
      <c r="AL333" s="10"/>
      <c r="AM333" s="136"/>
      <c r="AN333" s="7"/>
      <c r="AO333" s="7"/>
      <c r="AP333" s="7"/>
      <c r="AQ333" s="7"/>
      <c r="AR333" s="7"/>
      <c r="AS333" s="7"/>
    </row>
    <row r="334" spans="1:45" ht="9" customHeight="1" x14ac:dyDescent="0.3">
      <c r="A334" s="1"/>
      <c r="B334" s="2"/>
      <c r="C334" s="2"/>
      <c r="D334" s="60"/>
      <c r="E334" s="60"/>
      <c r="F334" s="2"/>
      <c r="G334" s="60"/>
      <c r="H334" s="60"/>
      <c r="I334" s="61"/>
      <c r="J334" s="61"/>
      <c r="K334" s="61"/>
      <c r="L334" s="61"/>
      <c r="M334" s="61"/>
      <c r="N334" s="61"/>
      <c r="O334" s="61"/>
      <c r="P334" s="61"/>
      <c r="Q334" s="61"/>
      <c r="R334" s="61"/>
      <c r="S334" s="61"/>
      <c r="T334" s="61"/>
      <c r="U334" s="7"/>
      <c r="V334" s="223"/>
      <c r="W334" s="9"/>
      <c r="X334" s="61"/>
      <c r="Y334" s="61"/>
      <c r="Z334" s="61"/>
      <c r="AA334" s="61"/>
      <c r="AB334" s="61"/>
      <c r="AC334" s="61"/>
      <c r="AD334" s="61"/>
      <c r="AE334" s="61"/>
      <c r="AF334" s="61"/>
      <c r="AG334" s="61"/>
      <c r="AH334" s="61"/>
      <c r="AI334" s="61"/>
      <c r="AJ334" s="9"/>
      <c r="AK334" s="223"/>
      <c r="AL334" s="10"/>
      <c r="AM334" s="136"/>
      <c r="AN334" s="7"/>
      <c r="AO334" s="7"/>
      <c r="AP334" s="7"/>
      <c r="AQ334" s="7"/>
      <c r="AR334" s="7"/>
      <c r="AS334" s="7"/>
    </row>
    <row r="335" spans="1:45" ht="9" customHeight="1" x14ac:dyDescent="0.3">
      <c r="A335" s="1"/>
      <c r="B335" s="2"/>
      <c r="C335" s="2"/>
      <c r="D335" s="60"/>
      <c r="E335" s="60"/>
      <c r="F335" s="2"/>
      <c r="G335" s="60"/>
      <c r="H335" s="60"/>
      <c r="I335" s="61"/>
      <c r="J335" s="61"/>
      <c r="K335" s="61"/>
      <c r="L335" s="61"/>
      <c r="M335" s="61"/>
      <c r="N335" s="61"/>
      <c r="O335" s="61"/>
      <c r="P335" s="61"/>
      <c r="Q335" s="61"/>
      <c r="R335" s="61"/>
      <c r="S335" s="61"/>
      <c r="T335" s="61"/>
      <c r="U335" s="7"/>
      <c r="V335" s="223"/>
      <c r="W335" s="9"/>
      <c r="X335" s="61"/>
      <c r="Y335" s="61"/>
      <c r="Z335" s="61"/>
      <c r="AA335" s="61"/>
      <c r="AB335" s="61"/>
      <c r="AC335" s="61"/>
      <c r="AD335" s="61"/>
      <c r="AE335" s="61"/>
      <c r="AF335" s="61"/>
      <c r="AG335" s="61"/>
      <c r="AH335" s="61"/>
      <c r="AI335" s="61"/>
      <c r="AJ335" s="9"/>
      <c r="AK335" s="223"/>
      <c r="AL335" s="10"/>
      <c r="AM335" s="136"/>
      <c r="AN335" s="7"/>
      <c r="AO335" s="7"/>
      <c r="AP335" s="7"/>
      <c r="AQ335" s="7"/>
      <c r="AR335" s="7"/>
      <c r="AS335" s="7"/>
    </row>
    <row r="336" spans="1:45" ht="9" customHeight="1" x14ac:dyDescent="0.3">
      <c r="A336" s="1"/>
      <c r="B336" s="2"/>
      <c r="C336" s="2"/>
      <c r="D336" s="60"/>
      <c r="E336" s="60"/>
      <c r="F336" s="2"/>
      <c r="G336" s="60"/>
      <c r="H336" s="60"/>
      <c r="I336" s="61"/>
      <c r="J336" s="61"/>
      <c r="K336" s="61"/>
      <c r="L336" s="61"/>
      <c r="M336" s="61"/>
      <c r="N336" s="61"/>
      <c r="O336" s="61"/>
      <c r="P336" s="61"/>
      <c r="Q336" s="61"/>
      <c r="R336" s="61"/>
      <c r="S336" s="61"/>
      <c r="T336" s="61"/>
      <c r="U336" s="7"/>
      <c r="V336" s="223"/>
      <c r="W336" s="9"/>
      <c r="X336" s="61"/>
      <c r="Y336" s="61"/>
      <c r="Z336" s="61"/>
      <c r="AA336" s="61"/>
      <c r="AB336" s="61"/>
      <c r="AC336" s="61"/>
      <c r="AD336" s="61"/>
      <c r="AE336" s="61"/>
      <c r="AF336" s="61"/>
      <c r="AG336" s="61"/>
      <c r="AH336" s="61"/>
      <c r="AI336" s="61"/>
      <c r="AJ336" s="9"/>
      <c r="AK336" s="223"/>
      <c r="AL336" s="10"/>
      <c r="AM336" s="136"/>
      <c r="AN336" s="7"/>
      <c r="AO336" s="7"/>
      <c r="AP336" s="7"/>
      <c r="AQ336" s="7"/>
      <c r="AR336" s="7"/>
      <c r="AS336" s="7"/>
    </row>
    <row r="337" spans="1:45" ht="9" customHeight="1" x14ac:dyDescent="0.3">
      <c r="A337" s="1"/>
      <c r="B337" s="2"/>
      <c r="C337" s="2"/>
      <c r="D337" s="60"/>
      <c r="E337" s="60"/>
      <c r="F337" s="2"/>
      <c r="G337" s="60"/>
      <c r="H337" s="60"/>
      <c r="I337" s="61"/>
      <c r="J337" s="61"/>
      <c r="K337" s="61"/>
      <c r="L337" s="61"/>
      <c r="M337" s="61"/>
      <c r="N337" s="61"/>
      <c r="O337" s="61"/>
      <c r="P337" s="61"/>
      <c r="Q337" s="61"/>
      <c r="R337" s="61"/>
      <c r="S337" s="61"/>
      <c r="T337" s="61"/>
      <c r="U337" s="7"/>
      <c r="V337" s="223"/>
      <c r="W337" s="9"/>
      <c r="X337" s="61"/>
      <c r="Y337" s="61"/>
      <c r="Z337" s="61"/>
      <c r="AA337" s="61"/>
      <c r="AB337" s="61"/>
      <c r="AC337" s="61"/>
      <c r="AD337" s="61"/>
      <c r="AE337" s="61"/>
      <c r="AF337" s="61"/>
      <c r="AG337" s="61"/>
      <c r="AH337" s="61"/>
      <c r="AI337" s="61"/>
      <c r="AJ337" s="9"/>
      <c r="AK337" s="223"/>
      <c r="AL337" s="10"/>
      <c r="AM337" s="136"/>
      <c r="AN337" s="7"/>
      <c r="AO337" s="7"/>
      <c r="AP337" s="7"/>
      <c r="AQ337" s="7"/>
      <c r="AR337" s="7"/>
      <c r="AS337" s="7"/>
    </row>
    <row r="338" spans="1:45" ht="9" customHeight="1" x14ac:dyDescent="0.3">
      <c r="A338" s="1"/>
      <c r="B338" s="2"/>
      <c r="C338" s="2"/>
      <c r="D338" s="60"/>
      <c r="E338" s="60"/>
      <c r="F338" s="2"/>
      <c r="G338" s="60"/>
      <c r="H338" s="60"/>
      <c r="I338" s="61"/>
      <c r="J338" s="61"/>
      <c r="K338" s="61"/>
      <c r="L338" s="61"/>
      <c r="M338" s="61"/>
      <c r="N338" s="61"/>
      <c r="O338" s="61"/>
      <c r="P338" s="61"/>
      <c r="Q338" s="61"/>
      <c r="R338" s="61"/>
      <c r="S338" s="61"/>
      <c r="T338" s="61"/>
      <c r="U338" s="7"/>
      <c r="V338" s="223"/>
      <c r="W338" s="9"/>
      <c r="X338" s="61"/>
      <c r="Y338" s="61"/>
      <c r="Z338" s="61"/>
      <c r="AA338" s="61"/>
      <c r="AB338" s="61"/>
      <c r="AC338" s="61"/>
      <c r="AD338" s="61"/>
      <c r="AE338" s="61"/>
      <c r="AF338" s="61"/>
      <c r="AG338" s="61"/>
      <c r="AH338" s="61"/>
      <c r="AI338" s="61"/>
      <c r="AJ338" s="9"/>
      <c r="AK338" s="223"/>
      <c r="AL338" s="10"/>
      <c r="AM338" s="136"/>
      <c r="AN338" s="7"/>
      <c r="AO338" s="7"/>
      <c r="AP338" s="7"/>
      <c r="AQ338" s="7"/>
      <c r="AR338" s="7"/>
      <c r="AS338" s="7"/>
    </row>
    <row r="339" spans="1:45" ht="9" customHeight="1" x14ac:dyDescent="0.3">
      <c r="A339" s="1"/>
      <c r="B339" s="2"/>
      <c r="C339" s="2"/>
      <c r="D339" s="60"/>
      <c r="E339" s="60"/>
      <c r="F339" s="2"/>
      <c r="G339" s="60"/>
      <c r="H339" s="60"/>
      <c r="I339" s="61"/>
      <c r="J339" s="61"/>
      <c r="K339" s="61"/>
      <c r="L339" s="61"/>
      <c r="M339" s="61"/>
      <c r="N339" s="61"/>
      <c r="O339" s="61"/>
      <c r="P339" s="61"/>
      <c r="Q339" s="61"/>
      <c r="R339" s="61"/>
      <c r="S339" s="61"/>
      <c r="T339" s="61"/>
      <c r="U339" s="7"/>
      <c r="V339" s="223"/>
      <c r="W339" s="9"/>
      <c r="X339" s="61"/>
      <c r="Y339" s="61"/>
      <c r="Z339" s="61"/>
      <c r="AA339" s="61"/>
      <c r="AB339" s="61"/>
      <c r="AC339" s="61"/>
      <c r="AD339" s="61"/>
      <c r="AE339" s="61"/>
      <c r="AF339" s="61"/>
      <c r="AG339" s="61"/>
      <c r="AH339" s="61"/>
      <c r="AI339" s="61"/>
      <c r="AJ339" s="9"/>
      <c r="AK339" s="223"/>
      <c r="AL339" s="10"/>
      <c r="AM339" s="136"/>
      <c r="AN339" s="7"/>
      <c r="AO339" s="7"/>
      <c r="AP339" s="7"/>
      <c r="AQ339" s="7"/>
      <c r="AR339" s="7"/>
      <c r="AS339" s="7"/>
    </row>
    <row r="340" spans="1:45" ht="9" customHeight="1" x14ac:dyDescent="0.3">
      <c r="A340" s="1"/>
      <c r="B340" s="2"/>
      <c r="C340" s="2"/>
      <c r="D340" s="60"/>
      <c r="E340" s="60"/>
      <c r="F340" s="2"/>
      <c r="G340" s="60"/>
      <c r="H340" s="60"/>
      <c r="I340" s="61"/>
      <c r="J340" s="61"/>
      <c r="K340" s="61"/>
      <c r="L340" s="61"/>
      <c r="M340" s="61"/>
      <c r="N340" s="61"/>
      <c r="O340" s="61"/>
      <c r="P340" s="61"/>
      <c r="Q340" s="61"/>
      <c r="R340" s="61"/>
      <c r="S340" s="61"/>
      <c r="T340" s="61"/>
      <c r="U340" s="7"/>
      <c r="V340" s="223"/>
      <c r="W340" s="9"/>
      <c r="X340" s="61"/>
      <c r="Y340" s="61"/>
      <c r="Z340" s="61"/>
      <c r="AA340" s="61"/>
      <c r="AB340" s="61"/>
      <c r="AC340" s="61"/>
      <c r="AD340" s="61"/>
      <c r="AE340" s="61"/>
      <c r="AF340" s="61"/>
      <c r="AG340" s="61"/>
      <c r="AH340" s="61"/>
      <c r="AI340" s="61"/>
      <c r="AJ340" s="9"/>
      <c r="AK340" s="223"/>
      <c r="AL340" s="10"/>
      <c r="AM340" s="136"/>
      <c r="AN340" s="7"/>
      <c r="AO340" s="7"/>
      <c r="AP340" s="7"/>
      <c r="AQ340" s="7"/>
      <c r="AR340" s="7"/>
      <c r="AS340" s="7"/>
    </row>
    <row r="341" spans="1:45" ht="9" customHeight="1" x14ac:dyDescent="0.3">
      <c r="A341" s="1"/>
      <c r="B341" s="2"/>
      <c r="C341" s="2"/>
      <c r="D341" s="60"/>
      <c r="E341" s="60"/>
      <c r="F341" s="2"/>
      <c r="G341" s="60"/>
      <c r="H341" s="60"/>
      <c r="I341" s="61"/>
      <c r="J341" s="61"/>
      <c r="K341" s="61"/>
      <c r="L341" s="61"/>
      <c r="M341" s="61"/>
      <c r="N341" s="61"/>
      <c r="O341" s="61"/>
      <c r="P341" s="61"/>
      <c r="Q341" s="61"/>
      <c r="R341" s="61"/>
      <c r="S341" s="61"/>
      <c r="T341" s="61"/>
      <c r="U341" s="7"/>
      <c r="V341" s="223"/>
      <c r="W341" s="9"/>
      <c r="X341" s="61"/>
      <c r="Y341" s="61"/>
      <c r="Z341" s="61"/>
      <c r="AA341" s="61"/>
      <c r="AB341" s="61"/>
      <c r="AC341" s="61"/>
      <c r="AD341" s="61"/>
      <c r="AE341" s="61"/>
      <c r="AF341" s="61"/>
      <c r="AG341" s="61"/>
      <c r="AH341" s="61"/>
      <c r="AI341" s="61"/>
      <c r="AJ341" s="9"/>
      <c r="AK341" s="223"/>
      <c r="AL341" s="10"/>
      <c r="AM341" s="136"/>
      <c r="AN341" s="7"/>
      <c r="AO341" s="7"/>
      <c r="AP341" s="7"/>
      <c r="AQ341" s="7"/>
      <c r="AR341" s="7"/>
      <c r="AS341" s="7"/>
    </row>
    <row r="342" spans="1:45" ht="9" customHeight="1" x14ac:dyDescent="0.3">
      <c r="A342" s="1"/>
      <c r="B342" s="2"/>
      <c r="C342" s="2"/>
      <c r="D342" s="60"/>
      <c r="E342" s="60"/>
      <c r="F342" s="2"/>
      <c r="G342" s="60"/>
      <c r="H342" s="60"/>
      <c r="I342" s="61"/>
      <c r="J342" s="61"/>
      <c r="K342" s="61"/>
      <c r="L342" s="61"/>
      <c r="M342" s="61"/>
      <c r="N342" s="61"/>
      <c r="O342" s="61"/>
      <c r="P342" s="61"/>
      <c r="Q342" s="61"/>
      <c r="R342" s="61"/>
      <c r="S342" s="61"/>
      <c r="T342" s="61"/>
      <c r="U342" s="7"/>
      <c r="V342" s="223"/>
      <c r="W342" s="9"/>
      <c r="X342" s="61"/>
      <c r="Y342" s="61"/>
      <c r="Z342" s="61"/>
      <c r="AA342" s="61"/>
      <c r="AB342" s="61"/>
      <c r="AC342" s="61"/>
      <c r="AD342" s="61"/>
      <c r="AE342" s="61"/>
      <c r="AF342" s="61"/>
      <c r="AG342" s="61"/>
      <c r="AH342" s="61"/>
      <c r="AI342" s="61"/>
      <c r="AJ342" s="9"/>
      <c r="AK342" s="223"/>
      <c r="AL342" s="10"/>
      <c r="AM342" s="136"/>
      <c r="AN342" s="7"/>
      <c r="AO342" s="7"/>
      <c r="AP342" s="7"/>
      <c r="AQ342" s="7"/>
      <c r="AR342" s="7"/>
      <c r="AS342" s="7"/>
    </row>
    <row r="343" spans="1:45" ht="9" customHeight="1" x14ac:dyDescent="0.3">
      <c r="A343" s="1"/>
      <c r="B343" s="2"/>
      <c r="C343" s="2"/>
      <c r="D343" s="60"/>
      <c r="E343" s="60"/>
      <c r="F343" s="2"/>
      <c r="G343" s="60"/>
      <c r="H343" s="60"/>
      <c r="I343" s="61"/>
      <c r="J343" s="61"/>
      <c r="K343" s="61"/>
      <c r="L343" s="61"/>
      <c r="M343" s="61"/>
      <c r="N343" s="61"/>
      <c r="O343" s="61"/>
      <c r="P343" s="61"/>
      <c r="Q343" s="61"/>
      <c r="R343" s="61"/>
      <c r="S343" s="61"/>
      <c r="T343" s="61"/>
      <c r="U343" s="7"/>
      <c r="V343" s="223"/>
      <c r="W343" s="9"/>
      <c r="X343" s="61"/>
      <c r="Y343" s="61"/>
      <c r="Z343" s="61"/>
      <c r="AA343" s="61"/>
      <c r="AB343" s="61"/>
      <c r="AC343" s="61"/>
      <c r="AD343" s="61"/>
      <c r="AE343" s="61"/>
      <c r="AF343" s="61"/>
      <c r="AG343" s="61"/>
      <c r="AH343" s="61"/>
      <c r="AI343" s="61"/>
      <c r="AJ343" s="9"/>
      <c r="AK343" s="223"/>
      <c r="AL343" s="10"/>
      <c r="AM343" s="136"/>
      <c r="AN343" s="7"/>
      <c r="AO343" s="7"/>
      <c r="AP343" s="7"/>
      <c r="AQ343" s="7"/>
      <c r="AR343" s="7"/>
      <c r="AS343" s="7"/>
    </row>
    <row r="344" spans="1:45" ht="9" customHeight="1" x14ac:dyDescent="0.3">
      <c r="A344" s="1"/>
      <c r="B344" s="2"/>
      <c r="C344" s="2"/>
      <c r="D344" s="60"/>
      <c r="E344" s="60"/>
      <c r="F344" s="2"/>
      <c r="G344" s="60"/>
      <c r="H344" s="60"/>
      <c r="I344" s="61"/>
      <c r="J344" s="61"/>
      <c r="K344" s="61"/>
      <c r="L344" s="61"/>
      <c r="M344" s="61"/>
      <c r="N344" s="61"/>
      <c r="O344" s="61"/>
      <c r="P344" s="61"/>
      <c r="Q344" s="61"/>
      <c r="R344" s="61"/>
      <c r="S344" s="61"/>
      <c r="T344" s="61"/>
      <c r="U344" s="7"/>
      <c r="V344" s="223"/>
      <c r="W344" s="9"/>
      <c r="X344" s="61"/>
      <c r="Y344" s="61"/>
      <c r="Z344" s="61"/>
      <c r="AA344" s="61"/>
      <c r="AB344" s="61"/>
      <c r="AC344" s="61"/>
      <c r="AD344" s="61"/>
      <c r="AE344" s="61"/>
      <c r="AF344" s="61"/>
      <c r="AG344" s="61"/>
      <c r="AH344" s="61"/>
      <c r="AI344" s="61"/>
      <c r="AJ344" s="9"/>
      <c r="AK344" s="223"/>
      <c r="AL344" s="10"/>
      <c r="AM344" s="136"/>
      <c r="AN344" s="7"/>
      <c r="AO344" s="7"/>
      <c r="AP344" s="7"/>
      <c r="AQ344" s="7"/>
      <c r="AR344" s="7"/>
      <c r="AS344" s="7"/>
    </row>
    <row r="345" spans="1:45" ht="9" customHeight="1" x14ac:dyDescent="0.3">
      <c r="A345" s="1"/>
      <c r="B345" s="2"/>
      <c r="C345" s="2"/>
      <c r="D345" s="60"/>
      <c r="E345" s="60"/>
      <c r="F345" s="2"/>
      <c r="G345" s="60"/>
      <c r="H345" s="60"/>
      <c r="I345" s="61"/>
      <c r="J345" s="61"/>
      <c r="K345" s="61"/>
      <c r="L345" s="61"/>
      <c r="M345" s="61"/>
      <c r="N345" s="61"/>
      <c r="O345" s="61"/>
      <c r="P345" s="61"/>
      <c r="Q345" s="61"/>
      <c r="R345" s="61"/>
      <c r="S345" s="61"/>
      <c r="T345" s="61"/>
      <c r="U345" s="7"/>
      <c r="V345" s="223"/>
      <c r="W345" s="9"/>
      <c r="X345" s="61"/>
      <c r="Y345" s="61"/>
      <c r="Z345" s="61"/>
      <c r="AA345" s="61"/>
      <c r="AB345" s="61"/>
      <c r="AC345" s="61"/>
      <c r="AD345" s="61"/>
      <c r="AE345" s="61"/>
      <c r="AF345" s="61"/>
      <c r="AG345" s="61"/>
      <c r="AH345" s="61"/>
      <c r="AI345" s="61"/>
      <c r="AJ345" s="9"/>
      <c r="AK345" s="223"/>
      <c r="AL345" s="10"/>
      <c r="AM345" s="136"/>
      <c r="AN345" s="7"/>
      <c r="AO345" s="7"/>
      <c r="AP345" s="7"/>
      <c r="AQ345" s="7"/>
      <c r="AR345" s="7"/>
      <c r="AS345" s="7"/>
    </row>
    <row r="346" spans="1:45" ht="9" customHeight="1" x14ac:dyDescent="0.3">
      <c r="A346" s="1"/>
      <c r="B346" s="2"/>
      <c r="C346" s="2"/>
      <c r="D346" s="60"/>
      <c r="E346" s="60"/>
      <c r="F346" s="2"/>
      <c r="G346" s="60"/>
      <c r="H346" s="60"/>
      <c r="I346" s="61"/>
      <c r="J346" s="61"/>
      <c r="K346" s="61"/>
      <c r="L346" s="61"/>
      <c r="M346" s="61"/>
      <c r="N346" s="61"/>
      <c r="O346" s="61"/>
      <c r="P346" s="61"/>
      <c r="Q346" s="61"/>
      <c r="R346" s="61"/>
      <c r="S346" s="61"/>
      <c r="T346" s="61"/>
      <c r="U346" s="7"/>
      <c r="V346" s="223"/>
      <c r="W346" s="9"/>
      <c r="X346" s="61"/>
      <c r="Y346" s="61"/>
      <c r="Z346" s="61"/>
      <c r="AA346" s="61"/>
      <c r="AB346" s="61"/>
      <c r="AC346" s="61"/>
      <c r="AD346" s="61"/>
      <c r="AE346" s="61"/>
      <c r="AF346" s="61"/>
      <c r="AG346" s="61"/>
      <c r="AH346" s="61"/>
      <c r="AI346" s="61"/>
      <c r="AJ346" s="9"/>
      <c r="AK346" s="223"/>
      <c r="AL346" s="10"/>
      <c r="AM346" s="136"/>
      <c r="AN346" s="7"/>
      <c r="AO346" s="7"/>
      <c r="AP346" s="7"/>
      <c r="AQ346" s="7"/>
      <c r="AR346" s="7"/>
      <c r="AS346" s="7"/>
    </row>
    <row r="347" spans="1:45" ht="9" customHeight="1" x14ac:dyDescent="0.3">
      <c r="A347" s="1"/>
      <c r="B347" s="2"/>
      <c r="C347" s="2"/>
      <c r="D347" s="60"/>
      <c r="E347" s="60"/>
      <c r="F347" s="2"/>
      <c r="G347" s="60"/>
      <c r="H347" s="60"/>
      <c r="I347" s="61"/>
      <c r="J347" s="61"/>
      <c r="K347" s="61"/>
      <c r="L347" s="61"/>
      <c r="M347" s="61"/>
      <c r="N347" s="61"/>
      <c r="O347" s="61"/>
      <c r="P347" s="61"/>
      <c r="Q347" s="61"/>
      <c r="R347" s="61"/>
      <c r="S347" s="61"/>
      <c r="T347" s="61"/>
      <c r="U347" s="7"/>
      <c r="V347" s="223"/>
      <c r="W347" s="9"/>
      <c r="X347" s="61"/>
      <c r="Y347" s="61"/>
      <c r="Z347" s="61"/>
      <c r="AA347" s="61"/>
      <c r="AB347" s="61"/>
      <c r="AC347" s="61"/>
      <c r="AD347" s="61"/>
      <c r="AE347" s="61"/>
      <c r="AF347" s="61"/>
      <c r="AG347" s="61"/>
      <c r="AH347" s="61"/>
      <c r="AI347" s="61"/>
      <c r="AJ347" s="9"/>
      <c r="AK347" s="223"/>
      <c r="AL347" s="10"/>
      <c r="AM347" s="136"/>
      <c r="AN347" s="7"/>
      <c r="AO347" s="7"/>
      <c r="AP347" s="7"/>
      <c r="AQ347" s="7"/>
      <c r="AR347" s="7"/>
      <c r="AS347" s="7"/>
    </row>
    <row r="348" spans="1:45" ht="9" customHeight="1" x14ac:dyDescent="0.3">
      <c r="A348" s="1"/>
      <c r="B348" s="2"/>
      <c r="C348" s="2"/>
      <c r="D348" s="60"/>
      <c r="E348" s="60"/>
      <c r="F348" s="2"/>
      <c r="G348" s="60"/>
      <c r="H348" s="60"/>
      <c r="I348" s="61"/>
      <c r="J348" s="61"/>
      <c r="K348" s="61"/>
      <c r="L348" s="61"/>
      <c r="M348" s="61"/>
      <c r="N348" s="61"/>
      <c r="O348" s="61"/>
      <c r="P348" s="61"/>
      <c r="Q348" s="61"/>
      <c r="R348" s="61"/>
      <c r="S348" s="61"/>
      <c r="T348" s="61"/>
      <c r="U348" s="7"/>
      <c r="V348" s="223"/>
      <c r="W348" s="9"/>
      <c r="X348" s="61"/>
      <c r="Y348" s="61"/>
      <c r="Z348" s="61"/>
      <c r="AA348" s="61"/>
      <c r="AB348" s="61"/>
      <c r="AC348" s="61"/>
      <c r="AD348" s="61"/>
      <c r="AE348" s="61"/>
      <c r="AF348" s="61"/>
      <c r="AG348" s="61"/>
      <c r="AH348" s="61"/>
      <c r="AI348" s="61"/>
      <c r="AJ348" s="9"/>
      <c r="AK348" s="223"/>
      <c r="AL348" s="10"/>
      <c r="AM348" s="136"/>
      <c r="AN348" s="7"/>
      <c r="AO348" s="7"/>
      <c r="AP348" s="7"/>
      <c r="AQ348" s="7"/>
      <c r="AR348" s="7"/>
      <c r="AS348" s="7"/>
    </row>
    <row r="349" spans="1:45" ht="9" customHeight="1" x14ac:dyDescent="0.3">
      <c r="A349" s="1"/>
      <c r="B349" s="2"/>
      <c r="C349" s="2"/>
      <c r="D349" s="60"/>
      <c r="E349" s="60"/>
      <c r="F349" s="2"/>
      <c r="G349" s="60"/>
      <c r="H349" s="60"/>
      <c r="I349" s="61"/>
      <c r="J349" s="61"/>
      <c r="K349" s="61"/>
      <c r="L349" s="61"/>
      <c r="M349" s="61"/>
      <c r="N349" s="61"/>
      <c r="O349" s="61"/>
      <c r="P349" s="61"/>
      <c r="Q349" s="61"/>
      <c r="R349" s="61"/>
      <c r="S349" s="61"/>
      <c r="T349" s="61"/>
      <c r="U349" s="7"/>
      <c r="V349" s="223"/>
      <c r="W349" s="9"/>
      <c r="X349" s="61"/>
      <c r="Y349" s="61"/>
      <c r="Z349" s="61"/>
      <c r="AA349" s="61"/>
      <c r="AB349" s="61"/>
      <c r="AC349" s="61"/>
      <c r="AD349" s="61"/>
      <c r="AE349" s="61"/>
      <c r="AF349" s="61"/>
      <c r="AG349" s="61"/>
      <c r="AH349" s="61"/>
      <c r="AI349" s="61"/>
      <c r="AJ349" s="9"/>
      <c r="AK349" s="223"/>
      <c r="AL349" s="10"/>
      <c r="AM349" s="136"/>
      <c r="AN349" s="7"/>
      <c r="AO349" s="7"/>
      <c r="AP349" s="7"/>
      <c r="AQ349" s="7"/>
      <c r="AR349" s="7"/>
      <c r="AS349" s="7"/>
    </row>
    <row r="350" spans="1:45" ht="9" customHeight="1" x14ac:dyDescent="0.3">
      <c r="A350" s="1"/>
      <c r="B350" s="2"/>
      <c r="C350" s="2"/>
      <c r="D350" s="60"/>
      <c r="E350" s="60"/>
      <c r="F350" s="2"/>
      <c r="G350" s="60"/>
      <c r="H350" s="60"/>
      <c r="I350" s="61"/>
      <c r="J350" s="61"/>
      <c r="K350" s="61"/>
      <c r="L350" s="61"/>
      <c r="M350" s="61"/>
      <c r="N350" s="61"/>
      <c r="O350" s="61"/>
      <c r="P350" s="61"/>
      <c r="Q350" s="61"/>
      <c r="R350" s="61"/>
      <c r="S350" s="61"/>
      <c r="T350" s="61"/>
      <c r="U350" s="7"/>
      <c r="V350" s="223"/>
      <c r="W350" s="9"/>
      <c r="X350" s="61"/>
      <c r="Y350" s="61"/>
      <c r="Z350" s="61"/>
      <c r="AA350" s="61"/>
      <c r="AB350" s="61"/>
      <c r="AC350" s="61"/>
      <c r="AD350" s="61"/>
      <c r="AE350" s="61"/>
      <c r="AF350" s="61"/>
      <c r="AG350" s="61"/>
      <c r="AH350" s="61"/>
      <c r="AI350" s="61"/>
      <c r="AJ350" s="9"/>
      <c r="AK350" s="223"/>
      <c r="AL350" s="10"/>
      <c r="AM350" s="136"/>
      <c r="AN350" s="7"/>
      <c r="AO350" s="7"/>
      <c r="AP350" s="7"/>
      <c r="AQ350" s="7"/>
      <c r="AR350" s="7"/>
      <c r="AS350" s="7"/>
    </row>
    <row r="351" spans="1:45" ht="9" customHeight="1" x14ac:dyDescent="0.3">
      <c r="A351" s="1"/>
      <c r="B351" s="2"/>
      <c r="C351" s="2"/>
      <c r="D351" s="60"/>
      <c r="E351" s="60"/>
      <c r="F351" s="2"/>
      <c r="G351" s="60"/>
      <c r="H351" s="60"/>
      <c r="I351" s="61"/>
      <c r="J351" s="61"/>
      <c r="K351" s="61"/>
      <c r="L351" s="61"/>
      <c r="M351" s="61"/>
      <c r="N351" s="61"/>
      <c r="O351" s="61"/>
      <c r="P351" s="61"/>
      <c r="Q351" s="61"/>
      <c r="R351" s="61"/>
      <c r="S351" s="61"/>
      <c r="T351" s="61"/>
      <c r="U351" s="7"/>
      <c r="V351" s="223"/>
      <c r="W351" s="9"/>
      <c r="X351" s="61"/>
      <c r="Y351" s="61"/>
      <c r="Z351" s="61"/>
      <c r="AA351" s="61"/>
      <c r="AB351" s="61"/>
      <c r="AC351" s="61"/>
      <c r="AD351" s="61"/>
      <c r="AE351" s="61"/>
      <c r="AF351" s="61"/>
      <c r="AG351" s="61"/>
      <c r="AH351" s="61"/>
      <c r="AI351" s="61"/>
      <c r="AJ351" s="9"/>
      <c r="AK351" s="223"/>
      <c r="AL351" s="10"/>
      <c r="AM351" s="136"/>
      <c r="AN351" s="7"/>
      <c r="AO351" s="7"/>
      <c r="AP351" s="7"/>
      <c r="AQ351" s="7"/>
      <c r="AR351" s="7"/>
      <c r="AS351" s="7"/>
    </row>
    <row r="352" spans="1:45" ht="9" customHeight="1" x14ac:dyDescent="0.3">
      <c r="A352" s="1"/>
      <c r="B352" s="2"/>
      <c r="C352" s="2"/>
      <c r="D352" s="60"/>
      <c r="E352" s="60"/>
      <c r="F352" s="2"/>
      <c r="G352" s="60"/>
      <c r="H352" s="60"/>
      <c r="I352" s="61"/>
      <c r="J352" s="61"/>
      <c r="K352" s="61"/>
      <c r="L352" s="61"/>
      <c r="M352" s="61"/>
      <c r="N352" s="61"/>
      <c r="O352" s="61"/>
      <c r="P352" s="61"/>
      <c r="Q352" s="61"/>
      <c r="R352" s="61"/>
      <c r="S352" s="61"/>
      <c r="T352" s="61"/>
      <c r="U352" s="7"/>
      <c r="V352" s="223"/>
      <c r="W352" s="9"/>
      <c r="X352" s="61"/>
      <c r="Y352" s="61"/>
      <c r="Z352" s="61"/>
      <c r="AA352" s="61"/>
      <c r="AB352" s="61"/>
      <c r="AC352" s="61"/>
      <c r="AD352" s="61"/>
      <c r="AE352" s="61"/>
      <c r="AF352" s="61"/>
      <c r="AG352" s="61"/>
      <c r="AH352" s="61"/>
      <c r="AI352" s="61"/>
      <c r="AJ352" s="9"/>
      <c r="AK352" s="223"/>
      <c r="AL352" s="10"/>
      <c r="AM352" s="136"/>
      <c r="AN352" s="7"/>
      <c r="AO352" s="7"/>
      <c r="AP352" s="7"/>
      <c r="AQ352" s="7"/>
      <c r="AR352" s="7"/>
      <c r="AS352" s="7"/>
    </row>
    <row r="353" spans="1:45" ht="9" customHeight="1" x14ac:dyDescent="0.3">
      <c r="A353" s="1"/>
      <c r="B353" s="2"/>
      <c r="C353" s="2"/>
      <c r="D353" s="60"/>
      <c r="E353" s="60"/>
      <c r="F353" s="2"/>
      <c r="G353" s="60"/>
      <c r="H353" s="60"/>
      <c r="I353" s="61"/>
      <c r="J353" s="61"/>
      <c r="K353" s="61"/>
      <c r="L353" s="61"/>
      <c r="M353" s="61"/>
      <c r="N353" s="61"/>
      <c r="O353" s="61"/>
      <c r="P353" s="61"/>
      <c r="Q353" s="61"/>
      <c r="R353" s="61"/>
      <c r="S353" s="61"/>
      <c r="T353" s="61"/>
      <c r="U353" s="7"/>
      <c r="V353" s="223"/>
      <c r="W353" s="9"/>
      <c r="X353" s="61"/>
      <c r="Y353" s="61"/>
      <c r="Z353" s="61"/>
      <c r="AA353" s="61"/>
      <c r="AB353" s="61"/>
      <c r="AC353" s="61"/>
      <c r="AD353" s="61"/>
      <c r="AE353" s="61"/>
      <c r="AF353" s="61"/>
      <c r="AG353" s="61"/>
      <c r="AH353" s="61"/>
      <c r="AI353" s="61"/>
      <c r="AJ353" s="9"/>
      <c r="AK353" s="223"/>
      <c r="AL353" s="10"/>
      <c r="AM353" s="136"/>
      <c r="AN353" s="7"/>
      <c r="AO353" s="7"/>
      <c r="AP353" s="7"/>
      <c r="AQ353" s="7"/>
      <c r="AR353" s="7"/>
      <c r="AS353" s="7"/>
    </row>
    <row r="354" spans="1:45" ht="9" customHeight="1" x14ac:dyDescent="0.3">
      <c r="A354" s="1"/>
      <c r="B354" s="2"/>
      <c r="C354" s="2"/>
      <c r="D354" s="60"/>
      <c r="E354" s="60"/>
      <c r="F354" s="2"/>
      <c r="G354" s="60"/>
      <c r="H354" s="60"/>
      <c r="I354" s="61"/>
      <c r="J354" s="61"/>
      <c r="K354" s="61"/>
      <c r="L354" s="61"/>
      <c r="M354" s="61"/>
      <c r="N354" s="61"/>
      <c r="O354" s="61"/>
      <c r="P354" s="61"/>
      <c r="Q354" s="61"/>
      <c r="R354" s="61"/>
      <c r="S354" s="61"/>
      <c r="T354" s="61"/>
      <c r="U354" s="7"/>
      <c r="V354" s="223"/>
      <c r="W354" s="9"/>
      <c r="X354" s="61"/>
      <c r="Y354" s="61"/>
      <c r="Z354" s="61"/>
      <c r="AA354" s="61"/>
      <c r="AB354" s="61"/>
      <c r="AC354" s="61"/>
      <c r="AD354" s="61"/>
      <c r="AE354" s="61"/>
      <c r="AF354" s="61"/>
      <c r="AG354" s="61"/>
      <c r="AH354" s="61"/>
      <c r="AI354" s="61"/>
      <c r="AJ354" s="9"/>
      <c r="AK354" s="223"/>
      <c r="AL354" s="10"/>
      <c r="AM354" s="136"/>
      <c r="AN354" s="7"/>
      <c r="AO354" s="7"/>
      <c r="AP354" s="7"/>
      <c r="AQ354" s="7"/>
      <c r="AR354" s="7"/>
      <c r="AS354" s="7"/>
    </row>
    <row r="355" spans="1:45" ht="9" customHeight="1" x14ac:dyDescent="0.3">
      <c r="A355" s="1"/>
      <c r="B355" s="2"/>
      <c r="C355" s="2"/>
      <c r="D355" s="60"/>
      <c r="E355" s="60"/>
      <c r="F355" s="2"/>
      <c r="G355" s="60"/>
      <c r="H355" s="60"/>
      <c r="I355" s="61"/>
      <c r="J355" s="61"/>
      <c r="K355" s="61"/>
      <c r="L355" s="61"/>
      <c r="M355" s="61"/>
      <c r="N355" s="61"/>
      <c r="O355" s="61"/>
      <c r="P355" s="61"/>
      <c r="Q355" s="61"/>
      <c r="R355" s="61"/>
      <c r="S355" s="61"/>
      <c r="T355" s="61"/>
      <c r="U355" s="7"/>
      <c r="V355" s="223"/>
      <c r="W355" s="9"/>
      <c r="X355" s="61"/>
      <c r="Y355" s="61"/>
      <c r="Z355" s="61"/>
      <c r="AA355" s="61"/>
      <c r="AB355" s="61"/>
      <c r="AC355" s="61"/>
      <c r="AD355" s="61"/>
      <c r="AE355" s="61"/>
      <c r="AF355" s="61"/>
      <c r="AG355" s="61"/>
      <c r="AH355" s="61"/>
      <c r="AI355" s="61"/>
      <c r="AJ355" s="9"/>
      <c r="AK355" s="223"/>
      <c r="AL355" s="10"/>
      <c r="AM355" s="136"/>
      <c r="AN355" s="7"/>
      <c r="AO355" s="7"/>
      <c r="AP355" s="7"/>
      <c r="AQ355" s="7"/>
      <c r="AR355" s="7"/>
      <c r="AS355" s="7"/>
    </row>
    <row r="356" spans="1:45" ht="9" customHeight="1" x14ac:dyDescent="0.3">
      <c r="A356" s="1"/>
      <c r="B356" s="2"/>
      <c r="C356" s="2"/>
      <c r="D356" s="60"/>
      <c r="E356" s="60"/>
      <c r="F356" s="2"/>
      <c r="G356" s="60"/>
      <c r="H356" s="60"/>
      <c r="I356" s="61"/>
      <c r="J356" s="61"/>
      <c r="K356" s="61"/>
      <c r="L356" s="61"/>
      <c r="M356" s="61"/>
      <c r="N356" s="61"/>
      <c r="O356" s="61"/>
      <c r="P356" s="61"/>
      <c r="Q356" s="61"/>
      <c r="R356" s="61"/>
      <c r="S356" s="61"/>
      <c r="T356" s="61"/>
      <c r="U356" s="7"/>
      <c r="V356" s="223"/>
      <c r="W356" s="9"/>
      <c r="X356" s="61"/>
      <c r="Y356" s="61"/>
      <c r="Z356" s="61"/>
      <c r="AA356" s="61"/>
      <c r="AB356" s="61"/>
      <c r="AC356" s="61"/>
      <c r="AD356" s="61"/>
      <c r="AE356" s="61"/>
      <c r="AF356" s="61"/>
      <c r="AG356" s="61"/>
      <c r="AH356" s="61"/>
      <c r="AI356" s="61"/>
      <c r="AJ356" s="9"/>
      <c r="AK356" s="223"/>
      <c r="AL356" s="10"/>
      <c r="AM356" s="136"/>
      <c r="AN356" s="7"/>
      <c r="AO356" s="7"/>
      <c r="AP356" s="7"/>
      <c r="AQ356" s="7"/>
      <c r="AR356" s="7"/>
      <c r="AS356" s="7"/>
    </row>
    <row r="357" spans="1:45" ht="9" customHeight="1" x14ac:dyDescent="0.3">
      <c r="A357" s="1"/>
      <c r="B357" s="2"/>
      <c r="C357" s="2"/>
      <c r="D357" s="60"/>
      <c r="E357" s="60"/>
      <c r="F357" s="2"/>
      <c r="G357" s="60"/>
      <c r="H357" s="60"/>
      <c r="I357" s="61"/>
      <c r="J357" s="61"/>
      <c r="K357" s="61"/>
      <c r="L357" s="61"/>
      <c r="M357" s="61"/>
      <c r="N357" s="61"/>
      <c r="O357" s="61"/>
      <c r="P357" s="61"/>
      <c r="Q357" s="61"/>
      <c r="R357" s="61"/>
      <c r="S357" s="61"/>
      <c r="T357" s="61"/>
      <c r="U357" s="7"/>
      <c r="V357" s="223"/>
      <c r="W357" s="9"/>
      <c r="X357" s="61"/>
      <c r="Y357" s="61"/>
      <c r="Z357" s="61"/>
      <c r="AA357" s="61"/>
      <c r="AB357" s="61"/>
      <c r="AC357" s="61"/>
      <c r="AD357" s="61"/>
      <c r="AE357" s="61"/>
      <c r="AF357" s="61"/>
      <c r="AG357" s="61"/>
      <c r="AH357" s="61"/>
      <c r="AI357" s="61"/>
      <c r="AJ357" s="9"/>
      <c r="AK357" s="223"/>
      <c r="AL357" s="10"/>
      <c r="AM357" s="136"/>
      <c r="AN357" s="7"/>
      <c r="AO357" s="7"/>
      <c r="AP357" s="7"/>
      <c r="AQ357" s="7"/>
      <c r="AR357" s="7"/>
      <c r="AS357" s="7"/>
    </row>
    <row r="358" spans="1:45" ht="9" customHeight="1" x14ac:dyDescent="0.3">
      <c r="A358" s="1"/>
      <c r="B358" s="2"/>
      <c r="C358" s="2"/>
      <c r="D358" s="60"/>
      <c r="E358" s="60"/>
      <c r="F358" s="2"/>
      <c r="G358" s="60"/>
      <c r="H358" s="60"/>
      <c r="I358" s="61"/>
      <c r="J358" s="61"/>
      <c r="K358" s="61"/>
      <c r="L358" s="61"/>
      <c r="M358" s="61"/>
      <c r="N358" s="61"/>
      <c r="O358" s="61"/>
      <c r="P358" s="61"/>
      <c r="Q358" s="61"/>
      <c r="R358" s="61"/>
      <c r="S358" s="61"/>
      <c r="T358" s="61"/>
      <c r="U358" s="7"/>
      <c r="V358" s="223"/>
      <c r="W358" s="9"/>
      <c r="X358" s="61"/>
      <c r="Y358" s="61"/>
      <c r="Z358" s="61"/>
      <c r="AA358" s="61"/>
      <c r="AB358" s="61"/>
      <c r="AC358" s="61"/>
      <c r="AD358" s="61"/>
      <c r="AE358" s="61"/>
      <c r="AF358" s="61"/>
      <c r="AG358" s="61"/>
      <c r="AH358" s="61"/>
      <c r="AI358" s="61"/>
      <c r="AJ358" s="9"/>
      <c r="AK358" s="223"/>
      <c r="AL358" s="10"/>
      <c r="AM358" s="136"/>
      <c r="AN358" s="7"/>
      <c r="AO358" s="7"/>
      <c r="AP358" s="7"/>
      <c r="AQ358" s="7"/>
      <c r="AR358" s="7"/>
      <c r="AS358" s="7"/>
    </row>
    <row r="359" spans="1:45" ht="9" customHeight="1" x14ac:dyDescent="0.3">
      <c r="A359" s="1"/>
      <c r="B359" s="2"/>
      <c r="C359" s="2"/>
      <c r="D359" s="60"/>
      <c r="E359" s="60"/>
      <c r="F359" s="2"/>
      <c r="G359" s="60"/>
      <c r="H359" s="60"/>
      <c r="I359" s="61"/>
      <c r="J359" s="61"/>
      <c r="K359" s="61"/>
      <c r="L359" s="61"/>
      <c r="M359" s="61"/>
      <c r="N359" s="61"/>
      <c r="O359" s="61"/>
      <c r="P359" s="61"/>
      <c r="Q359" s="61"/>
      <c r="R359" s="61"/>
      <c r="S359" s="61"/>
      <c r="T359" s="61"/>
      <c r="U359" s="7"/>
      <c r="V359" s="223"/>
      <c r="W359" s="9"/>
      <c r="X359" s="61"/>
      <c r="Y359" s="61"/>
      <c r="Z359" s="61"/>
      <c r="AA359" s="61"/>
      <c r="AB359" s="61"/>
      <c r="AC359" s="61"/>
      <c r="AD359" s="61"/>
      <c r="AE359" s="61"/>
      <c r="AF359" s="61"/>
      <c r="AG359" s="61"/>
      <c r="AH359" s="61"/>
      <c r="AI359" s="61"/>
      <c r="AJ359" s="9"/>
      <c r="AK359" s="223"/>
      <c r="AL359" s="10"/>
      <c r="AM359" s="136"/>
      <c r="AN359" s="7"/>
      <c r="AO359" s="7"/>
      <c r="AP359" s="7"/>
      <c r="AQ359" s="7"/>
      <c r="AR359" s="7"/>
      <c r="AS359" s="7"/>
    </row>
    <row r="360" spans="1:45" ht="9" customHeight="1" x14ac:dyDescent="0.3">
      <c r="A360" s="1"/>
      <c r="B360" s="2"/>
      <c r="C360" s="2"/>
      <c r="D360" s="60"/>
      <c r="E360" s="60"/>
      <c r="F360" s="2"/>
      <c r="G360" s="60"/>
      <c r="H360" s="60"/>
      <c r="I360" s="61"/>
      <c r="J360" s="61"/>
      <c r="K360" s="61"/>
      <c r="L360" s="61"/>
      <c r="M360" s="61"/>
      <c r="N360" s="61"/>
      <c r="O360" s="61"/>
      <c r="P360" s="61"/>
      <c r="Q360" s="61"/>
      <c r="R360" s="61"/>
      <c r="S360" s="61"/>
      <c r="T360" s="61"/>
      <c r="U360" s="7"/>
      <c r="V360" s="223"/>
      <c r="W360" s="9"/>
      <c r="X360" s="61"/>
      <c r="Y360" s="61"/>
      <c r="Z360" s="61"/>
      <c r="AA360" s="61"/>
      <c r="AB360" s="61"/>
      <c r="AC360" s="61"/>
      <c r="AD360" s="61"/>
      <c r="AE360" s="61"/>
      <c r="AF360" s="61"/>
      <c r="AG360" s="61"/>
      <c r="AH360" s="61"/>
      <c r="AI360" s="61"/>
      <c r="AJ360" s="9"/>
      <c r="AK360" s="223"/>
      <c r="AL360" s="10"/>
      <c r="AM360" s="136"/>
      <c r="AN360" s="7"/>
      <c r="AO360" s="7"/>
      <c r="AP360" s="7"/>
      <c r="AQ360" s="7"/>
      <c r="AR360" s="7"/>
      <c r="AS360" s="7"/>
    </row>
    <row r="361" spans="1:45" ht="9" customHeight="1" x14ac:dyDescent="0.3">
      <c r="A361" s="1"/>
      <c r="B361" s="2"/>
      <c r="C361" s="2"/>
      <c r="D361" s="60"/>
      <c r="E361" s="60"/>
      <c r="F361" s="2"/>
      <c r="G361" s="60"/>
      <c r="H361" s="60"/>
      <c r="I361" s="61"/>
      <c r="J361" s="61"/>
      <c r="K361" s="61"/>
      <c r="L361" s="61"/>
      <c r="M361" s="61"/>
      <c r="N361" s="61"/>
      <c r="O361" s="61"/>
      <c r="P361" s="61"/>
      <c r="Q361" s="61"/>
      <c r="R361" s="61"/>
      <c r="S361" s="61"/>
      <c r="T361" s="61"/>
      <c r="U361" s="7"/>
      <c r="V361" s="223"/>
      <c r="W361" s="9"/>
      <c r="X361" s="61"/>
      <c r="Y361" s="61"/>
      <c r="Z361" s="61"/>
      <c r="AA361" s="61"/>
      <c r="AB361" s="61"/>
      <c r="AC361" s="61"/>
      <c r="AD361" s="61"/>
      <c r="AE361" s="61"/>
      <c r="AF361" s="61"/>
      <c r="AG361" s="61"/>
      <c r="AH361" s="61"/>
      <c r="AI361" s="61"/>
      <c r="AJ361" s="9"/>
      <c r="AK361" s="223"/>
      <c r="AL361" s="10"/>
      <c r="AM361" s="136"/>
      <c r="AN361" s="7"/>
      <c r="AO361" s="7"/>
      <c r="AP361" s="7"/>
      <c r="AQ361" s="7"/>
      <c r="AR361" s="7"/>
      <c r="AS361" s="7"/>
    </row>
    <row r="362" spans="1:45" ht="9" customHeight="1" x14ac:dyDescent="0.3">
      <c r="A362" s="1"/>
      <c r="B362" s="2"/>
      <c r="C362" s="2"/>
      <c r="D362" s="60"/>
      <c r="E362" s="60"/>
      <c r="F362" s="2"/>
      <c r="G362" s="60"/>
      <c r="H362" s="60"/>
      <c r="I362" s="61"/>
      <c r="J362" s="61"/>
      <c r="K362" s="61"/>
      <c r="L362" s="61"/>
      <c r="M362" s="61"/>
      <c r="N362" s="61"/>
      <c r="O362" s="61"/>
      <c r="P362" s="61"/>
      <c r="Q362" s="61"/>
      <c r="R362" s="61"/>
      <c r="S362" s="61"/>
      <c r="T362" s="61"/>
      <c r="U362" s="7"/>
      <c r="V362" s="223"/>
      <c r="W362" s="9"/>
      <c r="X362" s="61"/>
      <c r="Y362" s="61"/>
      <c r="Z362" s="61"/>
      <c r="AA362" s="61"/>
      <c r="AB362" s="61"/>
      <c r="AC362" s="61"/>
      <c r="AD362" s="61"/>
      <c r="AE362" s="61"/>
      <c r="AF362" s="61"/>
      <c r="AG362" s="61"/>
      <c r="AH362" s="61"/>
      <c r="AI362" s="61"/>
      <c r="AJ362" s="9"/>
      <c r="AK362" s="223"/>
      <c r="AL362" s="10"/>
      <c r="AM362" s="136"/>
      <c r="AN362" s="7"/>
      <c r="AO362" s="7"/>
      <c r="AP362" s="7"/>
      <c r="AQ362" s="7"/>
      <c r="AR362" s="7"/>
      <c r="AS362" s="7"/>
    </row>
    <row r="363" spans="1:45" ht="9" customHeight="1" x14ac:dyDescent="0.3">
      <c r="A363" s="1"/>
      <c r="B363" s="2"/>
      <c r="C363" s="2"/>
      <c r="D363" s="60"/>
      <c r="E363" s="60"/>
      <c r="F363" s="2"/>
      <c r="G363" s="60"/>
      <c r="H363" s="60"/>
      <c r="I363" s="61"/>
      <c r="J363" s="61"/>
      <c r="K363" s="61"/>
      <c r="L363" s="61"/>
      <c r="M363" s="61"/>
      <c r="N363" s="61"/>
      <c r="O363" s="61"/>
      <c r="P363" s="61"/>
      <c r="Q363" s="61"/>
      <c r="R363" s="61"/>
      <c r="S363" s="61"/>
      <c r="T363" s="61"/>
      <c r="U363" s="7"/>
      <c r="V363" s="223"/>
      <c r="W363" s="9"/>
      <c r="X363" s="61"/>
      <c r="Y363" s="61"/>
      <c r="Z363" s="61"/>
      <c r="AA363" s="61"/>
      <c r="AB363" s="61"/>
      <c r="AC363" s="61"/>
      <c r="AD363" s="61"/>
      <c r="AE363" s="61"/>
      <c r="AF363" s="61"/>
      <c r="AG363" s="61"/>
      <c r="AH363" s="61"/>
      <c r="AI363" s="61"/>
      <c r="AJ363" s="9"/>
      <c r="AK363" s="223"/>
      <c r="AL363" s="10"/>
      <c r="AM363" s="136"/>
      <c r="AN363" s="7"/>
      <c r="AO363" s="7"/>
      <c r="AP363" s="7"/>
      <c r="AQ363" s="7"/>
      <c r="AR363" s="7"/>
      <c r="AS363" s="7"/>
    </row>
    <row r="364" spans="1:45" ht="9" customHeight="1" x14ac:dyDescent="0.3">
      <c r="A364" s="1"/>
      <c r="B364" s="2"/>
      <c r="C364" s="2"/>
      <c r="D364" s="60"/>
      <c r="E364" s="60"/>
      <c r="F364" s="2"/>
      <c r="G364" s="60"/>
      <c r="H364" s="60"/>
      <c r="I364" s="61"/>
      <c r="J364" s="61"/>
      <c r="K364" s="61"/>
      <c r="L364" s="61"/>
      <c r="M364" s="61"/>
      <c r="N364" s="61"/>
      <c r="O364" s="61"/>
      <c r="P364" s="61"/>
      <c r="Q364" s="61"/>
      <c r="R364" s="61"/>
      <c r="S364" s="61"/>
      <c r="T364" s="61"/>
      <c r="U364" s="7"/>
      <c r="V364" s="223"/>
      <c r="W364" s="9"/>
      <c r="X364" s="61"/>
      <c r="Y364" s="61"/>
      <c r="Z364" s="61"/>
      <c r="AA364" s="61"/>
      <c r="AB364" s="61"/>
      <c r="AC364" s="61"/>
      <c r="AD364" s="61"/>
      <c r="AE364" s="61"/>
      <c r="AF364" s="61"/>
      <c r="AG364" s="61"/>
      <c r="AH364" s="61"/>
      <c r="AI364" s="61"/>
      <c r="AJ364" s="9"/>
      <c r="AK364" s="223"/>
      <c r="AL364" s="10"/>
      <c r="AM364" s="136"/>
      <c r="AN364" s="7"/>
      <c r="AO364" s="7"/>
      <c r="AP364" s="7"/>
      <c r="AQ364" s="7"/>
      <c r="AR364" s="7"/>
      <c r="AS364" s="7"/>
    </row>
    <row r="365" spans="1:45" ht="9" customHeight="1" x14ac:dyDescent="0.3">
      <c r="A365" s="1"/>
      <c r="B365" s="2"/>
      <c r="C365" s="2"/>
      <c r="D365" s="60"/>
      <c r="E365" s="60"/>
      <c r="F365" s="2"/>
      <c r="G365" s="60"/>
      <c r="H365" s="60"/>
      <c r="I365" s="61"/>
      <c r="J365" s="61"/>
      <c r="K365" s="61"/>
      <c r="L365" s="61"/>
      <c r="M365" s="61"/>
      <c r="N365" s="61"/>
      <c r="O365" s="61"/>
      <c r="P365" s="61"/>
      <c r="Q365" s="61"/>
      <c r="R365" s="61"/>
      <c r="S365" s="61"/>
      <c r="T365" s="61"/>
      <c r="U365" s="7"/>
      <c r="V365" s="223"/>
      <c r="W365" s="9"/>
      <c r="X365" s="61"/>
      <c r="Y365" s="61"/>
      <c r="Z365" s="61"/>
      <c r="AA365" s="61"/>
      <c r="AB365" s="61"/>
      <c r="AC365" s="61"/>
      <c r="AD365" s="61"/>
      <c r="AE365" s="61"/>
      <c r="AF365" s="61"/>
      <c r="AG365" s="61"/>
      <c r="AH365" s="61"/>
      <c r="AI365" s="61"/>
      <c r="AJ365" s="9"/>
      <c r="AK365" s="223"/>
      <c r="AL365" s="10"/>
      <c r="AM365" s="136"/>
      <c r="AN365" s="7"/>
      <c r="AO365" s="7"/>
      <c r="AP365" s="7"/>
      <c r="AQ365" s="7"/>
      <c r="AR365" s="7"/>
      <c r="AS365" s="7"/>
    </row>
    <row r="366" spans="1:45" ht="9" customHeight="1" x14ac:dyDescent="0.3">
      <c r="A366" s="1"/>
      <c r="B366" s="2"/>
      <c r="C366" s="2"/>
      <c r="D366" s="60"/>
      <c r="E366" s="60"/>
      <c r="F366" s="2"/>
      <c r="G366" s="60"/>
      <c r="H366" s="60"/>
      <c r="I366" s="61"/>
      <c r="J366" s="61"/>
      <c r="K366" s="61"/>
      <c r="L366" s="61"/>
      <c r="M366" s="61"/>
      <c r="N366" s="61"/>
      <c r="O366" s="61"/>
      <c r="P366" s="61"/>
      <c r="Q366" s="61"/>
      <c r="R366" s="61"/>
      <c r="S366" s="61"/>
      <c r="T366" s="61"/>
      <c r="U366" s="7"/>
      <c r="V366" s="223"/>
      <c r="W366" s="9"/>
      <c r="X366" s="61"/>
      <c r="Y366" s="61"/>
      <c r="Z366" s="61"/>
      <c r="AA366" s="61"/>
      <c r="AB366" s="61"/>
      <c r="AC366" s="61"/>
      <c r="AD366" s="61"/>
      <c r="AE366" s="61"/>
      <c r="AF366" s="61"/>
      <c r="AG366" s="61"/>
      <c r="AH366" s="61"/>
      <c r="AI366" s="61"/>
      <c r="AJ366" s="9"/>
      <c r="AK366" s="223"/>
      <c r="AL366" s="10"/>
      <c r="AM366" s="136"/>
      <c r="AN366" s="7"/>
      <c r="AO366" s="7"/>
      <c r="AP366" s="7"/>
      <c r="AQ366" s="7"/>
      <c r="AR366" s="7"/>
      <c r="AS366" s="7"/>
    </row>
    <row r="367" spans="1:45" ht="9" customHeight="1" x14ac:dyDescent="0.3">
      <c r="A367" s="1"/>
      <c r="B367" s="2"/>
      <c r="C367" s="2"/>
      <c r="D367" s="60"/>
      <c r="E367" s="60"/>
      <c r="F367" s="2"/>
      <c r="G367" s="60"/>
      <c r="H367" s="60"/>
      <c r="I367" s="61"/>
      <c r="J367" s="61"/>
      <c r="K367" s="61"/>
      <c r="L367" s="61"/>
      <c r="M367" s="61"/>
      <c r="N367" s="61"/>
      <c r="O367" s="61"/>
      <c r="P367" s="61"/>
      <c r="Q367" s="61"/>
      <c r="R367" s="61"/>
      <c r="S367" s="61"/>
      <c r="T367" s="61"/>
      <c r="U367" s="7"/>
      <c r="V367" s="223"/>
      <c r="W367" s="9"/>
      <c r="X367" s="61"/>
      <c r="Y367" s="61"/>
      <c r="Z367" s="61"/>
      <c r="AA367" s="61"/>
      <c r="AB367" s="61"/>
      <c r="AC367" s="61"/>
      <c r="AD367" s="61"/>
      <c r="AE367" s="61"/>
      <c r="AF367" s="61"/>
      <c r="AG367" s="61"/>
      <c r="AH367" s="61"/>
      <c r="AI367" s="61"/>
      <c r="AJ367" s="9"/>
      <c r="AK367" s="223"/>
      <c r="AL367" s="10"/>
      <c r="AM367" s="136"/>
      <c r="AN367" s="7"/>
      <c r="AO367" s="7"/>
      <c r="AP367" s="7"/>
      <c r="AQ367" s="7"/>
      <c r="AR367" s="7"/>
      <c r="AS367" s="7"/>
    </row>
    <row r="368" spans="1:45" ht="9" customHeight="1" x14ac:dyDescent="0.3">
      <c r="A368" s="1"/>
      <c r="B368" s="2"/>
      <c r="C368" s="2"/>
      <c r="D368" s="60"/>
      <c r="E368" s="60"/>
      <c r="F368" s="2"/>
      <c r="G368" s="60"/>
      <c r="H368" s="60"/>
      <c r="I368" s="61"/>
      <c r="J368" s="61"/>
      <c r="K368" s="61"/>
      <c r="L368" s="61"/>
      <c r="M368" s="61"/>
      <c r="N368" s="61"/>
      <c r="O368" s="61"/>
      <c r="P368" s="61"/>
      <c r="Q368" s="61"/>
      <c r="R368" s="61"/>
      <c r="S368" s="61"/>
      <c r="T368" s="61"/>
      <c r="U368" s="7"/>
      <c r="V368" s="223"/>
      <c r="W368" s="9"/>
      <c r="X368" s="61"/>
      <c r="Y368" s="61"/>
      <c r="Z368" s="61"/>
      <c r="AA368" s="61"/>
      <c r="AB368" s="61"/>
      <c r="AC368" s="61"/>
      <c r="AD368" s="61"/>
      <c r="AE368" s="61"/>
      <c r="AF368" s="61"/>
      <c r="AG368" s="61"/>
      <c r="AH368" s="61"/>
      <c r="AI368" s="61"/>
      <c r="AJ368" s="9"/>
      <c r="AK368" s="223"/>
      <c r="AL368" s="10"/>
      <c r="AM368" s="136"/>
      <c r="AN368" s="7"/>
      <c r="AO368" s="7"/>
      <c r="AP368" s="7"/>
      <c r="AQ368" s="7"/>
      <c r="AR368" s="7"/>
      <c r="AS368" s="7"/>
    </row>
    <row r="369" spans="1:45" ht="9" customHeight="1" x14ac:dyDescent="0.3">
      <c r="A369" s="1"/>
      <c r="B369" s="2"/>
      <c r="C369" s="2"/>
      <c r="D369" s="60"/>
      <c r="E369" s="60"/>
      <c r="F369" s="2"/>
      <c r="G369" s="60"/>
      <c r="H369" s="60"/>
      <c r="I369" s="61"/>
      <c r="J369" s="61"/>
      <c r="K369" s="61"/>
      <c r="L369" s="61"/>
      <c r="M369" s="61"/>
      <c r="N369" s="61"/>
      <c r="O369" s="61"/>
      <c r="P369" s="61"/>
      <c r="Q369" s="61"/>
      <c r="R369" s="61"/>
      <c r="S369" s="61"/>
      <c r="T369" s="61"/>
      <c r="U369" s="7"/>
      <c r="V369" s="223"/>
      <c r="W369" s="9"/>
      <c r="X369" s="61"/>
      <c r="Y369" s="61"/>
      <c r="Z369" s="61"/>
      <c r="AA369" s="61"/>
      <c r="AB369" s="61"/>
      <c r="AC369" s="61"/>
      <c r="AD369" s="61"/>
      <c r="AE369" s="61"/>
      <c r="AF369" s="61"/>
      <c r="AG369" s="61"/>
      <c r="AH369" s="61"/>
      <c r="AI369" s="61"/>
      <c r="AJ369" s="9"/>
      <c r="AK369" s="223"/>
      <c r="AL369" s="10"/>
      <c r="AM369" s="136"/>
      <c r="AN369" s="7"/>
      <c r="AO369" s="7"/>
      <c r="AP369" s="7"/>
      <c r="AQ369" s="7"/>
      <c r="AR369" s="7"/>
      <c r="AS369" s="7"/>
    </row>
    <row r="370" spans="1:45" ht="9" customHeight="1" x14ac:dyDescent="0.3">
      <c r="A370" s="1"/>
      <c r="B370" s="2"/>
      <c r="C370" s="2"/>
      <c r="D370" s="60"/>
      <c r="E370" s="60"/>
      <c r="F370" s="2"/>
      <c r="G370" s="60"/>
      <c r="H370" s="60"/>
      <c r="I370" s="61"/>
      <c r="J370" s="61"/>
      <c r="K370" s="61"/>
      <c r="L370" s="61"/>
      <c r="M370" s="61"/>
      <c r="N370" s="61"/>
      <c r="O370" s="61"/>
      <c r="P370" s="61"/>
      <c r="Q370" s="61"/>
      <c r="R370" s="61"/>
      <c r="S370" s="61"/>
      <c r="T370" s="61"/>
      <c r="U370" s="7"/>
      <c r="V370" s="223"/>
      <c r="W370" s="9"/>
      <c r="X370" s="61"/>
      <c r="Y370" s="61"/>
      <c r="Z370" s="61"/>
      <c r="AA370" s="61"/>
      <c r="AB370" s="61"/>
      <c r="AC370" s="61"/>
      <c r="AD370" s="61"/>
      <c r="AE370" s="61"/>
      <c r="AF370" s="61"/>
      <c r="AG370" s="61"/>
      <c r="AH370" s="61"/>
      <c r="AI370" s="61"/>
      <c r="AJ370" s="9"/>
      <c r="AK370" s="223"/>
      <c r="AL370" s="10"/>
      <c r="AM370" s="136"/>
      <c r="AN370" s="7"/>
      <c r="AO370" s="7"/>
      <c r="AP370" s="7"/>
      <c r="AQ370" s="7"/>
      <c r="AR370" s="7"/>
      <c r="AS370" s="7"/>
    </row>
    <row r="371" spans="1:45" ht="9" customHeight="1" x14ac:dyDescent="0.3">
      <c r="A371" s="1"/>
      <c r="B371" s="2"/>
      <c r="C371" s="2"/>
      <c r="D371" s="60"/>
      <c r="E371" s="60"/>
      <c r="F371" s="2"/>
      <c r="G371" s="60"/>
      <c r="H371" s="60"/>
      <c r="I371" s="61"/>
      <c r="J371" s="61"/>
      <c r="K371" s="61"/>
      <c r="L371" s="61"/>
      <c r="M371" s="61"/>
      <c r="N371" s="61"/>
      <c r="O371" s="61"/>
      <c r="P371" s="61"/>
      <c r="Q371" s="61"/>
      <c r="R371" s="61"/>
      <c r="S371" s="61"/>
      <c r="T371" s="61"/>
      <c r="U371" s="7"/>
      <c r="V371" s="223"/>
      <c r="W371" s="9"/>
      <c r="X371" s="61"/>
      <c r="Y371" s="61"/>
      <c r="Z371" s="61"/>
      <c r="AA371" s="61"/>
      <c r="AB371" s="61"/>
      <c r="AC371" s="61"/>
      <c r="AD371" s="61"/>
      <c r="AE371" s="61"/>
      <c r="AF371" s="61"/>
      <c r="AG371" s="61"/>
      <c r="AH371" s="61"/>
      <c r="AI371" s="61"/>
      <c r="AJ371" s="9"/>
      <c r="AK371" s="223"/>
      <c r="AL371" s="10"/>
      <c r="AM371" s="136"/>
      <c r="AN371" s="7"/>
      <c r="AO371" s="7"/>
      <c r="AP371" s="7"/>
      <c r="AQ371" s="7"/>
      <c r="AR371" s="7"/>
      <c r="AS371" s="7"/>
    </row>
    <row r="372" spans="1:45" ht="9" customHeight="1" x14ac:dyDescent="0.3">
      <c r="A372" s="1"/>
      <c r="B372" s="2"/>
      <c r="C372" s="2"/>
      <c r="D372" s="60"/>
      <c r="E372" s="60"/>
      <c r="F372" s="2"/>
      <c r="G372" s="60"/>
      <c r="H372" s="60"/>
      <c r="I372" s="61"/>
      <c r="J372" s="61"/>
      <c r="K372" s="61"/>
      <c r="L372" s="61"/>
      <c r="M372" s="61"/>
      <c r="N372" s="61"/>
      <c r="O372" s="61"/>
      <c r="P372" s="61"/>
      <c r="Q372" s="61"/>
      <c r="R372" s="61"/>
      <c r="S372" s="61"/>
      <c r="T372" s="61"/>
      <c r="U372" s="7"/>
      <c r="V372" s="223"/>
      <c r="W372" s="9"/>
      <c r="X372" s="61"/>
      <c r="Y372" s="61"/>
      <c r="Z372" s="61"/>
      <c r="AA372" s="61"/>
      <c r="AB372" s="61"/>
      <c r="AC372" s="61"/>
      <c r="AD372" s="61"/>
      <c r="AE372" s="61"/>
      <c r="AF372" s="61"/>
      <c r="AG372" s="61"/>
      <c r="AH372" s="61"/>
      <c r="AI372" s="61"/>
      <c r="AJ372" s="9"/>
      <c r="AK372" s="223"/>
      <c r="AL372" s="10"/>
      <c r="AM372" s="136"/>
      <c r="AN372" s="7"/>
      <c r="AO372" s="7"/>
      <c r="AP372" s="7"/>
      <c r="AQ372" s="7"/>
      <c r="AR372" s="7"/>
      <c r="AS372" s="7"/>
    </row>
    <row r="373" spans="1:45" ht="9" customHeight="1" x14ac:dyDescent="0.3">
      <c r="A373" s="1"/>
      <c r="B373" s="2"/>
      <c r="C373" s="2"/>
      <c r="D373" s="60"/>
      <c r="E373" s="60"/>
      <c r="F373" s="2"/>
      <c r="G373" s="60"/>
      <c r="H373" s="60"/>
      <c r="I373" s="61"/>
      <c r="J373" s="61"/>
      <c r="K373" s="61"/>
      <c r="L373" s="61"/>
      <c r="M373" s="61"/>
      <c r="N373" s="61"/>
      <c r="O373" s="61"/>
      <c r="P373" s="61"/>
      <c r="Q373" s="61"/>
      <c r="R373" s="61"/>
      <c r="S373" s="61"/>
      <c r="T373" s="61"/>
      <c r="U373" s="7"/>
      <c r="V373" s="223"/>
      <c r="W373" s="9"/>
      <c r="X373" s="61"/>
      <c r="Y373" s="61"/>
      <c r="Z373" s="61"/>
      <c r="AA373" s="61"/>
      <c r="AB373" s="61"/>
      <c r="AC373" s="61"/>
      <c r="AD373" s="61"/>
      <c r="AE373" s="61"/>
      <c r="AF373" s="61"/>
      <c r="AG373" s="61"/>
      <c r="AH373" s="61"/>
      <c r="AI373" s="61"/>
      <c r="AJ373" s="9"/>
      <c r="AK373" s="223"/>
      <c r="AL373" s="10"/>
      <c r="AM373" s="136"/>
      <c r="AN373" s="7"/>
      <c r="AO373" s="7"/>
      <c r="AP373" s="7"/>
      <c r="AQ373" s="7"/>
      <c r="AR373" s="7"/>
      <c r="AS373" s="7"/>
    </row>
    <row r="374" spans="1:45" ht="9" customHeight="1" x14ac:dyDescent="0.3">
      <c r="A374" s="1"/>
      <c r="B374" s="2"/>
      <c r="C374" s="2"/>
      <c r="D374" s="60"/>
      <c r="E374" s="60"/>
      <c r="F374" s="2"/>
      <c r="G374" s="60"/>
      <c r="H374" s="60"/>
      <c r="I374" s="61"/>
      <c r="J374" s="61"/>
      <c r="K374" s="61"/>
      <c r="L374" s="61"/>
      <c r="M374" s="61"/>
      <c r="N374" s="61"/>
      <c r="O374" s="61"/>
      <c r="P374" s="61"/>
      <c r="Q374" s="61"/>
      <c r="R374" s="61"/>
      <c r="S374" s="61"/>
      <c r="T374" s="61"/>
      <c r="U374" s="7"/>
      <c r="V374" s="223"/>
      <c r="W374" s="9"/>
      <c r="X374" s="61"/>
      <c r="Y374" s="61"/>
      <c r="Z374" s="61"/>
      <c r="AA374" s="61"/>
      <c r="AB374" s="61"/>
      <c r="AC374" s="61"/>
      <c r="AD374" s="61"/>
      <c r="AE374" s="61"/>
      <c r="AF374" s="61"/>
      <c r="AG374" s="61"/>
      <c r="AH374" s="61"/>
      <c r="AI374" s="61"/>
      <c r="AJ374" s="9"/>
      <c r="AK374" s="223"/>
      <c r="AL374" s="10"/>
      <c r="AM374" s="136"/>
      <c r="AN374" s="7"/>
      <c r="AO374" s="7"/>
      <c r="AP374" s="7"/>
      <c r="AQ374" s="7"/>
      <c r="AR374" s="7"/>
      <c r="AS374" s="7"/>
    </row>
    <row r="375" spans="1:45" ht="9" customHeight="1" x14ac:dyDescent="0.3">
      <c r="A375" s="1"/>
      <c r="B375" s="2"/>
      <c r="C375" s="2"/>
      <c r="D375" s="60"/>
      <c r="E375" s="60"/>
      <c r="F375" s="2"/>
      <c r="G375" s="60"/>
      <c r="H375" s="60"/>
      <c r="I375" s="61"/>
      <c r="J375" s="61"/>
      <c r="K375" s="61"/>
      <c r="L375" s="61"/>
      <c r="M375" s="61"/>
      <c r="N375" s="61"/>
      <c r="O375" s="61"/>
      <c r="P375" s="61"/>
      <c r="Q375" s="61"/>
      <c r="R375" s="61"/>
      <c r="S375" s="61"/>
      <c r="T375" s="61"/>
      <c r="U375" s="7"/>
      <c r="V375" s="223"/>
      <c r="W375" s="9"/>
      <c r="X375" s="61"/>
      <c r="Y375" s="61"/>
      <c r="Z375" s="61"/>
      <c r="AA375" s="61"/>
      <c r="AB375" s="61"/>
      <c r="AC375" s="61"/>
      <c r="AD375" s="61"/>
      <c r="AE375" s="61"/>
      <c r="AF375" s="61"/>
      <c r="AG375" s="61"/>
      <c r="AH375" s="61"/>
      <c r="AI375" s="61"/>
      <c r="AJ375" s="9"/>
      <c r="AK375" s="223"/>
      <c r="AL375" s="10"/>
      <c r="AM375" s="136"/>
      <c r="AN375" s="7"/>
      <c r="AO375" s="7"/>
      <c r="AP375" s="7"/>
      <c r="AQ375" s="7"/>
      <c r="AR375" s="7"/>
      <c r="AS375" s="7"/>
    </row>
    <row r="376" spans="1:45" ht="9" customHeight="1" x14ac:dyDescent="0.3">
      <c r="A376" s="1"/>
      <c r="B376" s="2"/>
      <c r="C376" s="2"/>
      <c r="D376" s="60"/>
      <c r="E376" s="60"/>
      <c r="F376" s="2"/>
      <c r="G376" s="60"/>
      <c r="H376" s="60"/>
      <c r="I376" s="61"/>
      <c r="J376" s="61"/>
      <c r="K376" s="61"/>
      <c r="L376" s="61"/>
      <c r="M376" s="61"/>
      <c r="N376" s="61"/>
      <c r="O376" s="61"/>
      <c r="P376" s="61"/>
      <c r="Q376" s="61"/>
      <c r="R376" s="61"/>
      <c r="S376" s="61"/>
      <c r="T376" s="61"/>
      <c r="U376" s="7"/>
      <c r="V376" s="223"/>
      <c r="W376" s="9"/>
      <c r="X376" s="61"/>
      <c r="Y376" s="61"/>
      <c r="Z376" s="61"/>
      <c r="AA376" s="61"/>
      <c r="AB376" s="61"/>
      <c r="AC376" s="61"/>
      <c r="AD376" s="61"/>
      <c r="AE376" s="61"/>
      <c r="AF376" s="61"/>
      <c r="AG376" s="61"/>
      <c r="AH376" s="61"/>
      <c r="AI376" s="61"/>
      <c r="AJ376" s="9"/>
      <c r="AK376" s="223"/>
      <c r="AL376" s="10"/>
      <c r="AM376" s="136"/>
      <c r="AN376" s="7"/>
      <c r="AO376" s="7"/>
      <c r="AP376" s="7"/>
      <c r="AQ376" s="7"/>
      <c r="AR376" s="7"/>
      <c r="AS376" s="7"/>
    </row>
    <row r="377" spans="1:45" ht="9" customHeight="1" x14ac:dyDescent="0.3">
      <c r="A377" s="1"/>
      <c r="B377" s="2"/>
      <c r="C377" s="2"/>
      <c r="D377" s="60"/>
      <c r="E377" s="60"/>
      <c r="F377" s="2"/>
      <c r="G377" s="60"/>
      <c r="H377" s="60"/>
      <c r="I377" s="61"/>
      <c r="J377" s="61"/>
      <c r="K377" s="61"/>
      <c r="L377" s="61"/>
      <c r="M377" s="61"/>
      <c r="N377" s="61"/>
      <c r="O377" s="61"/>
      <c r="P377" s="61"/>
      <c r="Q377" s="61"/>
      <c r="R377" s="61"/>
      <c r="S377" s="61"/>
      <c r="T377" s="61"/>
      <c r="U377" s="7"/>
      <c r="V377" s="223"/>
      <c r="W377" s="9"/>
      <c r="X377" s="61"/>
      <c r="Y377" s="61"/>
      <c r="Z377" s="61"/>
      <c r="AA377" s="61"/>
      <c r="AB377" s="61"/>
      <c r="AC377" s="61"/>
      <c r="AD377" s="61"/>
      <c r="AE377" s="61"/>
      <c r="AF377" s="61"/>
      <c r="AG377" s="61"/>
      <c r="AH377" s="61"/>
      <c r="AI377" s="61"/>
      <c r="AJ377" s="9"/>
      <c r="AK377" s="223"/>
      <c r="AL377" s="10"/>
      <c r="AM377" s="136"/>
      <c r="AN377" s="7"/>
      <c r="AO377" s="7"/>
      <c r="AP377" s="7"/>
      <c r="AQ377" s="7"/>
      <c r="AR377" s="7"/>
      <c r="AS377" s="7"/>
    </row>
    <row r="378" spans="1:45" ht="9" customHeight="1" x14ac:dyDescent="0.3">
      <c r="A378" s="1"/>
      <c r="B378" s="2"/>
      <c r="C378" s="2"/>
      <c r="D378" s="60"/>
      <c r="E378" s="60"/>
      <c r="F378" s="2"/>
      <c r="G378" s="60"/>
      <c r="H378" s="60"/>
      <c r="I378" s="61"/>
      <c r="J378" s="61"/>
      <c r="K378" s="61"/>
      <c r="L378" s="61"/>
      <c r="M378" s="61"/>
      <c r="N378" s="61"/>
      <c r="O378" s="61"/>
      <c r="P378" s="61"/>
      <c r="Q378" s="61"/>
      <c r="R378" s="61"/>
      <c r="S378" s="61"/>
      <c r="T378" s="61"/>
      <c r="U378" s="7"/>
      <c r="V378" s="223"/>
      <c r="W378" s="9"/>
      <c r="X378" s="61"/>
      <c r="Y378" s="61"/>
      <c r="Z378" s="61"/>
      <c r="AA378" s="61"/>
      <c r="AB378" s="61"/>
      <c r="AC378" s="61"/>
      <c r="AD378" s="61"/>
      <c r="AE378" s="61"/>
      <c r="AF378" s="61"/>
      <c r="AG378" s="61"/>
      <c r="AH378" s="61"/>
      <c r="AI378" s="61"/>
      <c r="AJ378" s="9"/>
      <c r="AK378" s="223"/>
      <c r="AL378" s="10"/>
      <c r="AM378" s="136"/>
      <c r="AN378" s="7"/>
      <c r="AO378" s="7"/>
      <c r="AP378" s="7"/>
      <c r="AQ378" s="7"/>
      <c r="AR378" s="7"/>
      <c r="AS378" s="7"/>
    </row>
    <row r="379" spans="1:45" ht="9" customHeight="1" x14ac:dyDescent="0.3">
      <c r="A379" s="1"/>
      <c r="B379" s="2"/>
      <c r="C379" s="2"/>
      <c r="D379" s="60"/>
      <c r="E379" s="60"/>
      <c r="F379" s="2"/>
      <c r="G379" s="60"/>
      <c r="H379" s="60"/>
      <c r="I379" s="61"/>
      <c r="J379" s="61"/>
      <c r="K379" s="61"/>
      <c r="L379" s="61"/>
      <c r="M379" s="61"/>
      <c r="N379" s="61"/>
      <c r="O379" s="61"/>
      <c r="P379" s="61"/>
      <c r="Q379" s="61"/>
      <c r="R379" s="61"/>
      <c r="S379" s="61"/>
      <c r="T379" s="61"/>
      <c r="U379" s="7"/>
      <c r="V379" s="223"/>
      <c r="W379" s="9"/>
      <c r="X379" s="61"/>
      <c r="Y379" s="61"/>
      <c r="Z379" s="61"/>
      <c r="AA379" s="61"/>
      <c r="AB379" s="61"/>
      <c r="AC379" s="61"/>
      <c r="AD379" s="61"/>
      <c r="AE379" s="61"/>
      <c r="AF379" s="61"/>
      <c r="AG379" s="61"/>
      <c r="AH379" s="61"/>
      <c r="AI379" s="61"/>
      <c r="AJ379" s="9"/>
      <c r="AK379" s="223"/>
      <c r="AL379" s="10"/>
      <c r="AM379" s="136"/>
      <c r="AN379" s="7"/>
      <c r="AO379" s="7"/>
      <c r="AP379" s="7"/>
      <c r="AQ379" s="7"/>
      <c r="AR379" s="7"/>
      <c r="AS379" s="7"/>
    </row>
    <row r="380" spans="1:45" ht="9" customHeight="1" x14ac:dyDescent="0.3">
      <c r="A380" s="1"/>
      <c r="B380" s="2"/>
      <c r="C380" s="2"/>
      <c r="D380" s="60"/>
      <c r="E380" s="60"/>
      <c r="F380" s="2"/>
      <c r="G380" s="60"/>
      <c r="H380" s="60"/>
      <c r="I380" s="61"/>
      <c r="J380" s="61"/>
      <c r="K380" s="61"/>
      <c r="L380" s="61"/>
      <c r="M380" s="61"/>
      <c r="N380" s="61"/>
      <c r="O380" s="61"/>
      <c r="P380" s="61"/>
      <c r="Q380" s="61"/>
      <c r="R380" s="61"/>
      <c r="S380" s="61"/>
      <c r="T380" s="61"/>
      <c r="U380" s="7"/>
      <c r="V380" s="223"/>
      <c r="W380" s="9"/>
      <c r="X380" s="61"/>
      <c r="Y380" s="61"/>
      <c r="Z380" s="61"/>
      <c r="AA380" s="61"/>
      <c r="AB380" s="61"/>
      <c r="AC380" s="61"/>
      <c r="AD380" s="61"/>
      <c r="AE380" s="61"/>
      <c r="AF380" s="61"/>
      <c r="AG380" s="61"/>
      <c r="AH380" s="61"/>
      <c r="AI380" s="61"/>
      <c r="AJ380" s="9"/>
      <c r="AK380" s="223"/>
      <c r="AL380" s="10"/>
      <c r="AM380" s="136"/>
      <c r="AN380" s="7"/>
      <c r="AO380" s="7"/>
      <c r="AP380" s="7"/>
      <c r="AQ380" s="7"/>
      <c r="AR380" s="7"/>
      <c r="AS380" s="7"/>
    </row>
    <row r="381" spans="1:45" ht="9" customHeight="1" x14ac:dyDescent="0.3">
      <c r="A381" s="1"/>
      <c r="B381" s="2"/>
      <c r="C381" s="2"/>
      <c r="D381" s="60"/>
      <c r="E381" s="60"/>
      <c r="F381" s="2"/>
      <c r="G381" s="60"/>
      <c r="H381" s="60"/>
      <c r="I381" s="61"/>
      <c r="J381" s="61"/>
      <c r="K381" s="61"/>
      <c r="L381" s="61"/>
      <c r="M381" s="61"/>
      <c r="N381" s="61"/>
      <c r="O381" s="61"/>
      <c r="P381" s="61"/>
      <c r="Q381" s="61"/>
      <c r="R381" s="61"/>
      <c r="S381" s="61"/>
      <c r="T381" s="61"/>
      <c r="U381" s="7"/>
      <c r="V381" s="223"/>
      <c r="W381" s="9"/>
      <c r="X381" s="61"/>
      <c r="Y381" s="61"/>
      <c r="Z381" s="61"/>
      <c r="AA381" s="61"/>
      <c r="AB381" s="61"/>
      <c r="AC381" s="61"/>
      <c r="AD381" s="61"/>
      <c r="AE381" s="61"/>
      <c r="AF381" s="61"/>
      <c r="AG381" s="61"/>
      <c r="AH381" s="61"/>
      <c r="AI381" s="61"/>
      <c r="AJ381" s="9"/>
      <c r="AK381" s="223"/>
      <c r="AL381" s="10"/>
      <c r="AM381" s="136"/>
      <c r="AN381" s="7"/>
      <c r="AO381" s="7"/>
      <c r="AP381" s="7"/>
      <c r="AQ381" s="7"/>
      <c r="AR381" s="7"/>
      <c r="AS381" s="7"/>
    </row>
    <row r="382" spans="1:45" ht="9" customHeight="1" x14ac:dyDescent="0.3">
      <c r="A382" s="1"/>
      <c r="B382" s="2"/>
      <c r="C382" s="2"/>
      <c r="D382" s="60"/>
      <c r="E382" s="60"/>
      <c r="F382" s="2"/>
      <c r="G382" s="60"/>
      <c r="H382" s="60"/>
      <c r="I382" s="61"/>
      <c r="J382" s="61"/>
      <c r="K382" s="61"/>
      <c r="L382" s="61"/>
      <c r="M382" s="61"/>
      <c r="N382" s="61"/>
      <c r="O382" s="61"/>
      <c r="P382" s="61"/>
      <c r="Q382" s="61"/>
      <c r="R382" s="61"/>
      <c r="S382" s="61"/>
      <c r="T382" s="61"/>
      <c r="U382" s="7"/>
      <c r="V382" s="223"/>
      <c r="W382" s="9"/>
      <c r="X382" s="61"/>
      <c r="Y382" s="61"/>
      <c r="Z382" s="61"/>
      <c r="AA382" s="61"/>
      <c r="AB382" s="61"/>
      <c r="AC382" s="61"/>
      <c r="AD382" s="61"/>
      <c r="AE382" s="61"/>
      <c r="AF382" s="61"/>
      <c r="AG382" s="61"/>
      <c r="AH382" s="61"/>
      <c r="AI382" s="61"/>
      <c r="AJ382" s="9"/>
      <c r="AK382" s="223"/>
      <c r="AL382" s="10"/>
      <c r="AM382" s="136"/>
      <c r="AN382" s="7"/>
      <c r="AO382" s="7"/>
      <c r="AP382" s="7"/>
      <c r="AQ382" s="7"/>
      <c r="AR382" s="7"/>
      <c r="AS382" s="7"/>
    </row>
    <row r="383" spans="1:45" ht="9" customHeight="1" x14ac:dyDescent="0.3">
      <c r="A383" s="1"/>
      <c r="B383" s="2"/>
      <c r="C383" s="2"/>
      <c r="D383" s="60"/>
      <c r="E383" s="60"/>
      <c r="F383" s="2"/>
      <c r="G383" s="60"/>
      <c r="H383" s="60"/>
      <c r="I383" s="61"/>
      <c r="J383" s="61"/>
      <c r="K383" s="61"/>
      <c r="L383" s="61"/>
      <c r="M383" s="61"/>
      <c r="N383" s="61"/>
      <c r="O383" s="61"/>
      <c r="P383" s="61"/>
      <c r="Q383" s="61"/>
      <c r="R383" s="61"/>
      <c r="S383" s="61"/>
      <c r="T383" s="61"/>
      <c r="U383" s="7"/>
      <c r="V383" s="223"/>
      <c r="W383" s="9"/>
      <c r="X383" s="61"/>
      <c r="Y383" s="61"/>
      <c r="Z383" s="61"/>
      <c r="AA383" s="61"/>
      <c r="AB383" s="61"/>
      <c r="AC383" s="61"/>
      <c r="AD383" s="61"/>
      <c r="AE383" s="61"/>
      <c r="AF383" s="61"/>
      <c r="AG383" s="61"/>
      <c r="AH383" s="61"/>
      <c r="AI383" s="61"/>
      <c r="AJ383" s="9"/>
      <c r="AK383" s="223"/>
      <c r="AL383" s="10"/>
      <c r="AM383" s="136"/>
      <c r="AN383" s="7"/>
      <c r="AO383" s="7"/>
      <c r="AP383" s="7"/>
      <c r="AQ383" s="7"/>
      <c r="AR383" s="7"/>
      <c r="AS383" s="7"/>
    </row>
    <row r="384" spans="1:45" ht="9" customHeight="1" x14ac:dyDescent="0.3">
      <c r="A384" s="1"/>
      <c r="B384" s="2"/>
      <c r="C384" s="2"/>
      <c r="D384" s="60"/>
      <c r="E384" s="60"/>
      <c r="F384" s="2"/>
      <c r="G384" s="60"/>
      <c r="H384" s="60"/>
      <c r="I384" s="61"/>
      <c r="J384" s="61"/>
      <c r="K384" s="61"/>
      <c r="L384" s="61"/>
      <c r="M384" s="61"/>
      <c r="N384" s="61"/>
      <c r="O384" s="61"/>
      <c r="P384" s="61"/>
      <c r="Q384" s="61"/>
      <c r="R384" s="61"/>
      <c r="S384" s="61"/>
      <c r="T384" s="61"/>
      <c r="U384" s="7"/>
      <c r="V384" s="223"/>
      <c r="W384" s="9"/>
      <c r="X384" s="61"/>
      <c r="Y384" s="61"/>
      <c r="Z384" s="61"/>
      <c r="AA384" s="61"/>
      <c r="AB384" s="61"/>
      <c r="AC384" s="61"/>
      <c r="AD384" s="61"/>
      <c r="AE384" s="61"/>
      <c r="AF384" s="61"/>
      <c r="AG384" s="61"/>
      <c r="AH384" s="61"/>
      <c r="AI384" s="61"/>
      <c r="AJ384" s="9"/>
      <c r="AK384" s="223"/>
      <c r="AL384" s="10"/>
      <c r="AM384" s="136"/>
      <c r="AN384" s="7"/>
      <c r="AO384" s="7"/>
      <c r="AP384" s="7"/>
      <c r="AQ384" s="7"/>
      <c r="AR384" s="7"/>
      <c r="AS384" s="7"/>
    </row>
    <row r="385" spans="1:45" ht="9" customHeight="1" x14ac:dyDescent="0.3">
      <c r="A385" s="1"/>
      <c r="B385" s="2"/>
      <c r="C385" s="2"/>
      <c r="D385" s="60"/>
      <c r="E385" s="60"/>
      <c r="F385" s="2"/>
      <c r="G385" s="60"/>
      <c r="H385" s="60"/>
      <c r="I385" s="61"/>
      <c r="J385" s="61"/>
      <c r="K385" s="61"/>
      <c r="L385" s="61"/>
      <c r="M385" s="61"/>
      <c r="N385" s="61"/>
      <c r="O385" s="61"/>
      <c r="P385" s="61"/>
      <c r="Q385" s="61"/>
      <c r="R385" s="61"/>
      <c r="S385" s="61"/>
      <c r="T385" s="61"/>
      <c r="U385" s="7"/>
      <c r="V385" s="223"/>
      <c r="W385" s="9"/>
      <c r="X385" s="61"/>
      <c r="Y385" s="61"/>
      <c r="Z385" s="61"/>
      <c r="AA385" s="61"/>
      <c r="AB385" s="61"/>
      <c r="AC385" s="61"/>
      <c r="AD385" s="61"/>
      <c r="AE385" s="61"/>
      <c r="AF385" s="61"/>
      <c r="AG385" s="61"/>
      <c r="AH385" s="61"/>
      <c r="AI385" s="61"/>
      <c r="AJ385" s="9"/>
      <c r="AK385" s="223"/>
      <c r="AL385" s="10"/>
      <c r="AM385" s="136"/>
      <c r="AN385" s="7"/>
      <c r="AO385" s="7"/>
      <c r="AP385" s="7"/>
      <c r="AQ385" s="7"/>
      <c r="AR385" s="7"/>
      <c r="AS385" s="7"/>
    </row>
    <row r="386" spans="1:45" ht="9" customHeight="1" x14ac:dyDescent="0.3">
      <c r="A386" s="1"/>
      <c r="B386" s="2"/>
      <c r="C386" s="2"/>
      <c r="D386" s="60"/>
      <c r="E386" s="60"/>
      <c r="F386" s="2"/>
      <c r="G386" s="60"/>
      <c r="H386" s="60"/>
      <c r="I386" s="61"/>
      <c r="J386" s="61"/>
      <c r="K386" s="61"/>
      <c r="L386" s="61"/>
      <c r="M386" s="61"/>
      <c r="N386" s="61"/>
      <c r="O386" s="61"/>
      <c r="P386" s="61"/>
      <c r="Q386" s="61"/>
      <c r="R386" s="61"/>
      <c r="S386" s="61"/>
      <c r="T386" s="61"/>
      <c r="U386" s="7"/>
      <c r="V386" s="223"/>
      <c r="W386" s="9"/>
      <c r="X386" s="61"/>
      <c r="Y386" s="61"/>
      <c r="Z386" s="61"/>
      <c r="AA386" s="61"/>
      <c r="AB386" s="61"/>
      <c r="AC386" s="61"/>
      <c r="AD386" s="61"/>
      <c r="AE386" s="61"/>
      <c r="AF386" s="61"/>
      <c r="AG386" s="61"/>
      <c r="AH386" s="61"/>
      <c r="AI386" s="61"/>
      <c r="AJ386" s="9"/>
      <c r="AK386" s="223"/>
      <c r="AL386" s="10"/>
      <c r="AM386" s="136"/>
      <c r="AN386" s="7"/>
      <c r="AO386" s="7"/>
      <c r="AP386" s="7"/>
      <c r="AQ386" s="7"/>
      <c r="AR386" s="7"/>
      <c r="AS386" s="7"/>
    </row>
    <row r="387" spans="1:45" ht="9" customHeight="1" x14ac:dyDescent="0.3">
      <c r="A387" s="1"/>
      <c r="B387" s="2"/>
      <c r="C387" s="2"/>
      <c r="D387" s="60"/>
      <c r="E387" s="60"/>
      <c r="F387" s="2"/>
      <c r="G387" s="60"/>
      <c r="H387" s="60"/>
      <c r="I387" s="61"/>
      <c r="J387" s="61"/>
      <c r="K387" s="61"/>
      <c r="L387" s="61"/>
      <c r="M387" s="61"/>
      <c r="N387" s="61"/>
      <c r="O387" s="61"/>
      <c r="P387" s="61"/>
      <c r="Q387" s="61"/>
      <c r="R387" s="61"/>
      <c r="S387" s="61"/>
      <c r="T387" s="61"/>
      <c r="U387" s="7"/>
      <c r="V387" s="223"/>
      <c r="W387" s="9"/>
      <c r="X387" s="61"/>
      <c r="Y387" s="61"/>
      <c r="Z387" s="61"/>
      <c r="AA387" s="61"/>
      <c r="AB387" s="61"/>
      <c r="AC387" s="61"/>
      <c r="AD387" s="61"/>
      <c r="AE387" s="61"/>
      <c r="AF387" s="61"/>
      <c r="AG387" s="61"/>
      <c r="AH387" s="61"/>
      <c r="AI387" s="61"/>
      <c r="AJ387" s="9"/>
      <c r="AK387" s="223"/>
      <c r="AL387" s="10"/>
      <c r="AM387" s="136"/>
      <c r="AN387" s="7"/>
      <c r="AO387" s="7"/>
      <c r="AP387" s="7"/>
      <c r="AQ387" s="7"/>
      <c r="AR387" s="7"/>
      <c r="AS387" s="7"/>
    </row>
    <row r="388" spans="1:45" ht="9" customHeight="1" x14ac:dyDescent="0.3">
      <c r="A388" s="1"/>
      <c r="B388" s="2"/>
      <c r="C388" s="2"/>
      <c r="D388" s="60"/>
      <c r="E388" s="60"/>
      <c r="F388" s="2"/>
      <c r="G388" s="60"/>
      <c r="H388" s="60"/>
      <c r="I388" s="61"/>
      <c r="J388" s="61"/>
      <c r="K388" s="61"/>
      <c r="L388" s="61"/>
      <c r="M388" s="61"/>
      <c r="N388" s="61"/>
      <c r="O388" s="61"/>
      <c r="P388" s="61"/>
      <c r="Q388" s="61"/>
      <c r="R388" s="61"/>
      <c r="S388" s="61"/>
      <c r="T388" s="61"/>
      <c r="U388" s="7"/>
      <c r="V388" s="223"/>
      <c r="W388" s="9"/>
      <c r="X388" s="61"/>
      <c r="Y388" s="61"/>
      <c r="Z388" s="61"/>
      <c r="AA388" s="61"/>
      <c r="AB388" s="61"/>
      <c r="AC388" s="61"/>
      <c r="AD388" s="61"/>
      <c r="AE388" s="61"/>
      <c r="AF388" s="61"/>
      <c r="AG388" s="61"/>
      <c r="AH388" s="61"/>
      <c r="AI388" s="61"/>
      <c r="AJ388" s="9"/>
      <c r="AK388" s="223"/>
      <c r="AL388" s="10"/>
      <c r="AM388" s="136"/>
      <c r="AN388" s="7"/>
      <c r="AO388" s="7"/>
      <c r="AP388" s="7"/>
      <c r="AQ388" s="7"/>
      <c r="AR388" s="7"/>
      <c r="AS388" s="7"/>
    </row>
    <row r="389" spans="1:45" ht="9" customHeight="1" x14ac:dyDescent="0.3">
      <c r="A389" s="1"/>
      <c r="B389" s="2"/>
      <c r="C389" s="2"/>
      <c r="D389" s="60"/>
      <c r="E389" s="60"/>
      <c r="F389" s="2"/>
      <c r="G389" s="60"/>
      <c r="H389" s="60"/>
      <c r="I389" s="61"/>
      <c r="J389" s="61"/>
      <c r="K389" s="61"/>
      <c r="L389" s="61"/>
      <c r="M389" s="61"/>
      <c r="N389" s="61"/>
      <c r="O389" s="61"/>
      <c r="P389" s="61"/>
      <c r="Q389" s="61"/>
      <c r="R389" s="61"/>
      <c r="S389" s="61"/>
      <c r="T389" s="61"/>
      <c r="U389" s="7"/>
      <c r="V389" s="223"/>
      <c r="W389" s="9"/>
      <c r="X389" s="61"/>
      <c r="Y389" s="61"/>
      <c r="Z389" s="61"/>
      <c r="AA389" s="61"/>
      <c r="AB389" s="61"/>
      <c r="AC389" s="61"/>
      <c r="AD389" s="61"/>
      <c r="AE389" s="61"/>
      <c r="AF389" s="61"/>
      <c r="AG389" s="61"/>
      <c r="AH389" s="61"/>
      <c r="AI389" s="61"/>
      <c r="AJ389" s="9"/>
      <c r="AK389" s="223"/>
      <c r="AL389" s="10"/>
      <c r="AM389" s="136"/>
      <c r="AN389" s="7"/>
      <c r="AO389" s="7"/>
      <c r="AP389" s="7"/>
      <c r="AQ389" s="7"/>
      <c r="AR389" s="7"/>
      <c r="AS389" s="7"/>
    </row>
    <row r="390" spans="1:45" ht="9" customHeight="1" x14ac:dyDescent="0.3">
      <c r="A390" s="1"/>
      <c r="B390" s="2"/>
      <c r="C390" s="2"/>
      <c r="D390" s="60"/>
      <c r="E390" s="60"/>
      <c r="F390" s="2"/>
      <c r="G390" s="60"/>
      <c r="H390" s="60"/>
      <c r="I390" s="61"/>
      <c r="J390" s="61"/>
      <c r="K390" s="61"/>
      <c r="L390" s="61"/>
      <c r="M390" s="61"/>
      <c r="N390" s="61"/>
      <c r="O390" s="61"/>
      <c r="P390" s="61"/>
      <c r="Q390" s="61"/>
      <c r="R390" s="61"/>
      <c r="S390" s="61"/>
      <c r="T390" s="61"/>
      <c r="U390" s="7"/>
      <c r="V390" s="223"/>
      <c r="W390" s="9"/>
      <c r="X390" s="61"/>
      <c r="Y390" s="61"/>
      <c r="Z390" s="61"/>
      <c r="AA390" s="61"/>
      <c r="AB390" s="61"/>
      <c r="AC390" s="61"/>
      <c r="AD390" s="61"/>
      <c r="AE390" s="61"/>
      <c r="AF390" s="61"/>
      <c r="AG390" s="61"/>
      <c r="AH390" s="61"/>
      <c r="AI390" s="61"/>
      <c r="AJ390" s="9"/>
      <c r="AK390" s="223"/>
      <c r="AL390" s="10"/>
      <c r="AM390" s="136"/>
      <c r="AN390" s="7"/>
      <c r="AO390" s="7"/>
      <c r="AP390" s="7"/>
      <c r="AQ390" s="7"/>
      <c r="AR390" s="7"/>
      <c r="AS390" s="7"/>
    </row>
    <row r="391" spans="1:45" ht="9" customHeight="1" x14ac:dyDescent="0.3">
      <c r="A391" s="1"/>
      <c r="B391" s="2"/>
      <c r="C391" s="2"/>
      <c r="D391" s="60"/>
      <c r="E391" s="60"/>
      <c r="F391" s="2"/>
      <c r="G391" s="60"/>
      <c r="H391" s="60"/>
      <c r="I391" s="61"/>
      <c r="J391" s="61"/>
      <c r="K391" s="61"/>
      <c r="L391" s="61"/>
      <c r="M391" s="61"/>
      <c r="N391" s="61"/>
      <c r="O391" s="61"/>
      <c r="P391" s="61"/>
      <c r="Q391" s="61"/>
      <c r="R391" s="61"/>
      <c r="S391" s="61"/>
      <c r="T391" s="61"/>
      <c r="U391" s="7"/>
      <c r="V391" s="223"/>
      <c r="W391" s="9"/>
      <c r="X391" s="61"/>
      <c r="Y391" s="61"/>
      <c r="Z391" s="61"/>
      <c r="AA391" s="61"/>
      <c r="AB391" s="61"/>
      <c r="AC391" s="61"/>
      <c r="AD391" s="61"/>
      <c r="AE391" s="61"/>
      <c r="AF391" s="61"/>
      <c r="AG391" s="61"/>
      <c r="AH391" s="61"/>
      <c r="AI391" s="61"/>
      <c r="AJ391" s="9"/>
      <c r="AK391" s="223"/>
      <c r="AL391" s="10"/>
      <c r="AM391" s="136"/>
      <c r="AN391" s="7"/>
      <c r="AO391" s="7"/>
      <c r="AP391" s="7"/>
      <c r="AQ391" s="7"/>
      <c r="AR391" s="7"/>
      <c r="AS391" s="7"/>
    </row>
    <row r="392" spans="1:45" ht="9" customHeight="1" x14ac:dyDescent="0.3">
      <c r="A392" s="1"/>
      <c r="B392" s="2"/>
      <c r="C392" s="2"/>
      <c r="D392" s="60"/>
      <c r="E392" s="60"/>
      <c r="F392" s="2"/>
      <c r="G392" s="60"/>
      <c r="H392" s="60"/>
      <c r="I392" s="61"/>
      <c r="J392" s="61"/>
      <c r="K392" s="61"/>
      <c r="L392" s="61"/>
      <c r="M392" s="61"/>
      <c r="N392" s="61"/>
      <c r="O392" s="61"/>
      <c r="P392" s="61"/>
      <c r="Q392" s="61"/>
      <c r="R392" s="61"/>
      <c r="S392" s="61"/>
      <c r="T392" s="61"/>
      <c r="U392" s="7"/>
      <c r="V392" s="223"/>
      <c r="W392" s="9"/>
      <c r="X392" s="61"/>
      <c r="Y392" s="61"/>
      <c r="Z392" s="61"/>
      <c r="AA392" s="61"/>
      <c r="AB392" s="61"/>
      <c r="AC392" s="61"/>
      <c r="AD392" s="61"/>
      <c r="AE392" s="61"/>
      <c r="AF392" s="61"/>
      <c r="AG392" s="61"/>
      <c r="AH392" s="61"/>
      <c r="AI392" s="61"/>
      <c r="AJ392" s="9"/>
      <c r="AK392" s="223"/>
      <c r="AL392" s="10"/>
      <c r="AM392" s="136"/>
      <c r="AN392" s="7"/>
      <c r="AO392" s="7"/>
      <c r="AP392" s="7"/>
      <c r="AQ392" s="7"/>
      <c r="AR392" s="7"/>
      <c r="AS392" s="7"/>
    </row>
    <row r="393" spans="1:45" ht="9" customHeight="1" x14ac:dyDescent="0.3">
      <c r="A393" s="1"/>
      <c r="B393" s="2"/>
      <c r="C393" s="2"/>
      <c r="D393" s="60"/>
      <c r="E393" s="60"/>
      <c r="F393" s="2"/>
      <c r="G393" s="60"/>
      <c r="H393" s="60"/>
      <c r="I393" s="61"/>
      <c r="J393" s="61"/>
      <c r="K393" s="61"/>
      <c r="L393" s="61"/>
      <c r="M393" s="61"/>
      <c r="N393" s="61"/>
      <c r="O393" s="61"/>
      <c r="P393" s="61"/>
      <c r="Q393" s="61"/>
      <c r="R393" s="61"/>
      <c r="S393" s="61"/>
      <c r="T393" s="61"/>
      <c r="U393" s="7"/>
      <c r="V393" s="223"/>
      <c r="W393" s="9"/>
      <c r="X393" s="61"/>
      <c r="Y393" s="61"/>
      <c r="Z393" s="61"/>
      <c r="AA393" s="61"/>
      <c r="AB393" s="61"/>
      <c r="AC393" s="61"/>
      <c r="AD393" s="61"/>
      <c r="AE393" s="61"/>
      <c r="AF393" s="61"/>
      <c r="AG393" s="61"/>
      <c r="AH393" s="61"/>
      <c r="AI393" s="61"/>
      <c r="AJ393" s="9"/>
      <c r="AK393" s="223"/>
      <c r="AL393" s="10"/>
      <c r="AM393" s="136"/>
      <c r="AN393" s="7"/>
      <c r="AO393" s="7"/>
      <c r="AP393" s="7"/>
      <c r="AQ393" s="7"/>
      <c r="AR393" s="7"/>
      <c r="AS393" s="7"/>
    </row>
    <row r="394" spans="1:45" ht="9" customHeight="1" x14ac:dyDescent="0.3">
      <c r="A394" s="1"/>
      <c r="B394" s="2"/>
      <c r="C394" s="2"/>
      <c r="D394" s="60"/>
      <c r="E394" s="60"/>
      <c r="F394" s="2"/>
      <c r="G394" s="60"/>
      <c r="H394" s="60"/>
      <c r="I394" s="61"/>
      <c r="J394" s="61"/>
      <c r="K394" s="61"/>
      <c r="L394" s="61"/>
      <c r="M394" s="61"/>
      <c r="N394" s="61"/>
      <c r="O394" s="61"/>
      <c r="P394" s="61"/>
      <c r="Q394" s="61"/>
      <c r="R394" s="61"/>
      <c r="S394" s="61"/>
      <c r="T394" s="61"/>
      <c r="U394" s="7"/>
      <c r="V394" s="223"/>
      <c r="W394" s="9"/>
      <c r="X394" s="61"/>
      <c r="Y394" s="61"/>
      <c r="Z394" s="61"/>
      <c r="AA394" s="61"/>
      <c r="AB394" s="61"/>
      <c r="AC394" s="61"/>
      <c r="AD394" s="61"/>
      <c r="AE394" s="61"/>
      <c r="AF394" s="61"/>
      <c r="AG394" s="61"/>
      <c r="AH394" s="61"/>
      <c r="AI394" s="61"/>
      <c r="AJ394" s="9"/>
      <c r="AK394" s="223"/>
      <c r="AL394" s="10"/>
      <c r="AM394" s="136"/>
      <c r="AN394" s="7"/>
      <c r="AO394" s="7"/>
      <c r="AP394" s="7"/>
      <c r="AQ394" s="7"/>
      <c r="AR394" s="7"/>
      <c r="AS394" s="7"/>
    </row>
    <row r="395" spans="1:45" ht="9" customHeight="1" x14ac:dyDescent="0.3">
      <c r="A395" s="1"/>
      <c r="B395" s="2"/>
      <c r="C395" s="2"/>
      <c r="D395" s="60"/>
      <c r="E395" s="60"/>
      <c r="F395" s="2"/>
      <c r="G395" s="60"/>
      <c r="H395" s="60"/>
      <c r="I395" s="61"/>
      <c r="J395" s="61"/>
      <c r="K395" s="61"/>
      <c r="L395" s="61"/>
      <c r="M395" s="61"/>
      <c r="N395" s="61"/>
      <c r="O395" s="61"/>
      <c r="P395" s="61"/>
      <c r="Q395" s="61"/>
      <c r="R395" s="61"/>
      <c r="S395" s="61"/>
      <c r="T395" s="61"/>
      <c r="U395" s="7"/>
      <c r="V395" s="223"/>
      <c r="W395" s="9"/>
      <c r="X395" s="61"/>
      <c r="Y395" s="61"/>
      <c r="Z395" s="61"/>
      <c r="AA395" s="61"/>
      <c r="AB395" s="61"/>
      <c r="AC395" s="61"/>
      <c r="AD395" s="61"/>
      <c r="AE395" s="61"/>
      <c r="AF395" s="61"/>
      <c r="AG395" s="61"/>
      <c r="AH395" s="61"/>
      <c r="AI395" s="61"/>
      <c r="AJ395" s="9"/>
      <c r="AK395" s="223"/>
      <c r="AL395" s="10"/>
      <c r="AM395" s="136"/>
      <c r="AN395" s="7"/>
      <c r="AO395" s="7"/>
      <c r="AP395" s="7"/>
      <c r="AQ395" s="7"/>
      <c r="AR395" s="7"/>
      <c r="AS395" s="7"/>
    </row>
    <row r="396" spans="1:45" ht="9" customHeight="1" x14ac:dyDescent="0.3">
      <c r="A396" s="1"/>
      <c r="B396" s="2"/>
      <c r="C396" s="2"/>
      <c r="D396" s="60"/>
      <c r="E396" s="60"/>
      <c r="F396" s="2"/>
      <c r="G396" s="60"/>
      <c r="H396" s="60"/>
      <c r="I396" s="61"/>
      <c r="J396" s="61"/>
      <c r="K396" s="61"/>
      <c r="L396" s="61"/>
      <c r="M396" s="61"/>
      <c r="N396" s="61"/>
      <c r="O396" s="61"/>
      <c r="P396" s="61"/>
      <c r="Q396" s="61"/>
      <c r="R396" s="61"/>
      <c r="S396" s="61"/>
      <c r="T396" s="61"/>
      <c r="U396" s="7"/>
      <c r="V396" s="223"/>
      <c r="W396" s="9"/>
      <c r="X396" s="61"/>
      <c r="Y396" s="61"/>
      <c r="Z396" s="61"/>
      <c r="AA396" s="61"/>
      <c r="AB396" s="61"/>
      <c r="AC396" s="61"/>
      <c r="AD396" s="61"/>
      <c r="AE396" s="61"/>
      <c r="AF396" s="61"/>
      <c r="AG396" s="61"/>
      <c r="AH396" s="61"/>
      <c r="AI396" s="61"/>
      <c r="AJ396" s="9"/>
      <c r="AK396" s="223"/>
      <c r="AL396" s="10"/>
      <c r="AM396" s="136"/>
      <c r="AN396" s="7"/>
      <c r="AO396" s="7"/>
      <c r="AP396" s="7"/>
      <c r="AQ396" s="7"/>
      <c r="AR396" s="7"/>
      <c r="AS396" s="7"/>
    </row>
    <row r="397" spans="1:45" ht="9" customHeight="1" x14ac:dyDescent="0.3">
      <c r="A397" s="1"/>
      <c r="B397" s="2"/>
      <c r="C397" s="2"/>
      <c r="D397" s="60"/>
      <c r="E397" s="60"/>
      <c r="F397" s="2"/>
      <c r="G397" s="60"/>
      <c r="H397" s="60"/>
      <c r="I397" s="61"/>
      <c r="J397" s="61"/>
      <c r="K397" s="61"/>
      <c r="L397" s="61"/>
      <c r="M397" s="61"/>
      <c r="N397" s="61"/>
      <c r="O397" s="61"/>
      <c r="P397" s="61"/>
      <c r="Q397" s="61"/>
      <c r="R397" s="61"/>
      <c r="S397" s="61"/>
      <c r="T397" s="61"/>
      <c r="U397" s="7"/>
      <c r="V397" s="223"/>
      <c r="W397" s="9"/>
      <c r="X397" s="61"/>
      <c r="Y397" s="61"/>
      <c r="Z397" s="61"/>
      <c r="AA397" s="61"/>
      <c r="AB397" s="61"/>
      <c r="AC397" s="61"/>
      <c r="AD397" s="61"/>
      <c r="AE397" s="61"/>
      <c r="AF397" s="61"/>
      <c r="AG397" s="61"/>
      <c r="AH397" s="61"/>
      <c r="AI397" s="61"/>
      <c r="AJ397" s="9"/>
      <c r="AK397" s="223"/>
      <c r="AL397" s="10"/>
      <c r="AM397" s="136"/>
      <c r="AN397" s="7"/>
      <c r="AO397" s="7"/>
      <c r="AP397" s="7"/>
      <c r="AQ397" s="7"/>
      <c r="AR397" s="7"/>
      <c r="AS397" s="7"/>
    </row>
    <row r="398" spans="1:45" ht="15.75" customHeight="1" x14ac:dyDescent="0.3">
      <c r="A398" s="268"/>
      <c r="B398" s="7"/>
      <c r="C398" s="7"/>
      <c r="D398" s="7"/>
      <c r="E398" s="7"/>
      <c r="F398" s="7"/>
      <c r="G398" s="7"/>
      <c r="H398" s="7"/>
      <c r="I398" s="269"/>
      <c r="J398" s="269"/>
      <c r="K398" s="269"/>
      <c r="L398" s="269"/>
      <c r="M398" s="269"/>
      <c r="N398" s="269"/>
      <c r="O398" s="269"/>
      <c r="P398" s="269"/>
      <c r="Q398" s="269"/>
      <c r="R398" s="269"/>
      <c r="S398" s="269"/>
      <c r="T398" s="269"/>
      <c r="U398" s="7"/>
      <c r="V398" s="270"/>
      <c r="W398" s="9"/>
      <c r="X398" s="269"/>
      <c r="Y398" s="269"/>
      <c r="Z398" s="269"/>
      <c r="AA398" s="269"/>
      <c r="AB398" s="269"/>
      <c r="AC398" s="269"/>
      <c r="AD398" s="269"/>
      <c r="AE398" s="269"/>
      <c r="AF398" s="269"/>
      <c r="AG398" s="269"/>
      <c r="AH398" s="269"/>
      <c r="AI398" s="269"/>
      <c r="AJ398" s="9"/>
      <c r="AK398" s="270"/>
      <c r="AL398" s="10"/>
      <c r="AM398" s="136"/>
      <c r="AN398" s="7"/>
      <c r="AO398" s="7"/>
      <c r="AP398" s="7"/>
      <c r="AQ398" s="7"/>
      <c r="AR398" s="7"/>
      <c r="AS398" s="7"/>
    </row>
    <row r="399" spans="1:45" ht="15.75" customHeight="1" x14ac:dyDescent="0.3">
      <c r="A399" s="268"/>
      <c r="B399" s="7"/>
      <c r="C399" s="7"/>
      <c r="D399" s="7"/>
      <c r="E399" s="7"/>
      <c r="F399" s="7"/>
      <c r="G399" s="7"/>
      <c r="H399" s="7"/>
      <c r="I399" s="269"/>
      <c r="J399" s="269"/>
      <c r="K399" s="269"/>
      <c r="L399" s="269"/>
      <c r="M399" s="269"/>
      <c r="N399" s="269"/>
      <c r="O399" s="269"/>
      <c r="P399" s="269"/>
      <c r="Q399" s="269"/>
      <c r="R399" s="269"/>
      <c r="S399" s="269"/>
      <c r="T399" s="269"/>
      <c r="U399" s="7"/>
      <c r="V399" s="270"/>
      <c r="W399" s="9"/>
      <c r="X399" s="269"/>
      <c r="Y399" s="269"/>
      <c r="Z399" s="269"/>
      <c r="AA399" s="269"/>
      <c r="AB399" s="269"/>
      <c r="AC399" s="269"/>
      <c r="AD399" s="269"/>
      <c r="AE399" s="269"/>
      <c r="AF399" s="269"/>
      <c r="AG399" s="269"/>
      <c r="AH399" s="269"/>
      <c r="AI399" s="269"/>
      <c r="AJ399" s="9"/>
      <c r="AK399" s="270"/>
      <c r="AL399" s="10"/>
      <c r="AM399" s="136"/>
      <c r="AN399" s="7"/>
      <c r="AO399" s="7"/>
      <c r="AP399" s="7"/>
      <c r="AQ399" s="7"/>
      <c r="AR399" s="7"/>
      <c r="AS399" s="7"/>
    </row>
    <row r="400" spans="1:45" ht="15.75" customHeight="1" x14ac:dyDescent="0.3">
      <c r="A400" s="268"/>
      <c r="B400" s="7"/>
      <c r="C400" s="7"/>
      <c r="D400" s="7"/>
      <c r="E400" s="7"/>
      <c r="F400" s="7"/>
      <c r="G400" s="7"/>
      <c r="H400" s="7"/>
      <c r="I400" s="269"/>
      <c r="J400" s="269"/>
      <c r="K400" s="269"/>
      <c r="L400" s="269"/>
      <c r="M400" s="269"/>
      <c r="N400" s="269"/>
      <c r="O400" s="269"/>
      <c r="P400" s="269"/>
      <c r="Q400" s="269"/>
      <c r="R400" s="269"/>
      <c r="S400" s="269"/>
      <c r="T400" s="269"/>
      <c r="U400" s="7"/>
      <c r="V400" s="270"/>
      <c r="W400" s="9"/>
      <c r="X400" s="269"/>
      <c r="Y400" s="269"/>
      <c r="Z400" s="269"/>
      <c r="AA400" s="269"/>
      <c r="AB400" s="269"/>
      <c r="AC400" s="269"/>
      <c r="AD400" s="269"/>
      <c r="AE400" s="269"/>
      <c r="AF400" s="269"/>
      <c r="AG400" s="269"/>
      <c r="AH400" s="269"/>
      <c r="AI400" s="269"/>
      <c r="AJ400" s="9"/>
      <c r="AK400" s="270"/>
      <c r="AL400" s="10"/>
      <c r="AM400" s="136"/>
      <c r="AN400" s="7"/>
      <c r="AO400" s="7"/>
      <c r="AP400" s="7"/>
      <c r="AQ400" s="7"/>
      <c r="AR400" s="7"/>
      <c r="AS400" s="7"/>
    </row>
    <row r="401" spans="1:45" ht="15.75" customHeight="1" x14ac:dyDescent="0.3">
      <c r="A401" s="268"/>
      <c r="B401" s="7"/>
      <c r="C401" s="7"/>
      <c r="D401" s="7"/>
      <c r="E401" s="7"/>
      <c r="F401" s="7"/>
      <c r="G401" s="7"/>
      <c r="H401" s="7"/>
      <c r="I401" s="269"/>
      <c r="J401" s="269"/>
      <c r="K401" s="269"/>
      <c r="L401" s="269"/>
      <c r="M401" s="269"/>
      <c r="N401" s="269"/>
      <c r="O401" s="269"/>
      <c r="P401" s="269"/>
      <c r="Q401" s="269"/>
      <c r="R401" s="269"/>
      <c r="S401" s="269"/>
      <c r="T401" s="269"/>
      <c r="U401" s="7"/>
      <c r="V401" s="270"/>
      <c r="W401" s="9"/>
      <c r="X401" s="269"/>
      <c r="Y401" s="269"/>
      <c r="Z401" s="269"/>
      <c r="AA401" s="269"/>
      <c r="AB401" s="269"/>
      <c r="AC401" s="269"/>
      <c r="AD401" s="269"/>
      <c r="AE401" s="269"/>
      <c r="AF401" s="269"/>
      <c r="AG401" s="269"/>
      <c r="AH401" s="269"/>
      <c r="AI401" s="269"/>
      <c r="AJ401" s="9"/>
      <c r="AK401" s="270"/>
      <c r="AL401" s="10"/>
      <c r="AM401" s="136"/>
      <c r="AN401" s="7"/>
      <c r="AO401" s="7"/>
      <c r="AP401" s="7"/>
      <c r="AQ401" s="7"/>
      <c r="AR401" s="7"/>
      <c r="AS401" s="7"/>
    </row>
    <row r="402" spans="1:45" ht="15.75" customHeight="1" x14ac:dyDescent="0.3">
      <c r="A402" s="268"/>
      <c r="B402" s="7"/>
      <c r="C402" s="7"/>
      <c r="D402" s="7"/>
      <c r="E402" s="7"/>
      <c r="F402" s="7"/>
      <c r="G402" s="7"/>
      <c r="H402" s="7"/>
      <c r="I402" s="269"/>
      <c r="J402" s="269"/>
      <c r="K402" s="269"/>
      <c r="L402" s="269"/>
      <c r="M402" s="269"/>
      <c r="N402" s="269"/>
      <c r="O402" s="269"/>
      <c r="P402" s="269"/>
      <c r="Q402" s="269"/>
      <c r="R402" s="269"/>
      <c r="S402" s="269"/>
      <c r="T402" s="269"/>
      <c r="U402" s="7"/>
      <c r="V402" s="270"/>
      <c r="W402" s="9"/>
      <c r="X402" s="269"/>
      <c r="Y402" s="269"/>
      <c r="Z402" s="269"/>
      <c r="AA402" s="269"/>
      <c r="AB402" s="269"/>
      <c r="AC402" s="269"/>
      <c r="AD402" s="269"/>
      <c r="AE402" s="269"/>
      <c r="AF402" s="269"/>
      <c r="AG402" s="269"/>
      <c r="AH402" s="269"/>
      <c r="AI402" s="269"/>
      <c r="AJ402" s="9"/>
      <c r="AK402" s="270"/>
      <c r="AL402" s="10"/>
      <c r="AM402" s="136"/>
      <c r="AN402" s="7"/>
      <c r="AO402" s="7"/>
      <c r="AP402" s="7"/>
      <c r="AQ402" s="7"/>
      <c r="AR402" s="7"/>
      <c r="AS402" s="7"/>
    </row>
    <row r="403" spans="1:45" ht="15.75" customHeight="1" x14ac:dyDescent="0.3">
      <c r="A403" s="268"/>
      <c r="B403" s="7"/>
      <c r="C403" s="7"/>
      <c r="D403" s="7"/>
      <c r="E403" s="7"/>
      <c r="F403" s="7"/>
      <c r="G403" s="7"/>
      <c r="H403" s="7"/>
      <c r="I403" s="269"/>
      <c r="J403" s="269"/>
      <c r="K403" s="269"/>
      <c r="L403" s="269"/>
      <c r="M403" s="269"/>
      <c r="N403" s="269"/>
      <c r="O403" s="269"/>
      <c r="P403" s="269"/>
      <c r="Q403" s="269"/>
      <c r="R403" s="269"/>
      <c r="S403" s="269"/>
      <c r="T403" s="269"/>
      <c r="U403" s="7"/>
      <c r="V403" s="270"/>
      <c r="W403" s="9"/>
      <c r="X403" s="269"/>
      <c r="Y403" s="269"/>
      <c r="Z403" s="269"/>
      <c r="AA403" s="269"/>
      <c r="AB403" s="269"/>
      <c r="AC403" s="269"/>
      <c r="AD403" s="269"/>
      <c r="AE403" s="269"/>
      <c r="AF403" s="269"/>
      <c r="AG403" s="269"/>
      <c r="AH403" s="269"/>
      <c r="AI403" s="269"/>
      <c r="AJ403" s="9"/>
      <c r="AK403" s="270"/>
      <c r="AL403" s="10"/>
      <c r="AM403" s="136"/>
      <c r="AN403" s="7"/>
      <c r="AO403" s="7"/>
      <c r="AP403" s="7"/>
      <c r="AQ403" s="7"/>
      <c r="AR403" s="7"/>
      <c r="AS403" s="7"/>
    </row>
    <row r="404" spans="1:45" ht="15.75" customHeight="1" x14ac:dyDescent="0.3">
      <c r="A404" s="268"/>
      <c r="B404" s="7"/>
      <c r="C404" s="7"/>
      <c r="D404" s="7"/>
      <c r="E404" s="7"/>
      <c r="F404" s="7"/>
      <c r="G404" s="7"/>
      <c r="H404" s="7"/>
      <c r="I404" s="269"/>
      <c r="J404" s="269"/>
      <c r="K404" s="269"/>
      <c r="L404" s="269"/>
      <c r="M404" s="269"/>
      <c r="N404" s="269"/>
      <c r="O404" s="269"/>
      <c r="P404" s="269"/>
      <c r="Q404" s="269"/>
      <c r="R404" s="269"/>
      <c r="S404" s="269"/>
      <c r="T404" s="269"/>
      <c r="U404" s="7"/>
      <c r="V404" s="270"/>
      <c r="W404" s="9"/>
      <c r="X404" s="269"/>
      <c r="Y404" s="269"/>
      <c r="Z404" s="269"/>
      <c r="AA404" s="269"/>
      <c r="AB404" s="269"/>
      <c r="AC404" s="269"/>
      <c r="AD404" s="269"/>
      <c r="AE404" s="269"/>
      <c r="AF404" s="269"/>
      <c r="AG404" s="269"/>
      <c r="AH404" s="269"/>
      <c r="AI404" s="269"/>
      <c r="AJ404" s="9"/>
      <c r="AK404" s="270"/>
      <c r="AL404" s="10"/>
      <c r="AM404" s="136"/>
      <c r="AN404" s="7"/>
      <c r="AO404" s="7"/>
      <c r="AP404" s="7"/>
      <c r="AQ404" s="7"/>
      <c r="AR404" s="7"/>
      <c r="AS404" s="7"/>
    </row>
    <row r="405" spans="1:45" ht="15.75" customHeight="1" x14ac:dyDescent="0.3">
      <c r="A405" s="268"/>
      <c r="B405" s="7"/>
      <c r="C405" s="7"/>
      <c r="D405" s="7"/>
      <c r="E405" s="7"/>
      <c r="F405" s="7"/>
      <c r="G405" s="7"/>
      <c r="H405" s="7"/>
      <c r="I405" s="269"/>
      <c r="J405" s="269"/>
      <c r="K405" s="269"/>
      <c r="L405" s="269"/>
      <c r="M405" s="269"/>
      <c r="N405" s="269"/>
      <c r="O405" s="269"/>
      <c r="P405" s="269"/>
      <c r="Q405" s="269"/>
      <c r="R405" s="269"/>
      <c r="S405" s="269"/>
      <c r="T405" s="269"/>
      <c r="U405" s="7"/>
      <c r="V405" s="270"/>
      <c r="W405" s="9"/>
      <c r="X405" s="269"/>
      <c r="Y405" s="269"/>
      <c r="Z405" s="269"/>
      <c r="AA405" s="269"/>
      <c r="AB405" s="269"/>
      <c r="AC405" s="269"/>
      <c r="AD405" s="269"/>
      <c r="AE405" s="269"/>
      <c r="AF405" s="269"/>
      <c r="AG405" s="269"/>
      <c r="AH405" s="269"/>
      <c r="AI405" s="269"/>
      <c r="AJ405" s="9"/>
      <c r="AK405" s="270"/>
      <c r="AL405" s="10"/>
      <c r="AM405" s="136"/>
      <c r="AN405" s="7"/>
      <c r="AO405" s="7"/>
      <c r="AP405" s="7"/>
      <c r="AQ405" s="7"/>
      <c r="AR405" s="7"/>
      <c r="AS405" s="7"/>
    </row>
    <row r="406" spans="1:45" ht="15.75" customHeight="1" x14ac:dyDescent="0.3">
      <c r="A406" s="268"/>
      <c r="B406" s="7"/>
      <c r="C406" s="7"/>
      <c r="D406" s="7"/>
      <c r="E406" s="7"/>
      <c r="F406" s="7"/>
      <c r="G406" s="7"/>
      <c r="H406" s="7"/>
      <c r="I406" s="269"/>
      <c r="J406" s="269"/>
      <c r="K406" s="269"/>
      <c r="L406" s="269"/>
      <c r="M406" s="269"/>
      <c r="N406" s="269"/>
      <c r="O406" s="269"/>
      <c r="P406" s="269"/>
      <c r="Q406" s="269"/>
      <c r="R406" s="269"/>
      <c r="S406" s="269"/>
      <c r="T406" s="269"/>
      <c r="U406" s="7"/>
      <c r="V406" s="270"/>
      <c r="W406" s="9"/>
      <c r="X406" s="269"/>
      <c r="Y406" s="269"/>
      <c r="Z406" s="269"/>
      <c r="AA406" s="269"/>
      <c r="AB406" s="269"/>
      <c r="AC406" s="269"/>
      <c r="AD406" s="269"/>
      <c r="AE406" s="269"/>
      <c r="AF406" s="269"/>
      <c r="AG406" s="269"/>
      <c r="AH406" s="269"/>
      <c r="AI406" s="269"/>
      <c r="AJ406" s="9"/>
      <c r="AK406" s="270"/>
      <c r="AL406" s="10"/>
      <c r="AM406" s="136"/>
      <c r="AN406" s="7"/>
      <c r="AO406" s="7"/>
      <c r="AP406" s="7"/>
      <c r="AQ406" s="7"/>
      <c r="AR406" s="7"/>
      <c r="AS406" s="7"/>
    </row>
    <row r="407" spans="1:45" ht="15.75" customHeight="1" x14ac:dyDescent="0.3">
      <c r="A407" s="268"/>
      <c r="B407" s="7"/>
      <c r="C407" s="7"/>
      <c r="D407" s="7"/>
      <c r="E407" s="7"/>
      <c r="F407" s="7"/>
      <c r="G407" s="7"/>
      <c r="H407" s="7"/>
      <c r="I407" s="269"/>
      <c r="J407" s="269"/>
      <c r="K407" s="269"/>
      <c r="L407" s="269"/>
      <c r="M407" s="269"/>
      <c r="N407" s="269"/>
      <c r="O407" s="269"/>
      <c r="P407" s="269"/>
      <c r="Q407" s="269"/>
      <c r="R407" s="269"/>
      <c r="S407" s="269"/>
      <c r="T407" s="269"/>
      <c r="U407" s="7"/>
      <c r="V407" s="270"/>
      <c r="W407" s="9"/>
      <c r="X407" s="269"/>
      <c r="Y407" s="269"/>
      <c r="Z407" s="269"/>
      <c r="AA407" s="269"/>
      <c r="AB407" s="269"/>
      <c r="AC407" s="269"/>
      <c r="AD407" s="269"/>
      <c r="AE407" s="269"/>
      <c r="AF407" s="269"/>
      <c r="AG407" s="269"/>
      <c r="AH407" s="269"/>
      <c r="AI407" s="269"/>
      <c r="AJ407" s="9"/>
      <c r="AK407" s="270"/>
      <c r="AL407" s="10"/>
      <c r="AM407" s="136"/>
      <c r="AN407" s="7"/>
      <c r="AO407" s="7"/>
      <c r="AP407" s="7"/>
      <c r="AQ407" s="7"/>
      <c r="AR407" s="7"/>
      <c r="AS407" s="7"/>
    </row>
    <row r="408" spans="1:45" ht="15.75" customHeight="1" x14ac:dyDescent="0.3">
      <c r="A408" s="268"/>
      <c r="B408" s="7"/>
      <c r="C408" s="7"/>
      <c r="D408" s="7"/>
      <c r="E408" s="7"/>
      <c r="F408" s="7"/>
      <c r="G408" s="7"/>
      <c r="H408" s="7"/>
      <c r="I408" s="269"/>
      <c r="J408" s="269"/>
      <c r="K408" s="269"/>
      <c r="L408" s="269"/>
      <c r="M408" s="269"/>
      <c r="N408" s="269"/>
      <c r="O408" s="269"/>
      <c r="P408" s="269"/>
      <c r="Q408" s="269"/>
      <c r="R408" s="269"/>
      <c r="S408" s="269"/>
      <c r="T408" s="269"/>
      <c r="U408" s="7"/>
      <c r="V408" s="270"/>
      <c r="W408" s="9"/>
      <c r="X408" s="269"/>
      <c r="Y408" s="269"/>
      <c r="Z408" s="269"/>
      <c r="AA408" s="269"/>
      <c r="AB408" s="269"/>
      <c r="AC408" s="269"/>
      <c r="AD408" s="269"/>
      <c r="AE408" s="269"/>
      <c r="AF408" s="269"/>
      <c r="AG408" s="269"/>
      <c r="AH408" s="269"/>
      <c r="AI408" s="269"/>
      <c r="AJ408" s="9"/>
      <c r="AK408" s="270"/>
      <c r="AL408" s="10"/>
      <c r="AM408" s="136"/>
      <c r="AN408" s="7"/>
      <c r="AO408" s="7"/>
      <c r="AP408" s="7"/>
      <c r="AQ408" s="7"/>
      <c r="AR408" s="7"/>
      <c r="AS408" s="7"/>
    </row>
    <row r="409" spans="1:45" ht="15.75" customHeight="1" x14ac:dyDescent="0.3">
      <c r="A409" s="268"/>
      <c r="B409" s="7"/>
      <c r="C409" s="7"/>
      <c r="D409" s="7"/>
      <c r="E409" s="7"/>
      <c r="F409" s="7"/>
      <c r="G409" s="7"/>
      <c r="H409" s="7"/>
      <c r="I409" s="269"/>
      <c r="J409" s="269"/>
      <c r="K409" s="269"/>
      <c r="L409" s="269"/>
      <c r="M409" s="269"/>
      <c r="N409" s="269"/>
      <c r="O409" s="269"/>
      <c r="P409" s="269"/>
      <c r="Q409" s="269"/>
      <c r="R409" s="269"/>
      <c r="S409" s="269"/>
      <c r="T409" s="269"/>
      <c r="U409" s="7"/>
      <c r="V409" s="270"/>
      <c r="W409" s="9"/>
      <c r="X409" s="269"/>
      <c r="Y409" s="269"/>
      <c r="Z409" s="269"/>
      <c r="AA409" s="269"/>
      <c r="AB409" s="269"/>
      <c r="AC409" s="269"/>
      <c r="AD409" s="269"/>
      <c r="AE409" s="269"/>
      <c r="AF409" s="269"/>
      <c r="AG409" s="269"/>
      <c r="AH409" s="269"/>
      <c r="AI409" s="269"/>
      <c r="AJ409" s="9"/>
      <c r="AK409" s="270"/>
      <c r="AL409" s="10"/>
      <c r="AM409" s="136"/>
      <c r="AN409" s="7"/>
      <c r="AO409" s="7"/>
      <c r="AP409" s="7"/>
      <c r="AQ409" s="7"/>
      <c r="AR409" s="7"/>
      <c r="AS409" s="7"/>
    </row>
    <row r="410" spans="1:45" ht="15.75" customHeight="1" x14ac:dyDescent="0.3">
      <c r="A410" s="268"/>
      <c r="B410" s="7"/>
      <c r="C410" s="7"/>
      <c r="D410" s="7"/>
      <c r="E410" s="7"/>
      <c r="F410" s="7"/>
      <c r="G410" s="7"/>
      <c r="H410" s="7"/>
      <c r="I410" s="269"/>
      <c r="J410" s="269"/>
      <c r="K410" s="269"/>
      <c r="L410" s="269"/>
      <c r="M410" s="269"/>
      <c r="N410" s="269"/>
      <c r="O410" s="269"/>
      <c r="P410" s="269"/>
      <c r="Q410" s="269"/>
      <c r="R410" s="269"/>
      <c r="S410" s="269"/>
      <c r="T410" s="269"/>
      <c r="U410" s="7"/>
      <c r="V410" s="270"/>
      <c r="W410" s="9"/>
      <c r="X410" s="269"/>
      <c r="Y410" s="269"/>
      <c r="Z410" s="269"/>
      <c r="AA410" s="269"/>
      <c r="AB410" s="269"/>
      <c r="AC410" s="269"/>
      <c r="AD410" s="269"/>
      <c r="AE410" s="269"/>
      <c r="AF410" s="269"/>
      <c r="AG410" s="269"/>
      <c r="AH410" s="269"/>
      <c r="AI410" s="269"/>
      <c r="AJ410" s="9"/>
      <c r="AK410" s="270"/>
      <c r="AL410" s="10"/>
      <c r="AM410" s="136"/>
      <c r="AN410" s="7"/>
      <c r="AO410" s="7"/>
      <c r="AP410" s="7"/>
      <c r="AQ410" s="7"/>
      <c r="AR410" s="7"/>
      <c r="AS410" s="7"/>
    </row>
    <row r="411" spans="1:45" ht="15.75" customHeight="1" x14ac:dyDescent="0.3">
      <c r="A411" s="268"/>
      <c r="B411" s="7"/>
      <c r="C411" s="7"/>
      <c r="D411" s="7"/>
      <c r="E411" s="7"/>
      <c r="F411" s="7"/>
      <c r="G411" s="7"/>
      <c r="H411" s="7"/>
      <c r="I411" s="269"/>
      <c r="J411" s="269"/>
      <c r="K411" s="269"/>
      <c r="L411" s="269"/>
      <c r="M411" s="269"/>
      <c r="N411" s="269"/>
      <c r="O411" s="269"/>
      <c r="P411" s="269"/>
      <c r="Q411" s="269"/>
      <c r="R411" s="269"/>
      <c r="S411" s="269"/>
      <c r="T411" s="269"/>
      <c r="U411" s="7"/>
      <c r="V411" s="270"/>
      <c r="W411" s="9"/>
      <c r="X411" s="269"/>
      <c r="Y411" s="269"/>
      <c r="Z411" s="269"/>
      <c r="AA411" s="269"/>
      <c r="AB411" s="269"/>
      <c r="AC411" s="269"/>
      <c r="AD411" s="269"/>
      <c r="AE411" s="269"/>
      <c r="AF411" s="269"/>
      <c r="AG411" s="269"/>
      <c r="AH411" s="269"/>
      <c r="AI411" s="269"/>
      <c r="AJ411" s="9"/>
      <c r="AK411" s="270"/>
      <c r="AL411" s="10"/>
      <c r="AM411" s="136"/>
      <c r="AN411" s="7"/>
      <c r="AO411" s="7"/>
      <c r="AP411" s="7"/>
      <c r="AQ411" s="7"/>
      <c r="AR411" s="7"/>
      <c r="AS411" s="7"/>
    </row>
    <row r="412" spans="1:45" ht="15.75" customHeight="1" x14ac:dyDescent="0.3">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71"/>
      <c r="W412" s="262"/>
      <c r="X412" s="268"/>
      <c r="Y412" s="268"/>
      <c r="Z412" s="268"/>
      <c r="AA412" s="268"/>
      <c r="AB412" s="268"/>
      <c r="AC412" s="268"/>
      <c r="AD412" s="268"/>
      <c r="AE412" s="268"/>
      <c r="AF412" s="268"/>
      <c r="AG412" s="268"/>
      <c r="AH412" s="268"/>
      <c r="AI412" s="268"/>
      <c r="AJ412" s="262"/>
      <c r="AK412" s="271"/>
      <c r="AL412" s="264"/>
      <c r="AM412" s="136"/>
      <c r="AN412" s="268"/>
      <c r="AO412" s="268"/>
      <c r="AP412" s="268"/>
      <c r="AQ412" s="268"/>
      <c r="AR412" s="268"/>
      <c r="AS412" s="268"/>
    </row>
    <row r="413" spans="1:45" ht="15.75" customHeight="1" x14ac:dyDescent="0.3">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71"/>
      <c r="W413" s="262"/>
      <c r="X413" s="268"/>
      <c r="Y413" s="268"/>
      <c r="Z413" s="268"/>
      <c r="AA413" s="268"/>
      <c r="AB413" s="268"/>
      <c r="AC413" s="268"/>
      <c r="AD413" s="268"/>
      <c r="AE413" s="268"/>
      <c r="AF413" s="268"/>
      <c r="AG413" s="268"/>
      <c r="AH413" s="268"/>
      <c r="AI413" s="268"/>
      <c r="AJ413" s="262"/>
      <c r="AK413" s="271"/>
      <c r="AL413" s="264"/>
      <c r="AM413" s="136"/>
      <c r="AN413" s="268"/>
      <c r="AO413" s="268"/>
      <c r="AP413" s="268"/>
      <c r="AQ413" s="268"/>
      <c r="AR413" s="268"/>
      <c r="AS413" s="268"/>
    </row>
    <row r="414" spans="1:45" ht="15.75" customHeight="1" x14ac:dyDescent="0.3">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71"/>
      <c r="W414" s="262"/>
      <c r="X414" s="268"/>
      <c r="Y414" s="268"/>
      <c r="Z414" s="268"/>
      <c r="AA414" s="268"/>
      <c r="AB414" s="268"/>
      <c r="AC414" s="268"/>
      <c r="AD414" s="268"/>
      <c r="AE414" s="268"/>
      <c r="AF414" s="268"/>
      <c r="AG414" s="268"/>
      <c r="AH414" s="268"/>
      <c r="AI414" s="268"/>
      <c r="AJ414" s="262"/>
      <c r="AK414" s="271"/>
      <c r="AL414" s="264"/>
      <c r="AM414" s="136"/>
      <c r="AN414" s="268"/>
      <c r="AO414" s="268"/>
      <c r="AP414" s="268"/>
      <c r="AQ414" s="268"/>
      <c r="AR414" s="268"/>
      <c r="AS414" s="268"/>
    </row>
    <row r="415" spans="1:45" ht="15.75" customHeight="1" x14ac:dyDescent="0.3">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71"/>
      <c r="W415" s="262"/>
      <c r="X415" s="268"/>
      <c r="Y415" s="268"/>
      <c r="Z415" s="268"/>
      <c r="AA415" s="268"/>
      <c r="AB415" s="268"/>
      <c r="AC415" s="268"/>
      <c r="AD415" s="268"/>
      <c r="AE415" s="268"/>
      <c r="AF415" s="268"/>
      <c r="AG415" s="268"/>
      <c r="AH415" s="268"/>
      <c r="AI415" s="268"/>
      <c r="AJ415" s="262"/>
      <c r="AK415" s="271"/>
      <c r="AL415" s="264"/>
      <c r="AM415" s="136"/>
      <c r="AN415" s="268"/>
      <c r="AO415" s="268"/>
      <c r="AP415" s="268"/>
      <c r="AQ415" s="268"/>
      <c r="AR415" s="268"/>
      <c r="AS415" s="268"/>
    </row>
    <row r="416" spans="1:45" ht="15.75" customHeight="1" x14ac:dyDescent="0.3">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71"/>
      <c r="W416" s="262"/>
      <c r="X416" s="268"/>
      <c r="Y416" s="268"/>
      <c r="Z416" s="268"/>
      <c r="AA416" s="268"/>
      <c r="AB416" s="268"/>
      <c r="AC416" s="268"/>
      <c r="AD416" s="268"/>
      <c r="AE416" s="268"/>
      <c r="AF416" s="268"/>
      <c r="AG416" s="268"/>
      <c r="AH416" s="268"/>
      <c r="AI416" s="268"/>
      <c r="AJ416" s="262"/>
      <c r="AK416" s="271"/>
      <c r="AL416" s="264"/>
      <c r="AM416" s="136"/>
      <c r="AN416" s="268"/>
      <c r="AO416" s="268"/>
      <c r="AP416" s="268"/>
      <c r="AQ416" s="268"/>
      <c r="AR416" s="268"/>
      <c r="AS416" s="268"/>
    </row>
    <row r="417" spans="1:45" ht="15.75" customHeight="1" x14ac:dyDescent="0.3">
      <c r="A417" s="7"/>
      <c r="B417" s="7"/>
      <c r="C417" s="7"/>
      <c r="D417" s="7"/>
      <c r="E417" s="7"/>
      <c r="F417" s="7"/>
      <c r="G417" s="7"/>
      <c r="H417" s="7"/>
      <c r="I417" s="7"/>
      <c r="J417" s="7"/>
      <c r="K417" s="7"/>
      <c r="L417" s="7"/>
      <c r="M417" s="7"/>
      <c r="N417" s="7"/>
      <c r="O417" s="7"/>
      <c r="P417" s="7"/>
      <c r="Q417" s="7"/>
      <c r="R417" s="7"/>
      <c r="S417" s="7"/>
      <c r="T417" s="7"/>
      <c r="U417" s="7"/>
      <c r="V417" s="180"/>
      <c r="W417" s="9"/>
      <c r="X417" s="7"/>
      <c r="Y417" s="7"/>
      <c r="Z417" s="7"/>
      <c r="AA417" s="7"/>
      <c r="AB417" s="7"/>
      <c r="AC417" s="7"/>
      <c r="AD417" s="7"/>
      <c r="AE417" s="7"/>
      <c r="AF417" s="7"/>
      <c r="AG417" s="7"/>
      <c r="AH417" s="7"/>
      <c r="AI417" s="7"/>
      <c r="AJ417" s="9"/>
      <c r="AK417" s="180"/>
      <c r="AL417" s="10"/>
      <c r="AM417" s="136"/>
      <c r="AN417" s="7"/>
      <c r="AO417" s="7"/>
      <c r="AP417" s="7"/>
      <c r="AQ417" s="7"/>
      <c r="AR417" s="7"/>
      <c r="AS417" s="7"/>
    </row>
    <row r="418" spans="1:45" ht="15.75" customHeight="1" x14ac:dyDescent="0.3">
      <c r="A418" s="7"/>
      <c r="B418" s="7"/>
      <c r="C418" s="7"/>
      <c r="D418" s="7"/>
      <c r="E418" s="7"/>
      <c r="F418" s="7"/>
      <c r="G418" s="7"/>
      <c r="H418" s="7"/>
      <c r="I418" s="7"/>
      <c r="J418" s="7"/>
      <c r="K418" s="7"/>
      <c r="L418" s="7"/>
      <c r="M418" s="7"/>
      <c r="N418" s="7"/>
      <c r="O418" s="7"/>
      <c r="P418" s="7"/>
      <c r="Q418" s="7"/>
      <c r="R418" s="7"/>
      <c r="S418" s="7"/>
      <c r="T418" s="7"/>
      <c r="U418" s="7"/>
      <c r="V418" s="180"/>
      <c r="W418" s="9"/>
      <c r="X418" s="7"/>
      <c r="Y418" s="7"/>
      <c r="Z418" s="7"/>
      <c r="AA418" s="7"/>
      <c r="AB418" s="7"/>
      <c r="AC418" s="7"/>
      <c r="AD418" s="7"/>
      <c r="AE418" s="7"/>
      <c r="AF418" s="7"/>
      <c r="AG418" s="7"/>
      <c r="AH418" s="7"/>
      <c r="AI418" s="7"/>
      <c r="AJ418" s="9"/>
      <c r="AK418" s="180"/>
      <c r="AL418" s="10"/>
      <c r="AM418" s="136"/>
      <c r="AN418" s="7"/>
      <c r="AO418" s="7"/>
      <c r="AP418" s="7"/>
      <c r="AQ418" s="7"/>
      <c r="AR418" s="7"/>
      <c r="AS418" s="7"/>
    </row>
    <row r="419" spans="1:45" ht="15.75" customHeight="1" x14ac:dyDescent="0.3">
      <c r="A419" s="7"/>
      <c r="B419" s="7"/>
      <c r="C419" s="7"/>
      <c r="D419" s="7"/>
      <c r="E419" s="7"/>
      <c r="F419" s="7"/>
      <c r="G419" s="7"/>
      <c r="H419" s="7"/>
      <c r="I419" s="7"/>
      <c r="J419" s="7"/>
      <c r="K419" s="7"/>
      <c r="L419" s="7"/>
      <c r="M419" s="7"/>
      <c r="N419" s="7"/>
      <c r="O419" s="7"/>
      <c r="P419" s="7"/>
      <c r="Q419" s="7"/>
      <c r="R419" s="7"/>
      <c r="S419" s="7"/>
      <c r="T419" s="7"/>
      <c r="U419" s="7"/>
      <c r="V419" s="180"/>
      <c r="W419" s="9"/>
      <c r="X419" s="7"/>
      <c r="Y419" s="7"/>
      <c r="Z419" s="7"/>
      <c r="AA419" s="7"/>
      <c r="AB419" s="7"/>
      <c r="AC419" s="7"/>
      <c r="AD419" s="7"/>
      <c r="AE419" s="7"/>
      <c r="AF419" s="7"/>
      <c r="AG419" s="7"/>
      <c r="AH419" s="7"/>
      <c r="AI419" s="7"/>
      <c r="AJ419" s="9"/>
      <c r="AK419" s="180"/>
      <c r="AL419" s="10"/>
      <c r="AM419" s="136"/>
      <c r="AN419" s="7"/>
      <c r="AO419" s="7"/>
      <c r="AP419" s="7"/>
      <c r="AQ419" s="7"/>
      <c r="AR419" s="7"/>
      <c r="AS419" s="7"/>
    </row>
    <row r="420" spans="1:45" ht="15.75" customHeight="1" x14ac:dyDescent="0.3">
      <c r="A420" s="7"/>
      <c r="B420" s="7"/>
      <c r="C420" s="7"/>
      <c r="D420" s="7"/>
      <c r="E420" s="7"/>
      <c r="F420" s="7"/>
      <c r="G420" s="7"/>
      <c r="H420" s="7"/>
      <c r="I420" s="7"/>
      <c r="J420" s="7"/>
      <c r="K420" s="7"/>
      <c r="L420" s="7"/>
      <c r="M420" s="7"/>
      <c r="N420" s="7"/>
      <c r="O420" s="7"/>
      <c r="P420" s="7"/>
      <c r="Q420" s="7"/>
      <c r="R420" s="7"/>
      <c r="S420" s="7"/>
      <c r="T420" s="7"/>
      <c r="U420" s="7"/>
      <c r="V420" s="180"/>
      <c r="W420" s="9"/>
      <c r="X420" s="7"/>
      <c r="Y420" s="7"/>
      <c r="Z420" s="7"/>
      <c r="AA420" s="7"/>
      <c r="AB420" s="7"/>
      <c r="AC420" s="7"/>
      <c r="AD420" s="7"/>
      <c r="AE420" s="7"/>
      <c r="AF420" s="7"/>
      <c r="AG420" s="7"/>
      <c r="AH420" s="7"/>
      <c r="AI420" s="7"/>
      <c r="AJ420" s="9"/>
      <c r="AK420" s="180"/>
      <c r="AL420" s="10"/>
      <c r="AM420" s="136"/>
      <c r="AN420" s="7"/>
      <c r="AO420" s="7"/>
      <c r="AP420" s="7"/>
      <c r="AQ420" s="7"/>
      <c r="AR420" s="7"/>
      <c r="AS420" s="7"/>
    </row>
    <row r="421" spans="1:45" ht="15.75" customHeight="1" x14ac:dyDescent="0.3">
      <c r="A421" s="7"/>
      <c r="B421" s="7"/>
      <c r="C421" s="7"/>
      <c r="D421" s="7"/>
      <c r="E421" s="7"/>
      <c r="F421" s="7"/>
      <c r="G421" s="7"/>
      <c r="H421" s="7"/>
      <c r="I421" s="7"/>
      <c r="J421" s="7"/>
      <c r="K421" s="7"/>
      <c r="L421" s="7"/>
      <c r="M421" s="7"/>
      <c r="N421" s="7"/>
      <c r="O421" s="7"/>
      <c r="P421" s="7"/>
      <c r="Q421" s="7"/>
      <c r="R421" s="7"/>
      <c r="S421" s="7"/>
      <c r="T421" s="7"/>
      <c r="U421" s="7"/>
      <c r="V421" s="180"/>
      <c r="W421" s="9"/>
      <c r="X421" s="7"/>
      <c r="Y421" s="7"/>
      <c r="Z421" s="7"/>
      <c r="AA421" s="7"/>
      <c r="AB421" s="7"/>
      <c r="AC421" s="7"/>
      <c r="AD421" s="7"/>
      <c r="AE421" s="7"/>
      <c r="AF421" s="7"/>
      <c r="AG421" s="7"/>
      <c r="AH421" s="7"/>
      <c r="AI421" s="7"/>
      <c r="AJ421" s="9"/>
      <c r="AK421" s="180"/>
      <c r="AL421" s="10"/>
      <c r="AM421" s="136"/>
      <c r="AN421" s="7"/>
      <c r="AO421" s="7"/>
      <c r="AP421" s="7"/>
      <c r="AQ421" s="7"/>
      <c r="AR421" s="7"/>
      <c r="AS421" s="7"/>
    </row>
    <row r="422" spans="1:45" ht="15.75" customHeight="1" x14ac:dyDescent="0.3">
      <c r="A422" s="7"/>
      <c r="B422" s="7"/>
      <c r="C422" s="7"/>
      <c r="D422" s="7"/>
      <c r="E422" s="7"/>
      <c r="F422" s="7"/>
      <c r="G422" s="7"/>
      <c r="H422" s="7"/>
      <c r="I422" s="7"/>
      <c r="J422" s="7"/>
      <c r="K422" s="7"/>
      <c r="L422" s="7"/>
      <c r="M422" s="7"/>
      <c r="N422" s="7"/>
      <c r="O422" s="7"/>
      <c r="P422" s="7"/>
      <c r="Q422" s="7"/>
      <c r="R422" s="7"/>
      <c r="S422" s="7"/>
      <c r="T422" s="7"/>
      <c r="U422" s="7"/>
      <c r="V422" s="180"/>
      <c r="W422" s="9"/>
      <c r="X422" s="7"/>
      <c r="Y422" s="7"/>
      <c r="Z422" s="7"/>
      <c r="AA422" s="7"/>
      <c r="AB422" s="7"/>
      <c r="AC422" s="7"/>
      <c r="AD422" s="7"/>
      <c r="AE422" s="7"/>
      <c r="AF422" s="7"/>
      <c r="AG422" s="7"/>
      <c r="AH422" s="7"/>
      <c r="AI422" s="7"/>
      <c r="AJ422" s="9"/>
      <c r="AK422" s="180"/>
      <c r="AL422" s="10"/>
      <c r="AM422" s="136"/>
      <c r="AN422" s="7"/>
      <c r="AO422" s="7"/>
      <c r="AP422" s="7"/>
      <c r="AQ422" s="7"/>
      <c r="AR422" s="7"/>
      <c r="AS422" s="7"/>
    </row>
    <row r="423" spans="1:45" ht="15.75" customHeight="1" x14ac:dyDescent="0.3">
      <c r="A423" s="7"/>
      <c r="B423" s="7"/>
      <c r="C423" s="7"/>
      <c r="D423" s="7"/>
      <c r="E423" s="7"/>
      <c r="F423" s="7"/>
      <c r="G423" s="7"/>
      <c r="H423" s="7"/>
      <c r="I423" s="7"/>
      <c r="J423" s="7"/>
      <c r="K423" s="7"/>
      <c r="L423" s="7"/>
      <c r="M423" s="7"/>
      <c r="N423" s="7"/>
      <c r="O423" s="7"/>
      <c r="P423" s="7"/>
      <c r="Q423" s="7"/>
      <c r="R423" s="7"/>
      <c r="S423" s="7"/>
      <c r="T423" s="7"/>
      <c r="U423" s="7"/>
      <c r="V423" s="180"/>
      <c r="W423" s="9"/>
      <c r="X423" s="7"/>
      <c r="Y423" s="7"/>
      <c r="Z423" s="7"/>
      <c r="AA423" s="7"/>
      <c r="AB423" s="7"/>
      <c r="AC423" s="7"/>
      <c r="AD423" s="7"/>
      <c r="AE423" s="7"/>
      <c r="AF423" s="7"/>
      <c r="AG423" s="7"/>
      <c r="AH423" s="7"/>
      <c r="AI423" s="7"/>
      <c r="AJ423" s="9"/>
      <c r="AK423" s="180"/>
      <c r="AL423" s="10"/>
      <c r="AM423" s="136"/>
      <c r="AN423" s="7"/>
      <c r="AO423" s="7"/>
      <c r="AP423" s="7"/>
      <c r="AQ423" s="7"/>
      <c r="AR423" s="7"/>
      <c r="AS423" s="7"/>
    </row>
    <row r="424" spans="1:45" ht="15.75" customHeight="1" x14ac:dyDescent="0.3">
      <c r="A424" s="7"/>
      <c r="B424" s="7"/>
      <c r="C424" s="7"/>
      <c r="D424" s="7"/>
      <c r="E424" s="7"/>
      <c r="F424" s="7"/>
      <c r="G424" s="7"/>
      <c r="H424" s="7"/>
      <c r="I424" s="7"/>
      <c r="J424" s="7"/>
      <c r="K424" s="7"/>
      <c r="L424" s="7"/>
      <c r="M424" s="7"/>
      <c r="N424" s="7"/>
      <c r="O424" s="7"/>
      <c r="P424" s="7"/>
      <c r="Q424" s="7"/>
      <c r="R424" s="7"/>
      <c r="S424" s="7"/>
      <c r="T424" s="7"/>
      <c r="U424" s="7"/>
      <c r="V424" s="180"/>
      <c r="W424" s="9"/>
      <c r="X424" s="7"/>
      <c r="Y424" s="7"/>
      <c r="Z424" s="7"/>
      <c r="AA424" s="7"/>
      <c r="AB424" s="7"/>
      <c r="AC424" s="7"/>
      <c r="AD424" s="7"/>
      <c r="AE424" s="7"/>
      <c r="AF424" s="7"/>
      <c r="AG424" s="7"/>
      <c r="AH424" s="7"/>
      <c r="AI424" s="7"/>
      <c r="AJ424" s="9"/>
      <c r="AK424" s="180"/>
      <c r="AL424" s="10"/>
      <c r="AM424" s="136"/>
      <c r="AN424" s="7"/>
      <c r="AO424" s="7"/>
      <c r="AP424" s="7"/>
      <c r="AQ424" s="7"/>
      <c r="AR424" s="7"/>
      <c r="AS424" s="7"/>
    </row>
    <row r="425" spans="1:45" ht="15.75" customHeight="1" x14ac:dyDescent="0.3">
      <c r="A425" s="7"/>
      <c r="B425" s="7"/>
      <c r="C425" s="7"/>
      <c r="D425" s="7"/>
      <c r="E425" s="7"/>
      <c r="F425" s="7"/>
      <c r="G425" s="7"/>
      <c r="H425" s="7"/>
      <c r="I425" s="7"/>
      <c r="J425" s="7"/>
      <c r="K425" s="7"/>
      <c r="L425" s="7"/>
      <c r="M425" s="7"/>
      <c r="N425" s="7"/>
      <c r="O425" s="7"/>
      <c r="P425" s="7"/>
      <c r="Q425" s="7"/>
      <c r="R425" s="7"/>
      <c r="S425" s="7"/>
      <c r="T425" s="7"/>
      <c r="U425" s="7"/>
      <c r="V425" s="180"/>
      <c r="W425" s="9"/>
      <c r="X425" s="7"/>
      <c r="Y425" s="7"/>
      <c r="Z425" s="7"/>
      <c r="AA425" s="7"/>
      <c r="AB425" s="7"/>
      <c r="AC425" s="7"/>
      <c r="AD425" s="7"/>
      <c r="AE425" s="7"/>
      <c r="AF425" s="7"/>
      <c r="AG425" s="7"/>
      <c r="AH425" s="7"/>
      <c r="AI425" s="7"/>
      <c r="AJ425" s="9"/>
      <c r="AK425" s="180"/>
      <c r="AL425" s="10"/>
      <c r="AM425" s="136"/>
      <c r="AN425" s="7"/>
      <c r="AO425" s="7"/>
      <c r="AP425" s="7"/>
      <c r="AQ425" s="7"/>
      <c r="AR425" s="7"/>
      <c r="AS425" s="7"/>
    </row>
    <row r="426" spans="1:45" ht="15.75" customHeight="1" x14ac:dyDescent="0.3">
      <c r="A426" s="7"/>
      <c r="B426" s="7"/>
      <c r="C426" s="7"/>
      <c r="D426" s="7"/>
      <c r="E426" s="7"/>
      <c r="F426" s="7"/>
      <c r="G426" s="7"/>
      <c r="H426" s="7"/>
      <c r="I426" s="7"/>
      <c r="J426" s="7"/>
      <c r="K426" s="7"/>
      <c r="L426" s="7"/>
      <c r="M426" s="7"/>
      <c r="N426" s="7"/>
      <c r="O426" s="7"/>
      <c r="P426" s="7"/>
      <c r="Q426" s="7"/>
      <c r="R426" s="7"/>
      <c r="S426" s="7"/>
      <c r="T426" s="7"/>
      <c r="U426" s="7"/>
      <c r="V426" s="180"/>
      <c r="W426" s="9"/>
      <c r="X426" s="7"/>
      <c r="Y426" s="7"/>
      <c r="Z426" s="7"/>
      <c r="AA426" s="7"/>
      <c r="AB426" s="7"/>
      <c r="AC426" s="7"/>
      <c r="AD426" s="7"/>
      <c r="AE426" s="7"/>
      <c r="AF426" s="7"/>
      <c r="AG426" s="7"/>
      <c r="AH426" s="7"/>
      <c r="AI426" s="7"/>
      <c r="AJ426" s="9"/>
      <c r="AK426" s="180"/>
      <c r="AL426" s="10"/>
      <c r="AM426" s="136"/>
      <c r="AN426" s="7"/>
      <c r="AO426" s="7"/>
      <c r="AP426" s="7"/>
      <c r="AQ426" s="7"/>
      <c r="AR426" s="7"/>
      <c r="AS426" s="7"/>
    </row>
    <row r="427" spans="1:45" ht="15.75" customHeight="1" x14ac:dyDescent="0.3">
      <c r="A427" s="7"/>
      <c r="B427" s="7"/>
      <c r="C427" s="7"/>
      <c r="D427" s="7"/>
      <c r="E427" s="7"/>
      <c r="F427" s="7"/>
      <c r="G427" s="7"/>
      <c r="H427" s="7"/>
      <c r="I427" s="7"/>
      <c r="J427" s="7"/>
      <c r="K427" s="7"/>
      <c r="L427" s="7"/>
      <c r="M427" s="7"/>
      <c r="N427" s="7"/>
      <c r="O427" s="7"/>
      <c r="P427" s="7"/>
      <c r="Q427" s="7"/>
      <c r="R427" s="7"/>
      <c r="S427" s="7"/>
      <c r="T427" s="7"/>
      <c r="U427" s="7"/>
      <c r="V427" s="180"/>
      <c r="W427" s="9"/>
      <c r="X427" s="7"/>
      <c r="Y427" s="7"/>
      <c r="Z427" s="7"/>
      <c r="AA427" s="7"/>
      <c r="AB427" s="7"/>
      <c r="AC427" s="7"/>
      <c r="AD427" s="7"/>
      <c r="AE427" s="7"/>
      <c r="AF427" s="7"/>
      <c r="AG427" s="7"/>
      <c r="AH427" s="7"/>
      <c r="AI427" s="7"/>
      <c r="AJ427" s="9"/>
      <c r="AK427" s="180"/>
      <c r="AL427" s="10"/>
      <c r="AM427" s="136"/>
      <c r="AN427" s="7"/>
      <c r="AO427" s="7"/>
      <c r="AP427" s="7"/>
      <c r="AQ427" s="7"/>
      <c r="AR427" s="7"/>
      <c r="AS427" s="7"/>
    </row>
    <row r="428" spans="1:45" ht="15.75" customHeight="1" x14ac:dyDescent="0.3">
      <c r="A428" s="7"/>
      <c r="B428" s="7"/>
      <c r="C428" s="7"/>
      <c r="D428" s="7"/>
      <c r="E428" s="7"/>
      <c r="F428" s="7"/>
      <c r="G428" s="7"/>
      <c r="H428" s="7"/>
      <c r="I428" s="7"/>
      <c r="J428" s="7"/>
      <c r="K428" s="7"/>
      <c r="L428" s="7"/>
      <c r="M428" s="7"/>
      <c r="N428" s="7"/>
      <c r="O428" s="7"/>
      <c r="P428" s="7"/>
      <c r="Q428" s="7"/>
      <c r="R428" s="7"/>
      <c r="S428" s="7"/>
      <c r="T428" s="7"/>
      <c r="U428" s="7"/>
      <c r="V428" s="180"/>
      <c r="W428" s="9"/>
      <c r="X428" s="7"/>
      <c r="Y428" s="7"/>
      <c r="Z428" s="7"/>
      <c r="AA428" s="7"/>
      <c r="AB428" s="7"/>
      <c r="AC428" s="7"/>
      <c r="AD428" s="7"/>
      <c r="AE428" s="7"/>
      <c r="AF428" s="7"/>
      <c r="AG428" s="7"/>
      <c r="AH428" s="7"/>
      <c r="AI428" s="7"/>
      <c r="AJ428" s="9"/>
      <c r="AK428" s="180"/>
      <c r="AL428" s="10"/>
      <c r="AM428" s="136"/>
      <c r="AN428" s="7"/>
      <c r="AO428" s="7"/>
      <c r="AP428" s="7"/>
      <c r="AQ428" s="7"/>
      <c r="AR428" s="7"/>
      <c r="AS428" s="7"/>
    </row>
    <row r="429" spans="1:45" ht="15.75" customHeight="1" x14ac:dyDescent="0.3">
      <c r="A429" s="7"/>
      <c r="B429" s="7"/>
      <c r="C429" s="7"/>
      <c r="D429" s="7"/>
      <c r="E429" s="7"/>
      <c r="F429" s="7"/>
      <c r="G429" s="7"/>
      <c r="H429" s="7"/>
      <c r="I429" s="7"/>
      <c r="J429" s="7"/>
      <c r="K429" s="7"/>
      <c r="L429" s="7"/>
      <c r="M429" s="7"/>
      <c r="N429" s="7"/>
      <c r="O429" s="7"/>
      <c r="P429" s="7"/>
      <c r="Q429" s="7"/>
      <c r="R429" s="7"/>
      <c r="S429" s="7"/>
      <c r="T429" s="7"/>
      <c r="U429" s="7"/>
      <c r="V429" s="180"/>
      <c r="W429" s="9"/>
      <c r="X429" s="7"/>
      <c r="Y429" s="7"/>
      <c r="Z429" s="7"/>
      <c r="AA429" s="7"/>
      <c r="AB429" s="7"/>
      <c r="AC429" s="7"/>
      <c r="AD429" s="7"/>
      <c r="AE429" s="7"/>
      <c r="AF429" s="7"/>
      <c r="AG429" s="7"/>
      <c r="AH429" s="7"/>
      <c r="AI429" s="7"/>
      <c r="AJ429" s="9"/>
      <c r="AK429" s="180"/>
      <c r="AL429" s="10"/>
      <c r="AM429" s="136"/>
      <c r="AN429" s="7"/>
      <c r="AO429" s="7"/>
      <c r="AP429" s="7"/>
      <c r="AQ429" s="7"/>
      <c r="AR429" s="7"/>
      <c r="AS429" s="7"/>
    </row>
    <row r="430" spans="1:45" ht="15.75" customHeight="1" x14ac:dyDescent="0.3">
      <c r="A430" s="7"/>
      <c r="B430" s="7"/>
      <c r="C430" s="7"/>
      <c r="D430" s="7"/>
      <c r="E430" s="7"/>
      <c r="F430" s="7"/>
      <c r="G430" s="7"/>
      <c r="H430" s="7"/>
      <c r="I430" s="7"/>
      <c r="J430" s="7"/>
      <c r="K430" s="7"/>
      <c r="L430" s="7"/>
      <c r="M430" s="7"/>
      <c r="N430" s="7"/>
      <c r="O430" s="7"/>
      <c r="P430" s="7"/>
      <c r="Q430" s="7"/>
      <c r="R430" s="7"/>
      <c r="S430" s="7"/>
      <c r="T430" s="7"/>
      <c r="U430" s="7"/>
      <c r="V430" s="180"/>
      <c r="W430" s="9"/>
      <c r="X430" s="7"/>
      <c r="Y430" s="7"/>
      <c r="Z430" s="7"/>
      <c r="AA430" s="7"/>
      <c r="AB430" s="7"/>
      <c r="AC430" s="7"/>
      <c r="AD430" s="7"/>
      <c r="AE430" s="7"/>
      <c r="AF430" s="7"/>
      <c r="AG430" s="7"/>
      <c r="AH430" s="7"/>
      <c r="AI430" s="7"/>
      <c r="AJ430" s="9"/>
      <c r="AK430" s="180"/>
      <c r="AL430" s="10"/>
      <c r="AM430" s="136"/>
      <c r="AN430" s="7"/>
      <c r="AO430" s="7"/>
      <c r="AP430" s="7"/>
      <c r="AQ430" s="7"/>
      <c r="AR430" s="7"/>
      <c r="AS430" s="7"/>
    </row>
    <row r="431" spans="1:45" ht="15.75" customHeight="1" x14ac:dyDescent="0.3">
      <c r="A431" s="7"/>
      <c r="B431" s="7"/>
      <c r="C431" s="7"/>
      <c r="D431" s="7"/>
      <c r="E431" s="7"/>
      <c r="F431" s="7"/>
      <c r="G431" s="7"/>
      <c r="H431" s="7"/>
      <c r="I431" s="7"/>
      <c r="J431" s="7"/>
      <c r="K431" s="7"/>
      <c r="L431" s="7"/>
      <c r="M431" s="7"/>
      <c r="N431" s="7"/>
      <c r="O431" s="7"/>
      <c r="P431" s="7"/>
      <c r="Q431" s="7"/>
      <c r="R431" s="7"/>
      <c r="S431" s="7"/>
      <c r="T431" s="7"/>
      <c r="U431" s="7"/>
      <c r="V431" s="180"/>
      <c r="W431" s="9"/>
      <c r="X431" s="7"/>
      <c r="Y431" s="7"/>
      <c r="Z431" s="7"/>
      <c r="AA431" s="7"/>
      <c r="AB431" s="7"/>
      <c r="AC431" s="7"/>
      <c r="AD431" s="7"/>
      <c r="AE431" s="7"/>
      <c r="AF431" s="7"/>
      <c r="AG431" s="7"/>
      <c r="AH431" s="7"/>
      <c r="AI431" s="7"/>
      <c r="AJ431" s="9"/>
      <c r="AK431" s="180"/>
      <c r="AL431" s="10"/>
      <c r="AM431" s="136"/>
      <c r="AN431" s="7"/>
      <c r="AO431" s="7"/>
      <c r="AP431" s="7"/>
      <c r="AQ431" s="7"/>
      <c r="AR431" s="7"/>
      <c r="AS431" s="7"/>
    </row>
    <row r="432" spans="1:45" ht="15.75" customHeight="1" x14ac:dyDescent="0.3">
      <c r="A432" s="7"/>
      <c r="B432" s="7"/>
      <c r="C432" s="7"/>
      <c r="D432" s="7"/>
      <c r="E432" s="7"/>
      <c r="F432" s="7"/>
      <c r="G432" s="7"/>
      <c r="H432" s="7"/>
      <c r="I432" s="7"/>
      <c r="J432" s="7"/>
      <c r="K432" s="7"/>
      <c r="L432" s="7"/>
      <c r="M432" s="7"/>
      <c r="N432" s="7"/>
      <c r="O432" s="7"/>
      <c r="P432" s="7"/>
      <c r="Q432" s="7"/>
      <c r="R432" s="7"/>
      <c r="S432" s="7"/>
      <c r="T432" s="7"/>
      <c r="U432" s="7"/>
      <c r="V432" s="180"/>
      <c r="W432" s="9"/>
      <c r="X432" s="7"/>
      <c r="Y432" s="7"/>
      <c r="Z432" s="7"/>
      <c r="AA432" s="7"/>
      <c r="AB432" s="7"/>
      <c r="AC432" s="7"/>
      <c r="AD432" s="7"/>
      <c r="AE432" s="7"/>
      <c r="AF432" s="7"/>
      <c r="AG432" s="7"/>
      <c r="AH432" s="7"/>
      <c r="AI432" s="7"/>
      <c r="AJ432" s="9"/>
      <c r="AK432" s="180"/>
      <c r="AL432" s="10"/>
      <c r="AM432" s="136"/>
      <c r="AN432" s="7"/>
      <c r="AO432" s="7"/>
      <c r="AP432" s="7"/>
      <c r="AQ432" s="7"/>
      <c r="AR432" s="7"/>
      <c r="AS432" s="7"/>
    </row>
    <row r="433" spans="1:45" ht="15.75" customHeight="1" x14ac:dyDescent="0.3">
      <c r="A433" s="7"/>
      <c r="B433" s="7"/>
      <c r="C433" s="7"/>
      <c r="D433" s="7"/>
      <c r="E433" s="7"/>
      <c r="F433" s="7"/>
      <c r="G433" s="7"/>
      <c r="H433" s="7"/>
      <c r="I433" s="7"/>
      <c r="J433" s="7"/>
      <c r="K433" s="7"/>
      <c r="L433" s="7"/>
      <c r="M433" s="7"/>
      <c r="N433" s="7"/>
      <c r="O433" s="7"/>
      <c r="P433" s="7"/>
      <c r="Q433" s="7"/>
      <c r="R433" s="7"/>
      <c r="S433" s="7"/>
      <c r="T433" s="7"/>
      <c r="U433" s="7"/>
      <c r="V433" s="180"/>
      <c r="W433" s="9"/>
      <c r="X433" s="7"/>
      <c r="Y433" s="7"/>
      <c r="Z433" s="7"/>
      <c r="AA433" s="7"/>
      <c r="AB433" s="7"/>
      <c r="AC433" s="7"/>
      <c r="AD433" s="7"/>
      <c r="AE433" s="7"/>
      <c r="AF433" s="7"/>
      <c r="AG433" s="7"/>
      <c r="AH433" s="7"/>
      <c r="AI433" s="7"/>
      <c r="AJ433" s="9"/>
      <c r="AK433" s="180"/>
      <c r="AL433" s="10"/>
      <c r="AM433" s="136"/>
      <c r="AN433" s="7"/>
      <c r="AO433" s="7"/>
      <c r="AP433" s="7"/>
      <c r="AQ433" s="7"/>
      <c r="AR433" s="7"/>
      <c r="AS433" s="7"/>
    </row>
    <row r="434" spans="1:45" ht="15.75" customHeight="1" x14ac:dyDescent="0.3">
      <c r="A434" s="7"/>
      <c r="B434" s="7"/>
      <c r="C434" s="7"/>
      <c r="D434" s="7"/>
      <c r="E434" s="7"/>
      <c r="F434" s="7"/>
      <c r="G434" s="7"/>
      <c r="H434" s="7"/>
      <c r="I434" s="7"/>
      <c r="J434" s="7"/>
      <c r="K434" s="7"/>
      <c r="L434" s="7"/>
      <c r="M434" s="7"/>
      <c r="N434" s="7"/>
      <c r="O434" s="7"/>
      <c r="P434" s="7"/>
      <c r="Q434" s="7"/>
      <c r="R434" s="7"/>
      <c r="S434" s="7"/>
      <c r="T434" s="7"/>
      <c r="U434" s="7"/>
      <c r="V434" s="180"/>
      <c r="W434" s="9"/>
      <c r="X434" s="7"/>
      <c r="Y434" s="7"/>
      <c r="Z434" s="7"/>
      <c r="AA434" s="7"/>
      <c r="AB434" s="7"/>
      <c r="AC434" s="7"/>
      <c r="AD434" s="7"/>
      <c r="AE434" s="7"/>
      <c r="AF434" s="7"/>
      <c r="AG434" s="7"/>
      <c r="AH434" s="7"/>
      <c r="AI434" s="7"/>
      <c r="AJ434" s="9"/>
      <c r="AK434" s="180"/>
      <c r="AL434" s="10"/>
      <c r="AM434" s="136"/>
      <c r="AN434" s="7"/>
      <c r="AO434" s="7"/>
      <c r="AP434" s="7"/>
      <c r="AQ434" s="7"/>
      <c r="AR434" s="7"/>
      <c r="AS434" s="7"/>
    </row>
    <row r="435" spans="1:45" ht="15.75" customHeight="1" x14ac:dyDescent="0.3"/>
    <row r="436" spans="1:45" ht="15.75" customHeight="1" x14ac:dyDescent="0.3"/>
    <row r="437" spans="1:45" ht="15.75" customHeight="1" x14ac:dyDescent="0.3"/>
    <row r="438" spans="1:45" ht="15.75" customHeight="1" x14ac:dyDescent="0.3"/>
    <row r="439" spans="1:45" ht="15.75" customHeight="1" x14ac:dyDescent="0.3"/>
    <row r="440" spans="1:45" ht="15.75" customHeight="1" x14ac:dyDescent="0.3"/>
    <row r="441" spans="1:45" ht="15.75" customHeight="1" x14ac:dyDescent="0.3"/>
    <row r="442" spans="1:45" ht="15.75" customHeight="1" x14ac:dyDescent="0.3"/>
    <row r="443" spans="1:45" ht="15.75" customHeight="1" x14ac:dyDescent="0.3"/>
    <row r="444" spans="1:45" ht="15.75" customHeight="1" x14ac:dyDescent="0.3"/>
    <row r="445" spans="1:45" ht="15.75" customHeight="1" x14ac:dyDescent="0.3"/>
    <row r="446" spans="1:45" ht="15.75" customHeight="1" x14ac:dyDescent="0.3"/>
    <row r="447" spans="1:45" ht="15.75" customHeight="1" x14ac:dyDescent="0.3"/>
    <row r="448" spans="1:45"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sheetData>
  <autoFilter ref="G43:G174" xr:uid="{00000000-0009-0000-0000-000000000000}"/>
  <pageMargins left="0.7" right="0.7" top="0.75" bottom="0.75" header="0" footer="0"/>
  <pageSetup paperSize="9"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1747"/>
  <sheetViews>
    <sheetView workbookViewId="0">
      <pane ySplit="6" topLeftCell="A1353" activePane="bottomLeft" state="frozen"/>
      <selection pane="bottomLeft" activeCell="I1714" sqref="I1714"/>
    </sheetView>
  </sheetViews>
  <sheetFormatPr baseColWidth="10" defaultColWidth="12.6640625" defaultRowHeight="15" customHeight="1" x14ac:dyDescent="0.3"/>
  <cols>
    <col min="1" max="2" width="6" customWidth="1"/>
    <col min="3" max="3" width="26" customWidth="1"/>
    <col min="4" max="4" width="7" customWidth="1"/>
    <col min="5" max="5" width="28" customWidth="1"/>
    <col min="6" max="6" width="48" customWidth="1"/>
    <col min="7" max="8" width="14" customWidth="1"/>
    <col min="9" max="9" width="16" customWidth="1"/>
    <col min="10" max="10" width="16" hidden="1" customWidth="1"/>
    <col min="11" max="11" width="13.44140625" hidden="1" customWidth="1"/>
  </cols>
  <sheetData>
    <row r="1" spans="1:11" ht="21.75" customHeight="1" x14ac:dyDescent="0.3">
      <c r="A1" s="1089" t="s">
        <v>296</v>
      </c>
      <c r="B1" s="1087"/>
      <c r="C1" s="1087"/>
      <c r="D1" s="1087"/>
      <c r="E1" s="1087"/>
      <c r="F1" s="1087"/>
      <c r="G1" s="1087"/>
      <c r="H1" s="1087"/>
      <c r="I1" s="1087"/>
      <c r="J1" s="1087"/>
      <c r="K1" s="1088"/>
    </row>
    <row r="2" spans="1:11" ht="14.4" customHeight="1" x14ac:dyDescent="0.3">
      <c r="A2" s="1086" t="s">
        <v>297</v>
      </c>
      <c r="B2" s="1087"/>
      <c r="C2" s="1087"/>
      <c r="D2" s="1087"/>
      <c r="E2" s="1087"/>
      <c r="F2" s="1087"/>
      <c r="G2" s="1087"/>
      <c r="H2" s="1087"/>
      <c r="I2" s="1087"/>
      <c r="J2" s="1087"/>
      <c r="K2" s="1088"/>
    </row>
    <row r="3" spans="1:11" ht="36" customHeight="1" x14ac:dyDescent="0.3">
      <c r="A3" s="272" t="s">
        <v>298</v>
      </c>
      <c r="B3" s="273"/>
      <c r="C3" s="7"/>
      <c r="D3" s="272" t="s">
        <v>299</v>
      </c>
      <c r="E3" s="273" t="s">
        <v>300</v>
      </c>
      <c r="F3" s="7"/>
      <c r="G3" s="7"/>
      <c r="H3" s="7"/>
      <c r="I3" s="7"/>
      <c r="J3" s="7"/>
      <c r="K3" s="7"/>
    </row>
    <row r="4" spans="1:11" ht="24" customHeight="1" x14ac:dyDescent="0.3">
      <c r="A4" s="274" t="s">
        <v>301</v>
      </c>
      <c r="B4" s="1090">
        <f t="array" ref="B4:B6">IFERROR(INDEX('REAL-BDGT2026'!C:C,B3),"")</f>
        <v>0</v>
      </c>
      <c r="C4" s="1088"/>
      <c r="D4" s="274" t="s">
        <v>302</v>
      </c>
      <c r="E4" s="276" t="str">
        <f>IFERROR(IF(E3="Ene",INDEX('REAL-BDGT2026'!I:I,B3),IF(E3="Feb",INDEX('REAL-BDGT2026'!J:J,B3),IF(E3="Mar",INDEX('REAL-BDGT2026'!K:K,B3),IF(E3="Abr",INDEX('REAL-BDGT2026'!L:L,B3),IF(E3="May",INDEX('REAL-BDGT2026'!M:M,B3),""))))),"")</f>
        <v>Abr-26</v>
      </c>
      <c r="F4" s="7"/>
      <c r="G4" s="7"/>
      <c r="H4" s="7"/>
      <c r="I4" s="7"/>
      <c r="J4" s="7"/>
      <c r="K4" s="7"/>
    </row>
    <row r="5" spans="1:11" ht="3.75" customHeight="1" x14ac:dyDescent="0.3">
      <c r="A5" s="7"/>
      <c r="B5" s="7">
        <v>0</v>
      </c>
      <c r="C5" s="7"/>
      <c r="D5" s="7"/>
      <c r="E5" s="7" t="s">
        <v>0</v>
      </c>
      <c r="F5" s="7"/>
      <c r="G5" s="7"/>
      <c r="H5" s="7"/>
      <c r="I5" s="7"/>
      <c r="J5" s="7"/>
      <c r="K5" s="7"/>
    </row>
    <row r="6" spans="1:11" ht="15.75" customHeight="1" x14ac:dyDescent="0.3">
      <c r="A6" s="277" t="s">
        <v>303</v>
      </c>
      <c r="B6" s="277">
        <v>0</v>
      </c>
      <c r="C6" s="277" t="s">
        <v>304</v>
      </c>
      <c r="D6" s="277" t="s">
        <v>305</v>
      </c>
      <c r="E6" s="277"/>
      <c r="F6" s="277" t="s">
        <v>306</v>
      </c>
      <c r="G6" s="277" t="s">
        <v>307</v>
      </c>
      <c r="H6" s="277" t="s">
        <v>308</v>
      </c>
      <c r="I6" s="277" t="s">
        <v>309</v>
      </c>
      <c r="J6" s="277" t="s">
        <v>310</v>
      </c>
      <c r="K6" s="277" t="s">
        <v>311</v>
      </c>
    </row>
    <row r="7" spans="1:11" ht="14.4" hidden="1" customHeight="1" x14ac:dyDescent="0.3">
      <c r="A7" s="278" t="s">
        <v>312</v>
      </c>
      <c r="B7" s="279">
        <v>8</v>
      </c>
      <c r="C7" s="278" t="s">
        <v>10</v>
      </c>
      <c r="D7" s="279" t="s">
        <v>313</v>
      </c>
      <c r="E7" s="278" t="s">
        <v>314</v>
      </c>
      <c r="F7" s="278" t="s">
        <v>315</v>
      </c>
      <c r="G7" s="280">
        <v>0</v>
      </c>
      <c r="H7" s="280">
        <v>233287591.02000001</v>
      </c>
      <c r="I7" s="281">
        <v>-233287591.02000001</v>
      </c>
      <c r="J7" s="282"/>
      <c r="K7" s="7"/>
    </row>
    <row r="8" spans="1:11" ht="14.4" hidden="1" customHeight="1" x14ac:dyDescent="0.3">
      <c r="A8" s="283" t="s">
        <v>312</v>
      </c>
      <c r="B8" s="284">
        <v>8</v>
      </c>
      <c r="C8" s="283" t="s">
        <v>10</v>
      </c>
      <c r="D8" s="284" t="s">
        <v>313</v>
      </c>
      <c r="E8" s="283"/>
      <c r="F8" s="283" t="s">
        <v>316</v>
      </c>
      <c r="G8" s="285">
        <v>256042440</v>
      </c>
      <c r="H8" s="285">
        <v>0</v>
      </c>
      <c r="I8" s="286">
        <v>256042440</v>
      </c>
      <c r="J8" s="287"/>
      <c r="K8" s="7"/>
    </row>
    <row r="9" spans="1:11" ht="14.4" hidden="1" customHeight="1" x14ac:dyDescent="0.3">
      <c r="A9" s="278" t="s">
        <v>312</v>
      </c>
      <c r="B9" s="279">
        <v>8</v>
      </c>
      <c r="C9" s="278" t="s">
        <v>10</v>
      </c>
      <c r="D9" s="279" t="s">
        <v>313</v>
      </c>
      <c r="E9" s="278"/>
      <c r="F9" s="278" t="s">
        <v>317</v>
      </c>
      <c r="G9" s="280">
        <v>233287591.02000001</v>
      </c>
      <c r="H9" s="280">
        <v>0</v>
      </c>
      <c r="I9" s="281">
        <v>233287591.02000001</v>
      </c>
      <c r="J9" s="282"/>
      <c r="K9" s="7"/>
    </row>
    <row r="10" spans="1:11" ht="14.4" hidden="1" customHeight="1" x14ac:dyDescent="0.3">
      <c r="A10" s="283" t="s">
        <v>312</v>
      </c>
      <c r="B10" s="284">
        <v>8</v>
      </c>
      <c r="C10" s="283" t="s">
        <v>10</v>
      </c>
      <c r="D10" s="284" t="s">
        <v>313</v>
      </c>
      <c r="E10" s="283"/>
      <c r="F10" s="283" t="s">
        <v>318</v>
      </c>
      <c r="G10" s="285">
        <v>0</v>
      </c>
      <c r="H10" s="285">
        <v>256654273.28999999</v>
      </c>
      <c r="I10" s="286">
        <v>-256654273.28999999</v>
      </c>
      <c r="J10" s="287"/>
      <c r="K10" s="7"/>
    </row>
    <row r="11" spans="1:11" ht="14.4" hidden="1" customHeight="1" x14ac:dyDescent="0.3">
      <c r="A11" s="278" t="s">
        <v>312</v>
      </c>
      <c r="B11" s="279">
        <v>8</v>
      </c>
      <c r="C11" s="278" t="s">
        <v>10</v>
      </c>
      <c r="D11" s="279" t="s">
        <v>313</v>
      </c>
      <c r="E11" s="278"/>
      <c r="F11" s="278" t="s">
        <v>319</v>
      </c>
      <c r="G11" s="280">
        <v>0</v>
      </c>
      <c r="H11" s="280">
        <v>254210302.5</v>
      </c>
      <c r="I11" s="281">
        <v>-254210302.5</v>
      </c>
      <c r="J11" s="282"/>
      <c r="K11" s="7"/>
    </row>
    <row r="12" spans="1:11" ht="14.4" hidden="1" customHeight="1" x14ac:dyDescent="0.3">
      <c r="A12" s="288" t="s">
        <v>312</v>
      </c>
      <c r="B12" s="288">
        <v>8</v>
      </c>
      <c r="C12" s="289" t="s">
        <v>10</v>
      </c>
      <c r="D12" s="288" t="s">
        <v>320</v>
      </c>
      <c r="E12" s="290"/>
      <c r="F12" s="289" t="s">
        <v>321</v>
      </c>
      <c r="G12" s="291">
        <v>489330031.01999998</v>
      </c>
      <c r="H12" s="291">
        <v>744152166.80999994</v>
      </c>
      <c r="I12" s="292">
        <v>-254822135.78999999</v>
      </c>
      <c r="J12" s="292">
        <v>254822135.78999999</v>
      </c>
      <c r="K12" s="293">
        <v>0</v>
      </c>
    </row>
    <row r="13" spans="1:11" ht="14.4" hidden="1" customHeight="1" x14ac:dyDescent="0.3">
      <c r="A13" s="278" t="s">
        <v>312</v>
      </c>
      <c r="B13" s="279">
        <v>9</v>
      </c>
      <c r="C13" s="278" t="s">
        <v>11</v>
      </c>
      <c r="D13" s="279" t="s">
        <v>313</v>
      </c>
      <c r="E13" s="278" t="s">
        <v>314</v>
      </c>
      <c r="F13" s="278" t="s">
        <v>322</v>
      </c>
      <c r="G13" s="280">
        <v>0</v>
      </c>
      <c r="H13" s="280">
        <v>30637825.739999998</v>
      </c>
      <c r="I13" s="281">
        <v>-30637825.739999998</v>
      </c>
      <c r="J13" s="282"/>
      <c r="K13" s="7"/>
    </row>
    <row r="14" spans="1:11" ht="14.4" hidden="1" customHeight="1" x14ac:dyDescent="0.3">
      <c r="A14" s="283" t="s">
        <v>312</v>
      </c>
      <c r="B14" s="284">
        <v>9</v>
      </c>
      <c r="C14" s="283" t="s">
        <v>11</v>
      </c>
      <c r="D14" s="284" t="s">
        <v>313</v>
      </c>
      <c r="E14" s="283"/>
      <c r="F14" s="283" t="s">
        <v>323</v>
      </c>
      <c r="G14" s="285">
        <v>30637825.739999998</v>
      </c>
      <c r="H14" s="285">
        <v>0</v>
      </c>
      <c r="I14" s="286">
        <v>30637825.739999998</v>
      </c>
      <c r="J14" s="287"/>
      <c r="K14" s="7"/>
    </row>
    <row r="15" spans="1:11" ht="14.4" hidden="1" customHeight="1" x14ac:dyDescent="0.3">
      <c r="A15" s="278" t="s">
        <v>312</v>
      </c>
      <c r="B15" s="279">
        <v>9</v>
      </c>
      <c r="C15" s="278" t="s">
        <v>11</v>
      </c>
      <c r="D15" s="279" t="s">
        <v>313</v>
      </c>
      <c r="E15" s="278"/>
      <c r="F15" s="278" t="s">
        <v>324</v>
      </c>
      <c r="G15" s="280">
        <v>30875706</v>
      </c>
      <c r="H15" s="280">
        <v>0</v>
      </c>
      <c r="I15" s="281">
        <v>30875706</v>
      </c>
      <c r="J15" s="282"/>
      <c r="K15" s="7"/>
    </row>
    <row r="16" spans="1:11" ht="14.4" hidden="1" customHeight="1" x14ac:dyDescent="0.3">
      <c r="A16" s="283" t="s">
        <v>312</v>
      </c>
      <c r="B16" s="284">
        <v>9</v>
      </c>
      <c r="C16" s="283" t="s">
        <v>11</v>
      </c>
      <c r="D16" s="284" t="s">
        <v>313</v>
      </c>
      <c r="E16" s="283"/>
      <c r="F16" s="283" t="s">
        <v>325</v>
      </c>
      <c r="G16" s="285">
        <v>0</v>
      </c>
      <c r="H16" s="285">
        <v>34381801.109999999</v>
      </c>
      <c r="I16" s="286">
        <v>-34381801.109999999</v>
      </c>
      <c r="J16" s="287"/>
      <c r="K16" s="7"/>
    </row>
    <row r="17" spans="1:11" ht="14.4" hidden="1" customHeight="1" x14ac:dyDescent="0.3">
      <c r="A17" s="278" t="s">
        <v>312</v>
      </c>
      <c r="B17" s="279">
        <v>9</v>
      </c>
      <c r="C17" s="278" t="s">
        <v>11</v>
      </c>
      <c r="D17" s="279" t="s">
        <v>313</v>
      </c>
      <c r="E17" s="278"/>
      <c r="F17" s="278" t="s">
        <v>326</v>
      </c>
      <c r="G17" s="280">
        <v>0</v>
      </c>
      <c r="H17" s="280">
        <v>30813370</v>
      </c>
      <c r="I17" s="281">
        <v>-30813370</v>
      </c>
      <c r="J17" s="282"/>
      <c r="K17" s="7"/>
    </row>
    <row r="18" spans="1:11" ht="14.4" hidden="1" customHeight="1" x14ac:dyDescent="0.3">
      <c r="A18" s="288" t="s">
        <v>312</v>
      </c>
      <c r="B18" s="288">
        <v>9</v>
      </c>
      <c r="C18" s="289" t="s">
        <v>11</v>
      </c>
      <c r="D18" s="288" t="s">
        <v>320</v>
      </c>
      <c r="E18" s="290"/>
      <c r="F18" s="289" t="s">
        <v>321</v>
      </c>
      <c r="G18" s="291">
        <v>61513531.739999987</v>
      </c>
      <c r="H18" s="291">
        <v>95832996.849999994</v>
      </c>
      <c r="I18" s="292">
        <v>-34319465.109999999</v>
      </c>
      <c r="J18" s="292">
        <v>34319465.109999999</v>
      </c>
      <c r="K18" s="293">
        <v>0</v>
      </c>
    </row>
    <row r="19" spans="1:11" ht="14.4" hidden="1" customHeight="1" x14ac:dyDescent="0.3">
      <c r="A19" s="278" t="s">
        <v>312</v>
      </c>
      <c r="B19" s="279">
        <v>10</v>
      </c>
      <c r="C19" s="278" t="s">
        <v>12</v>
      </c>
      <c r="D19" s="279" t="s">
        <v>313</v>
      </c>
      <c r="E19" s="278" t="s">
        <v>314</v>
      </c>
      <c r="F19" s="278" t="s">
        <v>327</v>
      </c>
      <c r="G19" s="280">
        <v>0</v>
      </c>
      <c r="H19" s="280">
        <v>129628020.06</v>
      </c>
      <c r="I19" s="281">
        <v>-129628020.06</v>
      </c>
      <c r="J19" s="282"/>
      <c r="K19" s="7"/>
    </row>
    <row r="20" spans="1:11" ht="14.4" hidden="1" customHeight="1" x14ac:dyDescent="0.3">
      <c r="A20" s="283" t="s">
        <v>312</v>
      </c>
      <c r="B20" s="284">
        <v>10</v>
      </c>
      <c r="C20" s="283" t="s">
        <v>12</v>
      </c>
      <c r="D20" s="284" t="s">
        <v>313</v>
      </c>
      <c r="E20" s="283"/>
      <c r="F20" s="283" t="s">
        <v>328</v>
      </c>
      <c r="G20" s="285">
        <v>129628020.06</v>
      </c>
      <c r="H20" s="285">
        <v>0</v>
      </c>
      <c r="I20" s="286">
        <v>129628020.06</v>
      </c>
      <c r="J20" s="287"/>
      <c r="K20" s="7"/>
    </row>
    <row r="21" spans="1:11" ht="15.75" hidden="1" customHeight="1" x14ac:dyDescent="0.3">
      <c r="A21" s="278" t="s">
        <v>312</v>
      </c>
      <c r="B21" s="279">
        <v>10</v>
      </c>
      <c r="C21" s="278" t="s">
        <v>12</v>
      </c>
      <c r="D21" s="279" t="s">
        <v>313</v>
      </c>
      <c r="E21" s="278"/>
      <c r="F21" s="278" t="s">
        <v>329</v>
      </c>
      <c r="G21" s="280">
        <v>140576859</v>
      </c>
      <c r="H21" s="280">
        <v>0</v>
      </c>
      <c r="I21" s="281">
        <v>140576859</v>
      </c>
      <c r="J21" s="282"/>
      <c r="K21" s="7"/>
    </row>
    <row r="22" spans="1:11" ht="15.75" hidden="1" customHeight="1" x14ac:dyDescent="0.3">
      <c r="A22" s="283" t="s">
        <v>312</v>
      </c>
      <c r="B22" s="284">
        <v>10</v>
      </c>
      <c r="C22" s="283" t="s">
        <v>12</v>
      </c>
      <c r="D22" s="284" t="s">
        <v>313</v>
      </c>
      <c r="E22" s="283"/>
      <c r="F22" s="283" t="s">
        <v>330</v>
      </c>
      <c r="G22" s="285">
        <v>0</v>
      </c>
      <c r="H22" s="285">
        <v>143554892.03</v>
      </c>
      <c r="I22" s="286">
        <v>-143554892.03</v>
      </c>
      <c r="J22" s="287"/>
      <c r="K22" s="7"/>
    </row>
    <row r="23" spans="1:11" ht="15.75" hidden="1" customHeight="1" x14ac:dyDescent="0.3">
      <c r="A23" s="278" t="s">
        <v>312</v>
      </c>
      <c r="B23" s="279">
        <v>10</v>
      </c>
      <c r="C23" s="278" t="s">
        <v>12</v>
      </c>
      <c r="D23" s="279" t="s">
        <v>313</v>
      </c>
      <c r="E23" s="278"/>
      <c r="F23" s="278" t="s">
        <v>331</v>
      </c>
      <c r="G23" s="280">
        <v>0</v>
      </c>
      <c r="H23" s="280">
        <v>126347606</v>
      </c>
      <c r="I23" s="281">
        <v>-126347606</v>
      </c>
      <c r="J23" s="282"/>
      <c r="K23" s="7"/>
    </row>
    <row r="24" spans="1:11" ht="15.75" hidden="1" customHeight="1" x14ac:dyDescent="0.3">
      <c r="A24" s="288" t="s">
        <v>312</v>
      </c>
      <c r="B24" s="288">
        <v>10</v>
      </c>
      <c r="C24" s="289" t="s">
        <v>12</v>
      </c>
      <c r="D24" s="288" t="s">
        <v>320</v>
      </c>
      <c r="E24" s="290"/>
      <c r="F24" s="289" t="s">
        <v>321</v>
      </c>
      <c r="G24" s="291">
        <v>270204879.06</v>
      </c>
      <c r="H24" s="291">
        <v>399530518.08999997</v>
      </c>
      <c r="I24" s="292">
        <v>-129325639.03</v>
      </c>
      <c r="J24" s="292">
        <v>129325639.03</v>
      </c>
      <c r="K24" s="293">
        <v>0</v>
      </c>
    </row>
    <row r="25" spans="1:11" ht="15.75" hidden="1" customHeight="1" x14ac:dyDescent="0.3">
      <c r="A25" s="278" t="s">
        <v>312</v>
      </c>
      <c r="B25" s="279">
        <v>11</v>
      </c>
      <c r="C25" s="278" t="s">
        <v>13</v>
      </c>
      <c r="D25" s="279" t="s">
        <v>313</v>
      </c>
      <c r="E25" s="278" t="s">
        <v>314</v>
      </c>
      <c r="F25" s="278" t="s">
        <v>332</v>
      </c>
      <c r="G25" s="280">
        <v>0</v>
      </c>
      <c r="H25" s="280">
        <v>12858928.77</v>
      </c>
      <c r="I25" s="281">
        <v>-12858928.77</v>
      </c>
      <c r="J25" s="282"/>
      <c r="K25" s="7"/>
    </row>
    <row r="26" spans="1:11" ht="15.75" hidden="1" customHeight="1" x14ac:dyDescent="0.3">
      <c r="A26" s="283" t="s">
        <v>312</v>
      </c>
      <c r="B26" s="284">
        <v>11</v>
      </c>
      <c r="C26" s="283" t="s">
        <v>13</v>
      </c>
      <c r="D26" s="284" t="s">
        <v>313</v>
      </c>
      <c r="E26" s="283"/>
      <c r="F26" s="283" t="s">
        <v>333</v>
      </c>
      <c r="G26" s="285">
        <v>12648510</v>
      </c>
      <c r="H26" s="285">
        <v>0</v>
      </c>
      <c r="I26" s="286">
        <v>12648510</v>
      </c>
      <c r="J26" s="287"/>
      <c r="K26" s="7"/>
    </row>
    <row r="27" spans="1:11" ht="15.75" hidden="1" customHeight="1" x14ac:dyDescent="0.3">
      <c r="A27" s="278" t="s">
        <v>312</v>
      </c>
      <c r="B27" s="279">
        <v>11</v>
      </c>
      <c r="C27" s="278" t="s">
        <v>13</v>
      </c>
      <c r="D27" s="279" t="s">
        <v>313</v>
      </c>
      <c r="E27" s="278"/>
      <c r="F27" s="278" t="s">
        <v>334</v>
      </c>
      <c r="G27" s="280">
        <v>12858928.77</v>
      </c>
      <c r="H27" s="280">
        <v>0</v>
      </c>
      <c r="I27" s="281">
        <v>12858928.77</v>
      </c>
      <c r="J27" s="282"/>
      <c r="K27" s="7"/>
    </row>
    <row r="28" spans="1:11" ht="15.75" hidden="1" customHeight="1" x14ac:dyDescent="0.3">
      <c r="A28" s="283" t="s">
        <v>312</v>
      </c>
      <c r="B28" s="284">
        <v>11</v>
      </c>
      <c r="C28" s="283" t="s">
        <v>13</v>
      </c>
      <c r="D28" s="284" t="s">
        <v>313</v>
      </c>
      <c r="E28" s="283"/>
      <c r="F28" s="283" t="s">
        <v>335</v>
      </c>
      <c r="G28" s="285">
        <v>0</v>
      </c>
      <c r="H28" s="285">
        <v>14422465.68</v>
      </c>
      <c r="I28" s="286">
        <v>-14422465.68</v>
      </c>
      <c r="J28" s="287"/>
      <c r="K28" s="7"/>
    </row>
    <row r="29" spans="1:11" ht="15.75" hidden="1" customHeight="1" x14ac:dyDescent="0.3">
      <c r="A29" s="278" t="s">
        <v>312</v>
      </c>
      <c r="B29" s="279">
        <v>11</v>
      </c>
      <c r="C29" s="278" t="s">
        <v>13</v>
      </c>
      <c r="D29" s="279" t="s">
        <v>313</v>
      </c>
      <c r="E29" s="278"/>
      <c r="F29" s="278" t="s">
        <v>336</v>
      </c>
      <c r="G29" s="280">
        <v>0</v>
      </c>
      <c r="H29" s="280">
        <v>10049941.720000001</v>
      </c>
      <c r="I29" s="281">
        <v>-10049941.720000001</v>
      </c>
      <c r="J29" s="282"/>
      <c r="K29" s="7"/>
    </row>
    <row r="30" spans="1:11" ht="15.75" hidden="1" customHeight="1" x14ac:dyDescent="0.3">
      <c r="A30" s="288" t="s">
        <v>312</v>
      </c>
      <c r="B30" s="288">
        <v>11</v>
      </c>
      <c r="C30" s="289" t="s">
        <v>13</v>
      </c>
      <c r="D30" s="288" t="s">
        <v>320</v>
      </c>
      <c r="E30" s="290"/>
      <c r="F30" s="289" t="s">
        <v>321</v>
      </c>
      <c r="G30" s="291">
        <v>25507438.77</v>
      </c>
      <c r="H30" s="291">
        <v>37331336.170000002</v>
      </c>
      <c r="I30" s="292">
        <v>-11823897.4</v>
      </c>
      <c r="J30" s="292">
        <v>11823897.406300001</v>
      </c>
      <c r="K30" s="293">
        <v>-6.300000473856926E-3</v>
      </c>
    </row>
    <row r="31" spans="1:11" ht="15.75" hidden="1" customHeight="1" x14ac:dyDescent="0.3">
      <c r="A31" s="278" t="s">
        <v>312</v>
      </c>
      <c r="B31" s="279">
        <v>12</v>
      </c>
      <c r="C31" s="278" t="s">
        <v>14</v>
      </c>
      <c r="D31" s="279" t="s">
        <v>313</v>
      </c>
      <c r="E31" s="278" t="s">
        <v>314</v>
      </c>
      <c r="F31" s="278" t="s">
        <v>337</v>
      </c>
      <c r="G31" s="280">
        <v>0</v>
      </c>
      <c r="H31" s="280">
        <v>2450645.86</v>
      </c>
      <c r="I31" s="281">
        <v>-2450645.86</v>
      </c>
      <c r="J31" s="282"/>
      <c r="K31" s="7"/>
    </row>
    <row r="32" spans="1:11" ht="15.75" hidden="1" customHeight="1" x14ac:dyDescent="0.3">
      <c r="A32" s="283" t="s">
        <v>312</v>
      </c>
      <c r="B32" s="284">
        <v>12</v>
      </c>
      <c r="C32" s="283" t="s">
        <v>14</v>
      </c>
      <c r="D32" s="284" t="s">
        <v>313</v>
      </c>
      <c r="E32" s="283"/>
      <c r="F32" s="283" t="s">
        <v>338</v>
      </c>
      <c r="G32" s="285">
        <v>2450645.86</v>
      </c>
      <c r="H32" s="285">
        <v>0</v>
      </c>
      <c r="I32" s="286">
        <v>2450645.86</v>
      </c>
      <c r="J32" s="287"/>
      <c r="K32" s="7"/>
    </row>
    <row r="33" spans="1:11" ht="15.75" hidden="1" customHeight="1" x14ac:dyDescent="0.3">
      <c r="A33" s="278" t="s">
        <v>312</v>
      </c>
      <c r="B33" s="279">
        <v>12</v>
      </c>
      <c r="C33" s="278" t="s">
        <v>14</v>
      </c>
      <c r="D33" s="279" t="s">
        <v>313</v>
      </c>
      <c r="E33" s="278"/>
      <c r="F33" s="278" t="s">
        <v>339</v>
      </c>
      <c r="G33" s="280">
        <v>2409240</v>
      </c>
      <c r="H33" s="280">
        <v>0</v>
      </c>
      <c r="I33" s="281">
        <v>2409240</v>
      </c>
      <c r="J33" s="282"/>
      <c r="K33" s="7"/>
    </row>
    <row r="34" spans="1:11" ht="15.75" hidden="1" customHeight="1" x14ac:dyDescent="0.3">
      <c r="A34" s="283" t="s">
        <v>312</v>
      </c>
      <c r="B34" s="284">
        <v>12</v>
      </c>
      <c r="C34" s="283" t="s">
        <v>14</v>
      </c>
      <c r="D34" s="284" t="s">
        <v>313</v>
      </c>
      <c r="E34" s="283"/>
      <c r="F34" s="283" t="s">
        <v>340</v>
      </c>
      <c r="G34" s="285">
        <v>0</v>
      </c>
      <c r="H34" s="285">
        <v>2750304.86</v>
      </c>
      <c r="I34" s="286">
        <v>-2750304.86</v>
      </c>
      <c r="J34" s="287"/>
      <c r="K34" s="7"/>
    </row>
    <row r="35" spans="1:11" ht="15.75" hidden="1" customHeight="1" x14ac:dyDescent="0.3">
      <c r="A35" s="278" t="s">
        <v>312</v>
      </c>
      <c r="B35" s="279">
        <v>12</v>
      </c>
      <c r="C35" s="278" t="s">
        <v>14</v>
      </c>
      <c r="D35" s="279" t="s">
        <v>313</v>
      </c>
      <c r="E35" s="278"/>
      <c r="F35" s="278" t="s">
        <v>341</v>
      </c>
      <c r="G35" s="280">
        <v>0</v>
      </c>
      <c r="H35" s="280">
        <v>2632678.27</v>
      </c>
      <c r="I35" s="281">
        <v>-2632678.27</v>
      </c>
      <c r="J35" s="282"/>
      <c r="K35" s="7"/>
    </row>
    <row r="36" spans="1:11" ht="15.75" hidden="1" customHeight="1" x14ac:dyDescent="0.3">
      <c r="A36" s="288" t="s">
        <v>312</v>
      </c>
      <c r="B36" s="288">
        <v>12</v>
      </c>
      <c r="C36" s="289" t="s">
        <v>14</v>
      </c>
      <c r="D36" s="288" t="s">
        <v>320</v>
      </c>
      <c r="E36" s="290"/>
      <c r="F36" s="289" t="s">
        <v>321</v>
      </c>
      <c r="G36" s="291">
        <v>4859885.8599999994</v>
      </c>
      <c r="H36" s="291">
        <v>7833628.9900000002</v>
      </c>
      <c r="I36" s="292">
        <v>-2973743.13</v>
      </c>
      <c r="J36" s="292">
        <v>2973743.1354999999</v>
      </c>
      <c r="K36" s="293">
        <v>-5.4999999701976776E-3</v>
      </c>
    </row>
    <row r="37" spans="1:11" ht="15.75" hidden="1" customHeight="1" x14ac:dyDescent="0.3">
      <c r="A37" s="278" t="s">
        <v>312</v>
      </c>
      <c r="B37" s="279">
        <v>13</v>
      </c>
      <c r="C37" s="278" t="s">
        <v>15</v>
      </c>
      <c r="D37" s="279" t="s">
        <v>313</v>
      </c>
      <c r="E37" s="278" t="s">
        <v>314</v>
      </c>
      <c r="F37" s="278" t="s">
        <v>342</v>
      </c>
      <c r="G37" s="280">
        <v>0</v>
      </c>
      <c r="H37" s="280">
        <v>4122534</v>
      </c>
      <c r="I37" s="281">
        <v>-4122534</v>
      </c>
      <c r="J37" s="282"/>
      <c r="K37" s="7"/>
    </row>
    <row r="38" spans="1:11" ht="15.75" hidden="1" customHeight="1" x14ac:dyDescent="0.3">
      <c r="A38" s="283" t="s">
        <v>312</v>
      </c>
      <c r="B38" s="284">
        <v>13</v>
      </c>
      <c r="C38" s="283" t="s">
        <v>15</v>
      </c>
      <c r="D38" s="284" t="s">
        <v>313</v>
      </c>
      <c r="E38" s="283"/>
      <c r="F38" s="283" t="s">
        <v>343</v>
      </c>
      <c r="G38" s="285">
        <v>4122534</v>
      </c>
      <c r="H38" s="285">
        <v>0</v>
      </c>
      <c r="I38" s="286">
        <v>4122534</v>
      </c>
      <c r="J38" s="287"/>
      <c r="K38" s="7"/>
    </row>
    <row r="39" spans="1:11" ht="15.75" hidden="1" customHeight="1" x14ac:dyDescent="0.3">
      <c r="A39" s="278" t="s">
        <v>312</v>
      </c>
      <c r="B39" s="279">
        <v>13</v>
      </c>
      <c r="C39" s="278" t="s">
        <v>15</v>
      </c>
      <c r="D39" s="279" t="s">
        <v>313</v>
      </c>
      <c r="E39" s="278"/>
      <c r="F39" s="278" t="s">
        <v>344</v>
      </c>
      <c r="G39" s="280">
        <v>3901500</v>
      </c>
      <c r="H39" s="280">
        <v>0</v>
      </c>
      <c r="I39" s="281">
        <v>3901500</v>
      </c>
      <c r="J39" s="282"/>
      <c r="K39" s="7"/>
    </row>
    <row r="40" spans="1:11" ht="15.75" hidden="1" customHeight="1" x14ac:dyDescent="0.3">
      <c r="A40" s="283" t="s">
        <v>312</v>
      </c>
      <c r="B40" s="284">
        <v>13</v>
      </c>
      <c r="C40" s="283" t="s">
        <v>15</v>
      </c>
      <c r="D40" s="284" t="s">
        <v>313</v>
      </c>
      <c r="E40" s="283"/>
      <c r="F40" s="283" t="s">
        <v>345</v>
      </c>
      <c r="G40" s="285">
        <v>0</v>
      </c>
      <c r="H40" s="285">
        <v>4722130.2300000004</v>
      </c>
      <c r="I40" s="286">
        <v>-4722130.2300000004</v>
      </c>
      <c r="J40" s="287"/>
      <c r="K40" s="7"/>
    </row>
    <row r="41" spans="1:11" ht="15.75" hidden="1" customHeight="1" x14ac:dyDescent="0.3">
      <c r="A41" s="278" t="s">
        <v>312</v>
      </c>
      <c r="B41" s="279">
        <v>13</v>
      </c>
      <c r="C41" s="278" t="s">
        <v>15</v>
      </c>
      <c r="D41" s="279" t="s">
        <v>313</v>
      </c>
      <c r="E41" s="278"/>
      <c r="F41" s="278" t="s">
        <v>346</v>
      </c>
      <c r="G41" s="280">
        <v>0</v>
      </c>
      <c r="H41" s="280">
        <v>2932439.68</v>
      </c>
      <c r="I41" s="281">
        <v>-2932439.68</v>
      </c>
      <c r="J41" s="282"/>
      <c r="K41" s="7"/>
    </row>
    <row r="42" spans="1:11" ht="15.75" hidden="1" customHeight="1" x14ac:dyDescent="0.3">
      <c r="A42" s="288" t="s">
        <v>312</v>
      </c>
      <c r="B42" s="288">
        <v>13</v>
      </c>
      <c r="C42" s="289" t="s">
        <v>15</v>
      </c>
      <c r="D42" s="288" t="s">
        <v>320</v>
      </c>
      <c r="E42" s="290"/>
      <c r="F42" s="289" t="s">
        <v>321</v>
      </c>
      <c r="G42" s="291">
        <v>8024034</v>
      </c>
      <c r="H42" s="291">
        <v>11777103.91</v>
      </c>
      <c r="I42" s="292">
        <v>-3753069.9100000011</v>
      </c>
      <c r="J42" s="292">
        <v>3753069.9171000002</v>
      </c>
      <c r="K42" s="293">
        <v>-7.0999995805323124E-3</v>
      </c>
    </row>
    <row r="43" spans="1:11" ht="15.75" hidden="1" customHeight="1" x14ac:dyDescent="0.3">
      <c r="A43" s="278" t="s">
        <v>312</v>
      </c>
      <c r="B43" s="279">
        <v>14</v>
      </c>
      <c r="C43" s="278" t="s">
        <v>16</v>
      </c>
      <c r="D43" s="279" t="s">
        <v>313</v>
      </c>
      <c r="E43" s="278" t="s">
        <v>314</v>
      </c>
      <c r="F43" s="278" t="s">
        <v>347</v>
      </c>
      <c r="G43" s="280">
        <v>0</v>
      </c>
      <c r="H43" s="280">
        <v>1268396661</v>
      </c>
      <c r="I43" s="281">
        <v>-1268396661</v>
      </c>
      <c r="J43" s="282"/>
      <c r="K43" s="7"/>
    </row>
    <row r="44" spans="1:11" ht="15.75" hidden="1" customHeight="1" x14ac:dyDescent="0.3">
      <c r="A44" s="283" t="s">
        <v>312</v>
      </c>
      <c r="B44" s="284">
        <v>14</v>
      </c>
      <c r="C44" s="283" t="s">
        <v>16</v>
      </c>
      <c r="D44" s="284" t="s">
        <v>313</v>
      </c>
      <c r="E44" s="283"/>
      <c r="F44" s="283" t="s">
        <v>348</v>
      </c>
      <c r="G44" s="285">
        <v>1389546000</v>
      </c>
      <c r="H44" s="285">
        <v>0</v>
      </c>
      <c r="I44" s="286">
        <v>1389546000</v>
      </c>
      <c r="J44" s="287"/>
      <c r="K44" s="7"/>
    </row>
    <row r="45" spans="1:11" ht="15.75" hidden="1" customHeight="1" x14ac:dyDescent="0.3">
      <c r="A45" s="278" t="s">
        <v>312</v>
      </c>
      <c r="B45" s="279">
        <v>14</v>
      </c>
      <c r="C45" s="278" t="s">
        <v>16</v>
      </c>
      <c r="D45" s="279" t="s">
        <v>313</v>
      </c>
      <c r="E45" s="278"/>
      <c r="F45" s="278" t="s">
        <v>349</v>
      </c>
      <c r="G45" s="280">
        <v>1268396661</v>
      </c>
      <c r="H45" s="280">
        <v>0</v>
      </c>
      <c r="I45" s="281">
        <v>1268396661</v>
      </c>
      <c r="J45" s="282"/>
      <c r="K45" s="7"/>
    </row>
    <row r="46" spans="1:11" ht="15.75" hidden="1" customHeight="1" x14ac:dyDescent="0.3">
      <c r="A46" s="283" t="s">
        <v>312</v>
      </c>
      <c r="B46" s="284">
        <v>14</v>
      </c>
      <c r="C46" s="283" t="s">
        <v>16</v>
      </c>
      <c r="D46" s="284" t="s">
        <v>313</v>
      </c>
      <c r="E46" s="283"/>
      <c r="F46" s="283" t="s">
        <v>350</v>
      </c>
      <c r="G46" s="285">
        <v>0</v>
      </c>
      <c r="H46" s="285">
        <v>1404991911.96</v>
      </c>
      <c r="I46" s="286">
        <v>-1404991911.96</v>
      </c>
      <c r="J46" s="287"/>
      <c r="K46" s="7"/>
    </row>
    <row r="47" spans="1:11" ht="15.75" hidden="1" customHeight="1" x14ac:dyDescent="0.3">
      <c r="A47" s="278" t="s">
        <v>312</v>
      </c>
      <c r="B47" s="279">
        <v>14</v>
      </c>
      <c r="C47" s="278" t="s">
        <v>16</v>
      </c>
      <c r="D47" s="279" t="s">
        <v>313</v>
      </c>
      <c r="E47" s="278"/>
      <c r="F47" s="278" t="s">
        <v>351</v>
      </c>
      <c r="G47" s="280">
        <v>0</v>
      </c>
      <c r="H47" s="280">
        <v>1396060029</v>
      </c>
      <c r="I47" s="281">
        <v>-1396060029</v>
      </c>
      <c r="J47" s="282"/>
      <c r="K47" s="7"/>
    </row>
    <row r="48" spans="1:11" ht="15.75" hidden="1" customHeight="1" x14ac:dyDescent="0.3">
      <c r="A48" s="288" t="s">
        <v>312</v>
      </c>
      <c r="B48" s="288">
        <v>14</v>
      </c>
      <c r="C48" s="289" t="s">
        <v>16</v>
      </c>
      <c r="D48" s="288" t="s">
        <v>320</v>
      </c>
      <c r="E48" s="290"/>
      <c r="F48" s="289" t="s">
        <v>321</v>
      </c>
      <c r="G48" s="291">
        <v>2657942661</v>
      </c>
      <c r="H48" s="291">
        <v>4069448601.96</v>
      </c>
      <c r="I48" s="292">
        <v>-1411505940.96</v>
      </c>
      <c r="J48" s="292">
        <v>1411505940.96</v>
      </c>
      <c r="K48" s="293">
        <v>0</v>
      </c>
    </row>
    <row r="49" spans="1:11" ht="15.75" hidden="1" customHeight="1" x14ac:dyDescent="0.3">
      <c r="A49" s="278" t="s">
        <v>312</v>
      </c>
      <c r="B49" s="279">
        <v>15</v>
      </c>
      <c r="C49" s="278" t="s">
        <v>17</v>
      </c>
      <c r="D49" s="279" t="s">
        <v>313</v>
      </c>
      <c r="E49" s="278" t="s">
        <v>314</v>
      </c>
      <c r="F49" s="278" t="s">
        <v>352</v>
      </c>
      <c r="G49" s="280">
        <v>0</v>
      </c>
      <c r="H49" s="280">
        <v>37492525.200000003</v>
      </c>
      <c r="I49" s="281">
        <v>-37492525.200000003</v>
      </c>
      <c r="J49" s="282"/>
      <c r="K49" s="7"/>
    </row>
    <row r="50" spans="1:11" ht="15.75" hidden="1" customHeight="1" x14ac:dyDescent="0.3">
      <c r="A50" s="283" t="s">
        <v>312</v>
      </c>
      <c r="B50" s="284">
        <v>15</v>
      </c>
      <c r="C50" s="283" t="s">
        <v>17</v>
      </c>
      <c r="D50" s="284" t="s">
        <v>313</v>
      </c>
      <c r="E50" s="283"/>
      <c r="F50" s="283" t="s">
        <v>353</v>
      </c>
      <c r="G50" s="285">
        <v>37492525.200000003</v>
      </c>
      <c r="H50" s="285">
        <v>0</v>
      </c>
      <c r="I50" s="286">
        <v>37492525.200000003</v>
      </c>
      <c r="J50" s="287"/>
      <c r="K50" s="7"/>
    </row>
    <row r="51" spans="1:11" ht="15.75" hidden="1" customHeight="1" x14ac:dyDescent="0.3">
      <c r="A51" s="278" t="s">
        <v>312</v>
      </c>
      <c r="B51" s="279">
        <v>15</v>
      </c>
      <c r="C51" s="278" t="s">
        <v>17</v>
      </c>
      <c r="D51" s="279" t="s">
        <v>313</v>
      </c>
      <c r="E51" s="278"/>
      <c r="F51" s="278" t="s">
        <v>354</v>
      </c>
      <c r="G51" s="280">
        <v>37791000</v>
      </c>
      <c r="H51" s="280">
        <v>0</v>
      </c>
      <c r="I51" s="281">
        <v>37791000</v>
      </c>
      <c r="J51" s="282"/>
      <c r="K51" s="7"/>
    </row>
    <row r="52" spans="1:11" ht="15.75" hidden="1" customHeight="1" x14ac:dyDescent="0.3">
      <c r="A52" s="283" t="s">
        <v>312</v>
      </c>
      <c r="B52" s="284">
        <v>15</v>
      </c>
      <c r="C52" s="283" t="s">
        <v>17</v>
      </c>
      <c r="D52" s="284" t="s">
        <v>313</v>
      </c>
      <c r="E52" s="283"/>
      <c r="F52" s="283" t="s">
        <v>355</v>
      </c>
      <c r="G52" s="285">
        <v>0</v>
      </c>
      <c r="H52" s="285">
        <v>41086643.759999998</v>
      </c>
      <c r="I52" s="286">
        <v>-41086643.759999998</v>
      </c>
      <c r="J52" s="287"/>
      <c r="K52" s="7"/>
    </row>
    <row r="53" spans="1:11" ht="15.75" hidden="1" customHeight="1" x14ac:dyDescent="0.3">
      <c r="A53" s="278" t="s">
        <v>312</v>
      </c>
      <c r="B53" s="279">
        <v>15</v>
      </c>
      <c r="C53" s="278" t="s">
        <v>17</v>
      </c>
      <c r="D53" s="279" t="s">
        <v>313</v>
      </c>
      <c r="E53" s="278"/>
      <c r="F53" s="278" t="s">
        <v>356</v>
      </c>
      <c r="G53" s="280">
        <v>0</v>
      </c>
      <c r="H53" s="280">
        <v>38671500</v>
      </c>
      <c r="I53" s="281">
        <v>-38671500</v>
      </c>
      <c r="J53" s="282"/>
      <c r="K53" s="7"/>
    </row>
    <row r="54" spans="1:11" ht="15.75" hidden="1" customHeight="1" x14ac:dyDescent="0.3">
      <c r="A54" s="288" t="s">
        <v>312</v>
      </c>
      <c r="B54" s="288">
        <v>15</v>
      </c>
      <c r="C54" s="289" t="s">
        <v>17</v>
      </c>
      <c r="D54" s="288" t="s">
        <v>320</v>
      </c>
      <c r="E54" s="290"/>
      <c r="F54" s="289" t="s">
        <v>321</v>
      </c>
      <c r="G54" s="291">
        <v>75283525.200000003</v>
      </c>
      <c r="H54" s="291">
        <v>117250668.95999999</v>
      </c>
      <c r="I54" s="292">
        <v>-41967143.759999998</v>
      </c>
      <c r="J54" s="292">
        <v>41967143.759999998</v>
      </c>
      <c r="K54" s="293">
        <v>0</v>
      </c>
    </row>
    <row r="55" spans="1:11" ht="15.75" hidden="1" customHeight="1" x14ac:dyDescent="0.3">
      <c r="A55" s="278" t="s">
        <v>312</v>
      </c>
      <c r="B55" s="279">
        <v>17</v>
      </c>
      <c r="C55" s="278" t="s">
        <v>19</v>
      </c>
      <c r="D55" s="279" t="s">
        <v>313</v>
      </c>
      <c r="E55" s="278" t="s">
        <v>19</v>
      </c>
      <c r="F55" s="278" t="s">
        <v>357</v>
      </c>
      <c r="G55" s="280">
        <v>0</v>
      </c>
      <c r="H55" s="280">
        <v>1215432.5</v>
      </c>
      <c r="I55" s="281">
        <v>-1215432.5</v>
      </c>
      <c r="J55" s="282"/>
      <c r="K55" s="7"/>
    </row>
    <row r="56" spans="1:11" ht="15.75" hidden="1" customHeight="1" x14ac:dyDescent="0.3">
      <c r="A56" s="283" t="s">
        <v>312</v>
      </c>
      <c r="B56" s="284">
        <v>17</v>
      </c>
      <c r="C56" s="283" t="s">
        <v>19</v>
      </c>
      <c r="D56" s="284" t="s">
        <v>313</v>
      </c>
      <c r="E56" s="283"/>
      <c r="F56" s="283" t="s">
        <v>358</v>
      </c>
      <c r="G56" s="285">
        <v>1000000</v>
      </c>
      <c r="H56" s="285">
        <v>0</v>
      </c>
      <c r="I56" s="286">
        <v>1000000</v>
      </c>
      <c r="J56" s="287"/>
      <c r="K56" s="7"/>
    </row>
    <row r="57" spans="1:11" ht="15.75" hidden="1" customHeight="1" x14ac:dyDescent="0.3">
      <c r="A57" s="278" t="s">
        <v>312</v>
      </c>
      <c r="B57" s="279">
        <v>17</v>
      </c>
      <c r="C57" s="278" t="s">
        <v>19</v>
      </c>
      <c r="D57" s="279" t="s">
        <v>313</v>
      </c>
      <c r="E57" s="278"/>
      <c r="F57" s="278" t="s">
        <v>359</v>
      </c>
      <c r="G57" s="280">
        <v>0</v>
      </c>
      <c r="H57" s="280">
        <v>1000000</v>
      </c>
      <c r="I57" s="281">
        <v>-1000000</v>
      </c>
      <c r="J57" s="282"/>
      <c r="K57" s="7"/>
    </row>
    <row r="58" spans="1:11" ht="15.75" hidden="1" customHeight="1" x14ac:dyDescent="0.3">
      <c r="A58" s="288" t="s">
        <v>312</v>
      </c>
      <c r="B58" s="288">
        <v>17</v>
      </c>
      <c r="C58" s="289" t="s">
        <v>19</v>
      </c>
      <c r="D58" s="288" t="s">
        <v>320</v>
      </c>
      <c r="E58" s="290"/>
      <c r="F58" s="289" t="s">
        <v>321</v>
      </c>
      <c r="G58" s="291">
        <v>1000000</v>
      </c>
      <c r="H58" s="291">
        <v>2215432.5</v>
      </c>
      <c r="I58" s="292">
        <v>-1215432.5</v>
      </c>
      <c r="J58" s="292">
        <v>1215432.5</v>
      </c>
      <c r="K58" s="293">
        <v>0</v>
      </c>
    </row>
    <row r="59" spans="1:11" ht="15.75" hidden="1" customHeight="1" x14ac:dyDescent="0.3">
      <c r="A59" s="278" t="s">
        <v>312</v>
      </c>
      <c r="B59" s="279">
        <v>21</v>
      </c>
      <c r="C59" s="278" t="s">
        <v>21</v>
      </c>
      <c r="D59" s="279" t="s">
        <v>313</v>
      </c>
      <c r="E59" s="278" t="s">
        <v>21</v>
      </c>
      <c r="F59" s="278" t="s">
        <v>360</v>
      </c>
      <c r="G59" s="280">
        <v>0</v>
      </c>
      <c r="H59" s="280">
        <v>21166717.43</v>
      </c>
      <c r="I59" s="281">
        <v>-21166717.43</v>
      </c>
      <c r="J59" s="282"/>
      <c r="K59" s="7"/>
    </row>
    <row r="60" spans="1:11" ht="15.75" hidden="1" customHeight="1" x14ac:dyDescent="0.3">
      <c r="A60" s="283" t="s">
        <v>312</v>
      </c>
      <c r="B60" s="284">
        <v>21</v>
      </c>
      <c r="C60" s="283" t="s">
        <v>21</v>
      </c>
      <c r="D60" s="284" t="s">
        <v>313</v>
      </c>
      <c r="E60" s="283"/>
      <c r="F60" s="283" t="s">
        <v>361</v>
      </c>
      <c r="G60" s="285">
        <v>20000000</v>
      </c>
      <c r="H60" s="285">
        <v>0</v>
      </c>
      <c r="I60" s="286">
        <v>20000000</v>
      </c>
      <c r="J60" s="287"/>
      <c r="K60" s="7"/>
    </row>
    <row r="61" spans="1:11" ht="15.75" hidden="1" customHeight="1" x14ac:dyDescent="0.3">
      <c r="A61" s="278" t="s">
        <v>312</v>
      </c>
      <c r="B61" s="279">
        <v>21</v>
      </c>
      <c r="C61" s="278" t="s">
        <v>21</v>
      </c>
      <c r="D61" s="279" t="s">
        <v>313</v>
      </c>
      <c r="E61" s="278"/>
      <c r="F61" s="278" t="s">
        <v>362</v>
      </c>
      <c r="G61" s="280">
        <v>0</v>
      </c>
      <c r="H61" s="280">
        <v>21000000</v>
      </c>
      <c r="I61" s="281">
        <v>-21000000</v>
      </c>
      <c r="J61" s="282"/>
      <c r="K61" s="7"/>
    </row>
    <row r="62" spans="1:11" ht="15.75" hidden="1" customHeight="1" x14ac:dyDescent="0.3">
      <c r="A62" s="288" t="s">
        <v>312</v>
      </c>
      <c r="B62" s="288">
        <v>21</v>
      </c>
      <c r="C62" s="289" t="s">
        <v>21</v>
      </c>
      <c r="D62" s="288" t="s">
        <v>320</v>
      </c>
      <c r="E62" s="290"/>
      <c r="F62" s="289" t="s">
        <v>321</v>
      </c>
      <c r="G62" s="291">
        <v>20000000</v>
      </c>
      <c r="H62" s="291">
        <v>42166717.43</v>
      </c>
      <c r="I62" s="292">
        <v>-22166717.43</v>
      </c>
      <c r="J62" s="292">
        <v>22166717.43</v>
      </c>
      <c r="K62" s="293">
        <v>0</v>
      </c>
    </row>
    <row r="63" spans="1:11" ht="15.75" hidden="1" customHeight="1" x14ac:dyDescent="0.3">
      <c r="A63" s="278" t="s">
        <v>312</v>
      </c>
      <c r="B63" s="279">
        <v>22</v>
      </c>
      <c r="C63" s="278" t="s">
        <v>22</v>
      </c>
      <c r="D63" s="279" t="s">
        <v>313</v>
      </c>
      <c r="E63" s="278" t="s">
        <v>22</v>
      </c>
      <c r="F63" s="278" t="s">
        <v>363</v>
      </c>
      <c r="G63" s="280">
        <v>0</v>
      </c>
      <c r="H63" s="280">
        <v>10901569.369999999</v>
      </c>
      <c r="I63" s="281">
        <v>-10901569.369999999</v>
      </c>
      <c r="J63" s="282"/>
      <c r="K63" s="7"/>
    </row>
    <row r="64" spans="1:11" ht="15.75" hidden="1" customHeight="1" x14ac:dyDescent="0.3">
      <c r="A64" s="283" t="s">
        <v>312</v>
      </c>
      <c r="B64" s="284">
        <v>22</v>
      </c>
      <c r="C64" s="283" t="s">
        <v>22</v>
      </c>
      <c r="D64" s="284" t="s">
        <v>313</v>
      </c>
      <c r="E64" s="283" t="s">
        <v>22</v>
      </c>
      <c r="F64" s="283" t="s">
        <v>364</v>
      </c>
      <c r="G64" s="285">
        <v>0</v>
      </c>
      <c r="H64" s="285">
        <v>33506155.16</v>
      </c>
      <c r="I64" s="286">
        <v>-33506155.16</v>
      </c>
      <c r="J64" s="287"/>
      <c r="K64" s="7"/>
    </row>
    <row r="65" spans="1:11" ht="15.75" hidden="1" customHeight="1" x14ac:dyDescent="0.3">
      <c r="A65" s="278" t="s">
        <v>312</v>
      </c>
      <c r="B65" s="279">
        <v>22</v>
      </c>
      <c r="C65" s="278" t="s">
        <v>22</v>
      </c>
      <c r="D65" s="279" t="s">
        <v>313</v>
      </c>
      <c r="E65" s="278" t="s">
        <v>22</v>
      </c>
      <c r="F65" s="278" t="s">
        <v>365</v>
      </c>
      <c r="G65" s="280">
        <v>0</v>
      </c>
      <c r="H65" s="280">
        <v>2722403.82</v>
      </c>
      <c r="I65" s="281">
        <v>-2722403.82</v>
      </c>
      <c r="J65" s="282"/>
      <c r="K65" s="7"/>
    </row>
    <row r="66" spans="1:11" ht="15.75" hidden="1" customHeight="1" x14ac:dyDescent="0.3">
      <c r="A66" s="283" t="s">
        <v>312</v>
      </c>
      <c r="B66" s="284">
        <v>22</v>
      </c>
      <c r="C66" s="283" t="s">
        <v>22</v>
      </c>
      <c r="D66" s="284" t="s">
        <v>313</v>
      </c>
      <c r="E66" s="283"/>
      <c r="F66" s="283" t="s">
        <v>366</v>
      </c>
      <c r="G66" s="285">
        <v>45000000</v>
      </c>
      <c r="H66" s="285">
        <v>0</v>
      </c>
      <c r="I66" s="286">
        <v>45000000</v>
      </c>
      <c r="J66" s="287"/>
      <c r="K66" s="7"/>
    </row>
    <row r="67" spans="1:11" ht="15.75" hidden="1" customHeight="1" x14ac:dyDescent="0.3">
      <c r="A67" s="278" t="s">
        <v>312</v>
      </c>
      <c r="B67" s="279">
        <v>22</v>
      </c>
      <c r="C67" s="278" t="s">
        <v>22</v>
      </c>
      <c r="D67" s="279" t="s">
        <v>313</v>
      </c>
      <c r="E67" s="278"/>
      <c r="F67" s="278" t="s">
        <v>367</v>
      </c>
      <c r="G67" s="280">
        <v>0</v>
      </c>
      <c r="H67" s="280">
        <v>60000000</v>
      </c>
      <c r="I67" s="281">
        <v>-60000000</v>
      </c>
      <c r="J67" s="282"/>
      <c r="K67" s="7"/>
    </row>
    <row r="68" spans="1:11" ht="15.75" hidden="1" customHeight="1" x14ac:dyDescent="0.3">
      <c r="A68" s="288" t="s">
        <v>312</v>
      </c>
      <c r="B68" s="288">
        <v>22</v>
      </c>
      <c r="C68" s="289" t="s">
        <v>22</v>
      </c>
      <c r="D68" s="288" t="s">
        <v>320</v>
      </c>
      <c r="E68" s="290"/>
      <c r="F68" s="289" t="s">
        <v>321</v>
      </c>
      <c r="G68" s="291">
        <v>45000000</v>
      </c>
      <c r="H68" s="291">
        <v>107130128.34999999</v>
      </c>
      <c r="I68" s="292">
        <v>-62130128.350000001</v>
      </c>
      <c r="J68" s="292">
        <v>62130128.350000001</v>
      </c>
      <c r="K68" s="293">
        <v>0</v>
      </c>
    </row>
    <row r="69" spans="1:11" ht="15.75" hidden="1" customHeight="1" x14ac:dyDescent="0.3">
      <c r="A69" s="278" t="s">
        <v>312</v>
      </c>
      <c r="B69" s="279">
        <v>24</v>
      </c>
      <c r="C69" s="278" t="s">
        <v>25</v>
      </c>
      <c r="D69" s="279" t="s">
        <v>313</v>
      </c>
      <c r="E69" s="278" t="s">
        <v>25</v>
      </c>
      <c r="F69" s="278" t="s">
        <v>368</v>
      </c>
      <c r="G69" s="280">
        <v>0</v>
      </c>
      <c r="H69" s="280">
        <v>987716.02</v>
      </c>
      <c r="I69" s="281">
        <v>-987716.02</v>
      </c>
      <c r="J69" s="282"/>
      <c r="K69" s="7"/>
    </row>
    <row r="70" spans="1:11" ht="15.75" hidden="1" customHeight="1" x14ac:dyDescent="0.3">
      <c r="A70" s="283" t="s">
        <v>312</v>
      </c>
      <c r="B70" s="284">
        <v>24</v>
      </c>
      <c r="C70" s="283" t="s">
        <v>25</v>
      </c>
      <c r="D70" s="284" t="s">
        <v>313</v>
      </c>
      <c r="E70" s="283"/>
      <c r="F70" s="283" t="s">
        <v>369</v>
      </c>
      <c r="G70" s="285">
        <v>987000</v>
      </c>
      <c r="H70" s="285">
        <v>0</v>
      </c>
      <c r="I70" s="286">
        <v>987000</v>
      </c>
      <c r="J70" s="287"/>
      <c r="K70" s="7"/>
    </row>
    <row r="71" spans="1:11" ht="15.75" hidden="1" customHeight="1" x14ac:dyDescent="0.3">
      <c r="A71" s="278" t="s">
        <v>312</v>
      </c>
      <c r="B71" s="279">
        <v>24</v>
      </c>
      <c r="C71" s="278" t="s">
        <v>25</v>
      </c>
      <c r="D71" s="279" t="s">
        <v>313</v>
      </c>
      <c r="E71" s="278"/>
      <c r="F71" s="278" t="s">
        <v>370</v>
      </c>
      <c r="G71" s="280">
        <v>0</v>
      </c>
      <c r="H71" s="280">
        <v>987000</v>
      </c>
      <c r="I71" s="281">
        <v>-987000</v>
      </c>
      <c r="J71" s="282"/>
      <c r="K71" s="7"/>
    </row>
    <row r="72" spans="1:11" ht="15.75" hidden="1" customHeight="1" x14ac:dyDescent="0.3">
      <c r="A72" s="288" t="s">
        <v>312</v>
      </c>
      <c r="B72" s="288">
        <v>24</v>
      </c>
      <c r="C72" s="289" t="s">
        <v>25</v>
      </c>
      <c r="D72" s="288" t="s">
        <v>320</v>
      </c>
      <c r="E72" s="290"/>
      <c r="F72" s="289" t="s">
        <v>321</v>
      </c>
      <c r="G72" s="291">
        <v>987000</v>
      </c>
      <c r="H72" s="291">
        <v>1974716.02</v>
      </c>
      <c r="I72" s="292">
        <v>-987716.02</v>
      </c>
      <c r="J72" s="292">
        <v>987716.02</v>
      </c>
      <c r="K72" s="293">
        <v>0</v>
      </c>
    </row>
    <row r="73" spans="1:11" ht="15.75" hidden="1" customHeight="1" x14ac:dyDescent="0.3">
      <c r="A73" s="278" t="s">
        <v>312</v>
      </c>
      <c r="B73" s="279">
        <v>25</v>
      </c>
      <c r="C73" s="278" t="s">
        <v>26</v>
      </c>
      <c r="D73" s="279" t="s">
        <v>313</v>
      </c>
      <c r="E73" s="278" t="s">
        <v>26</v>
      </c>
      <c r="F73" s="278" t="s">
        <v>371</v>
      </c>
      <c r="G73" s="280">
        <v>0</v>
      </c>
      <c r="H73" s="280">
        <v>567084.6</v>
      </c>
      <c r="I73" s="281">
        <v>-567084.6</v>
      </c>
      <c r="J73" s="282"/>
      <c r="K73" s="7"/>
    </row>
    <row r="74" spans="1:11" ht="15.75" hidden="1" customHeight="1" x14ac:dyDescent="0.3">
      <c r="A74" s="283" t="s">
        <v>312</v>
      </c>
      <c r="B74" s="284">
        <v>25</v>
      </c>
      <c r="C74" s="283" t="s">
        <v>26</v>
      </c>
      <c r="D74" s="284" t="s">
        <v>313</v>
      </c>
      <c r="E74" s="283"/>
      <c r="F74" s="283" t="s">
        <v>372</v>
      </c>
      <c r="G74" s="285">
        <v>567000</v>
      </c>
      <c r="H74" s="285">
        <v>0</v>
      </c>
      <c r="I74" s="286">
        <v>567000</v>
      </c>
      <c r="J74" s="287"/>
      <c r="K74" s="7"/>
    </row>
    <row r="75" spans="1:11" ht="15.75" hidden="1" customHeight="1" x14ac:dyDescent="0.3">
      <c r="A75" s="278" t="s">
        <v>312</v>
      </c>
      <c r="B75" s="279">
        <v>25</v>
      </c>
      <c r="C75" s="278" t="s">
        <v>26</v>
      </c>
      <c r="D75" s="279" t="s">
        <v>313</v>
      </c>
      <c r="E75" s="278"/>
      <c r="F75" s="278" t="s">
        <v>373</v>
      </c>
      <c r="G75" s="280">
        <v>0</v>
      </c>
      <c r="H75" s="280">
        <v>567000</v>
      </c>
      <c r="I75" s="281">
        <v>-567000</v>
      </c>
      <c r="J75" s="282"/>
      <c r="K75" s="7"/>
    </row>
    <row r="76" spans="1:11" ht="15.75" hidden="1" customHeight="1" x14ac:dyDescent="0.3">
      <c r="A76" s="288" t="s">
        <v>312</v>
      </c>
      <c r="B76" s="288">
        <v>25</v>
      </c>
      <c r="C76" s="289" t="s">
        <v>26</v>
      </c>
      <c r="D76" s="288" t="s">
        <v>320</v>
      </c>
      <c r="E76" s="290"/>
      <c r="F76" s="289" t="s">
        <v>321</v>
      </c>
      <c r="G76" s="291">
        <v>567000</v>
      </c>
      <c r="H76" s="291">
        <v>1134084.6000000001</v>
      </c>
      <c r="I76" s="292">
        <v>-567084.6</v>
      </c>
      <c r="J76" s="292">
        <v>567084.6</v>
      </c>
      <c r="K76" s="293">
        <v>0</v>
      </c>
    </row>
    <row r="77" spans="1:11" ht="15.75" hidden="1" customHeight="1" x14ac:dyDescent="0.3">
      <c r="A77" s="278" t="s">
        <v>312</v>
      </c>
      <c r="B77" s="279">
        <v>27</v>
      </c>
      <c r="C77" s="278" t="s">
        <v>28</v>
      </c>
      <c r="D77" s="279" t="s">
        <v>313</v>
      </c>
      <c r="E77" s="278" t="s">
        <v>374</v>
      </c>
      <c r="F77" s="278" t="s">
        <v>375</v>
      </c>
      <c r="G77" s="280">
        <v>0</v>
      </c>
      <c r="H77" s="280">
        <v>1170304.46</v>
      </c>
      <c r="I77" s="281">
        <v>-1170304.46</v>
      </c>
      <c r="J77" s="282"/>
      <c r="K77" s="7"/>
    </row>
    <row r="78" spans="1:11" ht="15.75" hidden="1" customHeight="1" x14ac:dyDescent="0.3">
      <c r="A78" s="283" t="s">
        <v>312</v>
      </c>
      <c r="B78" s="284">
        <v>27</v>
      </c>
      <c r="C78" s="283" t="s">
        <v>28</v>
      </c>
      <c r="D78" s="284" t="s">
        <v>313</v>
      </c>
      <c r="E78" s="283"/>
      <c r="F78" s="283" t="s">
        <v>376</v>
      </c>
      <c r="G78" s="285">
        <v>1000000</v>
      </c>
      <c r="H78" s="285">
        <v>0</v>
      </c>
      <c r="I78" s="286">
        <v>1000000</v>
      </c>
      <c r="J78" s="287"/>
      <c r="K78" s="7"/>
    </row>
    <row r="79" spans="1:11" ht="15.75" hidden="1" customHeight="1" x14ac:dyDescent="0.3">
      <c r="A79" s="278" t="s">
        <v>312</v>
      </c>
      <c r="B79" s="279">
        <v>27</v>
      </c>
      <c r="C79" s="278" t="s">
        <v>28</v>
      </c>
      <c r="D79" s="279" t="s">
        <v>313</v>
      </c>
      <c r="E79" s="278"/>
      <c r="F79" s="278" t="s">
        <v>377</v>
      </c>
      <c r="G79" s="280">
        <v>0</v>
      </c>
      <c r="H79" s="280">
        <v>1000000</v>
      </c>
      <c r="I79" s="281">
        <v>-1000000</v>
      </c>
      <c r="J79" s="282"/>
      <c r="K79" s="7"/>
    </row>
    <row r="80" spans="1:11" ht="15.75" hidden="1" customHeight="1" x14ac:dyDescent="0.3">
      <c r="A80" s="288" t="s">
        <v>312</v>
      </c>
      <c r="B80" s="288">
        <v>27</v>
      </c>
      <c r="C80" s="289" t="s">
        <v>28</v>
      </c>
      <c r="D80" s="288" t="s">
        <v>320</v>
      </c>
      <c r="E80" s="290"/>
      <c r="F80" s="289" t="s">
        <v>321</v>
      </c>
      <c r="G80" s="291">
        <v>1000000</v>
      </c>
      <c r="H80" s="291">
        <v>2170304.46</v>
      </c>
      <c r="I80" s="292">
        <v>-1170304.46</v>
      </c>
      <c r="J80" s="292">
        <v>1170304.46</v>
      </c>
      <c r="K80" s="293">
        <v>0</v>
      </c>
    </row>
    <row r="81" spans="1:11" ht="15.75" hidden="1" customHeight="1" x14ac:dyDescent="0.3">
      <c r="A81" s="278" t="s">
        <v>312</v>
      </c>
      <c r="B81" s="279">
        <v>28</v>
      </c>
      <c r="C81" s="278" t="s">
        <v>29</v>
      </c>
      <c r="D81" s="279" t="s">
        <v>313</v>
      </c>
      <c r="E81" s="278" t="s">
        <v>29</v>
      </c>
      <c r="F81" s="278" t="s">
        <v>378</v>
      </c>
      <c r="G81" s="280">
        <v>0</v>
      </c>
      <c r="H81" s="280">
        <v>11044183.32</v>
      </c>
      <c r="I81" s="281">
        <v>-11044183.32</v>
      </c>
      <c r="J81" s="282"/>
      <c r="K81" s="7"/>
    </row>
    <row r="82" spans="1:11" ht="15.75" hidden="1" customHeight="1" x14ac:dyDescent="0.3">
      <c r="A82" s="288" t="s">
        <v>312</v>
      </c>
      <c r="B82" s="288">
        <v>28</v>
      </c>
      <c r="C82" s="289" t="s">
        <v>29</v>
      </c>
      <c r="D82" s="288" t="s">
        <v>320</v>
      </c>
      <c r="E82" s="290"/>
      <c r="F82" s="289" t="s">
        <v>321</v>
      </c>
      <c r="G82" s="291">
        <v>0</v>
      </c>
      <c r="H82" s="291">
        <v>11044183.32</v>
      </c>
      <c r="I82" s="292">
        <v>-11044183.32</v>
      </c>
      <c r="J82" s="292">
        <v>11044183.32</v>
      </c>
      <c r="K82" s="293">
        <v>0</v>
      </c>
    </row>
    <row r="83" spans="1:11" ht="15.75" hidden="1" customHeight="1" x14ac:dyDescent="0.3">
      <c r="A83" s="278" t="s">
        <v>312</v>
      </c>
      <c r="B83" s="279">
        <v>29</v>
      </c>
      <c r="C83" s="278" t="s">
        <v>29</v>
      </c>
      <c r="D83" s="279" t="s">
        <v>313</v>
      </c>
      <c r="E83" s="278" t="s">
        <v>29</v>
      </c>
      <c r="F83" s="278" t="s">
        <v>379</v>
      </c>
      <c r="G83" s="280">
        <v>0</v>
      </c>
      <c r="H83" s="280">
        <v>26012629.829999998</v>
      </c>
      <c r="I83" s="281">
        <v>-26012629.829999998</v>
      </c>
      <c r="J83" s="282"/>
      <c r="K83" s="7"/>
    </row>
    <row r="84" spans="1:11" ht="15.75" hidden="1" customHeight="1" x14ac:dyDescent="0.3">
      <c r="A84" s="283" t="s">
        <v>312</v>
      </c>
      <c r="B84" s="284">
        <v>29</v>
      </c>
      <c r="C84" s="283" t="s">
        <v>29</v>
      </c>
      <c r="D84" s="284" t="s">
        <v>313</v>
      </c>
      <c r="E84" s="283"/>
      <c r="F84" s="283" t="s">
        <v>380</v>
      </c>
      <c r="G84" s="285">
        <v>30000000</v>
      </c>
      <c r="H84" s="285">
        <v>0</v>
      </c>
      <c r="I84" s="286">
        <v>30000000</v>
      </c>
      <c r="J84" s="287"/>
      <c r="K84" s="7"/>
    </row>
    <row r="85" spans="1:11" ht="15.75" hidden="1" customHeight="1" x14ac:dyDescent="0.3">
      <c r="A85" s="278" t="s">
        <v>312</v>
      </c>
      <c r="B85" s="279">
        <v>29</v>
      </c>
      <c r="C85" s="278" t="s">
        <v>29</v>
      </c>
      <c r="D85" s="279" t="s">
        <v>313</v>
      </c>
      <c r="E85" s="278"/>
      <c r="F85" s="278" t="s">
        <v>381</v>
      </c>
      <c r="G85" s="280">
        <v>0</v>
      </c>
      <c r="H85" s="280">
        <v>30000000</v>
      </c>
      <c r="I85" s="281">
        <v>-30000000</v>
      </c>
      <c r="J85" s="282"/>
      <c r="K85" s="7"/>
    </row>
    <row r="86" spans="1:11" ht="15.75" hidden="1" customHeight="1" x14ac:dyDescent="0.3">
      <c r="A86" s="288" t="s">
        <v>312</v>
      </c>
      <c r="B86" s="288">
        <v>29</v>
      </c>
      <c r="C86" s="289" t="s">
        <v>29</v>
      </c>
      <c r="D86" s="288" t="s">
        <v>320</v>
      </c>
      <c r="E86" s="290"/>
      <c r="F86" s="289" t="s">
        <v>321</v>
      </c>
      <c r="G86" s="291">
        <v>30000000</v>
      </c>
      <c r="H86" s="291">
        <v>56012629.829999998</v>
      </c>
      <c r="I86" s="292">
        <v>-26012629.829999998</v>
      </c>
      <c r="J86" s="292">
        <v>26012629.829999998</v>
      </c>
      <c r="K86" s="293">
        <v>0</v>
      </c>
    </row>
    <row r="87" spans="1:11" ht="15.75" hidden="1" customHeight="1" x14ac:dyDescent="0.3">
      <c r="A87" s="278" t="s">
        <v>312</v>
      </c>
      <c r="B87" s="279">
        <v>30</v>
      </c>
      <c r="C87" s="278" t="s">
        <v>32</v>
      </c>
      <c r="D87" s="279" t="s">
        <v>313</v>
      </c>
      <c r="E87" s="278" t="s">
        <v>32</v>
      </c>
      <c r="F87" s="278" t="s">
        <v>382</v>
      </c>
      <c r="G87" s="280">
        <v>0</v>
      </c>
      <c r="H87" s="280">
        <v>2732192.76</v>
      </c>
      <c r="I87" s="281">
        <v>-2732192.76</v>
      </c>
      <c r="J87" s="282"/>
      <c r="K87" s="7"/>
    </row>
    <row r="88" spans="1:11" ht="15.75" hidden="1" customHeight="1" x14ac:dyDescent="0.3">
      <c r="A88" s="283" t="s">
        <v>312</v>
      </c>
      <c r="B88" s="284">
        <v>30</v>
      </c>
      <c r="C88" s="283" t="s">
        <v>32</v>
      </c>
      <c r="D88" s="284" t="s">
        <v>313</v>
      </c>
      <c r="E88" s="283"/>
      <c r="F88" s="283" t="s">
        <v>383</v>
      </c>
      <c r="G88" s="285">
        <v>2300000</v>
      </c>
      <c r="H88" s="285">
        <v>0</v>
      </c>
      <c r="I88" s="286">
        <v>2300000</v>
      </c>
      <c r="J88" s="287"/>
      <c r="K88" s="7"/>
    </row>
    <row r="89" spans="1:11" ht="15.75" hidden="1" customHeight="1" x14ac:dyDescent="0.3">
      <c r="A89" s="278" t="s">
        <v>312</v>
      </c>
      <c r="B89" s="279">
        <v>30</v>
      </c>
      <c r="C89" s="278" t="s">
        <v>32</v>
      </c>
      <c r="D89" s="279" t="s">
        <v>313</v>
      </c>
      <c r="E89" s="278"/>
      <c r="F89" s="278" t="s">
        <v>384</v>
      </c>
      <c r="G89" s="280">
        <v>0</v>
      </c>
      <c r="H89" s="280">
        <v>2300000</v>
      </c>
      <c r="I89" s="281">
        <v>-2300000</v>
      </c>
      <c r="J89" s="282"/>
      <c r="K89" s="7"/>
    </row>
    <row r="90" spans="1:11" ht="15.75" hidden="1" customHeight="1" x14ac:dyDescent="0.3">
      <c r="A90" s="288" t="s">
        <v>312</v>
      </c>
      <c r="B90" s="288">
        <v>30</v>
      </c>
      <c r="C90" s="289" t="s">
        <v>32</v>
      </c>
      <c r="D90" s="288" t="s">
        <v>320</v>
      </c>
      <c r="E90" s="290"/>
      <c r="F90" s="289" t="s">
        <v>321</v>
      </c>
      <c r="G90" s="291">
        <v>2300000</v>
      </c>
      <c r="H90" s="291">
        <v>5032192.76</v>
      </c>
      <c r="I90" s="292">
        <v>-2732192.76</v>
      </c>
      <c r="J90" s="292">
        <v>2732192.76</v>
      </c>
      <c r="K90" s="293">
        <v>0</v>
      </c>
    </row>
    <row r="91" spans="1:11" ht="15.75" hidden="1" customHeight="1" x14ac:dyDescent="0.3">
      <c r="A91" s="278" t="s">
        <v>312</v>
      </c>
      <c r="B91" s="279">
        <v>31</v>
      </c>
      <c r="C91" s="278" t="s">
        <v>33</v>
      </c>
      <c r="D91" s="279" t="s">
        <v>313</v>
      </c>
      <c r="E91" s="278" t="s">
        <v>33</v>
      </c>
      <c r="F91" s="278" t="s">
        <v>385</v>
      </c>
      <c r="G91" s="280">
        <v>0</v>
      </c>
      <c r="H91" s="280">
        <v>766721.67</v>
      </c>
      <c r="I91" s="281">
        <v>-766721.67</v>
      </c>
      <c r="J91" s="282"/>
      <c r="K91" s="7"/>
    </row>
    <row r="92" spans="1:11" ht="15.75" hidden="1" customHeight="1" x14ac:dyDescent="0.3">
      <c r="A92" s="283" t="s">
        <v>312</v>
      </c>
      <c r="B92" s="284">
        <v>31</v>
      </c>
      <c r="C92" s="283" t="s">
        <v>33</v>
      </c>
      <c r="D92" s="284" t="s">
        <v>313</v>
      </c>
      <c r="E92" s="283"/>
      <c r="F92" s="283" t="s">
        <v>386</v>
      </c>
      <c r="G92" s="285">
        <v>300000</v>
      </c>
      <c r="H92" s="285">
        <v>0</v>
      </c>
      <c r="I92" s="286">
        <v>300000</v>
      </c>
      <c r="J92" s="287"/>
      <c r="K92" s="7"/>
    </row>
    <row r="93" spans="1:11" ht="15.75" hidden="1" customHeight="1" x14ac:dyDescent="0.3">
      <c r="A93" s="278" t="s">
        <v>312</v>
      </c>
      <c r="B93" s="279">
        <v>31</v>
      </c>
      <c r="C93" s="278" t="s">
        <v>33</v>
      </c>
      <c r="D93" s="279" t="s">
        <v>313</v>
      </c>
      <c r="E93" s="278"/>
      <c r="F93" s="278" t="s">
        <v>387</v>
      </c>
      <c r="G93" s="280">
        <v>0</v>
      </c>
      <c r="H93" s="280">
        <v>766722</v>
      </c>
      <c r="I93" s="281">
        <v>-766722</v>
      </c>
      <c r="J93" s="282"/>
      <c r="K93" s="7"/>
    </row>
    <row r="94" spans="1:11" ht="15.75" hidden="1" customHeight="1" x14ac:dyDescent="0.3">
      <c r="A94" s="288" t="s">
        <v>312</v>
      </c>
      <c r="B94" s="288">
        <v>31</v>
      </c>
      <c r="C94" s="289" t="s">
        <v>33</v>
      </c>
      <c r="D94" s="288" t="s">
        <v>320</v>
      </c>
      <c r="E94" s="290"/>
      <c r="F94" s="289" t="s">
        <v>321</v>
      </c>
      <c r="G94" s="291">
        <v>300000</v>
      </c>
      <c r="H94" s="291">
        <v>1533443.67</v>
      </c>
      <c r="I94" s="292">
        <v>-1233443.67</v>
      </c>
      <c r="J94" s="292">
        <v>1233443.67</v>
      </c>
      <c r="K94" s="293">
        <v>0</v>
      </c>
    </row>
    <row r="95" spans="1:11" ht="15.75" hidden="1" customHeight="1" x14ac:dyDescent="0.3">
      <c r="A95" s="278" t="s">
        <v>312</v>
      </c>
      <c r="B95" s="279">
        <v>32</v>
      </c>
      <c r="C95" s="278" t="s">
        <v>34</v>
      </c>
      <c r="D95" s="279" t="s">
        <v>313</v>
      </c>
      <c r="E95" s="278" t="s">
        <v>388</v>
      </c>
      <c r="F95" s="278" t="s">
        <v>389</v>
      </c>
      <c r="G95" s="280">
        <v>0</v>
      </c>
      <c r="H95" s="280">
        <v>7990.89</v>
      </c>
      <c r="I95" s="281">
        <v>-7990.89</v>
      </c>
      <c r="J95" s="282"/>
      <c r="K95" s="7"/>
    </row>
    <row r="96" spans="1:11" ht="15.75" hidden="1" customHeight="1" x14ac:dyDescent="0.3">
      <c r="A96" s="283" t="s">
        <v>312</v>
      </c>
      <c r="B96" s="284">
        <v>32</v>
      </c>
      <c r="C96" s="283" t="s">
        <v>34</v>
      </c>
      <c r="D96" s="284" t="s">
        <v>313</v>
      </c>
      <c r="E96" s="283"/>
      <c r="F96" s="283" t="s">
        <v>390</v>
      </c>
      <c r="G96" s="285">
        <v>10000</v>
      </c>
      <c r="H96" s="285">
        <v>0</v>
      </c>
      <c r="I96" s="286">
        <v>10000</v>
      </c>
      <c r="J96" s="287"/>
      <c r="K96" s="7"/>
    </row>
    <row r="97" spans="1:11" ht="15.75" hidden="1" customHeight="1" x14ac:dyDescent="0.3">
      <c r="A97" s="278" t="s">
        <v>312</v>
      </c>
      <c r="B97" s="279">
        <v>32</v>
      </c>
      <c r="C97" s="278" t="s">
        <v>34</v>
      </c>
      <c r="D97" s="279" t="s">
        <v>313</v>
      </c>
      <c r="E97" s="278"/>
      <c r="F97" s="278" t="s">
        <v>391</v>
      </c>
      <c r="G97" s="280">
        <v>0</v>
      </c>
      <c r="H97" s="280">
        <v>10000</v>
      </c>
      <c r="I97" s="281">
        <v>-10000</v>
      </c>
      <c r="J97" s="282"/>
      <c r="K97" s="7"/>
    </row>
    <row r="98" spans="1:11" ht="15.75" hidden="1" customHeight="1" x14ac:dyDescent="0.3">
      <c r="A98" s="288" t="s">
        <v>312</v>
      </c>
      <c r="B98" s="288">
        <v>32</v>
      </c>
      <c r="C98" s="289" t="s">
        <v>34</v>
      </c>
      <c r="D98" s="288" t="s">
        <v>320</v>
      </c>
      <c r="E98" s="290"/>
      <c r="F98" s="289" t="s">
        <v>321</v>
      </c>
      <c r="G98" s="291">
        <v>10000</v>
      </c>
      <c r="H98" s="291">
        <v>17990.89</v>
      </c>
      <c r="I98" s="292">
        <v>-7990.89</v>
      </c>
      <c r="J98" s="292">
        <v>7990.89</v>
      </c>
      <c r="K98" s="293">
        <v>0</v>
      </c>
    </row>
    <row r="99" spans="1:11" ht="15.75" hidden="1" customHeight="1" x14ac:dyDescent="0.3">
      <c r="A99" s="278" t="s">
        <v>312</v>
      </c>
      <c r="B99" s="279">
        <v>33</v>
      </c>
      <c r="C99" s="278" t="s">
        <v>35</v>
      </c>
      <c r="D99" s="279" t="s">
        <v>313</v>
      </c>
      <c r="E99" s="278" t="s">
        <v>35</v>
      </c>
      <c r="F99" s="278" t="s">
        <v>392</v>
      </c>
      <c r="G99" s="280">
        <v>0</v>
      </c>
      <c r="H99" s="280">
        <v>371875.5</v>
      </c>
      <c r="I99" s="281">
        <v>-371875.5</v>
      </c>
      <c r="J99" s="282"/>
      <c r="K99" s="7"/>
    </row>
    <row r="100" spans="1:11" ht="15.75" hidden="1" customHeight="1" x14ac:dyDescent="0.3">
      <c r="A100" s="283" t="s">
        <v>312</v>
      </c>
      <c r="B100" s="284">
        <v>33</v>
      </c>
      <c r="C100" s="283" t="s">
        <v>35</v>
      </c>
      <c r="D100" s="284" t="s">
        <v>313</v>
      </c>
      <c r="E100" s="283"/>
      <c r="F100" s="283" t="s">
        <v>393</v>
      </c>
      <c r="G100" s="285">
        <v>345000</v>
      </c>
      <c r="H100" s="285">
        <v>0</v>
      </c>
      <c r="I100" s="286">
        <v>345000</v>
      </c>
      <c r="J100" s="287"/>
      <c r="K100" s="7"/>
    </row>
    <row r="101" spans="1:11" ht="15.75" hidden="1" customHeight="1" x14ac:dyDescent="0.3">
      <c r="A101" s="278" t="s">
        <v>312</v>
      </c>
      <c r="B101" s="279">
        <v>33</v>
      </c>
      <c r="C101" s="278" t="s">
        <v>35</v>
      </c>
      <c r="D101" s="279" t="s">
        <v>313</v>
      </c>
      <c r="E101" s="278"/>
      <c r="F101" s="278" t="s">
        <v>394</v>
      </c>
      <c r="G101" s="280">
        <v>0</v>
      </c>
      <c r="H101" s="280">
        <v>370000</v>
      </c>
      <c r="I101" s="281">
        <v>-370000</v>
      </c>
      <c r="J101" s="282"/>
      <c r="K101" s="7"/>
    </row>
    <row r="102" spans="1:11" ht="15.75" hidden="1" customHeight="1" x14ac:dyDescent="0.3">
      <c r="A102" s="288" t="s">
        <v>312</v>
      </c>
      <c r="B102" s="288">
        <v>33</v>
      </c>
      <c r="C102" s="289" t="s">
        <v>35</v>
      </c>
      <c r="D102" s="288" t="s">
        <v>320</v>
      </c>
      <c r="E102" s="290"/>
      <c r="F102" s="289" t="s">
        <v>321</v>
      </c>
      <c r="G102" s="291">
        <v>345000</v>
      </c>
      <c r="H102" s="291">
        <v>741875.5</v>
      </c>
      <c r="I102" s="292">
        <v>-396875.5</v>
      </c>
      <c r="J102" s="292">
        <v>396875.5</v>
      </c>
      <c r="K102" s="293">
        <v>0</v>
      </c>
    </row>
    <row r="103" spans="1:11" ht="15.75" hidden="1" customHeight="1" x14ac:dyDescent="0.3">
      <c r="A103" s="278" t="s">
        <v>312</v>
      </c>
      <c r="B103" s="279">
        <v>34</v>
      </c>
      <c r="C103" s="278" t="s">
        <v>36</v>
      </c>
      <c r="D103" s="279" t="s">
        <v>313</v>
      </c>
      <c r="E103" s="278" t="s">
        <v>395</v>
      </c>
      <c r="F103" s="278" t="s">
        <v>396</v>
      </c>
      <c r="G103" s="280">
        <v>0</v>
      </c>
      <c r="H103" s="280">
        <v>1538550.05</v>
      </c>
      <c r="I103" s="281">
        <v>-1538550.05</v>
      </c>
      <c r="J103" s="282"/>
      <c r="K103" s="7"/>
    </row>
    <row r="104" spans="1:11" ht="15.75" hidden="1" customHeight="1" x14ac:dyDescent="0.3">
      <c r="A104" s="283" t="s">
        <v>312</v>
      </c>
      <c r="B104" s="284">
        <v>34</v>
      </c>
      <c r="C104" s="283" t="s">
        <v>36</v>
      </c>
      <c r="D104" s="284" t="s">
        <v>313</v>
      </c>
      <c r="E104" s="283"/>
      <c r="F104" s="283" t="s">
        <v>397</v>
      </c>
      <c r="G104" s="285">
        <v>1000000</v>
      </c>
      <c r="H104" s="285">
        <v>0</v>
      </c>
      <c r="I104" s="286">
        <v>1000000</v>
      </c>
      <c r="J104" s="287"/>
      <c r="K104" s="7"/>
    </row>
    <row r="105" spans="1:11" ht="15.75" hidden="1" customHeight="1" x14ac:dyDescent="0.3">
      <c r="A105" s="278" t="s">
        <v>312</v>
      </c>
      <c r="B105" s="279">
        <v>34</v>
      </c>
      <c r="C105" s="278" t="s">
        <v>36</v>
      </c>
      <c r="D105" s="279" t="s">
        <v>313</v>
      </c>
      <c r="E105" s="278"/>
      <c r="F105" s="278" t="s">
        <v>398</v>
      </c>
      <c r="G105" s="280">
        <v>0</v>
      </c>
      <c r="H105" s="280">
        <v>1500000</v>
      </c>
      <c r="I105" s="281">
        <v>-1500000</v>
      </c>
      <c r="J105" s="282"/>
      <c r="K105" s="7"/>
    </row>
    <row r="106" spans="1:11" ht="15.75" hidden="1" customHeight="1" x14ac:dyDescent="0.3">
      <c r="A106" s="288" t="s">
        <v>312</v>
      </c>
      <c r="B106" s="288">
        <v>34</v>
      </c>
      <c r="C106" s="289" t="s">
        <v>36</v>
      </c>
      <c r="D106" s="288" t="s">
        <v>320</v>
      </c>
      <c r="E106" s="290"/>
      <c r="F106" s="289" t="s">
        <v>321</v>
      </c>
      <c r="G106" s="291">
        <v>1000000</v>
      </c>
      <c r="H106" s="291">
        <v>3038550.05</v>
      </c>
      <c r="I106" s="292">
        <v>-2038550.05</v>
      </c>
      <c r="J106" s="292">
        <v>2038550.05</v>
      </c>
      <c r="K106" s="293">
        <v>0</v>
      </c>
    </row>
    <row r="107" spans="1:11" ht="15.75" hidden="1" customHeight="1" x14ac:dyDescent="0.3">
      <c r="A107" s="278" t="s">
        <v>312</v>
      </c>
      <c r="B107" s="279">
        <v>38</v>
      </c>
      <c r="C107" s="278" t="s">
        <v>39</v>
      </c>
      <c r="D107" s="279" t="s">
        <v>313</v>
      </c>
      <c r="E107" s="278" t="s">
        <v>399</v>
      </c>
      <c r="F107" s="278" t="s">
        <v>400</v>
      </c>
      <c r="G107" s="280">
        <v>0</v>
      </c>
      <c r="H107" s="280">
        <v>11164531.6</v>
      </c>
      <c r="I107" s="281">
        <v>-11164531.6</v>
      </c>
      <c r="J107" s="282"/>
      <c r="K107" s="7"/>
    </row>
    <row r="108" spans="1:11" ht="15.75" hidden="1" customHeight="1" x14ac:dyDescent="0.3">
      <c r="A108" s="283" t="s">
        <v>312</v>
      </c>
      <c r="B108" s="284">
        <v>38</v>
      </c>
      <c r="C108" s="283" t="s">
        <v>39</v>
      </c>
      <c r="D108" s="284" t="s">
        <v>313</v>
      </c>
      <c r="E108" s="283"/>
      <c r="F108" s="283" t="s">
        <v>401</v>
      </c>
      <c r="G108" s="285">
        <v>11164531</v>
      </c>
      <c r="H108" s="285">
        <v>0</v>
      </c>
      <c r="I108" s="286">
        <v>11164531</v>
      </c>
      <c r="J108" s="287"/>
      <c r="K108" s="7"/>
    </row>
    <row r="109" spans="1:11" ht="15.75" hidden="1" customHeight="1" x14ac:dyDescent="0.3">
      <c r="A109" s="278" t="s">
        <v>312</v>
      </c>
      <c r="B109" s="279">
        <v>38</v>
      </c>
      <c r="C109" s="278" t="s">
        <v>39</v>
      </c>
      <c r="D109" s="279" t="s">
        <v>313</v>
      </c>
      <c r="E109" s="278"/>
      <c r="F109" s="278" t="s">
        <v>402</v>
      </c>
      <c r="G109" s="280">
        <v>0</v>
      </c>
      <c r="H109" s="280">
        <v>11164531</v>
      </c>
      <c r="I109" s="281">
        <v>-11164531</v>
      </c>
      <c r="J109" s="282"/>
      <c r="K109" s="7"/>
    </row>
    <row r="110" spans="1:11" ht="15.75" hidden="1" customHeight="1" x14ac:dyDescent="0.3">
      <c r="A110" s="288" t="s">
        <v>312</v>
      </c>
      <c r="B110" s="288">
        <v>38</v>
      </c>
      <c r="C110" s="289" t="s">
        <v>39</v>
      </c>
      <c r="D110" s="288" t="s">
        <v>320</v>
      </c>
      <c r="E110" s="290"/>
      <c r="F110" s="289" t="s">
        <v>321</v>
      </c>
      <c r="G110" s="291">
        <v>11164531</v>
      </c>
      <c r="H110" s="291">
        <v>22329062.600000001</v>
      </c>
      <c r="I110" s="292">
        <v>-11164531.6</v>
      </c>
      <c r="J110" s="292">
        <v>11164532.199999999</v>
      </c>
      <c r="K110" s="293">
        <v>-0.59999999962747097</v>
      </c>
    </row>
    <row r="111" spans="1:11" ht="15.75" hidden="1" customHeight="1" x14ac:dyDescent="0.3">
      <c r="A111" s="278" t="s">
        <v>312</v>
      </c>
      <c r="B111" s="279">
        <v>41</v>
      </c>
      <c r="C111" s="278" t="s">
        <v>41</v>
      </c>
      <c r="D111" s="279" t="s">
        <v>403</v>
      </c>
      <c r="E111" s="278"/>
      <c r="F111" s="278" t="s">
        <v>404</v>
      </c>
      <c r="G111" s="280">
        <v>120619546.86</v>
      </c>
      <c r="H111" s="280">
        <v>0</v>
      </c>
      <c r="I111" s="281">
        <v>120619546.86</v>
      </c>
      <c r="J111" s="282"/>
      <c r="K111" s="7"/>
    </row>
    <row r="112" spans="1:11" ht="15.75" hidden="1" customHeight="1" x14ac:dyDescent="0.3">
      <c r="A112" s="288" t="s">
        <v>312</v>
      </c>
      <c r="B112" s="288">
        <v>41</v>
      </c>
      <c r="C112" s="289" t="s">
        <v>41</v>
      </c>
      <c r="D112" s="288" t="s">
        <v>320</v>
      </c>
      <c r="E112" s="290"/>
      <c r="F112" s="289" t="s">
        <v>321</v>
      </c>
      <c r="G112" s="291">
        <v>120619546.86</v>
      </c>
      <c r="H112" s="291">
        <v>0</v>
      </c>
      <c r="I112" s="292">
        <v>120619546.86</v>
      </c>
      <c r="J112" s="292">
        <v>-120619546.86</v>
      </c>
      <c r="K112" s="293">
        <v>0</v>
      </c>
    </row>
    <row r="113" spans="1:11" ht="15.75" hidden="1" customHeight="1" x14ac:dyDescent="0.3">
      <c r="A113" s="278" t="s">
        <v>312</v>
      </c>
      <c r="B113" s="279">
        <v>47</v>
      </c>
      <c r="C113" s="278" t="s">
        <v>50</v>
      </c>
      <c r="D113" s="279" t="s">
        <v>405</v>
      </c>
      <c r="E113" s="278" t="s">
        <v>406</v>
      </c>
      <c r="F113" s="278" t="s">
        <v>407</v>
      </c>
      <c r="G113" s="280">
        <v>6756450</v>
      </c>
      <c r="H113" s="280">
        <v>0</v>
      </c>
      <c r="I113" s="281">
        <v>6756450</v>
      </c>
      <c r="J113" s="282"/>
      <c r="K113" s="7"/>
    </row>
    <row r="114" spans="1:11" ht="15.75" hidden="1" customHeight="1" x14ac:dyDescent="0.3">
      <c r="A114" s="283" t="s">
        <v>312</v>
      </c>
      <c r="B114" s="284">
        <v>47</v>
      </c>
      <c r="C114" s="283" t="s">
        <v>50</v>
      </c>
      <c r="D114" s="284" t="s">
        <v>405</v>
      </c>
      <c r="E114" s="283" t="s">
        <v>406</v>
      </c>
      <c r="F114" s="283" t="s">
        <v>408</v>
      </c>
      <c r="G114" s="285">
        <v>0</v>
      </c>
      <c r="H114" s="285">
        <v>972954.37</v>
      </c>
      <c r="I114" s="286">
        <v>-972954.37</v>
      </c>
      <c r="J114" s="287"/>
      <c r="K114" s="7"/>
    </row>
    <row r="115" spans="1:11" ht="15.75" hidden="1" customHeight="1" x14ac:dyDescent="0.3">
      <c r="A115" s="288" t="s">
        <v>312</v>
      </c>
      <c r="B115" s="288">
        <v>47</v>
      </c>
      <c r="C115" s="289" t="s">
        <v>50</v>
      </c>
      <c r="D115" s="288" t="s">
        <v>320</v>
      </c>
      <c r="E115" s="290"/>
      <c r="F115" s="289" t="s">
        <v>321</v>
      </c>
      <c r="G115" s="291">
        <v>6756450</v>
      </c>
      <c r="H115" s="291">
        <v>972954.37</v>
      </c>
      <c r="I115" s="292">
        <v>5783495.6299999999</v>
      </c>
      <c r="J115" s="292">
        <v>5783495.6299999999</v>
      </c>
      <c r="K115" s="293">
        <v>0</v>
      </c>
    </row>
    <row r="116" spans="1:11" ht="15.75" hidden="1" customHeight="1" x14ac:dyDescent="0.3">
      <c r="A116" s="278" t="s">
        <v>312</v>
      </c>
      <c r="B116" s="279">
        <v>48</v>
      </c>
      <c r="C116" s="278" t="s">
        <v>50</v>
      </c>
      <c r="D116" s="279" t="s">
        <v>409</v>
      </c>
      <c r="E116" s="278" t="s">
        <v>406</v>
      </c>
      <c r="F116" s="278" t="s">
        <v>410</v>
      </c>
      <c r="G116" s="280">
        <v>5700000</v>
      </c>
      <c r="H116" s="280">
        <v>0</v>
      </c>
      <c r="I116" s="281">
        <v>5700000</v>
      </c>
      <c r="J116" s="282"/>
      <c r="K116" s="7"/>
    </row>
    <row r="117" spans="1:11" ht="15.75" hidden="1" customHeight="1" x14ac:dyDescent="0.3">
      <c r="A117" s="283" t="s">
        <v>312</v>
      </c>
      <c r="B117" s="284">
        <v>48</v>
      </c>
      <c r="C117" s="283" t="s">
        <v>50</v>
      </c>
      <c r="D117" s="284" t="s">
        <v>409</v>
      </c>
      <c r="E117" s="283" t="s">
        <v>406</v>
      </c>
      <c r="F117" s="283" t="s">
        <v>411</v>
      </c>
      <c r="G117" s="285">
        <v>0</v>
      </c>
      <c r="H117" s="285">
        <v>570000</v>
      </c>
      <c r="I117" s="286">
        <v>-570000</v>
      </c>
      <c r="J117" s="287"/>
      <c r="K117" s="7"/>
    </row>
    <row r="118" spans="1:11" ht="15.75" hidden="1" customHeight="1" x14ac:dyDescent="0.3">
      <c r="A118" s="288" t="s">
        <v>312</v>
      </c>
      <c r="B118" s="288">
        <v>48</v>
      </c>
      <c r="C118" s="289" t="s">
        <v>50</v>
      </c>
      <c r="D118" s="288" t="s">
        <v>320</v>
      </c>
      <c r="E118" s="290"/>
      <c r="F118" s="289" t="s">
        <v>321</v>
      </c>
      <c r="G118" s="291">
        <v>5700000</v>
      </c>
      <c r="H118" s="291">
        <v>570000</v>
      </c>
      <c r="I118" s="292">
        <v>5130000</v>
      </c>
      <c r="J118" s="292">
        <v>5130000</v>
      </c>
      <c r="K118" s="293">
        <v>0</v>
      </c>
    </row>
    <row r="119" spans="1:11" ht="15.75" hidden="1" customHeight="1" x14ac:dyDescent="0.3">
      <c r="A119" s="278" t="s">
        <v>312</v>
      </c>
      <c r="B119" s="279">
        <v>53</v>
      </c>
      <c r="C119" s="278" t="s">
        <v>60</v>
      </c>
      <c r="D119" s="279" t="s">
        <v>409</v>
      </c>
      <c r="E119" s="278"/>
      <c r="F119" s="278" t="s">
        <v>412</v>
      </c>
      <c r="G119" s="280">
        <v>0</v>
      </c>
      <c r="H119" s="280">
        <v>25028734</v>
      </c>
      <c r="I119" s="281">
        <v>-25028734</v>
      </c>
      <c r="J119" s="282"/>
      <c r="K119" s="7"/>
    </row>
    <row r="120" spans="1:11" ht="15.75" hidden="1" customHeight="1" x14ac:dyDescent="0.3">
      <c r="A120" s="283" t="s">
        <v>312</v>
      </c>
      <c r="B120" s="284">
        <v>53</v>
      </c>
      <c r="C120" s="283" t="s">
        <v>60</v>
      </c>
      <c r="D120" s="284" t="s">
        <v>409</v>
      </c>
      <c r="E120" s="283" t="s">
        <v>413</v>
      </c>
      <c r="F120" s="283" t="s">
        <v>414</v>
      </c>
      <c r="G120" s="285">
        <v>0</v>
      </c>
      <c r="H120" s="285">
        <v>3000</v>
      </c>
      <c r="I120" s="286">
        <v>-3000</v>
      </c>
      <c r="J120" s="287"/>
      <c r="K120" s="7"/>
    </row>
    <row r="121" spans="1:11" ht="15.75" hidden="1" customHeight="1" x14ac:dyDescent="0.3">
      <c r="A121" s="278" t="s">
        <v>312</v>
      </c>
      <c r="B121" s="279">
        <v>53</v>
      </c>
      <c r="C121" s="278" t="s">
        <v>60</v>
      </c>
      <c r="D121" s="279" t="s">
        <v>409</v>
      </c>
      <c r="E121" s="278" t="s">
        <v>413</v>
      </c>
      <c r="F121" s="278" t="s">
        <v>415</v>
      </c>
      <c r="G121" s="280">
        <v>2295743.2000000002</v>
      </c>
      <c r="H121" s="280">
        <v>0</v>
      </c>
      <c r="I121" s="281">
        <v>2295743.2000000002</v>
      </c>
      <c r="J121" s="282"/>
      <c r="K121" s="7"/>
    </row>
    <row r="122" spans="1:11" ht="15.75" hidden="1" customHeight="1" x14ac:dyDescent="0.3">
      <c r="A122" s="283" t="s">
        <v>312</v>
      </c>
      <c r="B122" s="284">
        <v>53</v>
      </c>
      <c r="C122" s="283" t="s">
        <v>60</v>
      </c>
      <c r="D122" s="284" t="s">
        <v>409</v>
      </c>
      <c r="E122" s="283" t="s">
        <v>413</v>
      </c>
      <c r="F122" s="283" t="s">
        <v>416</v>
      </c>
      <c r="G122" s="285">
        <v>22732990.609999999</v>
      </c>
      <c r="H122" s="285">
        <v>0</v>
      </c>
      <c r="I122" s="286">
        <v>22732990.609999999</v>
      </c>
      <c r="J122" s="287"/>
      <c r="K122" s="7"/>
    </row>
    <row r="123" spans="1:11" ht="15.75" hidden="1" customHeight="1" x14ac:dyDescent="0.3">
      <c r="A123" s="278" t="s">
        <v>312</v>
      </c>
      <c r="B123" s="279">
        <v>53</v>
      </c>
      <c r="C123" s="278" t="s">
        <v>60</v>
      </c>
      <c r="D123" s="279" t="s">
        <v>409</v>
      </c>
      <c r="E123" s="278"/>
      <c r="F123" s="278" t="s">
        <v>417</v>
      </c>
      <c r="G123" s="280">
        <v>25143521</v>
      </c>
      <c r="H123" s="280">
        <v>0</v>
      </c>
      <c r="I123" s="281">
        <v>25143521</v>
      </c>
      <c r="J123" s="282"/>
      <c r="K123" s="7"/>
    </row>
    <row r="124" spans="1:11" ht="15.75" hidden="1" customHeight="1" x14ac:dyDescent="0.3">
      <c r="A124" s="288" t="s">
        <v>312</v>
      </c>
      <c r="B124" s="288">
        <v>53</v>
      </c>
      <c r="C124" s="289" t="s">
        <v>60</v>
      </c>
      <c r="D124" s="288" t="s">
        <v>320</v>
      </c>
      <c r="E124" s="290"/>
      <c r="F124" s="289" t="s">
        <v>321</v>
      </c>
      <c r="G124" s="291">
        <v>50172254.810000002</v>
      </c>
      <c r="H124" s="291">
        <v>25031734</v>
      </c>
      <c r="I124" s="292">
        <v>25140520.809999999</v>
      </c>
      <c r="J124" s="292">
        <v>2410530</v>
      </c>
      <c r="K124" s="294">
        <v>22729990.809999999</v>
      </c>
    </row>
    <row r="125" spans="1:11" ht="15.75" hidden="1" customHeight="1" x14ac:dyDescent="0.3">
      <c r="A125" s="278" t="s">
        <v>312</v>
      </c>
      <c r="B125" s="279">
        <v>54</v>
      </c>
      <c r="C125" s="278" t="s">
        <v>50</v>
      </c>
      <c r="D125" s="279" t="s">
        <v>418</v>
      </c>
      <c r="E125" s="278"/>
      <c r="F125" s="278" t="s">
        <v>419</v>
      </c>
      <c r="G125" s="280">
        <v>343167.67</v>
      </c>
      <c r="H125" s="280">
        <v>0</v>
      </c>
      <c r="I125" s="281">
        <v>343167.67</v>
      </c>
      <c r="J125" s="282"/>
      <c r="K125" s="7"/>
    </row>
    <row r="126" spans="1:11" ht="15.75" hidden="1" customHeight="1" x14ac:dyDescent="0.3">
      <c r="A126" s="283" t="s">
        <v>312</v>
      </c>
      <c r="B126" s="284">
        <v>54</v>
      </c>
      <c r="C126" s="283" t="s">
        <v>50</v>
      </c>
      <c r="D126" s="284" t="s">
        <v>418</v>
      </c>
      <c r="E126" s="283"/>
      <c r="F126" s="283" t="s">
        <v>420</v>
      </c>
      <c r="G126" s="285">
        <v>365230.46</v>
      </c>
      <c r="H126" s="285">
        <v>0</v>
      </c>
      <c r="I126" s="286">
        <v>365230.46</v>
      </c>
      <c r="J126" s="287"/>
      <c r="K126" s="7"/>
    </row>
    <row r="127" spans="1:11" ht="15.75" hidden="1" customHeight="1" x14ac:dyDescent="0.3">
      <c r="A127" s="278" t="s">
        <v>312</v>
      </c>
      <c r="B127" s="279">
        <v>54</v>
      </c>
      <c r="C127" s="278" t="s">
        <v>50</v>
      </c>
      <c r="D127" s="279" t="s">
        <v>418</v>
      </c>
      <c r="E127" s="278"/>
      <c r="F127" s="278" t="s">
        <v>421</v>
      </c>
      <c r="G127" s="280">
        <v>354986.14</v>
      </c>
      <c r="H127" s="280">
        <v>0</v>
      </c>
      <c r="I127" s="281">
        <v>354986.14</v>
      </c>
      <c r="J127" s="282"/>
      <c r="K127" s="7"/>
    </row>
    <row r="128" spans="1:11" ht="15.75" hidden="1" customHeight="1" x14ac:dyDescent="0.3">
      <c r="A128" s="288" t="s">
        <v>312</v>
      </c>
      <c r="B128" s="288">
        <v>54</v>
      </c>
      <c r="C128" s="289" t="s">
        <v>50</v>
      </c>
      <c r="D128" s="288" t="s">
        <v>320</v>
      </c>
      <c r="E128" s="290"/>
      <c r="F128" s="289" t="s">
        <v>321</v>
      </c>
      <c r="G128" s="291">
        <v>1063384.27</v>
      </c>
      <c r="H128" s="291">
        <v>0</v>
      </c>
      <c r="I128" s="292">
        <v>1063384.27</v>
      </c>
      <c r="J128" s="292">
        <v>1063384.27</v>
      </c>
      <c r="K128" s="293">
        <v>0</v>
      </c>
    </row>
    <row r="129" spans="1:11" ht="15.75" hidden="1" customHeight="1" x14ac:dyDescent="0.3">
      <c r="A129" s="278" t="s">
        <v>312</v>
      </c>
      <c r="B129" s="279">
        <v>59</v>
      </c>
      <c r="C129" s="278" t="s">
        <v>66</v>
      </c>
      <c r="D129" s="279" t="s">
        <v>422</v>
      </c>
      <c r="E129" s="278" t="s">
        <v>423</v>
      </c>
      <c r="F129" s="278" t="s">
        <v>424</v>
      </c>
      <c r="G129" s="280">
        <v>477797</v>
      </c>
      <c r="H129" s="280">
        <v>0</v>
      </c>
      <c r="I129" s="281">
        <v>477797</v>
      </c>
      <c r="J129" s="282"/>
      <c r="K129" s="7"/>
    </row>
    <row r="130" spans="1:11" ht="15.75" hidden="1" customHeight="1" x14ac:dyDescent="0.3">
      <c r="A130" s="283" t="s">
        <v>312</v>
      </c>
      <c r="B130" s="284">
        <v>59</v>
      </c>
      <c r="C130" s="283" t="s">
        <v>66</v>
      </c>
      <c r="D130" s="284" t="s">
        <v>425</v>
      </c>
      <c r="E130" s="283" t="s">
        <v>423</v>
      </c>
      <c r="F130" s="283" t="s">
        <v>426</v>
      </c>
      <c r="G130" s="285">
        <v>33644</v>
      </c>
      <c r="H130" s="285">
        <v>0</v>
      </c>
      <c r="I130" s="286">
        <v>33644</v>
      </c>
      <c r="J130" s="287"/>
      <c r="K130" s="7"/>
    </row>
    <row r="131" spans="1:11" ht="15.75" hidden="1" customHeight="1" x14ac:dyDescent="0.3">
      <c r="A131" s="278" t="s">
        <v>312</v>
      </c>
      <c r="B131" s="279">
        <v>59</v>
      </c>
      <c r="C131" s="278" t="s">
        <v>66</v>
      </c>
      <c r="D131" s="279" t="s">
        <v>425</v>
      </c>
      <c r="E131" s="278" t="s">
        <v>423</v>
      </c>
      <c r="F131" s="278" t="s">
        <v>427</v>
      </c>
      <c r="G131" s="280">
        <v>25360</v>
      </c>
      <c r="H131" s="280">
        <v>0</v>
      </c>
      <c r="I131" s="281">
        <v>25360</v>
      </c>
      <c r="J131" s="282"/>
      <c r="K131" s="7"/>
    </row>
    <row r="132" spans="1:11" ht="15.75" hidden="1" customHeight="1" x14ac:dyDescent="0.3">
      <c r="A132" s="288" t="s">
        <v>312</v>
      </c>
      <c r="B132" s="288">
        <v>59</v>
      </c>
      <c r="C132" s="289" t="s">
        <v>66</v>
      </c>
      <c r="D132" s="288" t="s">
        <v>320</v>
      </c>
      <c r="E132" s="290"/>
      <c r="F132" s="289" t="s">
        <v>321</v>
      </c>
      <c r="G132" s="291">
        <v>536801</v>
      </c>
      <c r="H132" s="291">
        <v>0</v>
      </c>
      <c r="I132" s="292">
        <v>536801</v>
      </c>
      <c r="J132" s="292">
        <v>477797</v>
      </c>
      <c r="K132" s="294">
        <v>59004</v>
      </c>
    </row>
    <row r="133" spans="1:11" ht="15.75" hidden="1" customHeight="1" x14ac:dyDescent="0.3">
      <c r="A133" s="278" t="s">
        <v>312</v>
      </c>
      <c r="B133" s="279">
        <v>60</v>
      </c>
      <c r="C133" s="278" t="s">
        <v>68</v>
      </c>
      <c r="D133" s="279" t="s">
        <v>422</v>
      </c>
      <c r="E133" s="278" t="s">
        <v>428</v>
      </c>
      <c r="F133" s="278" t="s">
        <v>429</v>
      </c>
      <c r="G133" s="280">
        <v>879000</v>
      </c>
      <c r="H133" s="280">
        <v>0</v>
      </c>
      <c r="I133" s="281">
        <v>879000</v>
      </c>
      <c r="J133" s="282"/>
      <c r="K133" s="7"/>
    </row>
    <row r="134" spans="1:11" ht="15.75" hidden="1" customHeight="1" x14ac:dyDescent="0.3">
      <c r="A134" s="288" t="s">
        <v>312</v>
      </c>
      <c r="B134" s="288">
        <v>60</v>
      </c>
      <c r="C134" s="289" t="s">
        <v>68</v>
      </c>
      <c r="D134" s="288" t="s">
        <v>320</v>
      </c>
      <c r="E134" s="290"/>
      <c r="F134" s="289" t="s">
        <v>321</v>
      </c>
      <c r="G134" s="291">
        <v>879000</v>
      </c>
      <c r="H134" s="291">
        <v>0</v>
      </c>
      <c r="I134" s="292">
        <v>879000</v>
      </c>
      <c r="J134" s="292">
        <v>879000</v>
      </c>
      <c r="K134" s="293">
        <v>0</v>
      </c>
    </row>
    <row r="135" spans="1:11" ht="15.75" hidden="1" customHeight="1" x14ac:dyDescent="0.3">
      <c r="A135" s="278" t="s">
        <v>312</v>
      </c>
      <c r="B135" s="279">
        <v>61</v>
      </c>
      <c r="C135" s="278" t="s">
        <v>70</v>
      </c>
      <c r="D135" s="279" t="s">
        <v>405</v>
      </c>
      <c r="E135" s="278"/>
      <c r="F135" s="278" t="s">
        <v>430</v>
      </c>
      <c r="G135" s="280">
        <v>0</v>
      </c>
      <c r="H135" s="280">
        <v>1172160</v>
      </c>
      <c r="I135" s="281">
        <v>-1172160</v>
      </c>
      <c r="J135" s="282"/>
      <c r="K135" s="7"/>
    </row>
    <row r="136" spans="1:11" ht="15.75" hidden="1" customHeight="1" x14ac:dyDescent="0.3">
      <c r="A136" s="283" t="s">
        <v>312</v>
      </c>
      <c r="B136" s="284">
        <v>61</v>
      </c>
      <c r="C136" s="283" t="s">
        <v>70</v>
      </c>
      <c r="D136" s="284" t="s">
        <v>405</v>
      </c>
      <c r="E136" s="283"/>
      <c r="F136" s="283" t="s">
        <v>431</v>
      </c>
      <c r="G136" s="285">
        <v>1740420</v>
      </c>
      <c r="H136" s="285">
        <v>0</v>
      </c>
      <c r="I136" s="286">
        <v>1740420</v>
      </c>
      <c r="J136" s="287"/>
      <c r="K136" s="7"/>
    </row>
    <row r="137" spans="1:11" ht="15.75" hidden="1" customHeight="1" x14ac:dyDescent="0.3">
      <c r="A137" s="288" t="s">
        <v>312</v>
      </c>
      <c r="B137" s="288">
        <v>61</v>
      </c>
      <c r="C137" s="289" t="s">
        <v>70</v>
      </c>
      <c r="D137" s="288" t="s">
        <v>320</v>
      </c>
      <c r="E137" s="290"/>
      <c r="F137" s="289" t="s">
        <v>321</v>
      </c>
      <c r="G137" s="291">
        <v>1740420</v>
      </c>
      <c r="H137" s="291">
        <v>1172160</v>
      </c>
      <c r="I137" s="292">
        <v>568260</v>
      </c>
      <c r="J137" s="292">
        <v>568260</v>
      </c>
      <c r="K137" s="293">
        <v>0</v>
      </c>
    </row>
    <row r="138" spans="1:11" ht="15.75" hidden="1" customHeight="1" x14ac:dyDescent="0.3">
      <c r="A138" s="278" t="s">
        <v>312</v>
      </c>
      <c r="B138" s="279">
        <v>64</v>
      </c>
      <c r="C138" s="278" t="s">
        <v>76</v>
      </c>
      <c r="D138" s="279" t="s">
        <v>405</v>
      </c>
      <c r="E138" s="278"/>
      <c r="F138" s="278" t="s">
        <v>432</v>
      </c>
      <c r="G138" s="280">
        <v>0</v>
      </c>
      <c r="H138" s="280">
        <v>644510</v>
      </c>
      <c r="I138" s="281">
        <v>-644510</v>
      </c>
      <c r="J138" s="282"/>
      <c r="K138" s="7"/>
    </row>
    <row r="139" spans="1:11" ht="15.75" hidden="1" customHeight="1" x14ac:dyDescent="0.3">
      <c r="A139" s="283" t="s">
        <v>312</v>
      </c>
      <c r="B139" s="284">
        <v>64</v>
      </c>
      <c r="C139" s="283" t="s">
        <v>76</v>
      </c>
      <c r="D139" s="284" t="s">
        <v>405</v>
      </c>
      <c r="E139" s="283" t="s">
        <v>433</v>
      </c>
      <c r="F139" s="283" t="s">
        <v>434</v>
      </c>
      <c r="G139" s="285">
        <v>640155.6</v>
      </c>
      <c r="H139" s="285">
        <v>0</v>
      </c>
      <c r="I139" s="286">
        <v>640155.6</v>
      </c>
      <c r="J139" s="287"/>
      <c r="K139" s="7"/>
    </row>
    <row r="140" spans="1:11" ht="15.75" hidden="1" customHeight="1" x14ac:dyDescent="0.3">
      <c r="A140" s="278" t="s">
        <v>312</v>
      </c>
      <c r="B140" s="279">
        <v>64</v>
      </c>
      <c r="C140" s="278" t="s">
        <v>76</v>
      </c>
      <c r="D140" s="279" t="s">
        <v>405</v>
      </c>
      <c r="E140" s="278" t="s">
        <v>435</v>
      </c>
      <c r="F140" s="278" t="s">
        <v>436</v>
      </c>
      <c r="G140" s="280">
        <v>637978.19999999995</v>
      </c>
      <c r="H140" s="280">
        <v>0</v>
      </c>
      <c r="I140" s="281">
        <v>637978.19999999995</v>
      </c>
      <c r="J140" s="282"/>
      <c r="K140" s="7"/>
    </row>
    <row r="141" spans="1:11" ht="15.75" hidden="1" customHeight="1" x14ac:dyDescent="0.3">
      <c r="A141" s="283" t="s">
        <v>312</v>
      </c>
      <c r="B141" s="284">
        <v>64</v>
      </c>
      <c r="C141" s="283" t="s">
        <v>76</v>
      </c>
      <c r="D141" s="284" t="s">
        <v>405</v>
      </c>
      <c r="E141" s="283"/>
      <c r="F141" s="283" t="s">
        <v>437</v>
      </c>
      <c r="G141" s="285">
        <v>637978</v>
      </c>
      <c r="H141" s="285">
        <v>0</v>
      </c>
      <c r="I141" s="286">
        <v>637978</v>
      </c>
      <c r="J141" s="287"/>
      <c r="K141" s="7"/>
    </row>
    <row r="142" spans="1:11" ht="15.75" hidden="1" customHeight="1" x14ac:dyDescent="0.3">
      <c r="A142" s="288" t="s">
        <v>312</v>
      </c>
      <c r="B142" s="288">
        <v>64</v>
      </c>
      <c r="C142" s="289" t="s">
        <v>76</v>
      </c>
      <c r="D142" s="288" t="s">
        <v>320</v>
      </c>
      <c r="E142" s="290"/>
      <c r="F142" s="289" t="s">
        <v>321</v>
      </c>
      <c r="G142" s="291">
        <v>1916111.8</v>
      </c>
      <c r="H142" s="291">
        <v>644510</v>
      </c>
      <c r="I142" s="292">
        <v>1271601.8</v>
      </c>
      <c r="J142" s="292">
        <v>633623.6</v>
      </c>
      <c r="K142" s="294">
        <v>637978.19999999984</v>
      </c>
    </row>
    <row r="143" spans="1:11" ht="15.75" hidden="1" customHeight="1" x14ac:dyDescent="0.3">
      <c r="A143" s="278" t="s">
        <v>312</v>
      </c>
      <c r="B143" s="279">
        <v>66</v>
      </c>
      <c r="C143" s="278" t="s">
        <v>80</v>
      </c>
      <c r="D143" s="279" t="s">
        <v>422</v>
      </c>
      <c r="E143" s="278" t="s">
        <v>438</v>
      </c>
      <c r="F143" s="278" t="s">
        <v>439</v>
      </c>
      <c r="G143" s="280">
        <v>364752</v>
      </c>
      <c r="H143" s="280">
        <v>0</v>
      </c>
      <c r="I143" s="281">
        <v>364752</v>
      </c>
      <c r="J143" s="282"/>
      <c r="K143" s="7"/>
    </row>
    <row r="144" spans="1:11" ht="15.75" hidden="1" customHeight="1" x14ac:dyDescent="0.3">
      <c r="A144" s="283" t="s">
        <v>312</v>
      </c>
      <c r="B144" s="284">
        <v>66</v>
      </c>
      <c r="C144" s="283" t="s">
        <v>80</v>
      </c>
      <c r="D144" s="284" t="s">
        <v>422</v>
      </c>
      <c r="E144" s="283" t="s">
        <v>438</v>
      </c>
      <c r="F144" s="283" t="s">
        <v>439</v>
      </c>
      <c r="G144" s="285">
        <v>41414.550000000003</v>
      </c>
      <c r="H144" s="285">
        <v>0</v>
      </c>
      <c r="I144" s="286">
        <v>41414.550000000003</v>
      </c>
      <c r="J144" s="287"/>
      <c r="K144" s="7"/>
    </row>
    <row r="145" spans="1:11" ht="15.75" hidden="1" customHeight="1" x14ac:dyDescent="0.3">
      <c r="A145" s="278" t="s">
        <v>312</v>
      </c>
      <c r="B145" s="279">
        <v>66</v>
      </c>
      <c r="C145" s="278" t="s">
        <v>80</v>
      </c>
      <c r="D145" s="279" t="s">
        <v>405</v>
      </c>
      <c r="E145" s="278" t="s">
        <v>438</v>
      </c>
      <c r="F145" s="278" t="s">
        <v>440</v>
      </c>
      <c r="G145" s="280">
        <v>31948.13</v>
      </c>
      <c r="H145" s="280">
        <v>0</v>
      </c>
      <c r="I145" s="281">
        <v>31948.13</v>
      </c>
      <c r="J145" s="282"/>
      <c r="K145" s="7"/>
    </row>
    <row r="146" spans="1:11" ht="15.75" hidden="1" customHeight="1" x14ac:dyDescent="0.3">
      <c r="A146" s="283" t="s">
        <v>312</v>
      </c>
      <c r="B146" s="284">
        <v>66</v>
      </c>
      <c r="C146" s="283" t="s">
        <v>80</v>
      </c>
      <c r="D146" s="284" t="s">
        <v>405</v>
      </c>
      <c r="E146" s="283" t="s">
        <v>438</v>
      </c>
      <c r="F146" s="283" t="s">
        <v>441</v>
      </c>
      <c r="G146" s="285">
        <v>23057.05</v>
      </c>
      <c r="H146" s="285">
        <v>0</v>
      </c>
      <c r="I146" s="286">
        <v>23057.05</v>
      </c>
      <c r="J146" s="287"/>
      <c r="K146" s="7"/>
    </row>
    <row r="147" spans="1:11" ht="15.75" hidden="1" customHeight="1" x14ac:dyDescent="0.3">
      <c r="A147" s="278" t="s">
        <v>312</v>
      </c>
      <c r="B147" s="279">
        <v>66</v>
      </c>
      <c r="C147" s="278" t="s">
        <v>80</v>
      </c>
      <c r="D147" s="279" t="s">
        <v>405</v>
      </c>
      <c r="E147" s="278" t="s">
        <v>438</v>
      </c>
      <c r="F147" s="278" t="s">
        <v>442</v>
      </c>
      <c r="G147" s="280">
        <v>23057.05</v>
      </c>
      <c r="H147" s="280">
        <v>0</v>
      </c>
      <c r="I147" s="281">
        <v>23057.05</v>
      </c>
      <c r="J147" s="282"/>
      <c r="K147" s="7"/>
    </row>
    <row r="148" spans="1:11" ht="15.75" hidden="1" customHeight="1" x14ac:dyDescent="0.3">
      <c r="A148" s="288" t="s">
        <v>312</v>
      </c>
      <c r="B148" s="288">
        <v>66</v>
      </c>
      <c r="C148" s="289" t="s">
        <v>80</v>
      </c>
      <c r="D148" s="288" t="s">
        <v>320</v>
      </c>
      <c r="E148" s="290"/>
      <c r="F148" s="289" t="s">
        <v>321</v>
      </c>
      <c r="G148" s="291">
        <v>484228.78</v>
      </c>
      <c r="H148" s="291">
        <v>0</v>
      </c>
      <c r="I148" s="292">
        <v>484228.78</v>
      </c>
      <c r="J148" s="292">
        <v>484228.78</v>
      </c>
      <c r="K148" s="293">
        <v>0</v>
      </c>
    </row>
    <row r="149" spans="1:11" ht="15.75" hidden="1" customHeight="1" x14ac:dyDescent="0.3">
      <c r="A149" s="278" t="s">
        <v>312</v>
      </c>
      <c r="B149" s="279">
        <v>69</v>
      </c>
      <c r="C149" s="278" t="s">
        <v>86</v>
      </c>
      <c r="D149" s="279" t="s">
        <v>405</v>
      </c>
      <c r="E149" s="278" t="s">
        <v>438</v>
      </c>
      <c r="F149" s="278" t="s">
        <v>443</v>
      </c>
      <c r="G149" s="280">
        <v>11727.32</v>
      </c>
      <c r="H149" s="280">
        <v>0</v>
      </c>
      <c r="I149" s="281">
        <v>11727.32</v>
      </c>
      <c r="J149" s="282"/>
      <c r="K149" s="7"/>
    </row>
    <row r="150" spans="1:11" ht="15.75" hidden="1" customHeight="1" x14ac:dyDescent="0.3">
      <c r="A150" s="288" t="s">
        <v>312</v>
      </c>
      <c r="B150" s="288">
        <v>69</v>
      </c>
      <c r="C150" s="289" t="s">
        <v>86</v>
      </c>
      <c r="D150" s="288" t="s">
        <v>320</v>
      </c>
      <c r="E150" s="290"/>
      <c r="F150" s="289" t="s">
        <v>321</v>
      </c>
      <c r="G150" s="291">
        <v>11727.32</v>
      </c>
      <c r="H150" s="291">
        <v>0</v>
      </c>
      <c r="I150" s="292">
        <v>11727.32</v>
      </c>
      <c r="J150" s="292">
        <v>11727.32</v>
      </c>
      <c r="K150" s="293">
        <v>0</v>
      </c>
    </row>
    <row r="151" spans="1:11" ht="15.75" hidden="1" customHeight="1" x14ac:dyDescent="0.3">
      <c r="A151" s="278" t="s">
        <v>312</v>
      </c>
      <c r="B151" s="279">
        <v>71</v>
      </c>
      <c r="C151" s="278" t="s">
        <v>89</v>
      </c>
      <c r="D151" s="279" t="s">
        <v>444</v>
      </c>
      <c r="E151" s="278"/>
      <c r="F151" s="278" t="s">
        <v>445</v>
      </c>
      <c r="G151" s="280">
        <v>3464932.49</v>
      </c>
      <c r="H151" s="280">
        <v>0</v>
      </c>
      <c r="I151" s="281">
        <v>3464932.49</v>
      </c>
      <c r="J151" s="282"/>
      <c r="K151" s="7"/>
    </row>
    <row r="152" spans="1:11" ht="15.75" hidden="1" customHeight="1" x14ac:dyDescent="0.3">
      <c r="A152" s="283" t="s">
        <v>312</v>
      </c>
      <c r="B152" s="284">
        <v>71</v>
      </c>
      <c r="C152" s="283" t="s">
        <v>89</v>
      </c>
      <c r="D152" s="284" t="s">
        <v>444</v>
      </c>
      <c r="E152" s="283"/>
      <c r="F152" s="283" t="s">
        <v>446</v>
      </c>
      <c r="G152" s="285">
        <v>1817356.27</v>
      </c>
      <c r="H152" s="285">
        <v>0</v>
      </c>
      <c r="I152" s="286">
        <v>1817356.27</v>
      </c>
      <c r="J152" s="287"/>
      <c r="K152" s="7"/>
    </row>
    <row r="153" spans="1:11" ht="15.75" hidden="1" customHeight="1" x14ac:dyDescent="0.3">
      <c r="A153" s="278" t="s">
        <v>312</v>
      </c>
      <c r="B153" s="279">
        <v>71</v>
      </c>
      <c r="C153" s="278" t="s">
        <v>89</v>
      </c>
      <c r="D153" s="279" t="s">
        <v>444</v>
      </c>
      <c r="E153" s="278"/>
      <c r="F153" s="278" t="s">
        <v>447</v>
      </c>
      <c r="G153" s="280">
        <v>40831.879999999997</v>
      </c>
      <c r="H153" s="280">
        <v>0</v>
      </c>
      <c r="I153" s="281">
        <v>40831.879999999997</v>
      </c>
      <c r="J153" s="282"/>
      <c r="K153" s="7"/>
    </row>
    <row r="154" spans="1:11" ht="15.75" hidden="1" customHeight="1" x14ac:dyDescent="0.3">
      <c r="A154" s="288" t="s">
        <v>312</v>
      </c>
      <c r="B154" s="288">
        <v>71</v>
      </c>
      <c r="C154" s="289" t="s">
        <v>89</v>
      </c>
      <c r="D154" s="288" t="s">
        <v>320</v>
      </c>
      <c r="E154" s="290"/>
      <c r="F154" s="289" t="s">
        <v>321</v>
      </c>
      <c r="G154" s="291">
        <v>5323120.6400000006</v>
      </c>
      <c r="H154" s="291">
        <v>0</v>
      </c>
      <c r="I154" s="292">
        <v>5323120.6400000006</v>
      </c>
      <c r="J154" s="292">
        <v>5323120.6399999997</v>
      </c>
      <c r="K154" s="293">
        <v>9.3132257461547852E-10</v>
      </c>
    </row>
    <row r="155" spans="1:11" ht="15.75" hidden="1" customHeight="1" x14ac:dyDescent="0.3">
      <c r="A155" s="278" t="s">
        <v>312</v>
      </c>
      <c r="B155" s="279">
        <v>76</v>
      </c>
      <c r="C155" s="278" t="s">
        <v>96</v>
      </c>
      <c r="D155" s="279" t="s">
        <v>448</v>
      </c>
      <c r="E155" s="278" t="s">
        <v>449</v>
      </c>
      <c r="F155" s="278" t="s">
        <v>450</v>
      </c>
      <c r="G155" s="280">
        <v>12158900.1</v>
      </c>
      <c r="H155" s="280">
        <v>0</v>
      </c>
      <c r="I155" s="281">
        <v>12158900.1</v>
      </c>
      <c r="J155" s="282"/>
      <c r="K155" s="7"/>
    </row>
    <row r="156" spans="1:11" ht="15.75" hidden="1" customHeight="1" x14ac:dyDescent="0.3">
      <c r="A156" s="288" t="s">
        <v>312</v>
      </c>
      <c r="B156" s="288">
        <v>76</v>
      </c>
      <c r="C156" s="289" t="s">
        <v>96</v>
      </c>
      <c r="D156" s="288" t="s">
        <v>320</v>
      </c>
      <c r="E156" s="290"/>
      <c r="F156" s="289" t="s">
        <v>321</v>
      </c>
      <c r="G156" s="291">
        <v>12158900.1</v>
      </c>
      <c r="H156" s="291">
        <v>0</v>
      </c>
      <c r="I156" s="292">
        <v>12158900.1</v>
      </c>
      <c r="J156" s="292">
        <v>12158900.1</v>
      </c>
      <c r="K156" s="293">
        <v>0</v>
      </c>
    </row>
    <row r="157" spans="1:11" ht="15.75" hidden="1" customHeight="1" x14ac:dyDescent="0.3">
      <c r="A157" s="278" t="s">
        <v>312</v>
      </c>
      <c r="B157" s="279">
        <v>78</v>
      </c>
      <c r="C157" s="278" t="s">
        <v>100</v>
      </c>
      <c r="D157" s="279" t="s">
        <v>451</v>
      </c>
      <c r="E157" s="278" t="s">
        <v>452</v>
      </c>
      <c r="F157" s="278" t="s">
        <v>453</v>
      </c>
      <c r="G157" s="280">
        <v>2593614</v>
      </c>
      <c r="H157" s="280">
        <v>0</v>
      </c>
      <c r="I157" s="281">
        <v>2593614</v>
      </c>
      <c r="J157" s="282"/>
      <c r="K157" s="7"/>
    </row>
    <row r="158" spans="1:11" ht="15.75" hidden="1" customHeight="1" x14ac:dyDescent="0.3">
      <c r="A158" s="288" t="s">
        <v>312</v>
      </c>
      <c r="B158" s="288">
        <v>78</v>
      </c>
      <c r="C158" s="289" t="s">
        <v>100</v>
      </c>
      <c r="D158" s="288" t="s">
        <v>320</v>
      </c>
      <c r="E158" s="290"/>
      <c r="F158" s="289" t="s">
        <v>321</v>
      </c>
      <c r="G158" s="291">
        <v>2593614</v>
      </c>
      <c r="H158" s="291">
        <v>0</v>
      </c>
      <c r="I158" s="292">
        <v>2593614</v>
      </c>
      <c r="J158" s="292">
        <v>2593614</v>
      </c>
      <c r="K158" s="293">
        <v>0</v>
      </c>
    </row>
    <row r="159" spans="1:11" ht="15.75" hidden="1" customHeight="1" x14ac:dyDescent="0.3">
      <c r="A159" s="278" t="s">
        <v>312</v>
      </c>
      <c r="B159" s="279">
        <v>82</v>
      </c>
      <c r="C159" s="278" t="s">
        <v>104</v>
      </c>
      <c r="D159" s="279" t="s">
        <v>451</v>
      </c>
      <c r="E159" s="278"/>
      <c r="F159" s="278" t="s">
        <v>454</v>
      </c>
      <c r="G159" s="280">
        <v>0</v>
      </c>
      <c r="H159" s="280">
        <v>11000000</v>
      </c>
      <c r="I159" s="281">
        <v>-11000000</v>
      </c>
      <c r="J159" s="282"/>
      <c r="K159" s="7"/>
    </row>
    <row r="160" spans="1:11" ht="15.75" hidden="1" customHeight="1" x14ac:dyDescent="0.3">
      <c r="A160" s="283" t="s">
        <v>312</v>
      </c>
      <c r="B160" s="284">
        <v>82</v>
      </c>
      <c r="C160" s="283" t="s">
        <v>104</v>
      </c>
      <c r="D160" s="284" t="s">
        <v>451</v>
      </c>
      <c r="E160" s="283" t="s">
        <v>455</v>
      </c>
      <c r="F160" s="283" t="s">
        <v>456</v>
      </c>
      <c r="G160" s="285">
        <v>2706509.14</v>
      </c>
      <c r="H160" s="285">
        <v>0</v>
      </c>
      <c r="I160" s="286">
        <v>2706509.14</v>
      </c>
      <c r="J160" s="287"/>
      <c r="K160" s="7"/>
    </row>
    <row r="161" spans="1:11" ht="15.75" hidden="1" customHeight="1" x14ac:dyDescent="0.3">
      <c r="A161" s="278" t="s">
        <v>312</v>
      </c>
      <c r="B161" s="279">
        <v>82</v>
      </c>
      <c r="C161" s="278" t="s">
        <v>104</v>
      </c>
      <c r="D161" s="279" t="s">
        <v>451</v>
      </c>
      <c r="E161" s="278" t="s">
        <v>455</v>
      </c>
      <c r="F161" s="278" t="s">
        <v>457</v>
      </c>
      <c r="G161" s="280">
        <v>8248117.9100000001</v>
      </c>
      <c r="H161" s="280">
        <v>0</v>
      </c>
      <c r="I161" s="281">
        <v>8248117.9100000001</v>
      </c>
      <c r="J161" s="282"/>
      <c r="K161" s="7"/>
    </row>
    <row r="162" spans="1:11" ht="15.75" hidden="1" customHeight="1" x14ac:dyDescent="0.3">
      <c r="A162" s="283" t="s">
        <v>312</v>
      </c>
      <c r="B162" s="284">
        <v>82</v>
      </c>
      <c r="C162" s="283" t="s">
        <v>104</v>
      </c>
      <c r="D162" s="284" t="s">
        <v>451</v>
      </c>
      <c r="E162" s="283"/>
      <c r="F162" s="283" t="s">
        <v>458</v>
      </c>
      <c r="G162" s="285">
        <v>11300000</v>
      </c>
      <c r="H162" s="285">
        <v>0</v>
      </c>
      <c r="I162" s="286">
        <v>11300000</v>
      </c>
      <c r="J162" s="287"/>
      <c r="K162" s="7"/>
    </row>
    <row r="163" spans="1:11" ht="15.75" hidden="1" customHeight="1" x14ac:dyDescent="0.3">
      <c r="A163" s="288" t="s">
        <v>312</v>
      </c>
      <c r="B163" s="288">
        <v>82</v>
      </c>
      <c r="C163" s="289" t="s">
        <v>104</v>
      </c>
      <c r="D163" s="288" t="s">
        <v>320</v>
      </c>
      <c r="E163" s="290"/>
      <c r="F163" s="289" t="s">
        <v>321</v>
      </c>
      <c r="G163" s="291">
        <v>22254627.050000001</v>
      </c>
      <c r="H163" s="291">
        <v>11000000</v>
      </c>
      <c r="I163" s="292">
        <v>11254627.050000001</v>
      </c>
      <c r="J163" s="292">
        <v>11254627.050000001</v>
      </c>
      <c r="K163" s="293">
        <v>0</v>
      </c>
    </row>
    <row r="164" spans="1:11" ht="15.75" hidden="1" customHeight="1" x14ac:dyDescent="0.3">
      <c r="A164" s="278" t="s">
        <v>312</v>
      </c>
      <c r="B164" s="279">
        <v>83</v>
      </c>
      <c r="C164" s="278" t="s">
        <v>107</v>
      </c>
      <c r="D164" s="279" t="s">
        <v>448</v>
      </c>
      <c r="E164" s="278" t="s">
        <v>459</v>
      </c>
      <c r="F164" s="278" t="s">
        <v>460</v>
      </c>
      <c r="G164" s="280">
        <v>5982207.8099999996</v>
      </c>
      <c r="H164" s="280">
        <v>0</v>
      </c>
      <c r="I164" s="281">
        <v>5982207.8099999996</v>
      </c>
      <c r="J164" s="282"/>
      <c r="K164" s="7"/>
    </row>
    <row r="165" spans="1:11" ht="15.75" hidden="1" customHeight="1" x14ac:dyDescent="0.3">
      <c r="A165" s="283" t="s">
        <v>312</v>
      </c>
      <c r="B165" s="284">
        <v>83</v>
      </c>
      <c r="C165" s="283" t="s">
        <v>107</v>
      </c>
      <c r="D165" s="284" t="s">
        <v>448</v>
      </c>
      <c r="E165" s="283" t="s">
        <v>459</v>
      </c>
      <c r="F165" s="283" t="s">
        <v>460</v>
      </c>
      <c r="G165" s="285">
        <v>300000</v>
      </c>
      <c r="H165" s="285">
        <v>0</v>
      </c>
      <c r="I165" s="286">
        <v>300000</v>
      </c>
      <c r="J165" s="287"/>
      <c r="K165" s="7"/>
    </row>
    <row r="166" spans="1:11" ht="15.75" hidden="1" customHeight="1" x14ac:dyDescent="0.3">
      <c r="A166" s="278" t="s">
        <v>312</v>
      </c>
      <c r="B166" s="279">
        <v>83</v>
      </c>
      <c r="C166" s="278" t="s">
        <v>107</v>
      </c>
      <c r="D166" s="279" t="s">
        <v>448</v>
      </c>
      <c r="E166" s="278" t="s">
        <v>459</v>
      </c>
      <c r="F166" s="278" t="s">
        <v>460</v>
      </c>
      <c r="G166" s="280">
        <v>0.21</v>
      </c>
      <c r="H166" s="280">
        <v>0</v>
      </c>
      <c r="I166" s="281">
        <v>0.21</v>
      </c>
      <c r="J166" s="282"/>
      <c r="K166" s="7"/>
    </row>
    <row r="167" spans="1:11" ht="15.75" hidden="1" customHeight="1" x14ac:dyDescent="0.3">
      <c r="A167" s="288" t="s">
        <v>312</v>
      </c>
      <c r="B167" s="288">
        <v>83</v>
      </c>
      <c r="C167" s="289" t="s">
        <v>107</v>
      </c>
      <c r="D167" s="288" t="s">
        <v>320</v>
      </c>
      <c r="E167" s="290"/>
      <c r="F167" s="289" t="s">
        <v>321</v>
      </c>
      <c r="G167" s="291">
        <v>6282208.0199999996</v>
      </c>
      <c r="H167" s="291">
        <v>0</v>
      </c>
      <c r="I167" s="292">
        <v>6282208.0199999996</v>
      </c>
      <c r="J167" s="292">
        <v>6282208.0199999996</v>
      </c>
      <c r="K167" s="293">
        <v>0</v>
      </c>
    </row>
    <row r="168" spans="1:11" ht="15.75" hidden="1" customHeight="1" x14ac:dyDescent="0.3">
      <c r="A168" s="278" t="s">
        <v>312</v>
      </c>
      <c r="B168" s="279">
        <v>84</v>
      </c>
      <c r="C168" s="278" t="s">
        <v>110</v>
      </c>
      <c r="D168" s="279" t="s">
        <v>425</v>
      </c>
      <c r="E168" s="278"/>
      <c r="F168" s="278" t="s">
        <v>461</v>
      </c>
      <c r="G168" s="280">
        <v>0</v>
      </c>
      <c r="H168" s="280">
        <v>6699237</v>
      </c>
      <c r="I168" s="281">
        <v>-6699237</v>
      </c>
      <c r="J168" s="282"/>
      <c r="K168" s="7"/>
    </row>
    <row r="169" spans="1:11" ht="15.75" hidden="1" customHeight="1" x14ac:dyDescent="0.3">
      <c r="A169" s="283" t="s">
        <v>312</v>
      </c>
      <c r="B169" s="284">
        <v>84</v>
      </c>
      <c r="C169" s="283" t="s">
        <v>110</v>
      </c>
      <c r="D169" s="284" t="s">
        <v>425</v>
      </c>
      <c r="E169" s="283" t="s">
        <v>462</v>
      </c>
      <c r="F169" s="283" t="s">
        <v>463</v>
      </c>
      <c r="G169" s="285">
        <v>90785</v>
      </c>
      <c r="H169" s="285">
        <v>0</v>
      </c>
      <c r="I169" s="286">
        <v>90785</v>
      </c>
      <c r="J169" s="287"/>
      <c r="K169" s="7"/>
    </row>
    <row r="170" spans="1:11" ht="15.75" hidden="1" customHeight="1" x14ac:dyDescent="0.3">
      <c r="A170" s="278" t="s">
        <v>312</v>
      </c>
      <c r="B170" s="279">
        <v>84</v>
      </c>
      <c r="C170" s="278" t="s">
        <v>110</v>
      </c>
      <c r="D170" s="279" t="s">
        <v>425</v>
      </c>
      <c r="E170" s="278" t="s">
        <v>464</v>
      </c>
      <c r="F170" s="278" t="s">
        <v>463</v>
      </c>
      <c r="G170" s="280">
        <v>3197743.8</v>
      </c>
      <c r="H170" s="280">
        <v>0</v>
      </c>
      <c r="I170" s="281">
        <v>3197743.8</v>
      </c>
      <c r="J170" s="282"/>
      <c r="K170" s="7"/>
    </row>
    <row r="171" spans="1:11" ht="15.75" hidden="1" customHeight="1" x14ac:dyDescent="0.3">
      <c r="A171" s="283" t="s">
        <v>312</v>
      </c>
      <c r="B171" s="284">
        <v>84</v>
      </c>
      <c r="C171" s="283" t="s">
        <v>110</v>
      </c>
      <c r="D171" s="284" t="s">
        <v>425</v>
      </c>
      <c r="E171" s="283" t="s">
        <v>465</v>
      </c>
      <c r="F171" s="283" t="s">
        <v>463</v>
      </c>
      <c r="G171" s="285">
        <v>151393</v>
      </c>
      <c r="H171" s="285">
        <v>0</v>
      </c>
      <c r="I171" s="286">
        <v>151393</v>
      </c>
      <c r="J171" s="287"/>
      <c r="K171" s="7"/>
    </row>
    <row r="172" spans="1:11" ht="15.75" hidden="1" customHeight="1" x14ac:dyDescent="0.3">
      <c r="A172" s="278" t="s">
        <v>312</v>
      </c>
      <c r="B172" s="279">
        <v>84</v>
      </c>
      <c r="C172" s="278" t="s">
        <v>110</v>
      </c>
      <c r="D172" s="279" t="s">
        <v>425</v>
      </c>
      <c r="E172" s="278" t="s">
        <v>466</v>
      </c>
      <c r="F172" s="278" t="s">
        <v>463</v>
      </c>
      <c r="G172" s="280">
        <v>6915</v>
      </c>
      <c r="H172" s="280">
        <v>0</v>
      </c>
      <c r="I172" s="281">
        <v>6915</v>
      </c>
      <c r="J172" s="282"/>
      <c r="K172" s="7"/>
    </row>
    <row r="173" spans="1:11" ht="15.75" hidden="1" customHeight="1" x14ac:dyDescent="0.3">
      <c r="A173" s="283" t="s">
        <v>312</v>
      </c>
      <c r="B173" s="284">
        <v>84</v>
      </c>
      <c r="C173" s="283" t="s">
        <v>110</v>
      </c>
      <c r="D173" s="284" t="s">
        <v>425</v>
      </c>
      <c r="E173" s="283" t="s">
        <v>467</v>
      </c>
      <c r="F173" s="283" t="s">
        <v>463</v>
      </c>
      <c r="G173" s="285">
        <v>134420</v>
      </c>
      <c r="H173" s="285">
        <v>0</v>
      </c>
      <c r="I173" s="286">
        <v>134420</v>
      </c>
      <c r="J173" s="287"/>
      <c r="K173" s="7"/>
    </row>
    <row r="174" spans="1:11" ht="15.75" hidden="1" customHeight="1" x14ac:dyDescent="0.3">
      <c r="A174" s="278" t="s">
        <v>312</v>
      </c>
      <c r="B174" s="279">
        <v>84</v>
      </c>
      <c r="C174" s="278" t="s">
        <v>110</v>
      </c>
      <c r="D174" s="279" t="s">
        <v>425</v>
      </c>
      <c r="E174" s="278" t="s">
        <v>468</v>
      </c>
      <c r="F174" s="278" t="s">
        <v>463</v>
      </c>
      <c r="G174" s="280">
        <v>16153</v>
      </c>
      <c r="H174" s="280">
        <v>0</v>
      </c>
      <c r="I174" s="281">
        <v>16153</v>
      </c>
      <c r="J174" s="282"/>
      <c r="K174" s="7"/>
    </row>
    <row r="175" spans="1:11" ht="15.75" hidden="1" customHeight="1" x14ac:dyDescent="0.3">
      <c r="A175" s="283" t="s">
        <v>312</v>
      </c>
      <c r="B175" s="284">
        <v>84</v>
      </c>
      <c r="C175" s="283" t="s">
        <v>110</v>
      </c>
      <c r="D175" s="284" t="s">
        <v>425</v>
      </c>
      <c r="E175" s="283" t="s">
        <v>469</v>
      </c>
      <c r="F175" s="283" t="s">
        <v>463</v>
      </c>
      <c r="G175" s="285">
        <v>1450765</v>
      </c>
      <c r="H175" s="285">
        <v>0</v>
      </c>
      <c r="I175" s="286">
        <v>1450765</v>
      </c>
      <c r="J175" s="287"/>
      <c r="K175" s="7"/>
    </row>
    <row r="176" spans="1:11" ht="15.75" hidden="1" customHeight="1" x14ac:dyDescent="0.3">
      <c r="A176" s="278" t="s">
        <v>312</v>
      </c>
      <c r="B176" s="279">
        <v>84</v>
      </c>
      <c r="C176" s="278" t="s">
        <v>110</v>
      </c>
      <c r="D176" s="279" t="s">
        <v>425</v>
      </c>
      <c r="E176" s="278" t="s">
        <v>470</v>
      </c>
      <c r="F176" s="278" t="s">
        <v>463</v>
      </c>
      <c r="G176" s="280">
        <v>27671</v>
      </c>
      <c r="H176" s="280">
        <v>0</v>
      </c>
      <c r="I176" s="281">
        <v>27671</v>
      </c>
      <c r="J176" s="282"/>
      <c r="K176" s="7"/>
    </row>
    <row r="177" spans="1:11" ht="15.75" hidden="1" customHeight="1" x14ac:dyDescent="0.3">
      <c r="A177" s="283" t="s">
        <v>312</v>
      </c>
      <c r="B177" s="284">
        <v>84</v>
      </c>
      <c r="C177" s="283" t="s">
        <v>110</v>
      </c>
      <c r="D177" s="284" t="s">
        <v>425</v>
      </c>
      <c r="E177" s="283"/>
      <c r="F177" s="283" t="s">
        <v>471</v>
      </c>
      <c r="G177" s="285">
        <v>6235763</v>
      </c>
      <c r="H177" s="285">
        <v>0</v>
      </c>
      <c r="I177" s="286">
        <v>6235763</v>
      </c>
      <c r="J177" s="287"/>
      <c r="K177" s="7"/>
    </row>
    <row r="178" spans="1:11" ht="15.75" hidden="1" customHeight="1" x14ac:dyDescent="0.3">
      <c r="A178" s="288" t="s">
        <v>312</v>
      </c>
      <c r="B178" s="288">
        <v>84</v>
      </c>
      <c r="C178" s="289" t="s">
        <v>110</v>
      </c>
      <c r="D178" s="288" t="s">
        <v>320</v>
      </c>
      <c r="E178" s="290"/>
      <c r="F178" s="289" t="s">
        <v>321</v>
      </c>
      <c r="G178" s="291">
        <v>11311608.800000001</v>
      </c>
      <c r="H178" s="291">
        <v>6699237</v>
      </c>
      <c r="I178" s="292">
        <v>4612371.8</v>
      </c>
      <c r="J178" s="292">
        <v>4671375.8</v>
      </c>
      <c r="K178" s="294">
        <v>-59004</v>
      </c>
    </row>
    <row r="179" spans="1:11" ht="15.75" hidden="1" customHeight="1" x14ac:dyDescent="0.3">
      <c r="A179" s="278" t="s">
        <v>312</v>
      </c>
      <c r="B179" s="279">
        <v>85</v>
      </c>
      <c r="C179" s="278" t="s">
        <v>113</v>
      </c>
      <c r="D179" s="279" t="s">
        <v>472</v>
      </c>
      <c r="E179" s="278"/>
      <c r="F179" s="278" t="s">
        <v>473</v>
      </c>
      <c r="G179" s="280">
        <v>0</v>
      </c>
      <c r="H179" s="280">
        <v>7000000</v>
      </c>
      <c r="I179" s="281">
        <v>-7000000</v>
      </c>
      <c r="J179" s="282"/>
      <c r="K179" s="7"/>
    </row>
    <row r="180" spans="1:11" ht="15.75" hidden="1" customHeight="1" x14ac:dyDescent="0.3">
      <c r="A180" s="283" t="s">
        <v>312</v>
      </c>
      <c r="B180" s="284">
        <v>85</v>
      </c>
      <c r="C180" s="283" t="s">
        <v>113</v>
      </c>
      <c r="D180" s="284" t="s">
        <v>472</v>
      </c>
      <c r="E180" s="283" t="s">
        <v>474</v>
      </c>
      <c r="F180" s="283" t="s">
        <v>475</v>
      </c>
      <c r="G180" s="285">
        <v>62934909.479999997</v>
      </c>
      <c r="H180" s="285">
        <v>0</v>
      </c>
      <c r="I180" s="286">
        <v>62934909.479999997</v>
      </c>
      <c r="J180" s="287"/>
      <c r="K180" s="7"/>
    </row>
    <row r="181" spans="1:11" ht="15.75" hidden="1" customHeight="1" x14ac:dyDescent="0.3">
      <c r="A181" s="278" t="s">
        <v>312</v>
      </c>
      <c r="B181" s="279">
        <v>85</v>
      </c>
      <c r="C181" s="278" t="s">
        <v>113</v>
      </c>
      <c r="D181" s="279" t="s">
        <v>472</v>
      </c>
      <c r="E181" s="278" t="s">
        <v>474</v>
      </c>
      <c r="F181" s="278" t="s">
        <v>476</v>
      </c>
      <c r="G181" s="280">
        <v>0</v>
      </c>
      <c r="H181" s="280">
        <v>62934909.479999997</v>
      </c>
      <c r="I181" s="281">
        <v>-62934909.479999997</v>
      </c>
      <c r="J181" s="282"/>
      <c r="K181" s="7"/>
    </row>
    <row r="182" spans="1:11" ht="15.75" hidden="1" customHeight="1" x14ac:dyDescent="0.3">
      <c r="A182" s="283" t="s">
        <v>312</v>
      </c>
      <c r="B182" s="284">
        <v>85</v>
      </c>
      <c r="C182" s="283" t="s">
        <v>113</v>
      </c>
      <c r="D182" s="284" t="s">
        <v>472</v>
      </c>
      <c r="E182" s="283" t="s">
        <v>474</v>
      </c>
      <c r="F182" s="283" t="s">
        <v>477</v>
      </c>
      <c r="G182" s="285">
        <v>6293485.2000000002</v>
      </c>
      <c r="H182" s="285">
        <v>0</v>
      </c>
      <c r="I182" s="286">
        <v>6293485.2000000002</v>
      </c>
      <c r="J182" s="287"/>
      <c r="K182" s="7"/>
    </row>
    <row r="183" spans="1:11" ht="15.75" hidden="1" customHeight="1" x14ac:dyDescent="0.3">
      <c r="A183" s="278" t="s">
        <v>312</v>
      </c>
      <c r="B183" s="279">
        <v>85</v>
      </c>
      <c r="C183" s="278" t="s">
        <v>113</v>
      </c>
      <c r="D183" s="279" t="s">
        <v>472</v>
      </c>
      <c r="E183" s="278"/>
      <c r="F183" s="278" t="s">
        <v>478</v>
      </c>
      <c r="G183" s="280">
        <v>7000000</v>
      </c>
      <c r="H183" s="280">
        <v>0</v>
      </c>
      <c r="I183" s="281">
        <v>7000000</v>
      </c>
      <c r="J183" s="282"/>
      <c r="K183" s="7"/>
    </row>
    <row r="184" spans="1:11" ht="15.75" hidden="1" customHeight="1" x14ac:dyDescent="0.3">
      <c r="A184" s="288" t="s">
        <v>312</v>
      </c>
      <c r="B184" s="288">
        <v>85</v>
      </c>
      <c r="C184" s="289" t="s">
        <v>113</v>
      </c>
      <c r="D184" s="288" t="s">
        <v>320</v>
      </c>
      <c r="E184" s="290"/>
      <c r="F184" s="289" t="s">
        <v>321</v>
      </c>
      <c r="G184" s="291">
        <v>76228394.679999992</v>
      </c>
      <c r="H184" s="291">
        <v>69934909.479999989</v>
      </c>
      <c r="I184" s="292">
        <v>6293485.2000000002</v>
      </c>
      <c r="J184" s="292">
        <v>6293485.2000000002</v>
      </c>
      <c r="K184" s="293">
        <v>0</v>
      </c>
    </row>
    <row r="185" spans="1:11" ht="15.75" hidden="1" customHeight="1" x14ac:dyDescent="0.3">
      <c r="A185" s="278" t="s">
        <v>312</v>
      </c>
      <c r="B185" s="279">
        <v>86</v>
      </c>
      <c r="C185" s="278" t="s">
        <v>116</v>
      </c>
      <c r="D185" s="279" t="s">
        <v>479</v>
      </c>
      <c r="E185" s="278"/>
      <c r="F185" s="278" t="s">
        <v>480</v>
      </c>
      <c r="G185" s="280">
        <v>0</v>
      </c>
      <c r="H185" s="280">
        <v>400000</v>
      </c>
      <c r="I185" s="281">
        <v>-400000</v>
      </c>
      <c r="J185" s="282"/>
      <c r="K185" s="7"/>
    </row>
    <row r="186" spans="1:11" ht="15.75" hidden="1" customHeight="1" x14ac:dyDescent="0.3">
      <c r="A186" s="283" t="s">
        <v>312</v>
      </c>
      <c r="B186" s="284">
        <v>86</v>
      </c>
      <c r="C186" s="283" t="s">
        <v>116</v>
      </c>
      <c r="D186" s="284" t="s">
        <v>479</v>
      </c>
      <c r="E186" s="283"/>
      <c r="F186" s="283" t="s">
        <v>481</v>
      </c>
      <c r="G186" s="285">
        <v>400000</v>
      </c>
      <c r="H186" s="285">
        <v>0</v>
      </c>
      <c r="I186" s="286">
        <v>400000</v>
      </c>
      <c r="J186" s="287"/>
      <c r="K186" s="7"/>
    </row>
    <row r="187" spans="1:11" ht="15.75" hidden="1" customHeight="1" x14ac:dyDescent="0.3">
      <c r="A187" s="288" t="s">
        <v>312</v>
      </c>
      <c r="B187" s="288">
        <v>86</v>
      </c>
      <c r="C187" s="289" t="s">
        <v>116</v>
      </c>
      <c r="D187" s="288" t="s">
        <v>320</v>
      </c>
      <c r="E187" s="290"/>
      <c r="F187" s="289" t="s">
        <v>321</v>
      </c>
      <c r="G187" s="291">
        <v>400000</v>
      </c>
      <c r="H187" s="291">
        <v>400000</v>
      </c>
      <c r="I187" s="292">
        <v>0</v>
      </c>
      <c r="J187" s="292">
        <v>0</v>
      </c>
      <c r="K187" s="293">
        <v>0</v>
      </c>
    </row>
    <row r="188" spans="1:11" ht="15.75" hidden="1" customHeight="1" x14ac:dyDescent="0.3">
      <c r="A188" s="278" t="s">
        <v>312</v>
      </c>
      <c r="B188" s="279">
        <v>88</v>
      </c>
      <c r="C188" s="278" t="s">
        <v>119</v>
      </c>
      <c r="D188" s="279" t="s">
        <v>422</v>
      </c>
      <c r="E188" s="278"/>
      <c r="F188" s="278" t="s">
        <v>482</v>
      </c>
      <c r="G188" s="280">
        <v>0</v>
      </c>
      <c r="H188" s="280">
        <v>101365299</v>
      </c>
      <c r="I188" s="281">
        <v>-101365299</v>
      </c>
      <c r="J188" s="282"/>
      <c r="K188" s="7"/>
    </row>
    <row r="189" spans="1:11" ht="15.75" hidden="1" customHeight="1" x14ac:dyDescent="0.3">
      <c r="A189" s="283" t="s">
        <v>312</v>
      </c>
      <c r="B189" s="284">
        <v>88</v>
      </c>
      <c r="C189" s="283" t="s">
        <v>119</v>
      </c>
      <c r="D189" s="284" t="s">
        <v>422</v>
      </c>
      <c r="E189" s="283" t="s">
        <v>483</v>
      </c>
      <c r="F189" s="283" t="s">
        <v>484</v>
      </c>
      <c r="G189" s="285">
        <v>67080987.859999999</v>
      </c>
      <c r="H189" s="285">
        <v>0</v>
      </c>
      <c r="I189" s="286">
        <v>67080987.859999999</v>
      </c>
      <c r="J189" s="287"/>
      <c r="K189" s="7"/>
    </row>
    <row r="190" spans="1:11" ht="15.75" hidden="1" customHeight="1" x14ac:dyDescent="0.3">
      <c r="A190" s="278" t="s">
        <v>312</v>
      </c>
      <c r="B190" s="279">
        <v>88</v>
      </c>
      <c r="C190" s="278" t="s">
        <v>119</v>
      </c>
      <c r="D190" s="279" t="s">
        <v>422</v>
      </c>
      <c r="E190" s="278" t="s">
        <v>483</v>
      </c>
      <c r="F190" s="278" t="s">
        <v>485</v>
      </c>
      <c r="G190" s="280">
        <v>4543708.75</v>
      </c>
      <c r="H190" s="280">
        <v>0</v>
      </c>
      <c r="I190" s="281">
        <v>4543708.75</v>
      </c>
      <c r="J190" s="282"/>
      <c r="K190" s="7"/>
    </row>
    <row r="191" spans="1:11" ht="15.75" hidden="1" customHeight="1" x14ac:dyDescent="0.3">
      <c r="A191" s="283" t="s">
        <v>312</v>
      </c>
      <c r="B191" s="284">
        <v>88</v>
      </c>
      <c r="C191" s="283" t="s">
        <v>119</v>
      </c>
      <c r="D191" s="284" t="s">
        <v>422</v>
      </c>
      <c r="E191" s="283" t="s">
        <v>483</v>
      </c>
      <c r="F191" s="283" t="s">
        <v>486</v>
      </c>
      <c r="G191" s="285">
        <v>29740602.16</v>
      </c>
      <c r="H191" s="285">
        <v>0</v>
      </c>
      <c r="I191" s="286">
        <v>29740602.16</v>
      </c>
      <c r="J191" s="287"/>
      <c r="K191" s="7"/>
    </row>
    <row r="192" spans="1:11" ht="15.75" hidden="1" customHeight="1" x14ac:dyDescent="0.3">
      <c r="A192" s="278" t="s">
        <v>312</v>
      </c>
      <c r="B192" s="279">
        <v>88</v>
      </c>
      <c r="C192" s="278" t="s">
        <v>119</v>
      </c>
      <c r="D192" s="279" t="s">
        <v>422</v>
      </c>
      <c r="E192" s="278" t="s">
        <v>487</v>
      </c>
      <c r="F192" s="278" t="s">
        <v>488</v>
      </c>
      <c r="G192" s="280">
        <v>8500</v>
      </c>
      <c r="H192" s="280">
        <v>0</v>
      </c>
      <c r="I192" s="281">
        <v>8500</v>
      </c>
      <c r="J192" s="282"/>
      <c r="K192" s="7"/>
    </row>
    <row r="193" spans="1:11" ht="15.75" hidden="1" customHeight="1" x14ac:dyDescent="0.3">
      <c r="A193" s="283" t="s">
        <v>312</v>
      </c>
      <c r="B193" s="284">
        <v>88</v>
      </c>
      <c r="C193" s="283" t="s">
        <v>119</v>
      </c>
      <c r="D193" s="284" t="s">
        <v>422</v>
      </c>
      <c r="E193" s="283"/>
      <c r="F193" s="283" t="s">
        <v>489</v>
      </c>
      <c r="G193" s="285">
        <v>105936178</v>
      </c>
      <c r="H193" s="285">
        <v>0</v>
      </c>
      <c r="I193" s="286">
        <v>105936178</v>
      </c>
      <c r="J193" s="287"/>
      <c r="K193" s="7"/>
    </row>
    <row r="194" spans="1:11" ht="15.75" hidden="1" customHeight="1" x14ac:dyDescent="0.3">
      <c r="A194" s="288" t="s">
        <v>312</v>
      </c>
      <c r="B194" s="288">
        <v>88</v>
      </c>
      <c r="C194" s="289" t="s">
        <v>119</v>
      </c>
      <c r="D194" s="288" t="s">
        <v>320</v>
      </c>
      <c r="E194" s="290"/>
      <c r="F194" s="289" t="s">
        <v>321</v>
      </c>
      <c r="G194" s="291">
        <v>207309976.77000001</v>
      </c>
      <c r="H194" s="291">
        <v>101365299</v>
      </c>
      <c r="I194" s="292">
        <v>105944677.77</v>
      </c>
      <c r="J194" s="292">
        <v>105936177.77</v>
      </c>
      <c r="K194" s="294">
        <v>8500</v>
      </c>
    </row>
    <row r="195" spans="1:11" ht="15.75" hidden="1" customHeight="1" x14ac:dyDescent="0.3">
      <c r="A195" s="278" t="s">
        <v>312</v>
      </c>
      <c r="B195" s="279">
        <v>89</v>
      </c>
      <c r="C195" s="278" t="s">
        <v>121</v>
      </c>
      <c r="D195" s="279" t="s">
        <v>422</v>
      </c>
      <c r="E195" s="278"/>
      <c r="F195" s="278" t="s">
        <v>490</v>
      </c>
      <c r="G195" s="280">
        <v>171376</v>
      </c>
      <c r="H195" s="280">
        <v>0</v>
      </c>
      <c r="I195" s="281">
        <v>171376</v>
      </c>
      <c r="J195" s="282"/>
      <c r="K195" s="7"/>
    </row>
    <row r="196" spans="1:11" ht="15.75" hidden="1" customHeight="1" x14ac:dyDescent="0.3">
      <c r="A196" s="283" t="s">
        <v>312</v>
      </c>
      <c r="B196" s="284">
        <v>89</v>
      </c>
      <c r="C196" s="283" t="s">
        <v>121</v>
      </c>
      <c r="D196" s="284" t="s">
        <v>422</v>
      </c>
      <c r="E196" s="283"/>
      <c r="F196" s="283" t="s">
        <v>491</v>
      </c>
      <c r="G196" s="285">
        <v>1178845</v>
      </c>
      <c r="H196" s="285">
        <v>0</v>
      </c>
      <c r="I196" s="286">
        <v>1178845</v>
      </c>
      <c r="J196" s="287"/>
      <c r="K196" s="7"/>
    </row>
    <row r="197" spans="1:11" ht="15.75" hidden="1" customHeight="1" x14ac:dyDescent="0.3">
      <c r="A197" s="278" t="s">
        <v>312</v>
      </c>
      <c r="B197" s="279">
        <v>89</v>
      </c>
      <c r="C197" s="278" t="s">
        <v>121</v>
      </c>
      <c r="D197" s="279" t="s">
        <v>422</v>
      </c>
      <c r="E197" s="278"/>
      <c r="F197" s="278" t="s">
        <v>492</v>
      </c>
      <c r="G197" s="280">
        <v>1812431</v>
      </c>
      <c r="H197" s="280">
        <v>0</v>
      </c>
      <c r="I197" s="281">
        <v>1812431</v>
      </c>
      <c r="J197" s="282"/>
      <c r="K197" s="7"/>
    </row>
    <row r="198" spans="1:11" ht="15.75" hidden="1" customHeight="1" x14ac:dyDescent="0.3">
      <c r="A198" s="283" t="s">
        <v>312</v>
      </c>
      <c r="B198" s="284">
        <v>89</v>
      </c>
      <c r="C198" s="283" t="s">
        <v>121</v>
      </c>
      <c r="D198" s="284" t="s">
        <v>422</v>
      </c>
      <c r="E198" s="283"/>
      <c r="F198" s="283" t="s">
        <v>493</v>
      </c>
      <c r="G198" s="285">
        <v>994850</v>
      </c>
      <c r="H198" s="285">
        <v>0</v>
      </c>
      <c r="I198" s="286">
        <v>994850</v>
      </c>
      <c r="J198" s="287"/>
      <c r="K198" s="7"/>
    </row>
    <row r="199" spans="1:11" ht="15.75" hidden="1" customHeight="1" x14ac:dyDescent="0.3">
      <c r="A199" s="278" t="s">
        <v>312</v>
      </c>
      <c r="B199" s="279">
        <v>89</v>
      </c>
      <c r="C199" s="278" t="s">
        <v>121</v>
      </c>
      <c r="D199" s="279" t="s">
        <v>422</v>
      </c>
      <c r="E199" s="278"/>
      <c r="F199" s="278" t="s">
        <v>494</v>
      </c>
      <c r="G199" s="280">
        <v>352871</v>
      </c>
      <c r="H199" s="280">
        <v>0</v>
      </c>
      <c r="I199" s="281">
        <v>352871</v>
      </c>
      <c r="J199" s="282"/>
      <c r="K199" s="7"/>
    </row>
    <row r="200" spans="1:11" ht="15.75" hidden="1" customHeight="1" x14ac:dyDescent="0.3">
      <c r="A200" s="283" t="s">
        <v>312</v>
      </c>
      <c r="B200" s="284">
        <v>89</v>
      </c>
      <c r="C200" s="283" t="s">
        <v>121</v>
      </c>
      <c r="D200" s="284" t="s">
        <v>422</v>
      </c>
      <c r="E200" s="283"/>
      <c r="F200" s="283" t="s">
        <v>495</v>
      </c>
      <c r="G200" s="285">
        <v>170243</v>
      </c>
      <c r="H200" s="285">
        <v>0</v>
      </c>
      <c r="I200" s="286">
        <v>170243</v>
      </c>
      <c r="J200" s="287"/>
      <c r="K200" s="7"/>
    </row>
    <row r="201" spans="1:11" ht="15.75" hidden="1" customHeight="1" x14ac:dyDescent="0.3">
      <c r="A201" s="278" t="s">
        <v>312</v>
      </c>
      <c r="B201" s="279">
        <v>89</v>
      </c>
      <c r="C201" s="278" t="s">
        <v>121</v>
      </c>
      <c r="D201" s="279" t="s">
        <v>422</v>
      </c>
      <c r="E201" s="278"/>
      <c r="F201" s="278" t="s">
        <v>496</v>
      </c>
      <c r="G201" s="280">
        <v>844391</v>
      </c>
      <c r="H201" s="280">
        <v>0</v>
      </c>
      <c r="I201" s="281">
        <v>844391</v>
      </c>
      <c r="J201" s="282"/>
      <c r="K201" s="7"/>
    </row>
    <row r="202" spans="1:11" ht="15.75" hidden="1" customHeight="1" x14ac:dyDescent="0.3">
      <c r="A202" s="283" t="s">
        <v>312</v>
      </c>
      <c r="B202" s="284">
        <v>89</v>
      </c>
      <c r="C202" s="283" t="s">
        <v>121</v>
      </c>
      <c r="D202" s="284" t="s">
        <v>422</v>
      </c>
      <c r="E202" s="283"/>
      <c r="F202" s="283" t="s">
        <v>497</v>
      </c>
      <c r="G202" s="285">
        <v>247538</v>
      </c>
      <c r="H202" s="285">
        <v>0</v>
      </c>
      <c r="I202" s="286">
        <v>247538</v>
      </c>
      <c r="J202" s="287"/>
      <c r="K202" s="7"/>
    </row>
    <row r="203" spans="1:11" ht="15.75" hidden="1" customHeight="1" x14ac:dyDescent="0.3">
      <c r="A203" s="278" t="s">
        <v>312</v>
      </c>
      <c r="B203" s="279">
        <v>89</v>
      </c>
      <c r="C203" s="278" t="s">
        <v>121</v>
      </c>
      <c r="D203" s="279" t="s">
        <v>422</v>
      </c>
      <c r="E203" s="278"/>
      <c r="F203" s="278" t="s">
        <v>498</v>
      </c>
      <c r="G203" s="280">
        <v>538986</v>
      </c>
      <c r="H203" s="280">
        <v>0</v>
      </c>
      <c r="I203" s="281">
        <v>538986</v>
      </c>
      <c r="J203" s="282"/>
      <c r="K203" s="7"/>
    </row>
    <row r="204" spans="1:11" ht="15.75" hidden="1" customHeight="1" x14ac:dyDescent="0.3">
      <c r="A204" s="283" t="s">
        <v>312</v>
      </c>
      <c r="B204" s="284">
        <v>89</v>
      </c>
      <c r="C204" s="283" t="s">
        <v>121</v>
      </c>
      <c r="D204" s="284" t="s">
        <v>422</v>
      </c>
      <c r="E204" s="283"/>
      <c r="F204" s="283" t="s">
        <v>499</v>
      </c>
      <c r="G204" s="285">
        <v>1339004</v>
      </c>
      <c r="H204" s="285">
        <v>0</v>
      </c>
      <c r="I204" s="286">
        <v>1339004</v>
      </c>
      <c r="J204" s="287"/>
      <c r="K204" s="7"/>
    </row>
    <row r="205" spans="1:11" ht="15.75" hidden="1" customHeight="1" x14ac:dyDescent="0.3">
      <c r="A205" s="278" t="s">
        <v>312</v>
      </c>
      <c r="B205" s="279">
        <v>89</v>
      </c>
      <c r="C205" s="278" t="s">
        <v>121</v>
      </c>
      <c r="D205" s="279" t="s">
        <v>422</v>
      </c>
      <c r="E205" s="278"/>
      <c r="F205" s="278" t="s">
        <v>500</v>
      </c>
      <c r="G205" s="280">
        <v>1339333</v>
      </c>
      <c r="H205" s="280">
        <v>0</v>
      </c>
      <c r="I205" s="281">
        <v>1339333</v>
      </c>
      <c r="J205" s="282"/>
      <c r="K205" s="7"/>
    </row>
    <row r="206" spans="1:11" ht="15.75" hidden="1" customHeight="1" x14ac:dyDescent="0.3">
      <c r="A206" s="283" t="s">
        <v>312</v>
      </c>
      <c r="B206" s="284">
        <v>89</v>
      </c>
      <c r="C206" s="283" t="s">
        <v>121</v>
      </c>
      <c r="D206" s="284" t="s">
        <v>422</v>
      </c>
      <c r="E206" s="283"/>
      <c r="F206" s="283" t="s">
        <v>501</v>
      </c>
      <c r="G206" s="285">
        <v>4229602</v>
      </c>
      <c r="H206" s="285">
        <v>0</v>
      </c>
      <c r="I206" s="286">
        <v>4229602</v>
      </c>
      <c r="J206" s="287"/>
      <c r="K206" s="7"/>
    </row>
    <row r="207" spans="1:11" ht="15.75" hidden="1" customHeight="1" x14ac:dyDescent="0.3">
      <c r="A207" s="278" t="s">
        <v>312</v>
      </c>
      <c r="B207" s="279">
        <v>89</v>
      </c>
      <c r="C207" s="278" t="s">
        <v>121</v>
      </c>
      <c r="D207" s="279" t="s">
        <v>422</v>
      </c>
      <c r="E207" s="278"/>
      <c r="F207" s="278" t="s">
        <v>502</v>
      </c>
      <c r="G207" s="280">
        <v>610756</v>
      </c>
      <c r="H207" s="280">
        <v>0</v>
      </c>
      <c r="I207" s="281">
        <v>610756</v>
      </c>
      <c r="J207" s="282"/>
      <c r="K207" s="7"/>
    </row>
    <row r="208" spans="1:11" ht="15.75" hidden="1" customHeight="1" x14ac:dyDescent="0.3">
      <c r="A208" s="288" t="s">
        <v>312</v>
      </c>
      <c r="B208" s="288">
        <v>89</v>
      </c>
      <c r="C208" s="289" t="s">
        <v>121</v>
      </c>
      <c r="D208" s="288" t="s">
        <v>320</v>
      </c>
      <c r="E208" s="290"/>
      <c r="F208" s="289" t="s">
        <v>321</v>
      </c>
      <c r="G208" s="291">
        <v>13830226</v>
      </c>
      <c r="H208" s="291">
        <v>0</v>
      </c>
      <c r="I208" s="292">
        <v>13830226</v>
      </c>
      <c r="J208" s="292">
        <v>13830226</v>
      </c>
      <c r="K208" s="293">
        <v>0</v>
      </c>
    </row>
    <row r="209" spans="1:11" ht="15.75" hidden="1" customHeight="1" x14ac:dyDescent="0.3">
      <c r="A209" s="278" t="s">
        <v>312</v>
      </c>
      <c r="B209" s="279">
        <v>95</v>
      </c>
      <c r="C209" s="278" t="s">
        <v>129</v>
      </c>
      <c r="D209" s="279" t="s">
        <v>503</v>
      </c>
      <c r="E209" s="278" t="s">
        <v>504</v>
      </c>
      <c r="F209" s="278" t="s">
        <v>505</v>
      </c>
      <c r="G209" s="280">
        <v>6048000</v>
      </c>
      <c r="H209" s="280">
        <v>0</v>
      </c>
      <c r="I209" s="281">
        <v>6048000</v>
      </c>
      <c r="J209" s="282"/>
      <c r="K209" s="7"/>
    </row>
    <row r="210" spans="1:11" ht="15.75" hidden="1" customHeight="1" x14ac:dyDescent="0.3">
      <c r="A210" s="288" t="s">
        <v>312</v>
      </c>
      <c r="B210" s="288">
        <v>95</v>
      </c>
      <c r="C210" s="289" t="s">
        <v>129</v>
      </c>
      <c r="D210" s="288" t="s">
        <v>320</v>
      </c>
      <c r="E210" s="290"/>
      <c r="F210" s="289" t="s">
        <v>321</v>
      </c>
      <c r="G210" s="291">
        <v>6048000</v>
      </c>
      <c r="H210" s="291">
        <v>0</v>
      </c>
      <c r="I210" s="292">
        <v>6048000</v>
      </c>
      <c r="J210" s="292">
        <v>6048000</v>
      </c>
      <c r="K210" s="293">
        <v>0</v>
      </c>
    </row>
    <row r="211" spans="1:11" ht="15.75" hidden="1" customHeight="1" x14ac:dyDescent="0.3">
      <c r="A211" s="278" t="s">
        <v>312</v>
      </c>
      <c r="B211" s="279">
        <v>96</v>
      </c>
      <c r="C211" s="278" t="s">
        <v>132</v>
      </c>
      <c r="D211" s="279" t="s">
        <v>503</v>
      </c>
      <c r="E211" s="278"/>
      <c r="F211" s="278" t="s">
        <v>506</v>
      </c>
      <c r="G211" s="280">
        <v>0</v>
      </c>
      <c r="H211" s="280">
        <v>1355341</v>
      </c>
      <c r="I211" s="281">
        <v>-1355341</v>
      </c>
      <c r="J211" s="282"/>
      <c r="K211" s="7"/>
    </row>
    <row r="212" spans="1:11" ht="15.75" hidden="1" customHeight="1" x14ac:dyDescent="0.3">
      <c r="A212" s="283" t="s">
        <v>312</v>
      </c>
      <c r="B212" s="284">
        <v>96</v>
      </c>
      <c r="C212" s="283" t="s">
        <v>132</v>
      </c>
      <c r="D212" s="284" t="s">
        <v>503</v>
      </c>
      <c r="E212" s="283" t="s">
        <v>507</v>
      </c>
      <c r="F212" s="283" t="s">
        <v>508</v>
      </c>
      <c r="G212" s="285">
        <v>1355341</v>
      </c>
      <c r="H212" s="285">
        <v>0</v>
      </c>
      <c r="I212" s="286">
        <v>1355341</v>
      </c>
      <c r="J212" s="287"/>
      <c r="K212" s="7"/>
    </row>
    <row r="213" spans="1:11" ht="15.75" hidden="1" customHeight="1" x14ac:dyDescent="0.3">
      <c r="A213" s="278" t="s">
        <v>312</v>
      </c>
      <c r="B213" s="279">
        <v>96</v>
      </c>
      <c r="C213" s="278" t="s">
        <v>132</v>
      </c>
      <c r="D213" s="279" t="s">
        <v>509</v>
      </c>
      <c r="E213" s="278" t="s">
        <v>510</v>
      </c>
      <c r="F213" s="278" t="s">
        <v>511</v>
      </c>
      <c r="G213" s="280">
        <v>450000</v>
      </c>
      <c r="H213" s="280">
        <v>0</v>
      </c>
      <c r="I213" s="281">
        <v>450000</v>
      </c>
      <c r="J213" s="282"/>
      <c r="K213" s="7"/>
    </row>
    <row r="214" spans="1:11" ht="15.75" hidden="1" customHeight="1" x14ac:dyDescent="0.3">
      <c r="A214" s="283" t="s">
        <v>312</v>
      </c>
      <c r="B214" s="284">
        <v>96</v>
      </c>
      <c r="C214" s="283" t="s">
        <v>132</v>
      </c>
      <c r="D214" s="284" t="s">
        <v>509</v>
      </c>
      <c r="E214" s="283" t="s">
        <v>512</v>
      </c>
      <c r="F214" s="283" t="s">
        <v>513</v>
      </c>
      <c r="G214" s="285">
        <v>600000</v>
      </c>
      <c r="H214" s="285">
        <v>0</v>
      </c>
      <c r="I214" s="286">
        <v>600000</v>
      </c>
      <c r="J214" s="287"/>
      <c r="K214" s="7"/>
    </row>
    <row r="215" spans="1:11" ht="15.75" hidden="1" customHeight="1" x14ac:dyDescent="0.3">
      <c r="A215" s="288" t="s">
        <v>312</v>
      </c>
      <c r="B215" s="288">
        <v>96</v>
      </c>
      <c r="C215" s="289" t="s">
        <v>132</v>
      </c>
      <c r="D215" s="288" t="s">
        <v>320</v>
      </c>
      <c r="E215" s="290"/>
      <c r="F215" s="289" t="s">
        <v>321</v>
      </c>
      <c r="G215" s="291">
        <v>2405341</v>
      </c>
      <c r="H215" s="291">
        <v>1355341</v>
      </c>
      <c r="I215" s="292">
        <v>1050000</v>
      </c>
      <c r="J215" s="292">
        <v>450000</v>
      </c>
      <c r="K215" s="294">
        <v>600000</v>
      </c>
    </row>
    <row r="216" spans="1:11" ht="15.75" hidden="1" customHeight="1" x14ac:dyDescent="0.3">
      <c r="A216" s="278" t="s">
        <v>312</v>
      </c>
      <c r="B216" s="279">
        <v>97</v>
      </c>
      <c r="C216" s="278" t="s">
        <v>133</v>
      </c>
      <c r="D216" s="279" t="s">
        <v>222</v>
      </c>
      <c r="E216" s="278" t="s">
        <v>514</v>
      </c>
      <c r="F216" s="278" t="s">
        <v>515</v>
      </c>
      <c r="G216" s="280">
        <v>240900</v>
      </c>
      <c r="H216" s="280">
        <v>0</v>
      </c>
      <c r="I216" s="281">
        <v>240900</v>
      </c>
      <c r="J216" s="282"/>
      <c r="K216" s="7"/>
    </row>
    <row r="217" spans="1:11" ht="15.75" hidden="1" customHeight="1" x14ac:dyDescent="0.3">
      <c r="A217" s="288" t="s">
        <v>312</v>
      </c>
      <c r="B217" s="288">
        <v>97</v>
      </c>
      <c r="C217" s="289" t="s">
        <v>133</v>
      </c>
      <c r="D217" s="288" t="s">
        <v>320</v>
      </c>
      <c r="E217" s="290"/>
      <c r="F217" s="289" t="s">
        <v>321</v>
      </c>
      <c r="G217" s="291">
        <v>240900</v>
      </c>
      <c r="H217" s="291">
        <v>0</v>
      </c>
      <c r="I217" s="292">
        <v>240900</v>
      </c>
      <c r="J217" s="292">
        <v>240900</v>
      </c>
      <c r="K217" s="293">
        <v>0</v>
      </c>
    </row>
    <row r="218" spans="1:11" ht="15.75" hidden="1" customHeight="1" x14ac:dyDescent="0.3">
      <c r="A218" s="278" t="s">
        <v>312</v>
      </c>
      <c r="B218" s="279">
        <v>107</v>
      </c>
      <c r="C218" s="278" t="s">
        <v>149</v>
      </c>
      <c r="D218" s="279" t="s">
        <v>516</v>
      </c>
      <c r="E218" s="278"/>
      <c r="F218" s="278" t="s">
        <v>517</v>
      </c>
      <c r="G218" s="280">
        <v>93294917.209999993</v>
      </c>
      <c r="H218" s="280">
        <v>0</v>
      </c>
      <c r="I218" s="281">
        <v>93294917.209999993</v>
      </c>
      <c r="J218" s="282"/>
      <c r="K218" s="7"/>
    </row>
    <row r="219" spans="1:11" ht="15.75" hidden="1" customHeight="1" x14ac:dyDescent="0.3">
      <c r="A219" s="283" t="s">
        <v>312</v>
      </c>
      <c r="B219" s="284">
        <v>107</v>
      </c>
      <c r="C219" s="283" t="s">
        <v>149</v>
      </c>
      <c r="D219" s="284" t="s">
        <v>518</v>
      </c>
      <c r="E219" s="283"/>
      <c r="F219" s="283" t="s">
        <v>517</v>
      </c>
      <c r="G219" s="285">
        <v>23198894.73</v>
      </c>
      <c r="H219" s="285">
        <v>0</v>
      </c>
      <c r="I219" s="286">
        <v>23198894.73</v>
      </c>
      <c r="J219" s="287"/>
      <c r="K219" s="7"/>
    </row>
    <row r="220" spans="1:11" ht="15.75" hidden="1" customHeight="1" x14ac:dyDescent="0.3">
      <c r="A220" s="288" t="s">
        <v>312</v>
      </c>
      <c r="B220" s="288">
        <v>107</v>
      </c>
      <c r="C220" s="289" t="s">
        <v>149</v>
      </c>
      <c r="D220" s="288" t="s">
        <v>320</v>
      </c>
      <c r="E220" s="290"/>
      <c r="F220" s="289" t="s">
        <v>321</v>
      </c>
      <c r="G220" s="291">
        <v>116493811.94</v>
      </c>
      <c r="H220" s="291">
        <v>0</v>
      </c>
      <c r="I220" s="292">
        <v>116493811.94</v>
      </c>
      <c r="J220" s="292">
        <v>116493811.94</v>
      </c>
      <c r="K220" s="293">
        <v>0</v>
      </c>
    </row>
    <row r="221" spans="1:11" ht="15.75" hidden="1" customHeight="1" x14ac:dyDescent="0.3">
      <c r="A221" s="278" t="s">
        <v>312</v>
      </c>
      <c r="B221" s="279">
        <v>108</v>
      </c>
      <c r="C221" s="278" t="s">
        <v>153</v>
      </c>
      <c r="D221" s="279" t="s">
        <v>516</v>
      </c>
      <c r="E221" s="278"/>
      <c r="F221" s="278" t="s">
        <v>519</v>
      </c>
      <c r="G221" s="280">
        <v>7774574.8899999997</v>
      </c>
      <c r="H221" s="280">
        <v>0</v>
      </c>
      <c r="I221" s="281">
        <v>7774574.8899999997</v>
      </c>
      <c r="J221" s="282"/>
      <c r="K221" s="7"/>
    </row>
    <row r="222" spans="1:11" ht="15.75" hidden="1" customHeight="1" x14ac:dyDescent="0.3">
      <c r="A222" s="283" t="s">
        <v>312</v>
      </c>
      <c r="B222" s="284">
        <v>108</v>
      </c>
      <c r="C222" s="283" t="s">
        <v>153</v>
      </c>
      <c r="D222" s="284" t="s">
        <v>518</v>
      </c>
      <c r="E222" s="283"/>
      <c r="F222" s="283" t="s">
        <v>519</v>
      </c>
      <c r="G222" s="285">
        <v>1865897.97</v>
      </c>
      <c r="H222" s="285">
        <v>0</v>
      </c>
      <c r="I222" s="286">
        <v>1865897.97</v>
      </c>
      <c r="J222" s="287"/>
      <c r="K222" s="7"/>
    </row>
    <row r="223" spans="1:11" ht="15.75" hidden="1" customHeight="1" x14ac:dyDescent="0.3">
      <c r="A223" s="288" t="s">
        <v>312</v>
      </c>
      <c r="B223" s="288">
        <v>108</v>
      </c>
      <c r="C223" s="289" t="s">
        <v>153</v>
      </c>
      <c r="D223" s="288" t="s">
        <v>320</v>
      </c>
      <c r="E223" s="290"/>
      <c r="F223" s="289" t="s">
        <v>321</v>
      </c>
      <c r="G223" s="291">
        <v>9640472.8599999994</v>
      </c>
      <c r="H223" s="291">
        <v>0</v>
      </c>
      <c r="I223" s="292">
        <v>9640472.8599999994</v>
      </c>
      <c r="J223" s="292">
        <v>9640472.8599999994</v>
      </c>
      <c r="K223" s="293">
        <v>0</v>
      </c>
    </row>
    <row r="224" spans="1:11" ht="15.75" hidden="1" customHeight="1" x14ac:dyDescent="0.3">
      <c r="A224" s="278" t="s">
        <v>312</v>
      </c>
      <c r="B224" s="279">
        <v>109</v>
      </c>
      <c r="C224" s="278" t="s">
        <v>154</v>
      </c>
      <c r="D224" s="279" t="s">
        <v>516</v>
      </c>
      <c r="E224" s="278"/>
      <c r="F224" s="278" t="s">
        <v>520</v>
      </c>
      <c r="G224" s="280">
        <v>7854744.5099999998</v>
      </c>
      <c r="H224" s="280">
        <v>0</v>
      </c>
      <c r="I224" s="281">
        <v>7854744.5099999998</v>
      </c>
      <c r="J224" s="282"/>
      <c r="K224" s="7"/>
    </row>
    <row r="225" spans="1:11" ht="15.75" hidden="1" customHeight="1" x14ac:dyDescent="0.3">
      <c r="A225" s="283" t="s">
        <v>312</v>
      </c>
      <c r="B225" s="284">
        <v>109</v>
      </c>
      <c r="C225" s="283" t="s">
        <v>154</v>
      </c>
      <c r="D225" s="284" t="s">
        <v>518</v>
      </c>
      <c r="E225" s="283"/>
      <c r="F225" s="283" t="s">
        <v>520</v>
      </c>
      <c r="G225" s="285">
        <v>1885138.68</v>
      </c>
      <c r="H225" s="285">
        <v>0</v>
      </c>
      <c r="I225" s="286">
        <v>1885138.68</v>
      </c>
      <c r="J225" s="287"/>
      <c r="K225" s="7"/>
    </row>
    <row r="226" spans="1:11" ht="15.75" hidden="1" customHeight="1" x14ac:dyDescent="0.3">
      <c r="A226" s="288" t="s">
        <v>312</v>
      </c>
      <c r="B226" s="288">
        <v>109</v>
      </c>
      <c r="C226" s="289" t="s">
        <v>154</v>
      </c>
      <c r="D226" s="288" t="s">
        <v>320</v>
      </c>
      <c r="E226" s="290"/>
      <c r="F226" s="289" t="s">
        <v>321</v>
      </c>
      <c r="G226" s="291">
        <v>9739883.1899999995</v>
      </c>
      <c r="H226" s="291">
        <v>0</v>
      </c>
      <c r="I226" s="292">
        <v>9739883.1899999995</v>
      </c>
      <c r="J226" s="292">
        <v>9739883.1899999995</v>
      </c>
      <c r="K226" s="293">
        <v>0</v>
      </c>
    </row>
    <row r="227" spans="1:11" ht="15.75" hidden="1" customHeight="1" x14ac:dyDescent="0.3">
      <c r="A227" s="278" t="s">
        <v>312</v>
      </c>
      <c r="B227" s="279">
        <v>110</v>
      </c>
      <c r="C227" s="278" t="s">
        <v>155</v>
      </c>
      <c r="D227" s="279" t="s">
        <v>516</v>
      </c>
      <c r="E227" s="278"/>
      <c r="F227" s="278" t="s">
        <v>521</v>
      </c>
      <c r="G227" s="280">
        <v>1773873.47</v>
      </c>
      <c r="H227" s="280">
        <v>0</v>
      </c>
      <c r="I227" s="281">
        <v>1773873.47</v>
      </c>
      <c r="J227" s="282"/>
      <c r="K227" s="7"/>
    </row>
    <row r="228" spans="1:11" ht="15.75" hidden="1" customHeight="1" x14ac:dyDescent="0.3">
      <c r="A228" s="283" t="s">
        <v>312</v>
      </c>
      <c r="B228" s="284">
        <v>110</v>
      </c>
      <c r="C228" s="283" t="s">
        <v>155</v>
      </c>
      <c r="D228" s="284" t="s">
        <v>518</v>
      </c>
      <c r="E228" s="283"/>
      <c r="F228" s="283" t="s">
        <v>521</v>
      </c>
      <c r="G228" s="285">
        <v>425729.63</v>
      </c>
      <c r="H228" s="285">
        <v>0</v>
      </c>
      <c r="I228" s="286">
        <v>425729.63</v>
      </c>
      <c r="J228" s="287"/>
      <c r="K228" s="7"/>
    </row>
    <row r="229" spans="1:11" ht="15.75" hidden="1" customHeight="1" x14ac:dyDescent="0.3">
      <c r="A229" s="288" t="s">
        <v>312</v>
      </c>
      <c r="B229" s="288">
        <v>110</v>
      </c>
      <c r="C229" s="289" t="s">
        <v>155</v>
      </c>
      <c r="D229" s="288" t="s">
        <v>320</v>
      </c>
      <c r="E229" s="290"/>
      <c r="F229" s="289" t="s">
        <v>321</v>
      </c>
      <c r="G229" s="291">
        <v>2199603.1</v>
      </c>
      <c r="H229" s="291">
        <v>0</v>
      </c>
      <c r="I229" s="292">
        <v>2199603.1</v>
      </c>
      <c r="J229" s="292">
        <v>2199603.1</v>
      </c>
      <c r="K229" s="293">
        <v>0</v>
      </c>
    </row>
    <row r="230" spans="1:11" ht="15.75" hidden="1" customHeight="1" x14ac:dyDescent="0.3">
      <c r="A230" s="278" t="s">
        <v>312</v>
      </c>
      <c r="B230" s="279">
        <v>111</v>
      </c>
      <c r="C230" s="278" t="s">
        <v>156</v>
      </c>
      <c r="D230" s="279" t="s">
        <v>522</v>
      </c>
      <c r="E230" s="278" t="s">
        <v>523</v>
      </c>
      <c r="F230" s="278" t="s">
        <v>524</v>
      </c>
      <c r="G230" s="280">
        <v>166108.1</v>
      </c>
      <c r="H230" s="280">
        <v>0</v>
      </c>
      <c r="I230" s="281">
        <v>166108.1</v>
      </c>
      <c r="J230" s="282"/>
      <c r="K230" s="7"/>
    </row>
    <row r="231" spans="1:11" ht="15.75" hidden="1" customHeight="1" x14ac:dyDescent="0.3">
      <c r="A231" s="283" t="s">
        <v>312</v>
      </c>
      <c r="B231" s="284">
        <v>111</v>
      </c>
      <c r="C231" s="283" t="s">
        <v>156</v>
      </c>
      <c r="D231" s="284" t="s">
        <v>522</v>
      </c>
      <c r="E231" s="283" t="s">
        <v>523</v>
      </c>
      <c r="F231" s="283" t="s">
        <v>524</v>
      </c>
      <c r="G231" s="285">
        <v>7787955.4500000002</v>
      </c>
      <c r="H231" s="285">
        <v>0</v>
      </c>
      <c r="I231" s="286">
        <v>7787955.4500000002</v>
      </c>
      <c r="J231" s="287"/>
      <c r="K231" s="7"/>
    </row>
    <row r="232" spans="1:11" ht="15.75" hidden="1" customHeight="1" x14ac:dyDescent="0.3">
      <c r="A232" s="278" t="s">
        <v>312</v>
      </c>
      <c r="B232" s="279">
        <v>111</v>
      </c>
      <c r="C232" s="278" t="s">
        <v>156</v>
      </c>
      <c r="D232" s="279" t="s">
        <v>522</v>
      </c>
      <c r="E232" s="278" t="s">
        <v>523</v>
      </c>
      <c r="F232" s="278" t="s">
        <v>525</v>
      </c>
      <c r="G232" s="280">
        <v>0</v>
      </c>
      <c r="H232" s="280">
        <v>2083571.99</v>
      </c>
      <c r="I232" s="281">
        <v>-2083571.99</v>
      </c>
      <c r="J232" s="282"/>
      <c r="K232" s="7"/>
    </row>
    <row r="233" spans="1:11" ht="15.75" hidden="1" customHeight="1" x14ac:dyDescent="0.3">
      <c r="A233" s="288" t="s">
        <v>312</v>
      </c>
      <c r="B233" s="288">
        <v>111</v>
      </c>
      <c r="C233" s="289" t="s">
        <v>156</v>
      </c>
      <c r="D233" s="288" t="s">
        <v>320</v>
      </c>
      <c r="E233" s="290"/>
      <c r="F233" s="289" t="s">
        <v>321</v>
      </c>
      <c r="G233" s="291">
        <v>7954063.5499999998</v>
      </c>
      <c r="H233" s="291">
        <v>2083571.99</v>
      </c>
      <c r="I233" s="292">
        <v>5870491.5600000015</v>
      </c>
      <c r="J233" s="292">
        <v>5870491.5599999996</v>
      </c>
      <c r="K233" s="293">
        <v>9.3132257461547852E-10</v>
      </c>
    </row>
    <row r="234" spans="1:11" ht="15.75" hidden="1" customHeight="1" x14ac:dyDescent="0.3">
      <c r="A234" s="278" t="s">
        <v>312</v>
      </c>
      <c r="B234" s="279">
        <v>112</v>
      </c>
      <c r="C234" s="278" t="s">
        <v>157</v>
      </c>
      <c r="D234" s="279" t="s">
        <v>522</v>
      </c>
      <c r="E234" s="278"/>
      <c r="F234" s="278" t="s">
        <v>526</v>
      </c>
      <c r="G234" s="280">
        <v>1200000</v>
      </c>
      <c r="H234" s="280">
        <v>0</v>
      </c>
      <c r="I234" s="281">
        <v>1200000</v>
      </c>
      <c r="J234" s="282"/>
      <c r="K234" s="7"/>
    </row>
    <row r="235" spans="1:11" ht="15.75" hidden="1" customHeight="1" x14ac:dyDescent="0.3">
      <c r="A235" s="288" t="s">
        <v>312</v>
      </c>
      <c r="B235" s="288">
        <v>112</v>
      </c>
      <c r="C235" s="289" t="s">
        <v>157</v>
      </c>
      <c r="D235" s="288" t="s">
        <v>320</v>
      </c>
      <c r="E235" s="290"/>
      <c r="F235" s="289" t="s">
        <v>321</v>
      </c>
      <c r="G235" s="291">
        <v>1200000</v>
      </c>
      <c r="H235" s="291">
        <v>0</v>
      </c>
      <c r="I235" s="292">
        <v>1200000</v>
      </c>
      <c r="J235" s="292">
        <v>1200000</v>
      </c>
      <c r="K235" s="293">
        <v>0</v>
      </c>
    </row>
    <row r="236" spans="1:11" ht="15.75" hidden="1" customHeight="1" x14ac:dyDescent="0.3">
      <c r="A236" s="278" t="s">
        <v>312</v>
      </c>
      <c r="B236" s="279">
        <v>114</v>
      </c>
      <c r="C236" s="278" t="s">
        <v>160</v>
      </c>
      <c r="D236" s="279" t="s">
        <v>527</v>
      </c>
      <c r="E236" s="278" t="s">
        <v>507</v>
      </c>
      <c r="F236" s="278" t="s">
        <v>528</v>
      </c>
      <c r="G236" s="280">
        <v>1393291</v>
      </c>
      <c r="H236" s="280">
        <v>0</v>
      </c>
      <c r="I236" s="281">
        <v>1393291</v>
      </c>
      <c r="J236" s="282"/>
      <c r="K236" s="7"/>
    </row>
    <row r="237" spans="1:11" ht="15.75" hidden="1" customHeight="1" x14ac:dyDescent="0.3">
      <c r="A237" s="288" t="s">
        <v>312</v>
      </c>
      <c r="B237" s="288">
        <v>114</v>
      </c>
      <c r="C237" s="289" t="s">
        <v>160</v>
      </c>
      <c r="D237" s="288" t="s">
        <v>320</v>
      </c>
      <c r="E237" s="290"/>
      <c r="F237" s="289" t="s">
        <v>321</v>
      </c>
      <c r="G237" s="291">
        <v>1393291</v>
      </c>
      <c r="H237" s="291">
        <v>0</v>
      </c>
      <c r="I237" s="292">
        <v>1393291</v>
      </c>
      <c r="J237" s="292">
        <v>1393291</v>
      </c>
      <c r="K237" s="293">
        <v>0</v>
      </c>
    </row>
    <row r="238" spans="1:11" ht="15.75" hidden="1" customHeight="1" x14ac:dyDescent="0.3">
      <c r="A238" s="278" t="s">
        <v>312</v>
      </c>
      <c r="B238" s="279">
        <v>115</v>
      </c>
      <c r="C238" s="278" t="s">
        <v>162</v>
      </c>
      <c r="D238" s="279" t="s">
        <v>529</v>
      </c>
      <c r="E238" s="278" t="s">
        <v>530</v>
      </c>
      <c r="F238" s="278" t="s">
        <v>531</v>
      </c>
      <c r="G238" s="280">
        <v>479740.71</v>
      </c>
      <c r="H238" s="280">
        <v>0</v>
      </c>
      <c r="I238" s="281">
        <v>479740.71</v>
      </c>
      <c r="J238" s="282"/>
      <c r="K238" s="7"/>
    </row>
    <row r="239" spans="1:11" ht="15.75" hidden="1" customHeight="1" x14ac:dyDescent="0.3">
      <c r="A239" s="283" t="s">
        <v>312</v>
      </c>
      <c r="B239" s="284">
        <v>115</v>
      </c>
      <c r="C239" s="283" t="s">
        <v>162</v>
      </c>
      <c r="D239" s="284" t="s">
        <v>529</v>
      </c>
      <c r="E239" s="283" t="s">
        <v>530</v>
      </c>
      <c r="F239" s="283" t="s">
        <v>531</v>
      </c>
      <c r="G239" s="285">
        <v>102331.27</v>
      </c>
      <c r="H239" s="285">
        <v>0</v>
      </c>
      <c r="I239" s="286">
        <v>102331.27</v>
      </c>
      <c r="J239" s="287"/>
      <c r="K239" s="7"/>
    </row>
    <row r="240" spans="1:11" ht="15.75" hidden="1" customHeight="1" x14ac:dyDescent="0.3">
      <c r="A240" s="278" t="s">
        <v>312</v>
      </c>
      <c r="B240" s="279">
        <v>115</v>
      </c>
      <c r="C240" s="278" t="s">
        <v>162</v>
      </c>
      <c r="D240" s="279" t="s">
        <v>532</v>
      </c>
      <c r="E240" s="278" t="s">
        <v>530</v>
      </c>
      <c r="F240" s="278" t="s">
        <v>533</v>
      </c>
      <c r="G240" s="280">
        <v>24459.69</v>
      </c>
      <c r="H240" s="280">
        <v>0</v>
      </c>
      <c r="I240" s="281">
        <v>24459.69</v>
      </c>
      <c r="J240" s="282"/>
      <c r="K240" s="7"/>
    </row>
    <row r="241" spans="1:11" ht="15.75" hidden="1" customHeight="1" x14ac:dyDescent="0.3">
      <c r="A241" s="288" t="s">
        <v>312</v>
      </c>
      <c r="B241" s="288">
        <v>115</v>
      </c>
      <c r="C241" s="289" t="s">
        <v>162</v>
      </c>
      <c r="D241" s="288" t="s">
        <v>320</v>
      </c>
      <c r="E241" s="290"/>
      <c r="F241" s="289" t="s">
        <v>321</v>
      </c>
      <c r="G241" s="291">
        <v>606531.67000000004</v>
      </c>
      <c r="H241" s="291">
        <v>0</v>
      </c>
      <c r="I241" s="292">
        <v>606531.67000000004</v>
      </c>
      <c r="J241" s="292">
        <v>606531.98</v>
      </c>
      <c r="K241" s="293">
        <v>-0.30999999993946398</v>
      </c>
    </row>
    <row r="242" spans="1:11" ht="15.75" hidden="1" customHeight="1" x14ac:dyDescent="0.3">
      <c r="A242" s="278" t="s">
        <v>312</v>
      </c>
      <c r="B242" s="279">
        <v>117</v>
      </c>
      <c r="C242" s="278" t="s">
        <v>165</v>
      </c>
      <c r="D242" s="279" t="s">
        <v>534</v>
      </c>
      <c r="E242" s="278" t="s">
        <v>535</v>
      </c>
      <c r="F242" s="278" t="s">
        <v>536</v>
      </c>
      <c r="G242" s="280">
        <v>354000</v>
      </c>
      <c r="H242" s="280">
        <v>0</v>
      </c>
      <c r="I242" s="281">
        <v>354000</v>
      </c>
      <c r="J242" s="282"/>
      <c r="K242" s="7"/>
    </row>
    <row r="243" spans="1:11" ht="15.75" hidden="1" customHeight="1" x14ac:dyDescent="0.3">
      <c r="A243" s="288" t="s">
        <v>312</v>
      </c>
      <c r="B243" s="288">
        <v>117</v>
      </c>
      <c r="C243" s="289" t="s">
        <v>165</v>
      </c>
      <c r="D243" s="288" t="s">
        <v>320</v>
      </c>
      <c r="E243" s="290"/>
      <c r="F243" s="289" t="s">
        <v>321</v>
      </c>
      <c r="G243" s="291">
        <v>354000</v>
      </c>
      <c r="H243" s="291">
        <v>0</v>
      </c>
      <c r="I243" s="292">
        <v>354000</v>
      </c>
      <c r="J243" s="292">
        <v>354000</v>
      </c>
      <c r="K243" s="293">
        <v>0</v>
      </c>
    </row>
    <row r="244" spans="1:11" ht="15.75" hidden="1" customHeight="1" x14ac:dyDescent="0.3">
      <c r="A244" s="278" t="s">
        <v>312</v>
      </c>
      <c r="B244" s="279">
        <v>118</v>
      </c>
      <c r="C244" s="278" t="s">
        <v>167</v>
      </c>
      <c r="D244" s="279" t="s">
        <v>537</v>
      </c>
      <c r="E244" s="278" t="s">
        <v>438</v>
      </c>
      <c r="F244" s="278" t="s">
        <v>538</v>
      </c>
      <c r="G244" s="280">
        <v>554999.99</v>
      </c>
      <c r="H244" s="280">
        <v>0</v>
      </c>
      <c r="I244" s="281">
        <v>554999.99</v>
      </c>
      <c r="J244" s="282"/>
      <c r="K244" s="7"/>
    </row>
    <row r="245" spans="1:11" ht="15.75" hidden="1" customHeight="1" x14ac:dyDescent="0.3">
      <c r="A245" s="283" t="s">
        <v>312</v>
      </c>
      <c r="B245" s="284">
        <v>118</v>
      </c>
      <c r="C245" s="283" t="s">
        <v>167</v>
      </c>
      <c r="D245" s="284" t="s">
        <v>537</v>
      </c>
      <c r="E245" s="283" t="s">
        <v>438</v>
      </c>
      <c r="F245" s="283" t="s">
        <v>539</v>
      </c>
      <c r="G245" s="285">
        <v>85077.56</v>
      </c>
      <c r="H245" s="285">
        <v>0</v>
      </c>
      <c r="I245" s="286">
        <v>85077.56</v>
      </c>
      <c r="J245" s="287"/>
      <c r="K245" s="7"/>
    </row>
    <row r="246" spans="1:11" ht="15.75" hidden="1" customHeight="1" x14ac:dyDescent="0.3">
      <c r="A246" s="278" t="s">
        <v>312</v>
      </c>
      <c r="B246" s="279">
        <v>118</v>
      </c>
      <c r="C246" s="278" t="s">
        <v>167</v>
      </c>
      <c r="D246" s="279" t="s">
        <v>540</v>
      </c>
      <c r="E246" s="278" t="s">
        <v>438</v>
      </c>
      <c r="F246" s="278" t="s">
        <v>541</v>
      </c>
      <c r="G246" s="280">
        <v>36800</v>
      </c>
      <c r="H246" s="280">
        <v>0</v>
      </c>
      <c r="I246" s="281">
        <v>36800</v>
      </c>
      <c r="J246" s="282"/>
      <c r="K246" s="7"/>
    </row>
    <row r="247" spans="1:11" ht="15.75" hidden="1" customHeight="1" x14ac:dyDescent="0.3">
      <c r="A247" s="288" t="s">
        <v>312</v>
      </c>
      <c r="B247" s="288">
        <v>118</v>
      </c>
      <c r="C247" s="289" t="s">
        <v>167</v>
      </c>
      <c r="D247" s="288" t="s">
        <v>320</v>
      </c>
      <c r="E247" s="290"/>
      <c r="F247" s="289" t="s">
        <v>321</v>
      </c>
      <c r="G247" s="291">
        <v>676877.55</v>
      </c>
      <c r="H247" s="291">
        <v>0</v>
      </c>
      <c r="I247" s="292">
        <v>676877.55</v>
      </c>
      <c r="J247" s="292">
        <v>676878</v>
      </c>
      <c r="K247" s="293">
        <v>-0.44999999995343393</v>
      </c>
    </row>
    <row r="248" spans="1:11" ht="15.75" hidden="1" customHeight="1" x14ac:dyDescent="0.3">
      <c r="A248" s="278" t="s">
        <v>312</v>
      </c>
      <c r="B248" s="279">
        <v>119</v>
      </c>
      <c r="C248" s="278" t="s">
        <v>169</v>
      </c>
      <c r="D248" s="279" t="s">
        <v>542</v>
      </c>
      <c r="E248" s="278"/>
      <c r="F248" s="278" t="s">
        <v>543</v>
      </c>
      <c r="G248" s="280">
        <v>0</v>
      </c>
      <c r="H248" s="280">
        <v>137000</v>
      </c>
      <c r="I248" s="281">
        <v>-137000</v>
      </c>
      <c r="J248" s="282"/>
      <c r="K248" s="7"/>
    </row>
    <row r="249" spans="1:11" ht="15.75" hidden="1" customHeight="1" x14ac:dyDescent="0.3">
      <c r="A249" s="283" t="s">
        <v>312</v>
      </c>
      <c r="B249" s="284">
        <v>119</v>
      </c>
      <c r="C249" s="283" t="s">
        <v>169</v>
      </c>
      <c r="D249" s="284" t="s">
        <v>542</v>
      </c>
      <c r="E249" s="283" t="s">
        <v>438</v>
      </c>
      <c r="F249" s="283" t="s">
        <v>544</v>
      </c>
      <c r="G249" s="285">
        <v>14105</v>
      </c>
      <c r="H249" s="285">
        <v>0</v>
      </c>
      <c r="I249" s="286">
        <v>14105</v>
      </c>
      <c r="J249" s="287"/>
      <c r="K249" s="7"/>
    </row>
    <row r="250" spans="1:11" ht="15.75" hidden="1" customHeight="1" x14ac:dyDescent="0.3">
      <c r="A250" s="278" t="s">
        <v>312</v>
      </c>
      <c r="B250" s="279">
        <v>119</v>
      </c>
      <c r="C250" s="278" t="s">
        <v>169</v>
      </c>
      <c r="D250" s="279" t="s">
        <v>542</v>
      </c>
      <c r="E250" s="278" t="s">
        <v>438</v>
      </c>
      <c r="F250" s="278" t="s">
        <v>545</v>
      </c>
      <c r="G250" s="280">
        <v>9500</v>
      </c>
      <c r="H250" s="280">
        <v>0</v>
      </c>
      <c r="I250" s="281">
        <v>9500</v>
      </c>
      <c r="J250" s="282"/>
      <c r="K250" s="7"/>
    </row>
    <row r="251" spans="1:11" ht="15.75" hidden="1" customHeight="1" x14ac:dyDescent="0.3">
      <c r="A251" s="283" t="s">
        <v>312</v>
      </c>
      <c r="B251" s="284">
        <v>119</v>
      </c>
      <c r="C251" s="283" t="s">
        <v>169</v>
      </c>
      <c r="D251" s="284" t="s">
        <v>542</v>
      </c>
      <c r="E251" s="283" t="s">
        <v>438</v>
      </c>
      <c r="F251" s="283" t="s">
        <v>546</v>
      </c>
      <c r="G251" s="285">
        <v>43500</v>
      </c>
      <c r="H251" s="285">
        <v>0</v>
      </c>
      <c r="I251" s="286">
        <v>43500</v>
      </c>
      <c r="J251" s="287"/>
      <c r="K251" s="7"/>
    </row>
    <row r="252" spans="1:11" ht="15.75" hidden="1" customHeight="1" x14ac:dyDescent="0.3">
      <c r="A252" s="278" t="s">
        <v>312</v>
      </c>
      <c r="B252" s="279">
        <v>119</v>
      </c>
      <c r="C252" s="278" t="s">
        <v>169</v>
      </c>
      <c r="D252" s="279" t="s">
        <v>542</v>
      </c>
      <c r="E252" s="278" t="s">
        <v>438</v>
      </c>
      <c r="F252" s="278" t="s">
        <v>547</v>
      </c>
      <c r="G252" s="280">
        <v>436912.53</v>
      </c>
      <c r="H252" s="280">
        <v>0</v>
      </c>
      <c r="I252" s="281">
        <v>436912.53</v>
      </c>
      <c r="J252" s="282"/>
      <c r="K252" s="7"/>
    </row>
    <row r="253" spans="1:11" ht="15.75" hidden="1" customHeight="1" x14ac:dyDescent="0.3">
      <c r="A253" s="283" t="s">
        <v>312</v>
      </c>
      <c r="B253" s="284">
        <v>119</v>
      </c>
      <c r="C253" s="283" t="s">
        <v>169</v>
      </c>
      <c r="D253" s="284" t="s">
        <v>542</v>
      </c>
      <c r="E253" s="283" t="s">
        <v>438</v>
      </c>
      <c r="F253" s="283" t="s">
        <v>548</v>
      </c>
      <c r="G253" s="285">
        <v>33900</v>
      </c>
      <c r="H253" s="285">
        <v>0</v>
      </c>
      <c r="I253" s="286">
        <v>33900</v>
      </c>
      <c r="J253" s="287"/>
      <c r="K253" s="7"/>
    </row>
    <row r="254" spans="1:11" ht="15.75" hidden="1" customHeight="1" x14ac:dyDescent="0.3">
      <c r="A254" s="278" t="s">
        <v>312</v>
      </c>
      <c r="B254" s="279">
        <v>119</v>
      </c>
      <c r="C254" s="278" t="s">
        <v>169</v>
      </c>
      <c r="D254" s="279" t="s">
        <v>542</v>
      </c>
      <c r="E254" s="278" t="s">
        <v>438</v>
      </c>
      <c r="F254" s="278" t="s">
        <v>548</v>
      </c>
      <c r="G254" s="280">
        <v>112000</v>
      </c>
      <c r="H254" s="280">
        <v>0</v>
      </c>
      <c r="I254" s="281">
        <v>112000</v>
      </c>
      <c r="J254" s="282"/>
      <c r="K254" s="7"/>
    </row>
    <row r="255" spans="1:11" ht="15.75" hidden="1" customHeight="1" x14ac:dyDescent="0.3">
      <c r="A255" s="288" t="s">
        <v>312</v>
      </c>
      <c r="B255" s="288">
        <v>119</v>
      </c>
      <c r="C255" s="289" t="s">
        <v>169</v>
      </c>
      <c r="D255" s="288" t="s">
        <v>320</v>
      </c>
      <c r="E255" s="290"/>
      <c r="F255" s="289" t="s">
        <v>321</v>
      </c>
      <c r="G255" s="291">
        <v>649917.53</v>
      </c>
      <c r="H255" s="291">
        <v>137000</v>
      </c>
      <c r="I255" s="292">
        <v>512917.53</v>
      </c>
      <c r="J255" s="292">
        <v>76005</v>
      </c>
      <c r="K255" s="294">
        <v>436912.53</v>
      </c>
    </row>
    <row r="256" spans="1:11" ht="15.75" hidden="1" customHeight="1" x14ac:dyDescent="0.3">
      <c r="A256" s="278" t="s">
        <v>312</v>
      </c>
      <c r="B256" s="279">
        <v>122</v>
      </c>
      <c r="C256" s="278" t="s">
        <v>175</v>
      </c>
      <c r="D256" s="279" t="s">
        <v>549</v>
      </c>
      <c r="E256" s="278"/>
      <c r="F256" s="278" t="s">
        <v>550</v>
      </c>
      <c r="G256" s="280">
        <v>432412</v>
      </c>
      <c r="H256" s="280">
        <v>0</v>
      </c>
      <c r="I256" s="281">
        <v>432412</v>
      </c>
      <c r="J256" s="282"/>
      <c r="K256" s="7"/>
    </row>
    <row r="257" spans="1:11" ht="15.75" hidden="1" customHeight="1" x14ac:dyDescent="0.3">
      <c r="A257" s="288" t="s">
        <v>312</v>
      </c>
      <c r="B257" s="288">
        <v>122</v>
      </c>
      <c r="C257" s="289" t="s">
        <v>175</v>
      </c>
      <c r="D257" s="288" t="s">
        <v>320</v>
      </c>
      <c r="E257" s="290"/>
      <c r="F257" s="289" t="s">
        <v>321</v>
      </c>
      <c r="G257" s="291">
        <v>432412</v>
      </c>
      <c r="H257" s="291">
        <v>0</v>
      </c>
      <c r="I257" s="292">
        <v>432412</v>
      </c>
      <c r="J257" s="292">
        <v>432412</v>
      </c>
      <c r="K257" s="293">
        <v>0</v>
      </c>
    </row>
    <row r="258" spans="1:11" ht="15.75" hidden="1" customHeight="1" x14ac:dyDescent="0.3">
      <c r="A258" s="278" t="s">
        <v>312</v>
      </c>
      <c r="B258" s="279">
        <v>123</v>
      </c>
      <c r="C258" s="278" t="s">
        <v>177</v>
      </c>
      <c r="D258" s="279" t="s">
        <v>551</v>
      </c>
      <c r="E258" s="278" t="s">
        <v>552</v>
      </c>
      <c r="F258" s="278" t="s">
        <v>528</v>
      </c>
      <c r="G258" s="280">
        <v>1808665</v>
      </c>
      <c r="H258" s="280">
        <v>0</v>
      </c>
      <c r="I258" s="281">
        <v>1808665</v>
      </c>
      <c r="J258" s="282"/>
      <c r="K258" s="7"/>
    </row>
    <row r="259" spans="1:11" ht="15.75" hidden="1" customHeight="1" x14ac:dyDescent="0.3">
      <c r="A259" s="288" t="s">
        <v>312</v>
      </c>
      <c r="B259" s="288">
        <v>123</v>
      </c>
      <c r="C259" s="289" t="s">
        <v>177</v>
      </c>
      <c r="D259" s="288" t="s">
        <v>320</v>
      </c>
      <c r="E259" s="290"/>
      <c r="F259" s="289" t="s">
        <v>321</v>
      </c>
      <c r="G259" s="291">
        <v>1808665</v>
      </c>
      <c r="H259" s="291">
        <v>0</v>
      </c>
      <c r="I259" s="292">
        <v>1808665</v>
      </c>
      <c r="J259" s="292">
        <v>1808665</v>
      </c>
      <c r="K259" s="293">
        <v>0</v>
      </c>
    </row>
    <row r="260" spans="1:11" ht="15.75" hidden="1" customHeight="1" x14ac:dyDescent="0.3">
      <c r="A260" s="278" t="s">
        <v>312</v>
      </c>
      <c r="B260" s="279">
        <v>129</v>
      </c>
      <c r="C260" s="278" t="s">
        <v>183</v>
      </c>
      <c r="D260" s="279" t="s">
        <v>553</v>
      </c>
      <c r="E260" s="278" t="s">
        <v>554</v>
      </c>
      <c r="F260" s="278" t="s">
        <v>555</v>
      </c>
      <c r="G260" s="280">
        <v>4529250</v>
      </c>
      <c r="H260" s="280">
        <v>0</v>
      </c>
      <c r="I260" s="281">
        <v>4529250</v>
      </c>
      <c r="J260" s="282"/>
      <c r="K260" s="7"/>
    </row>
    <row r="261" spans="1:11" ht="15.75" hidden="1" customHeight="1" x14ac:dyDescent="0.3">
      <c r="A261" s="288" t="s">
        <v>312</v>
      </c>
      <c r="B261" s="288">
        <v>129</v>
      </c>
      <c r="C261" s="289" t="s">
        <v>183</v>
      </c>
      <c r="D261" s="288" t="s">
        <v>320</v>
      </c>
      <c r="E261" s="290"/>
      <c r="F261" s="289" t="s">
        <v>321</v>
      </c>
      <c r="G261" s="291">
        <v>4529250</v>
      </c>
      <c r="H261" s="291">
        <v>0</v>
      </c>
      <c r="I261" s="292">
        <v>4529250</v>
      </c>
      <c r="J261" s="292">
        <v>4529250</v>
      </c>
      <c r="K261" s="293">
        <v>0</v>
      </c>
    </row>
    <row r="262" spans="1:11" ht="15.75" hidden="1" customHeight="1" x14ac:dyDescent="0.3">
      <c r="A262" s="278" t="s">
        <v>312</v>
      </c>
      <c r="B262" s="279">
        <v>130</v>
      </c>
      <c r="C262" s="278" t="s">
        <v>186</v>
      </c>
      <c r="D262" s="279" t="s">
        <v>553</v>
      </c>
      <c r="E262" s="278"/>
      <c r="F262" s="278" t="s">
        <v>556</v>
      </c>
      <c r="G262" s="280">
        <v>0</v>
      </c>
      <c r="H262" s="280">
        <v>1200000</v>
      </c>
      <c r="I262" s="281">
        <v>-1200000</v>
      </c>
      <c r="J262" s="282"/>
      <c r="K262" s="7"/>
    </row>
    <row r="263" spans="1:11" ht="15.75" hidden="1" customHeight="1" x14ac:dyDescent="0.3">
      <c r="A263" s="283" t="s">
        <v>312</v>
      </c>
      <c r="B263" s="284">
        <v>130</v>
      </c>
      <c r="C263" s="283" t="s">
        <v>186</v>
      </c>
      <c r="D263" s="284" t="s">
        <v>553</v>
      </c>
      <c r="E263" s="283" t="s">
        <v>557</v>
      </c>
      <c r="F263" s="283" t="s">
        <v>558</v>
      </c>
      <c r="G263" s="285">
        <v>1196494.0900000001</v>
      </c>
      <c r="H263" s="285">
        <v>0</v>
      </c>
      <c r="I263" s="286">
        <v>1196494.0900000001</v>
      </c>
      <c r="J263" s="287"/>
      <c r="K263" s="7"/>
    </row>
    <row r="264" spans="1:11" ht="15.75" hidden="1" customHeight="1" x14ac:dyDescent="0.3">
      <c r="A264" s="278" t="s">
        <v>312</v>
      </c>
      <c r="B264" s="279">
        <v>130</v>
      </c>
      <c r="C264" s="278" t="s">
        <v>186</v>
      </c>
      <c r="D264" s="279" t="s">
        <v>553</v>
      </c>
      <c r="E264" s="278"/>
      <c r="F264" s="278" t="s">
        <v>559</v>
      </c>
      <c r="G264" s="280">
        <v>1223500</v>
      </c>
      <c r="H264" s="280">
        <v>0</v>
      </c>
      <c r="I264" s="281">
        <v>1223500</v>
      </c>
      <c r="J264" s="282"/>
      <c r="K264" s="7"/>
    </row>
    <row r="265" spans="1:11" ht="15.75" hidden="1" customHeight="1" x14ac:dyDescent="0.3">
      <c r="A265" s="288" t="s">
        <v>312</v>
      </c>
      <c r="B265" s="288">
        <v>130</v>
      </c>
      <c r="C265" s="289" t="s">
        <v>186</v>
      </c>
      <c r="D265" s="288" t="s">
        <v>320</v>
      </c>
      <c r="E265" s="290"/>
      <c r="F265" s="289" t="s">
        <v>321</v>
      </c>
      <c r="G265" s="291">
        <v>2419994.09</v>
      </c>
      <c r="H265" s="291">
        <v>1200000</v>
      </c>
      <c r="I265" s="292">
        <v>1219994.0900000001</v>
      </c>
      <c r="J265" s="292">
        <v>1219994.0900000001</v>
      </c>
      <c r="K265" s="293">
        <v>0</v>
      </c>
    </row>
    <row r="266" spans="1:11" ht="15.75" hidden="1" customHeight="1" x14ac:dyDescent="0.3">
      <c r="A266" s="278" t="s">
        <v>312</v>
      </c>
      <c r="B266" s="279">
        <v>131</v>
      </c>
      <c r="C266" s="278" t="s">
        <v>188</v>
      </c>
      <c r="D266" s="279" t="s">
        <v>560</v>
      </c>
      <c r="E266" s="278" t="s">
        <v>438</v>
      </c>
      <c r="F266" s="278" t="s">
        <v>561</v>
      </c>
      <c r="G266" s="280">
        <v>24000</v>
      </c>
      <c r="H266" s="280">
        <v>0</v>
      </c>
      <c r="I266" s="281">
        <v>24000</v>
      </c>
      <c r="J266" s="282"/>
      <c r="K266" s="7"/>
    </row>
    <row r="267" spans="1:11" ht="15.75" hidden="1" customHeight="1" x14ac:dyDescent="0.3">
      <c r="A267" s="283" t="s">
        <v>312</v>
      </c>
      <c r="B267" s="284">
        <v>131</v>
      </c>
      <c r="C267" s="283" t="s">
        <v>188</v>
      </c>
      <c r="D267" s="284" t="s">
        <v>560</v>
      </c>
      <c r="E267" s="283" t="s">
        <v>438</v>
      </c>
      <c r="F267" s="283" t="s">
        <v>562</v>
      </c>
      <c r="G267" s="285">
        <v>323560</v>
      </c>
      <c r="H267" s="285">
        <v>0</v>
      </c>
      <c r="I267" s="286">
        <v>323560</v>
      </c>
      <c r="J267" s="287"/>
      <c r="K267" s="7"/>
    </row>
    <row r="268" spans="1:11" ht="15.75" hidden="1" customHeight="1" x14ac:dyDescent="0.3">
      <c r="A268" s="278" t="s">
        <v>312</v>
      </c>
      <c r="B268" s="279">
        <v>131</v>
      </c>
      <c r="C268" s="278" t="s">
        <v>188</v>
      </c>
      <c r="D268" s="279" t="s">
        <v>560</v>
      </c>
      <c r="E268" s="278" t="s">
        <v>438</v>
      </c>
      <c r="F268" s="278" t="s">
        <v>562</v>
      </c>
      <c r="G268" s="280">
        <v>6221</v>
      </c>
      <c r="H268" s="280">
        <v>0</v>
      </c>
      <c r="I268" s="281">
        <v>6221</v>
      </c>
      <c r="J268" s="282"/>
      <c r="K268" s="7"/>
    </row>
    <row r="269" spans="1:11" ht="15.75" hidden="1" customHeight="1" x14ac:dyDescent="0.3">
      <c r="A269" s="283" t="s">
        <v>312</v>
      </c>
      <c r="B269" s="284">
        <v>131</v>
      </c>
      <c r="C269" s="283" t="s">
        <v>188</v>
      </c>
      <c r="D269" s="284" t="s">
        <v>560</v>
      </c>
      <c r="E269" s="283" t="s">
        <v>438</v>
      </c>
      <c r="F269" s="283" t="s">
        <v>562</v>
      </c>
      <c r="G269" s="285">
        <v>6221</v>
      </c>
      <c r="H269" s="285">
        <v>0</v>
      </c>
      <c r="I269" s="286">
        <v>6221</v>
      </c>
      <c r="J269" s="287"/>
      <c r="K269" s="7"/>
    </row>
    <row r="270" spans="1:11" ht="15.75" hidden="1" customHeight="1" x14ac:dyDescent="0.3">
      <c r="A270" s="278" t="s">
        <v>312</v>
      </c>
      <c r="B270" s="279">
        <v>131</v>
      </c>
      <c r="C270" s="278" t="s">
        <v>188</v>
      </c>
      <c r="D270" s="279" t="s">
        <v>560</v>
      </c>
      <c r="E270" s="278" t="s">
        <v>438</v>
      </c>
      <c r="F270" s="278" t="s">
        <v>562</v>
      </c>
      <c r="G270" s="280">
        <v>6221</v>
      </c>
      <c r="H270" s="280">
        <v>0</v>
      </c>
      <c r="I270" s="281">
        <v>6221</v>
      </c>
      <c r="J270" s="282"/>
      <c r="K270" s="7"/>
    </row>
    <row r="271" spans="1:11" ht="15.75" hidden="1" customHeight="1" x14ac:dyDescent="0.3">
      <c r="A271" s="283" t="s">
        <v>312</v>
      </c>
      <c r="B271" s="284">
        <v>131</v>
      </c>
      <c r="C271" s="283" t="s">
        <v>188</v>
      </c>
      <c r="D271" s="284" t="s">
        <v>563</v>
      </c>
      <c r="E271" s="283" t="s">
        <v>438</v>
      </c>
      <c r="F271" s="283" t="s">
        <v>564</v>
      </c>
      <c r="G271" s="285">
        <v>2686117.68</v>
      </c>
      <c r="H271" s="285">
        <v>0</v>
      </c>
      <c r="I271" s="286">
        <v>2686117.68</v>
      </c>
      <c r="J271" s="287"/>
      <c r="K271" s="7"/>
    </row>
    <row r="272" spans="1:11" ht="15.75" hidden="1" customHeight="1" x14ac:dyDescent="0.3">
      <c r="A272" s="288" t="s">
        <v>312</v>
      </c>
      <c r="B272" s="288">
        <v>131</v>
      </c>
      <c r="C272" s="289" t="s">
        <v>188</v>
      </c>
      <c r="D272" s="288" t="s">
        <v>320</v>
      </c>
      <c r="E272" s="290"/>
      <c r="F272" s="289" t="s">
        <v>321</v>
      </c>
      <c r="G272" s="291">
        <v>3052340.68</v>
      </c>
      <c r="H272" s="291">
        <v>0</v>
      </c>
      <c r="I272" s="292">
        <v>3052340.68</v>
      </c>
      <c r="J272" s="292">
        <v>342223</v>
      </c>
      <c r="K272" s="294">
        <v>2710117.68</v>
      </c>
    </row>
    <row r="273" spans="1:11" ht="15.75" hidden="1" customHeight="1" x14ac:dyDescent="0.3">
      <c r="A273" s="278" t="s">
        <v>312</v>
      </c>
      <c r="B273" s="279">
        <v>132</v>
      </c>
      <c r="C273" s="278" t="s">
        <v>190</v>
      </c>
      <c r="D273" s="279" t="s">
        <v>565</v>
      </c>
      <c r="E273" s="278" t="s">
        <v>566</v>
      </c>
      <c r="F273" s="278" t="s">
        <v>567</v>
      </c>
      <c r="G273" s="280">
        <v>880930.85</v>
      </c>
      <c r="H273" s="280">
        <v>0</v>
      </c>
      <c r="I273" s="281">
        <v>880930.85</v>
      </c>
      <c r="J273" s="282"/>
      <c r="K273" s="7"/>
    </row>
    <row r="274" spans="1:11" ht="15.75" hidden="1" customHeight="1" x14ac:dyDescent="0.3">
      <c r="A274" s="288" t="s">
        <v>312</v>
      </c>
      <c r="B274" s="288">
        <v>132</v>
      </c>
      <c r="C274" s="289" t="s">
        <v>190</v>
      </c>
      <c r="D274" s="288" t="s">
        <v>320</v>
      </c>
      <c r="E274" s="290"/>
      <c r="F274" s="289" t="s">
        <v>321</v>
      </c>
      <c r="G274" s="291">
        <v>880930.85</v>
      </c>
      <c r="H274" s="291">
        <v>0</v>
      </c>
      <c r="I274" s="292">
        <v>880930.85</v>
      </c>
      <c r="J274" s="292">
        <v>880930.85</v>
      </c>
      <c r="K274" s="293">
        <v>0</v>
      </c>
    </row>
    <row r="275" spans="1:11" ht="15.75" hidden="1" customHeight="1" x14ac:dyDescent="0.3">
      <c r="A275" s="278" t="s">
        <v>312</v>
      </c>
      <c r="B275" s="279">
        <v>134</v>
      </c>
      <c r="C275" s="278" t="s">
        <v>194</v>
      </c>
      <c r="D275" s="279" t="s">
        <v>549</v>
      </c>
      <c r="E275" s="278" t="s">
        <v>568</v>
      </c>
      <c r="F275" s="278" t="s">
        <v>569</v>
      </c>
      <c r="G275" s="280">
        <v>777145.95</v>
      </c>
      <c r="H275" s="280">
        <v>0</v>
      </c>
      <c r="I275" s="281">
        <v>777145.95</v>
      </c>
      <c r="J275" s="282"/>
      <c r="K275" s="7"/>
    </row>
    <row r="276" spans="1:11" ht="15.75" hidden="1" customHeight="1" x14ac:dyDescent="0.3">
      <c r="A276" s="283" t="s">
        <v>312</v>
      </c>
      <c r="B276" s="284">
        <v>134</v>
      </c>
      <c r="C276" s="283" t="s">
        <v>194</v>
      </c>
      <c r="D276" s="284" t="s">
        <v>549</v>
      </c>
      <c r="E276" s="283" t="s">
        <v>568</v>
      </c>
      <c r="F276" s="283" t="s">
        <v>569</v>
      </c>
      <c r="G276" s="285">
        <v>21001.7</v>
      </c>
      <c r="H276" s="285">
        <v>0</v>
      </c>
      <c r="I276" s="286">
        <v>21001.7</v>
      </c>
      <c r="J276" s="287"/>
      <c r="K276" s="7"/>
    </row>
    <row r="277" spans="1:11" ht="15.75" hidden="1" customHeight="1" x14ac:dyDescent="0.3">
      <c r="A277" s="278" t="s">
        <v>312</v>
      </c>
      <c r="B277" s="279">
        <v>134</v>
      </c>
      <c r="C277" s="278" t="s">
        <v>194</v>
      </c>
      <c r="D277" s="279" t="s">
        <v>549</v>
      </c>
      <c r="E277" s="278"/>
      <c r="F277" s="278" t="s">
        <v>570</v>
      </c>
      <c r="G277" s="280">
        <v>128926</v>
      </c>
      <c r="H277" s="280">
        <v>0</v>
      </c>
      <c r="I277" s="281">
        <v>128926</v>
      </c>
      <c r="J277" s="282"/>
      <c r="K277" s="7"/>
    </row>
    <row r="278" spans="1:11" ht="15.75" hidden="1" customHeight="1" x14ac:dyDescent="0.3">
      <c r="A278" s="288" t="s">
        <v>312</v>
      </c>
      <c r="B278" s="288">
        <v>134</v>
      </c>
      <c r="C278" s="289" t="s">
        <v>194</v>
      </c>
      <c r="D278" s="288" t="s">
        <v>320</v>
      </c>
      <c r="E278" s="290"/>
      <c r="F278" s="289" t="s">
        <v>321</v>
      </c>
      <c r="G278" s="291">
        <v>927073.64999999991</v>
      </c>
      <c r="H278" s="291">
        <v>0</v>
      </c>
      <c r="I278" s="292">
        <v>927073.64999999991</v>
      </c>
      <c r="J278" s="292">
        <v>798147.65</v>
      </c>
      <c r="K278" s="294">
        <v>128925.9999999999</v>
      </c>
    </row>
    <row r="279" spans="1:11" ht="15.75" hidden="1" customHeight="1" x14ac:dyDescent="0.3">
      <c r="A279" s="278" t="s">
        <v>312</v>
      </c>
      <c r="B279" s="279">
        <v>135</v>
      </c>
      <c r="C279" s="278" t="s">
        <v>196</v>
      </c>
      <c r="D279" s="279" t="s">
        <v>571</v>
      </c>
      <c r="E279" s="278" t="s">
        <v>572</v>
      </c>
      <c r="F279" s="278" t="s">
        <v>573</v>
      </c>
      <c r="G279" s="280">
        <v>91890</v>
      </c>
      <c r="H279" s="280">
        <v>0</v>
      </c>
      <c r="I279" s="281">
        <v>91890</v>
      </c>
      <c r="J279" s="282"/>
      <c r="K279" s="7"/>
    </row>
    <row r="280" spans="1:11" ht="15.75" hidden="1" customHeight="1" x14ac:dyDescent="0.3">
      <c r="A280" s="283" t="s">
        <v>312</v>
      </c>
      <c r="B280" s="284">
        <v>135</v>
      </c>
      <c r="C280" s="283" t="s">
        <v>196</v>
      </c>
      <c r="D280" s="284" t="s">
        <v>571</v>
      </c>
      <c r="E280" s="283"/>
      <c r="F280" s="283" t="s">
        <v>574</v>
      </c>
      <c r="G280" s="285">
        <v>0</v>
      </c>
      <c r="H280" s="285">
        <v>30000</v>
      </c>
      <c r="I280" s="286">
        <v>-30000</v>
      </c>
      <c r="J280" s="287"/>
      <c r="K280" s="7"/>
    </row>
    <row r="281" spans="1:11" ht="15.75" hidden="1" customHeight="1" x14ac:dyDescent="0.3">
      <c r="A281" s="278" t="s">
        <v>312</v>
      </c>
      <c r="B281" s="279">
        <v>135</v>
      </c>
      <c r="C281" s="278" t="s">
        <v>196</v>
      </c>
      <c r="D281" s="279" t="s">
        <v>571</v>
      </c>
      <c r="E281" s="278" t="s">
        <v>575</v>
      </c>
      <c r="F281" s="278" t="s">
        <v>576</v>
      </c>
      <c r="G281" s="280">
        <v>29760</v>
      </c>
      <c r="H281" s="280">
        <v>0</v>
      </c>
      <c r="I281" s="281">
        <v>29760</v>
      </c>
      <c r="J281" s="282"/>
      <c r="K281" s="7"/>
    </row>
    <row r="282" spans="1:11" ht="15.75" hidden="1" customHeight="1" x14ac:dyDescent="0.3">
      <c r="A282" s="283" t="s">
        <v>312</v>
      </c>
      <c r="B282" s="284">
        <v>135</v>
      </c>
      <c r="C282" s="283" t="s">
        <v>196</v>
      </c>
      <c r="D282" s="284" t="s">
        <v>571</v>
      </c>
      <c r="E282" s="283" t="s">
        <v>575</v>
      </c>
      <c r="F282" s="283" t="s">
        <v>576</v>
      </c>
      <c r="G282" s="285">
        <v>180</v>
      </c>
      <c r="H282" s="285">
        <v>0</v>
      </c>
      <c r="I282" s="286">
        <v>180</v>
      </c>
      <c r="J282" s="287"/>
      <c r="K282" s="7"/>
    </row>
    <row r="283" spans="1:11" ht="15.75" hidden="1" customHeight="1" x14ac:dyDescent="0.3">
      <c r="A283" s="288" t="s">
        <v>312</v>
      </c>
      <c r="B283" s="288">
        <v>135</v>
      </c>
      <c r="C283" s="289" t="s">
        <v>196</v>
      </c>
      <c r="D283" s="288" t="s">
        <v>320</v>
      </c>
      <c r="E283" s="290"/>
      <c r="F283" s="289" t="s">
        <v>321</v>
      </c>
      <c r="G283" s="291">
        <v>121830</v>
      </c>
      <c r="H283" s="291">
        <v>30000</v>
      </c>
      <c r="I283" s="292">
        <v>91830</v>
      </c>
      <c r="J283" s="292">
        <v>-60</v>
      </c>
      <c r="K283" s="294">
        <v>91890</v>
      </c>
    </row>
    <row r="284" spans="1:11" ht="15.75" hidden="1" customHeight="1" x14ac:dyDescent="0.3">
      <c r="A284" s="278" t="s">
        <v>312</v>
      </c>
      <c r="B284" s="279">
        <v>136</v>
      </c>
      <c r="C284" s="278" t="s">
        <v>198</v>
      </c>
      <c r="D284" s="279" t="s">
        <v>222</v>
      </c>
      <c r="E284" s="278" t="s">
        <v>577</v>
      </c>
      <c r="F284" s="278" t="s">
        <v>578</v>
      </c>
      <c r="G284" s="280">
        <v>78696</v>
      </c>
      <c r="H284" s="280">
        <v>0</v>
      </c>
      <c r="I284" s="281">
        <v>78696</v>
      </c>
      <c r="J284" s="282"/>
      <c r="K284" s="7"/>
    </row>
    <row r="285" spans="1:11" ht="15.75" hidden="1" customHeight="1" x14ac:dyDescent="0.3">
      <c r="A285" s="288" t="s">
        <v>312</v>
      </c>
      <c r="B285" s="288">
        <v>136</v>
      </c>
      <c r="C285" s="289" t="s">
        <v>198</v>
      </c>
      <c r="D285" s="288" t="s">
        <v>320</v>
      </c>
      <c r="E285" s="290"/>
      <c r="F285" s="289" t="s">
        <v>321</v>
      </c>
      <c r="G285" s="291">
        <v>78696</v>
      </c>
      <c r="H285" s="291">
        <v>0</v>
      </c>
      <c r="I285" s="292">
        <v>78696</v>
      </c>
      <c r="J285" s="292">
        <v>78696</v>
      </c>
      <c r="K285" s="293">
        <v>0</v>
      </c>
    </row>
    <row r="286" spans="1:11" ht="15.75" hidden="1" customHeight="1" x14ac:dyDescent="0.3">
      <c r="A286" s="278" t="s">
        <v>312</v>
      </c>
      <c r="B286" s="279">
        <v>137</v>
      </c>
      <c r="C286" s="278" t="s">
        <v>200</v>
      </c>
      <c r="D286" s="279" t="s">
        <v>222</v>
      </c>
      <c r="E286" s="278"/>
      <c r="F286" s="278" t="s">
        <v>579</v>
      </c>
      <c r="G286" s="280">
        <v>0</v>
      </c>
      <c r="H286" s="280">
        <v>242990</v>
      </c>
      <c r="I286" s="281">
        <v>-242990</v>
      </c>
      <c r="J286" s="282"/>
      <c r="K286" s="7"/>
    </row>
    <row r="287" spans="1:11" ht="15.75" hidden="1" customHeight="1" x14ac:dyDescent="0.3">
      <c r="A287" s="283" t="s">
        <v>312</v>
      </c>
      <c r="B287" s="284">
        <v>137</v>
      </c>
      <c r="C287" s="283" t="s">
        <v>200</v>
      </c>
      <c r="D287" s="284" t="s">
        <v>222</v>
      </c>
      <c r="E287" s="283"/>
      <c r="F287" s="283" t="s">
        <v>580</v>
      </c>
      <c r="G287" s="285">
        <v>0.04</v>
      </c>
      <c r="H287" s="285">
        <v>0</v>
      </c>
      <c r="I287" s="286">
        <v>0.04</v>
      </c>
      <c r="J287" s="287"/>
      <c r="K287" s="7"/>
    </row>
    <row r="288" spans="1:11" ht="15.75" hidden="1" customHeight="1" x14ac:dyDescent="0.3">
      <c r="A288" s="278" t="s">
        <v>312</v>
      </c>
      <c r="B288" s="279">
        <v>137</v>
      </c>
      <c r="C288" s="278" t="s">
        <v>200</v>
      </c>
      <c r="D288" s="279" t="s">
        <v>222</v>
      </c>
      <c r="E288" s="278"/>
      <c r="F288" s="278" t="s">
        <v>581</v>
      </c>
      <c r="G288" s="280">
        <v>242990</v>
      </c>
      <c r="H288" s="280">
        <v>0</v>
      </c>
      <c r="I288" s="281">
        <v>242990</v>
      </c>
      <c r="J288" s="282"/>
      <c r="K288" s="7"/>
    </row>
    <row r="289" spans="1:11" ht="15.75" hidden="1" customHeight="1" x14ac:dyDescent="0.3">
      <c r="A289" s="283" t="s">
        <v>312</v>
      </c>
      <c r="B289" s="284">
        <v>137</v>
      </c>
      <c r="C289" s="283" t="s">
        <v>200</v>
      </c>
      <c r="D289" s="284" t="s">
        <v>582</v>
      </c>
      <c r="E289" s="283" t="s">
        <v>583</v>
      </c>
      <c r="F289" s="283" t="s">
        <v>584</v>
      </c>
      <c r="G289" s="285">
        <v>185123.97</v>
      </c>
      <c r="H289" s="285">
        <v>0</v>
      </c>
      <c r="I289" s="286">
        <v>185123.97</v>
      </c>
      <c r="J289" s="287"/>
      <c r="K289" s="7"/>
    </row>
    <row r="290" spans="1:11" ht="15.75" hidden="1" customHeight="1" x14ac:dyDescent="0.3">
      <c r="A290" s="278" t="s">
        <v>312</v>
      </c>
      <c r="B290" s="279">
        <v>137</v>
      </c>
      <c r="C290" s="278" t="s">
        <v>200</v>
      </c>
      <c r="D290" s="279" t="s">
        <v>582</v>
      </c>
      <c r="E290" s="278" t="s">
        <v>438</v>
      </c>
      <c r="F290" s="278" t="s">
        <v>585</v>
      </c>
      <c r="G290" s="280">
        <v>448366.13</v>
      </c>
      <c r="H290" s="280">
        <v>0</v>
      </c>
      <c r="I290" s="281">
        <v>448366.13</v>
      </c>
      <c r="J290" s="282"/>
      <c r="K290" s="7"/>
    </row>
    <row r="291" spans="1:11" ht="15.75" hidden="1" customHeight="1" x14ac:dyDescent="0.3">
      <c r="A291" s="288" t="s">
        <v>312</v>
      </c>
      <c r="B291" s="288">
        <v>137</v>
      </c>
      <c r="C291" s="289" t="s">
        <v>200</v>
      </c>
      <c r="D291" s="288" t="s">
        <v>320</v>
      </c>
      <c r="E291" s="290"/>
      <c r="F291" s="289" t="s">
        <v>321</v>
      </c>
      <c r="G291" s="291">
        <v>876480.14</v>
      </c>
      <c r="H291" s="291">
        <v>242990</v>
      </c>
      <c r="I291" s="292">
        <v>633490.14</v>
      </c>
      <c r="J291" s="292">
        <v>1070402.6299999999</v>
      </c>
      <c r="K291" s="294">
        <v>-436912.48999999987</v>
      </c>
    </row>
    <row r="292" spans="1:11" ht="15.75" hidden="1" customHeight="1" x14ac:dyDescent="0.3">
      <c r="A292" s="278" t="s">
        <v>312</v>
      </c>
      <c r="B292" s="279">
        <v>138</v>
      </c>
      <c r="C292" s="278" t="s">
        <v>202</v>
      </c>
      <c r="D292" s="279" t="s">
        <v>222</v>
      </c>
      <c r="E292" s="278" t="s">
        <v>586</v>
      </c>
      <c r="F292" s="278" t="s">
        <v>587</v>
      </c>
      <c r="G292" s="280">
        <v>30263</v>
      </c>
      <c r="H292" s="280">
        <v>0</v>
      </c>
      <c r="I292" s="281">
        <v>30263</v>
      </c>
      <c r="J292" s="282"/>
      <c r="K292" s="7"/>
    </row>
    <row r="293" spans="1:11" ht="15.75" hidden="1" customHeight="1" x14ac:dyDescent="0.3">
      <c r="A293" s="288" t="s">
        <v>312</v>
      </c>
      <c r="B293" s="288">
        <v>138</v>
      </c>
      <c r="C293" s="289" t="s">
        <v>202</v>
      </c>
      <c r="D293" s="288" t="s">
        <v>320</v>
      </c>
      <c r="E293" s="290"/>
      <c r="F293" s="289" t="s">
        <v>321</v>
      </c>
      <c r="G293" s="291">
        <v>30263</v>
      </c>
      <c r="H293" s="291">
        <v>0</v>
      </c>
      <c r="I293" s="292">
        <v>30263</v>
      </c>
      <c r="J293" s="292">
        <v>30263</v>
      </c>
      <c r="K293" s="293">
        <v>0</v>
      </c>
    </row>
    <row r="294" spans="1:11" ht="15.75" hidden="1" customHeight="1" x14ac:dyDescent="0.3">
      <c r="A294" s="278" t="s">
        <v>312</v>
      </c>
      <c r="B294" s="279">
        <v>139</v>
      </c>
      <c r="C294" s="278" t="s">
        <v>204</v>
      </c>
      <c r="D294" s="279" t="s">
        <v>588</v>
      </c>
      <c r="E294" s="278"/>
      <c r="F294" s="278" t="s">
        <v>589</v>
      </c>
      <c r="G294" s="280">
        <v>108223.17</v>
      </c>
      <c r="H294" s="280">
        <v>0</v>
      </c>
      <c r="I294" s="281">
        <v>108223.17</v>
      </c>
      <c r="J294" s="282"/>
      <c r="K294" s="7"/>
    </row>
    <row r="295" spans="1:11" ht="15.75" hidden="1" customHeight="1" x14ac:dyDescent="0.3">
      <c r="A295" s="283" t="s">
        <v>312</v>
      </c>
      <c r="B295" s="284">
        <v>139</v>
      </c>
      <c r="C295" s="283" t="s">
        <v>204</v>
      </c>
      <c r="D295" s="284" t="s">
        <v>588</v>
      </c>
      <c r="E295" s="283"/>
      <c r="F295" s="283" t="s">
        <v>590</v>
      </c>
      <c r="G295" s="285">
        <v>44676.47</v>
      </c>
      <c r="H295" s="285">
        <v>0</v>
      </c>
      <c r="I295" s="286">
        <v>44676.47</v>
      </c>
      <c r="J295" s="287"/>
      <c r="K295" s="7"/>
    </row>
    <row r="296" spans="1:11" ht="15.75" hidden="1" customHeight="1" x14ac:dyDescent="0.3">
      <c r="A296" s="278" t="s">
        <v>312</v>
      </c>
      <c r="B296" s="279">
        <v>139</v>
      </c>
      <c r="C296" s="278" t="s">
        <v>204</v>
      </c>
      <c r="D296" s="279" t="s">
        <v>588</v>
      </c>
      <c r="E296" s="278"/>
      <c r="F296" s="278" t="s">
        <v>591</v>
      </c>
      <c r="G296" s="280">
        <v>96029.57</v>
      </c>
      <c r="H296" s="280">
        <v>0</v>
      </c>
      <c r="I296" s="281">
        <v>96029.57</v>
      </c>
      <c r="J296" s="282"/>
      <c r="K296" s="7"/>
    </row>
    <row r="297" spans="1:11" ht="15.75" hidden="1" customHeight="1" x14ac:dyDescent="0.3">
      <c r="A297" s="283" t="s">
        <v>312</v>
      </c>
      <c r="B297" s="284">
        <v>139</v>
      </c>
      <c r="C297" s="283" t="s">
        <v>204</v>
      </c>
      <c r="D297" s="284" t="s">
        <v>588</v>
      </c>
      <c r="E297" s="283"/>
      <c r="F297" s="283" t="s">
        <v>592</v>
      </c>
      <c r="G297" s="285">
        <v>118150.72</v>
      </c>
      <c r="H297" s="285">
        <v>0</v>
      </c>
      <c r="I297" s="286">
        <v>118150.72</v>
      </c>
      <c r="J297" s="287"/>
      <c r="K297" s="7"/>
    </row>
    <row r="298" spans="1:11" ht="15.75" hidden="1" customHeight="1" x14ac:dyDescent="0.3">
      <c r="A298" s="278" t="s">
        <v>312</v>
      </c>
      <c r="B298" s="279">
        <v>139</v>
      </c>
      <c r="C298" s="278" t="s">
        <v>204</v>
      </c>
      <c r="D298" s="279" t="s">
        <v>588</v>
      </c>
      <c r="E298" s="278"/>
      <c r="F298" s="278" t="s">
        <v>593</v>
      </c>
      <c r="G298" s="280">
        <v>84273.2</v>
      </c>
      <c r="H298" s="280">
        <v>0</v>
      </c>
      <c r="I298" s="281">
        <v>84273.2</v>
      </c>
      <c r="J298" s="282"/>
      <c r="K298" s="7"/>
    </row>
    <row r="299" spans="1:11" ht="15.75" hidden="1" customHeight="1" x14ac:dyDescent="0.3">
      <c r="A299" s="283" t="s">
        <v>312</v>
      </c>
      <c r="B299" s="284">
        <v>139</v>
      </c>
      <c r="C299" s="283" t="s">
        <v>204</v>
      </c>
      <c r="D299" s="284" t="s">
        <v>588</v>
      </c>
      <c r="E299" s="283"/>
      <c r="F299" s="283" t="s">
        <v>594</v>
      </c>
      <c r="G299" s="285">
        <v>44260.69</v>
      </c>
      <c r="H299" s="285">
        <v>0</v>
      </c>
      <c r="I299" s="286">
        <v>44260.69</v>
      </c>
      <c r="J299" s="287"/>
      <c r="K299" s="7"/>
    </row>
    <row r="300" spans="1:11" ht="15.75" hidden="1" customHeight="1" x14ac:dyDescent="0.3">
      <c r="A300" s="278" t="s">
        <v>312</v>
      </c>
      <c r="B300" s="279">
        <v>139</v>
      </c>
      <c r="C300" s="278" t="s">
        <v>204</v>
      </c>
      <c r="D300" s="279" t="s">
        <v>588</v>
      </c>
      <c r="E300" s="278"/>
      <c r="F300" s="278" t="s">
        <v>595</v>
      </c>
      <c r="G300" s="280">
        <v>144680</v>
      </c>
      <c r="H300" s="280">
        <v>0</v>
      </c>
      <c r="I300" s="281">
        <v>144680</v>
      </c>
      <c r="J300" s="282"/>
      <c r="K300" s="7"/>
    </row>
    <row r="301" spans="1:11" ht="15.75" hidden="1" customHeight="1" x14ac:dyDescent="0.3">
      <c r="A301" s="288" t="s">
        <v>312</v>
      </c>
      <c r="B301" s="288">
        <v>139</v>
      </c>
      <c r="C301" s="289" t="s">
        <v>204</v>
      </c>
      <c r="D301" s="288" t="s">
        <v>320</v>
      </c>
      <c r="E301" s="290"/>
      <c r="F301" s="289" t="s">
        <v>321</v>
      </c>
      <c r="G301" s="291">
        <v>640293.82000000007</v>
      </c>
      <c r="H301" s="291">
        <v>0</v>
      </c>
      <c r="I301" s="292">
        <v>640293.82000000007</v>
      </c>
      <c r="J301" s="292">
        <v>640293.81999999995</v>
      </c>
      <c r="K301" s="293">
        <v>1.164153218269348E-10</v>
      </c>
    </row>
    <row r="302" spans="1:11" ht="15.75" hidden="1" customHeight="1" x14ac:dyDescent="0.3">
      <c r="A302" s="278" t="s">
        <v>312</v>
      </c>
      <c r="B302" s="279">
        <v>150</v>
      </c>
      <c r="C302" s="278" t="s">
        <v>224</v>
      </c>
      <c r="D302" s="279" t="s">
        <v>596</v>
      </c>
      <c r="E302" s="278" t="s">
        <v>597</v>
      </c>
      <c r="F302" s="278" t="s">
        <v>598</v>
      </c>
      <c r="G302" s="280">
        <v>500000</v>
      </c>
      <c r="H302" s="280">
        <v>0</v>
      </c>
      <c r="I302" s="281">
        <v>500000</v>
      </c>
      <c r="J302" s="282"/>
      <c r="K302" s="7"/>
    </row>
    <row r="303" spans="1:11" ht="15.75" hidden="1" customHeight="1" x14ac:dyDescent="0.3">
      <c r="A303" s="283" t="s">
        <v>312</v>
      </c>
      <c r="B303" s="284">
        <v>150</v>
      </c>
      <c r="C303" s="283" t="s">
        <v>224</v>
      </c>
      <c r="D303" s="284" t="s">
        <v>596</v>
      </c>
      <c r="E303" s="283" t="s">
        <v>597</v>
      </c>
      <c r="F303" s="283" t="s">
        <v>599</v>
      </c>
      <c r="G303" s="285">
        <v>0</v>
      </c>
      <c r="H303" s="285">
        <v>500000</v>
      </c>
      <c r="I303" s="286">
        <v>-500000</v>
      </c>
      <c r="J303" s="287"/>
      <c r="K303" s="7"/>
    </row>
    <row r="304" spans="1:11" ht="15.75" hidden="1" customHeight="1" x14ac:dyDescent="0.3">
      <c r="A304" s="288" t="s">
        <v>312</v>
      </c>
      <c r="B304" s="288">
        <v>150</v>
      </c>
      <c r="C304" s="289" t="s">
        <v>224</v>
      </c>
      <c r="D304" s="288" t="s">
        <v>320</v>
      </c>
      <c r="E304" s="290"/>
      <c r="F304" s="289" t="s">
        <v>321</v>
      </c>
      <c r="G304" s="291">
        <v>500000</v>
      </c>
      <c r="H304" s="291">
        <v>500000</v>
      </c>
      <c r="I304" s="292">
        <v>0</v>
      </c>
      <c r="J304" s="292">
        <v>0</v>
      </c>
      <c r="K304" s="293">
        <v>0</v>
      </c>
    </row>
    <row r="305" spans="1:13" ht="15.75" hidden="1" customHeight="1" x14ac:dyDescent="0.3">
      <c r="A305" s="278" t="s">
        <v>312</v>
      </c>
      <c r="B305" s="279">
        <v>152</v>
      </c>
      <c r="C305" s="278" t="s">
        <v>226</v>
      </c>
      <c r="D305" s="279" t="s">
        <v>600</v>
      </c>
      <c r="E305" s="278"/>
      <c r="F305" s="278" t="s">
        <v>601</v>
      </c>
      <c r="G305" s="280">
        <v>13847239.65</v>
      </c>
      <c r="H305" s="280">
        <v>0</v>
      </c>
      <c r="I305" s="281">
        <v>13847239.65</v>
      </c>
      <c r="J305" s="282"/>
      <c r="K305" s="7"/>
    </row>
    <row r="306" spans="1:13" ht="15.75" hidden="1" customHeight="1" x14ac:dyDescent="0.3">
      <c r="A306" s="288" t="s">
        <v>312</v>
      </c>
      <c r="B306" s="288">
        <v>152</v>
      </c>
      <c r="C306" s="289" t="s">
        <v>226</v>
      </c>
      <c r="D306" s="288" t="s">
        <v>320</v>
      </c>
      <c r="E306" s="290"/>
      <c r="F306" s="289" t="s">
        <v>321</v>
      </c>
      <c r="G306" s="291">
        <v>13847239.65</v>
      </c>
      <c r="H306" s="291">
        <v>0</v>
      </c>
      <c r="I306" s="292">
        <v>13847239.65</v>
      </c>
      <c r="J306" s="292">
        <v>13847239.65</v>
      </c>
      <c r="K306" s="293">
        <v>0</v>
      </c>
    </row>
    <row r="307" spans="1:13" ht="15.75" customHeight="1" x14ac:dyDescent="0.3">
      <c r="A307" s="278" t="s">
        <v>312</v>
      </c>
      <c r="B307" s="279">
        <v>158</v>
      </c>
      <c r="C307" s="278" t="s">
        <v>229</v>
      </c>
      <c r="D307" s="279" t="s">
        <v>602</v>
      </c>
      <c r="E307" s="278"/>
      <c r="F307" s="278" t="s">
        <v>603</v>
      </c>
      <c r="G307" s="280">
        <v>0</v>
      </c>
      <c r="H307" s="280">
        <v>214000000</v>
      </c>
      <c r="I307" s="281">
        <v>-214000000</v>
      </c>
      <c r="J307" s="282"/>
      <c r="K307" s="7"/>
    </row>
    <row r="308" spans="1:13" ht="15.75" customHeight="1" x14ac:dyDescent="0.3">
      <c r="A308" s="283" t="s">
        <v>312</v>
      </c>
      <c r="B308" s="284">
        <v>158</v>
      </c>
      <c r="C308" s="283" t="s">
        <v>229</v>
      </c>
      <c r="D308" s="284" t="s">
        <v>602</v>
      </c>
      <c r="E308" s="283" t="s">
        <v>604</v>
      </c>
      <c r="F308" s="283" t="s">
        <v>605</v>
      </c>
      <c r="G308" s="285">
        <v>212797210.24000001</v>
      </c>
      <c r="H308" s="285">
        <v>0</v>
      </c>
      <c r="I308" s="286">
        <v>212797210.24000001</v>
      </c>
      <c r="J308" s="287"/>
      <c r="K308" s="7"/>
    </row>
    <row r="309" spans="1:13" ht="15.75" customHeight="1" x14ac:dyDescent="0.3">
      <c r="A309" s="278" t="s">
        <v>312</v>
      </c>
      <c r="B309" s="279">
        <v>158</v>
      </c>
      <c r="C309" s="278" t="s">
        <v>229</v>
      </c>
      <c r="D309" s="279" t="s">
        <v>602</v>
      </c>
      <c r="E309" s="278"/>
      <c r="F309" s="278" t="s">
        <v>606</v>
      </c>
      <c r="G309" s="280">
        <v>215000000</v>
      </c>
      <c r="H309" s="280">
        <v>0</v>
      </c>
      <c r="I309" s="281">
        <v>215000000</v>
      </c>
      <c r="J309" s="282"/>
      <c r="K309" s="7"/>
    </row>
    <row r="310" spans="1:13" ht="15.75" customHeight="1" x14ac:dyDescent="0.3">
      <c r="A310" s="288" t="s">
        <v>312</v>
      </c>
      <c r="B310" s="288">
        <v>158</v>
      </c>
      <c r="C310" s="289" t="s">
        <v>229</v>
      </c>
      <c r="D310" s="288" t="s">
        <v>320</v>
      </c>
      <c r="E310" s="290"/>
      <c r="F310" s="289" t="s">
        <v>321</v>
      </c>
      <c r="G310" s="291">
        <v>427797210.24000001</v>
      </c>
      <c r="H310" s="291">
        <v>214000000</v>
      </c>
      <c r="I310" s="292">
        <v>213797210.24000001</v>
      </c>
      <c r="J310" s="292">
        <v>329464238.80000001</v>
      </c>
      <c r="K310" s="294">
        <v>-115667028.56</v>
      </c>
      <c r="M310" s="1072">
        <f>I310+I314</f>
        <v>363797210.24000001</v>
      </c>
    </row>
    <row r="311" spans="1:13" ht="15.75" customHeight="1" x14ac:dyDescent="0.3">
      <c r="A311" s="278" t="s">
        <v>312</v>
      </c>
      <c r="B311" s="279">
        <v>164</v>
      </c>
      <c r="C311" s="278" t="s">
        <v>238</v>
      </c>
      <c r="D311" s="279" t="s">
        <v>607</v>
      </c>
      <c r="E311" s="278"/>
      <c r="F311" s="278" t="s">
        <v>608</v>
      </c>
      <c r="G311" s="280">
        <v>0</v>
      </c>
      <c r="H311" s="280">
        <v>150000000</v>
      </c>
      <c r="I311" s="281">
        <v>-150000000</v>
      </c>
      <c r="J311" s="282"/>
      <c r="K311" s="7"/>
      <c r="L311" s="1072"/>
    </row>
    <row r="312" spans="1:13" ht="15.75" customHeight="1" x14ac:dyDescent="0.3">
      <c r="A312" s="283" t="s">
        <v>312</v>
      </c>
      <c r="B312" s="284">
        <v>164</v>
      </c>
      <c r="C312" s="283" t="s">
        <v>238</v>
      </c>
      <c r="D312" s="284" t="s">
        <v>607</v>
      </c>
      <c r="E312" s="283" t="s">
        <v>604</v>
      </c>
      <c r="F312" s="283" t="s">
        <v>609</v>
      </c>
      <c r="G312" s="285">
        <v>150000000</v>
      </c>
      <c r="H312" s="285">
        <v>0</v>
      </c>
      <c r="I312" s="286">
        <v>150000000</v>
      </c>
      <c r="J312" s="287"/>
      <c r="K312" s="7"/>
    </row>
    <row r="313" spans="1:13" ht="15.75" customHeight="1" x14ac:dyDescent="0.3">
      <c r="A313" s="278" t="s">
        <v>312</v>
      </c>
      <c r="B313" s="279">
        <v>164</v>
      </c>
      <c r="C313" s="278" t="s">
        <v>238</v>
      </c>
      <c r="D313" s="279" t="s">
        <v>607</v>
      </c>
      <c r="E313" s="278" t="s">
        <v>604</v>
      </c>
      <c r="F313" s="278" t="s">
        <v>610</v>
      </c>
      <c r="G313" s="280">
        <v>150000000</v>
      </c>
      <c r="H313" s="280">
        <v>0</v>
      </c>
      <c r="I313" s="281">
        <v>150000000</v>
      </c>
      <c r="J313" s="282"/>
      <c r="K313" s="7"/>
    </row>
    <row r="314" spans="1:13" ht="15.75" customHeight="1" x14ac:dyDescent="0.3">
      <c r="A314" s="288" t="s">
        <v>312</v>
      </c>
      <c r="B314" s="288">
        <v>164</v>
      </c>
      <c r="C314" s="289" t="s">
        <v>238</v>
      </c>
      <c r="D314" s="288" t="s">
        <v>320</v>
      </c>
      <c r="E314" s="290"/>
      <c r="F314" s="289" t="s">
        <v>321</v>
      </c>
      <c r="G314" s="291">
        <v>300000000</v>
      </c>
      <c r="H314" s="291">
        <v>150000000</v>
      </c>
      <c r="I314" s="292">
        <v>150000000</v>
      </c>
      <c r="J314" s="292">
        <v>22767228.239999998</v>
      </c>
      <c r="K314" s="294">
        <v>127232771.76000001</v>
      </c>
    </row>
    <row r="315" spans="1:13" ht="15.75" hidden="1" customHeight="1" x14ac:dyDescent="0.3">
      <c r="A315" s="278" t="s">
        <v>312</v>
      </c>
      <c r="B315" s="279">
        <v>174</v>
      </c>
      <c r="C315" s="278" t="s">
        <v>248</v>
      </c>
      <c r="D315" s="279" t="s">
        <v>534</v>
      </c>
      <c r="E315" s="278" t="s">
        <v>611</v>
      </c>
      <c r="F315" s="278" t="s">
        <v>612</v>
      </c>
      <c r="G315" s="280">
        <v>67750</v>
      </c>
      <c r="H315" s="280">
        <v>0</v>
      </c>
      <c r="I315" s="281">
        <v>67750</v>
      </c>
      <c r="J315" s="282"/>
      <c r="K315" s="7"/>
    </row>
    <row r="316" spans="1:13" ht="15.75" hidden="1" customHeight="1" x14ac:dyDescent="0.3">
      <c r="A316" s="288" t="s">
        <v>312</v>
      </c>
      <c r="B316" s="288">
        <v>174</v>
      </c>
      <c r="C316" s="289" t="s">
        <v>248</v>
      </c>
      <c r="D316" s="288" t="s">
        <v>320</v>
      </c>
      <c r="E316" s="290"/>
      <c r="F316" s="289" t="s">
        <v>321</v>
      </c>
      <c r="G316" s="291">
        <v>67750</v>
      </c>
      <c r="H316" s="291">
        <v>0</v>
      </c>
      <c r="I316" s="292">
        <v>67750</v>
      </c>
      <c r="J316" s="292">
        <v>67750</v>
      </c>
      <c r="K316" s="293">
        <v>0</v>
      </c>
    </row>
    <row r="317" spans="1:13" ht="15.75" hidden="1" customHeight="1" x14ac:dyDescent="0.3">
      <c r="A317" s="278" t="s">
        <v>312</v>
      </c>
      <c r="B317" s="279">
        <v>176</v>
      </c>
      <c r="C317" s="278" t="s">
        <v>250</v>
      </c>
      <c r="D317" s="279" t="s">
        <v>613</v>
      </c>
      <c r="E317" s="278" t="s">
        <v>614</v>
      </c>
      <c r="F317" s="278" t="s">
        <v>615</v>
      </c>
      <c r="G317" s="280">
        <v>26025.119999999999</v>
      </c>
      <c r="H317" s="280">
        <v>0</v>
      </c>
      <c r="I317" s="281">
        <v>26025.119999999999</v>
      </c>
      <c r="J317" s="282"/>
      <c r="K317" s="7"/>
    </row>
    <row r="318" spans="1:13" ht="15.75" hidden="1" customHeight="1" x14ac:dyDescent="0.3">
      <c r="A318" s="283" t="s">
        <v>312</v>
      </c>
      <c r="B318" s="284">
        <v>176</v>
      </c>
      <c r="C318" s="283" t="s">
        <v>250</v>
      </c>
      <c r="D318" s="284" t="s">
        <v>613</v>
      </c>
      <c r="E318" s="283" t="s">
        <v>616</v>
      </c>
      <c r="F318" s="283"/>
      <c r="G318" s="285">
        <v>128583.07</v>
      </c>
      <c r="H318" s="285">
        <v>0</v>
      </c>
      <c r="I318" s="286">
        <v>128583.07</v>
      </c>
      <c r="J318" s="287"/>
      <c r="K318" s="7"/>
    </row>
    <row r="319" spans="1:13" ht="15.75" hidden="1" customHeight="1" x14ac:dyDescent="0.3">
      <c r="A319" s="278" t="s">
        <v>312</v>
      </c>
      <c r="B319" s="279">
        <v>176</v>
      </c>
      <c r="C319" s="278" t="s">
        <v>250</v>
      </c>
      <c r="D319" s="279" t="s">
        <v>613</v>
      </c>
      <c r="E319" s="278" t="s">
        <v>428</v>
      </c>
      <c r="F319" s="278" t="s">
        <v>617</v>
      </c>
      <c r="G319" s="280">
        <v>0</v>
      </c>
      <c r="H319" s="280">
        <v>14520</v>
      </c>
      <c r="I319" s="281">
        <v>-14520</v>
      </c>
      <c r="J319" s="282"/>
      <c r="K319" s="7"/>
    </row>
    <row r="320" spans="1:13" ht="15.75" hidden="1" customHeight="1" x14ac:dyDescent="0.3">
      <c r="A320" s="288" t="s">
        <v>312</v>
      </c>
      <c r="B320" s="288">
        <v>176</v>
      </c>
      <c r="C320" s="289" t="s">
        <v>250</v>
      </c>
      <c r="D320" s="288" t="s">
        <v>320</v>
      </c>
      <c r="E320" s="290"/>
      <c r="F320" s="289" t="s">
        <v>321</v>
      </c>
      <c r="G320" s="291">
        <v>154608.19</v>
      </c>
      <c r="H320" s="291">
        <v>14520</v>
      </c>
      <c r="I320" s="292">
        <v>140088.19</v>
      </c>
      <c r="J320" s="292">
        <v>140088</v>
      </c>
      <c r="K320" s="293">
        <v>0.19000000000232831</v>
      </c>
    </row>
    <row r="321" spans="1:11" ht="15.75" hidden="1" customHeight="1" x14ac:dyDescent="0.3">
      <c r="A321" s="278" t="s">
        <v>312</v>
      </c>
      <c r="B321" s="279">
        <v>178</v>
      </c>
      <c r="C321" s="278" t="s">
        <v>251</v>
      </c>
      <c r="D321" s="279" t="s">
        <v>618</v>
      </c>
      <c r="E321" s="278"/>
      <c r="F321" s="278" t="s">
        <v>619</v>
      </c>
      <c r="G321" s="280">
        <v>0</v>
      </c>
      <c r="H321" s="280">
        <v>50344699.219999999</v>
      </c>
      <c r="I321" s="281">
        <v>-50344699.219999999</v>
      </c>
      <c r="J321" s="282"/>
      <c r="K321" s="7"/>
    </row>
    <row r="322" spans="1:11" ht="15.75" hidden="1" customHeight="1" x14ac:dyDescent="0.3">
      <c r="A322" s="283" t="s">
        <v>312</v>
      </c>
      <c r="B322" s="284">
        <v>178</v>
      </c>
      <c r="C322" s="283" t="s">
        <v>251</v>
      </c>
      <c r="D322" s="284" t="s">
        <v>620</v>
      </c>
      <c r="E322" s="283"/>
      <c r="F322" s="283" t="s">
        <v>621</v>
      </c>
      <c r="G322" s="285">
        <v>4456889.8499999996</v>
      </c>
      <c r="H322" s="285">
        <v>0</v>
      </c>
      <c r="I322" s="286">
        <v>4456889.8499999996</v>
      </c>
      <c r="J322" s="287"/>
      <c r="K322" s="7"/>
    </row>
    <row r="323" spans="1:11" ht="15.75" hidden="1" customHeight="1" x14ac:dyDescent="0.3">
      <c r="A323" s="278" t="s">
        <v>312</v>
      </c>
      <c r="B323" s="279">
        <v>178</v>
      </c>
      <c r="C323" s="278" t="s">
        <v>251</v>
      </c>
      <c r="D323" s="279" t="s">
        <v>622</v>
      </c>
      <c r="E323" s="278"/>
      <c r="F323" s="278" t="s">
        <v>623</v>
      </c>
      <c r="G323" s="280">
        <v>0</v>
      </c>
      <c r="H323" s="280">
        <v>192200000</v>
      </c>
      <c r="I323" s="281">
        <v>-192200000</v>
      </c>
      <c r="J323" s="282"/>
      <c r="K323" s="7"/>
    </row>
    <row r="324" spans="1:11" ht="15.75" hidden="1" customHeight="1" x14ac:dyDescent="0.3">
      <c r="A324" s="288" t="s">
        <v>312</v>
      </c>
      <c r="B324" s="288">
        <v>178</v>
      </c>
      <c r="C324" s="289" t="s">
        <v>251</v>
      </c>
      <c r="D324" s="288" t="s">
        <v>320</v>
      </c>
      <c r="E324" s="290"/>
      <c r="F324" s="289" t="s">
        <v>321</v>
      </c>
      <c r="G324" s="291">
        <v>4456889.8499999996</v>
      </c>
      <c r="H324" s="291">
        <v>242544699.22</v>
      </c>
      <c r="I324" s="292">
        <v>-238087809.37</v>
      </c>
      <c r="J324" s="292">
        <v>-238087809.37</v>
      </c>
      <c r="K324" s="293">
        <v>0</v>
      </c>
    </row>
    <row r="325" spans="1:11" ht="15.75" hidden="1" customHeight="1" x14ac:dyDescent="0.3">
      <c r="A325" s="278" t="s">
        <v>312</v>
      </c>
      <c r="B325" s="279">
        <v>182</v>
      </c>
      <c r="C325" s="278" t="s">
        <v>255</v>
      </c>
      <c r="D325" s="279" t="s">
        <v>624</v>
      </c>
      <c r="E325" s="278"/>
      <c r="F325" s="278" t="s">
        <v>625</v>
      </c>
      <c r="G325" s="280">
        <v>12622308</v>
      </c>
      <c r="H325" s="280">
        <v>0</v>
      </c>
      <c r="I325" s="281">
        <v>12622308</v>
      </c>
      <c r="J325" s="282"/>
      <c r="K325" s="7"/>
    </row>
    <row r="326" spans="1:11" ht="15.75" hidden="1" customHeight="1" x14ac:dyDescent="0.3">
      <c r="A326" s="288" t="s">
        <v>312</v>
      </c>
      <c r="B326" s="288">
        <v>182</v>
      </c>
      <c r="C326" s="289" t="s">
        <v>255</v>
      </c>
      <c r="D326" s="288" t="s">
        <v>320</v>
      </c>
      <c r="E326" s="290"/>
      <c r="F326" s="289" t="s">
        <v>321</v>
      </c>
      <c r="G326" s="291">
        <v>12622308</v>
      </c>
      <c r="H326" s="291">
        <v>0</v>
      </c>
      <c r="I326" s="292">
        <v>12622308</v>
      </c>
      <c r="J326" s="292">
        <v>15308425.68</v>
      </c>
      <c r="K326" s="294">
        <v>-2686117.68</v>
      </c>
    </row>
    <row r="327" spans="1:11" ht="15.75" hidden="1" customHeight="1" x14ac:dyDescent="0.3">
      <c r="A327" s="278" t="s">
        <v>312</v>
      </c>
      <c r="B327" s="279">
        <v>184</v>
      </c>
      <c r="C327" s="278" t="s">
        <v>256</v>
      </c>
      <c r="D327" s="279" t="s">
        <v>626</v>
      </c>
      <c r="E327" s="278"/>
      <c r="F327" s="278" t="s">
        <v>627</v>
      </c>
      <c r="G327" s="280">
        <v>488319429.44999999</v>
      </c>
      <c r="H327" s="280">
        <v>0</v>
      </c>
      <c r="I327" s="281">
        <v>488319429.44999999</v>
      </c>
      <c r="J327" s="282"/>
      <c r="K327" s="7"/>
    </row>
    <row r="328" spans="1:11" ht="15.75" hidden="1" customHeight="1" x14ac:dyDescent="0.3">
      <c r="A328" s="288" t="s">
        <v>312</v>
      </c>
      <c r="B328" s="288">
        <v>184</v>
      </c>
      <c r="C328" s="289" t="s">
        <v>256</v>
      </c>
      <c r="D328" s="288" t="s">
        <v>320</v>
      </c>
      <c r="E328" s="290"/>
      <c r="F328" s="289" t="s">
        <v>321</v>
      </c>
      <c r="G328" s="291">
        <v>488319429.44999999</v>
      </c>
      <c r="H328" s="291">
        <v>0</v>
      </c>
      <c r="I328" s="292">
        <v>488319429.44999999</v>
      </c>
      <c r="J328" s="292">
        <v>488319429.44999999</v>
      </c>
      <c r="K328" s="293">
        <v>0</v>
      </c>
    </row>
    <row r="329" spans="1:11" ht="15.75" hidden="1" customHeight="1" x14ac:dyDescent="0.3">
      <c r="A329" s="278" t="s">
        <v>628</v>
      </c>
      <c r="B329" s="279">
        <v>8</v>
      </c>
      <c r="C329" s="278" t="s">
        <v>10</v>
      </c>
      <c r="D329" s="279" t="s">
        <v>313</v>
      </c>
      <c r="E329" s="278" t="s">
        <v>314</v>
      </c>
      <c r="F329" s="278" t="s">
        <v>629</v>
      </c>
      <c r="G329" s="280">
        <v>0</v>
      </c>
      <c r="H329" s="280">
        <v>256654273.28999999</v>
      </c>
      <c r="I329" s="281">
        <v>-256654273.28999999</v>
      </c>
      <c r="J329" s="282"/>
      <c r="K329" s="7"/>
    </row>
    <row r="330" spans="1:11" ht="15.75" hidden="1" customHeight="1" x14ac:dyDescent="0.3">
      <c r="A330" s="283" t="s">
        <v>628</v>
      </c>
      <c r="B330" s="284">
        <v>8</v>
      </c>
      <c r="C330" s="283" t="s">
        <v>10</v>
      </c>
      <c r="D330" s="284" t="s">
        <v>313</v>
      </c>
      <c r="E330" s="283"/>
      <c r="F330" s="283" t="s">
        <v>316</v>
      </c>
      <c r="G330" s="285">
        <v>256654273.28999999</v>
      </c>
      <c r="H330" s="285">
        <v>0</v>
      </c>
      <c r="I330" s="286">
        <v>256654273.28999999</v>
      </c>
      <c r="J330" s="287"/>
      <c r="K330" s="7"/>
    </row>
    <row r="331" spans="1:11" ht="15.75" hidden="1" customHeight="1" x14ac:dyDescent="0.3">
      <c r="A331" s="278" t="s">
        <v>628</v>
      </c>
      <c r="B331" s="279">
        <v>8</v>
      </c>
      <c r="C331" s="278" t="s">
        <v>10</v>
      </c>
      <c r="D331" s="279" t="s">
        <v>313</v>
      </c>
      <c r="E331" s="278"/>
      <c r="F331" s="278" t="s">
        <v>630</v>
      </c>
      <c r="G331" s="280">
        <v>254210302.5</v>
      </c>
      <c r="H331" s="280">
        <v>0</v>
      </c>
      <c r="I331" s="281">
        <v>254210302.5</v>
      </c>
      <c r="J331" s="282"/>
      <c r="K331" s="7"/>
    </row>
    <row r="332" spans="1:11" ht="15.75" hidden="1" customHeight="1" x14ac:dyDescent="0.3">
      <c r="A332" s="283" t="s">
        <v>628</v>
      </c>
      <c r="B332" s="284">
        <v>8</v>
      </c>
      <c r="C332" s="283" t="s">
        <v>10</v>
      </c>
      <c r="D332" s="284" t="s">
        <v>313</v>
      </c>
      <c r="E332" s="283"/>
      <c r="F332" s="283" t="s">
        <v>319</v>
      </c>
      <c r="G332" s="285">
        <v>0</v>
      </c>
      <c r="H332" s="285">
        <v>250407868.94</v>
      </c>
      <c r="I332" s="286">
        <v>-250407868.94</v>
      </c>
      <c r="J332" s="287"/>
      <c r="K332" s="7"/>
    </row>
    <row r="333" spans="1:11" ht="15.75" hidden="1" customHeight="1" x14ac:dyDescent="0.3">
      <c r="A333" s="278" t="s">
        <v>628</v>
      </c>
      <c r="B333" s="279">
        <v>8</v>
      </c>
      <c r="C333" s="278" t="s">
        <v>10</v>
      </c>
      <c r="D333" s="279" t="s">
        <v>313</v>
      </c>
      <c r="E333" s="278"/>
      <c r="F333" s="278" t="s">
        <v>631</v>
      </c>
      <c r="G333" s="280">
        <v>0</v>
      </c>
      <c r="H333" s="280">
        <v>224132650</v>
      </c>
      <c r="I333" s="281">
        <v>-224132650</v>
      </c>
      <c r="J333" s="282"/>
      <c r="K333" s="7"/>
    </row>
    <row r="334" spans="1:11" ht="15.75" hidden="1" customHeight="1" x14ac:dyDescent="0.3">
      <c r="A334" s="288" t="s">
        <v>628</v>
      </c>
      <c r="B334" s="288">
        <v>8</v>
      </c>
      <c r="C334" s="289" t="s">
        <v>10</v>
      </c>
      <c r="D334" s="288" t="s">
        <v>320</v>
      </c>
      <c r="E334" s="290"/>
      <c r="F334" s="289" t="s">
        <v>321</v>
      </c>
      <c r="G334" s="291">
        <v>510864575.79000002</v>
      </c>
      <c r="H334" s="291">
        <v>731194792.23000002</v>
      </c>
      <c r="I334" s="292">
        <v>-220330216.44</v>
      </c>
      <c r="J334" s="292">
        <v>220330216.44</v>
      </c>
      <c r="K334" s="293">
        <v>0</v>
      </c>
    </row>
    <row r="335" spans="1:11" ht="15.75" hidden="1" customHeight="1" x14ac:dyDescent="0.3">
      <c r="A335" s="278" t="s">
        <v>628</v>
      </c>
      <c r="B335" s="279">
        <v>9</v>
      </c>
      <c r="C335" s="278" t="s">
        <v>11</v>
      </c>
      <c r="D335" s="279" t="s">
        <v>313</v>
      </c>
      <c r="E335" s="278" t="s">
        <v>314</v>
      </c>
      <c r="F335" s="278" t="s">
        <v>632</v>
      </c>
      <c r="G335" s="280">
        <v>0</v>
      </c>
      <c r="H335" s="280">
        <v>34381801.109999999</v>
      </c>
      <c r="I335" s="281">
        <v>-34381801.109999999</v>
      </c>
      <c r="J335" s="282"/>
      <c r="K335" s="7"/>
    </row>
    <row r="336" spans="1:11" ht="15.75" hidden="1" customHeight="1" x14ac:dyDescent="0.3">
      <c r="A336" s="283" t="s">
        <v>628</v>
      </c>
      <c r="B336" s="284">
        <v>9</v>
      </c>
      <c r="C336" s="283" t="s">
        <v>11</v>
      </c>
      <c r="D336" s="284" t="s">
        <v>313</v>
      </c>
      <c r="E336" s="283"/>
      <c r="F336" s="283" t="s">
        <v>324</v>
      </c>
      <c r="G336" s="285">
        <v>34381801.109999999</v>
      </c>
      <c r="H336" s="285">
        <v>0</v>
      </c>
      <c r="I336" s="286">
        <v>34381801.109999999</v>
      </c>
      <c r="J336" s="287"/>
      <c r="K336" s="7"/>
    </row>
    <row r="337" spans="1:11" ht="15.75" hidden="1" customHeight="1" x14ac:dyDescent="0.3">
      <c r="A337" s="278" t="s">
        <v>628</v>
      </c>
      <c r="B337" s="279">
        <v>9</v>
      </c>
      <c r="C337" s="278" t="s">
        <v>11</v>
      </c>
      <c r="D337" s="279" t="s">
        <v>313</v>
      </c>
      <c r="E337" s="278"/>
      <c r="F337" s="278" t="s">
        <v>633</v>
      </c>
      <c r="G337" s="280">
        <v>30813370</v>
      </c>
      <c r="H337" s="280">
        <v>0</v>
      </c>
      <c r="I337" s="281">
        <v>30813370</v>
      </c>
      <c r="J337" s="282"/>
      <c r="K337" s="7"/>
    </row>
    <row r="338" spans="1:11" ht="15.75" hidden="1" customHeight="1" x14ac:dyDescent="0.3">
      <c r="A338" s="283" t="s">
        <v>628</v>
      </c>
      <c r="B338" s="284">
        <v>9</v>
      </c>
      <c r="C338" s="283" t="s">
        <v>11</v>
      </c>
      <c r="D338" s="284" t="s">
        <v>313</v>
      </c>
      <c r="E338" s="283"/>
      <c r="F338" s="283" t="s">
        <v>326</v>
      </c>
      <c r="G338" s="285">
        <v>0</v>
      </c>
      <c r="H338" s="285">
        <v>34113457.899999999</v>
      </c>
      <c r="I338" s="286">
        <v>-34113457.899999999</v>
      </c>
      <c r="J338" s="287"/>
      <c r="K338" s="7"/>
    </row>
    <row r="339" spans="1:11" ht="15.75" hidden="1" customHeight="1" x14ac:dyDescent="0.3">
      <c r="A339" s="278" t="s">
        <v>628</v>
      </c>
      <c r="B339" s="279">
        <v>9</v>
      </c>
      <c r="C339" s="278" t="s">
        <v>11</v>
      </c>
      <c r="D339" s="279" t="s">
        <v>313</v>
      </c>
      <c r="E339" s="278"/>
      <c r="F339" s="278" t="s">
        <v>634</v>
      </c>
      <c r="G339" s="280">
        <v>0</v>
      </c>
      <c r="H339" s="280">
        <v>30420403.920000002</v>
      </c>
      <c r="I339" s="281">
        <v>-30420403.920000002</v>
      </c>
      <c r="J339" s="282"/>
      <c r="K339" s="7"/>
    </row>
    <row r="340" spans="1:11" ht="15.75" hidden="1" customHeight="1" x14ac:dyDescent="0.3">
      <c r="A340" s="288" t="s">
        <v>628</v>
      </c>
      <c r="B340" s="288">
        <v>9</v>
      </c>
      <c r="C340" s="289" t="s">
        <v>11</v>
      </c>
      <c r="D340" s="288" t="s">
        <v>320</v>
      </c>
      <c r="E340" s="290"/>
      <c r="F340" s="289" t="s">
        <v>321</v>
      </c>
      <c r="G340" s="291">
        <v>65195171.109999999</v>
      </c>
      <c r="H340" s="291">
        <v>98915662.930000007</v>
      </c>
      <c r="I340" s="292">
        <v>-33720491.82</v>
      </c>
      <c r="J340" s="292">
        <v>33720491.821249999</v>
      </c>
      <c r="K340" s="293">
        <v>-1.2499988079071041E-3</v>
      </c>
    </row>
    <row r="341" spans="1:11" ht="15.75" hidden="1" customHeight="1" x14ac:dyDescent="0.3">
      <c r="A341" s="278" t="s">
        <v>628</v>
      </c>
      <c r="B341" s="279">
        <v>10</v>
      </c>
      <c r="C341" s="278" t="s">
        <v>12</v>
      </c>
      <c r="D341" s="279" t="s">
        <v>313</v>
      </c>
      <c r="E341" s="278" t="s">
        <v>314</v>
      </c>
      <c r="F341" s="278" t="s">
        <v>635</v>
      </c>
      <c r="G341" s="280">
        <v>0</v>
      </c>
      <c r="H341" s="280">
        <v>143554892.03</v>
      </c>
      <c r="I341" s="281">
        <v>-143554892.03</v>
      </c>
      <c r="J341" s="282"/>
      <c r="K341" s="7"/>
    </row>
    <row r="342" spans="1:11" ht="15.75" hidden="1" customHeight="1" x14ac:dyDescent="0.3">
      <c r="A342" s="283" t="s">
        <v>628</v>
      </c>
      <c r="B342" s="284">
        <v>10</v>
      </c>
      <c r="C342" s="283" t="s">
        <v>12</v>
      </c>
      <c r="D342" s="284" t="s">
        <v>313</v>
      </c>
      <c r="E342" s="283"/>
      <c r="F342" s="283" t="s">
        <v>329</v>
      </c>
      <c r="G342" s="285">
        <v>143554892.03</v>
      </c>
      <c r="H342" s="285">
        <v>0</v>
      </c>
      <c r="I342" s="286">
        <v>143554892.03</v>
      </c>
      <c r="J342" s="287"/>
      <c r="K342" s="7"/>
    </row>
    <row r="343" spans="1:11" ht="15.75" hidden="1" customHeight="1" x14ac:dyDescent="0.3">
      <c r="A343" s="278" t="s">
        <v>628</v>
      </c>
      <c r="B343" s="279">
        <v>10</v>
      </c>
      <c r="C343" s="278" t="s">
        <v>12</v>
      </c>
      <c r="D343" s="279" t="s">
        <v>313</v>
      </c>
      <c r="E343" s="278"/>
      <c r="F343" s="278" t="s">
        <v>636</v>
      </c>
      <c r="G343" s="280">
        <v>126347606</v>
      </c>
      <c r="H343" s="280">
        <v>0</v>
      </c>
      <c r="I343" s="281">
        <v>126347606</v>
      </c>
      <c r="J343" s="282"/>
      <c r="K343" s="7"/>
    </row>
    <row r="344" spans="1:11" ht="15.75" hidden="1" customHeight="1" x14ac:dyDescent="0.3">
      <c r="A344" s="283" t="s">
        <v>628</v>
      </c>
      <c r="B344" s="284">
        <v>10</v>
      </c>
      <c r="C344" s="283" t="s">
        <v>12</v>
      </c>
      <c r="D344" s="284" t="s">
        <v>313</v>
      </c>
      <c r="E344" s="283"/>
      <c r="F344" s="283" t="s">
        <v>331</v>
      </c>
      <c r="G344" s="285">
        <v>0</v>
      </c>
      <c r="H344" s="285">
        <v>139695053.16</v>
      </c>
      <c r="I344" s="286">
        <v>-139695053.16</v>
      </c>
      <c r="J344" s="287"/>
      <c r="K344" s="7"/>
    </row>
    <row r="345" spans="1:11" ht="15.75" hidden="1" customHeight="1" x14ac:dyDescent="0.3">
      <c r="A345" s="278" t="s">
        <v>628</v>
      </c>
      <c r="B345" s="279">
        <v>10</v>
      </c>
      <c r="C345" s="278" t="s">
        <v>12</v>
      </c>
      <c r="D345" s="279" t="s">
        <v>313</v>
      </c>
      <c r="E345" s="278"/>
      <c r="F345" s="278" t="s">
        <v>637</v>
      </c>
      <c r="G345" s="280">
        <v>0</v>
      </c>
      <c r="H345" s="280">
        <v>128701357.5</v>
      </c>
      <c r="I345" s="281">
        <v>-128701357.5</v>
      </c>
      <c r="J345" s="282"/>
      <c r="K345" s="7"/>
    </row>
    <row r="346" spans="1:11" ht="15.75" hidden="1" customHeight="1" x14ac:dyDescent="0.3">
      <c r="A346" s="288" t="s">
        <v>628</v>
      </c>
      <c r="B346" s="288">
        <v>10</v>
      </c>
      <c r="C346" s="289" t="s">
        <v>12</v>
      </c>
      <c r="D346" s="288" t="s">
        <v>320</v>
      </c>
      <c r="E346" s="290"/>
      <c r="F346" s="289" t="s">
        <v>321</v>
      </c>
      <c r="G346" s="291">
        <v>269902498.02999997</v>
      </c>
      <c r="H346" s="291">
        <v>411951302.69</v>
      </c>
      <c r="I346" s="292">
        <v>-142048804.66</v>
      </c>
      <c r="J346" s="292">
        <v>142048804.66</v>
      </c>
      <c r="K346" s="293">
        <v>0</v>
      </c>
    </row>
    <row r="347" spans="1:11" ht="15.75" hidden="1" customHeight="1" x14ac:dyDescent="0.3">
      <c r="A347" s="278" t="s">
        <v>628</v>
      </c>
      <c r="B347" s="279">
        <v>11</v>
      </c>
      <c r="C347" s="278" t="s">
        <v>13</v>
      </c>
      <c r="D347" s="279" t="s">
        <v>313</v>
      </c>
      <c r="E347" s="278" t="s">
        <v>314</v>
      </c>
      <c r="F347" s="278" t="s">
        <v>638</v>
      </c>
      <c r="G347" s="280">
        <v>0</v>
      </c>
      <c r="H347" s="280">
        <v>14422465.68</v>
      </c>
      <c r="I347" s="281">
        <v>-14422465.68</v>
      </c>
      <c r="J347" s="282"/>
      <c r="K347" s="7"/>
    </row>
    <row r="348" spans="1:11" ht="15.75" hidden="1" customHeight="1" x14ac:dyDescent="0.3">
      <c r="A348" s="283" t="s">
        <v>628</v>
      </c>
      <c r="B348" s="284">
        <v>11</v>
      </c>
      <c r="C348" s="283" t="s">
        <v>13</v>
      </c>
      <c r="D348" s="284" t="s">
        <v>313</v>
      </c>
      <c r="E348" s="283"/>
      <c r="F348" s="283" t="s">
        <v>333</v>
      </c>
      <c r="G348" s="285">
        <v>14422465.68</v>
      </c>
      <c r="H348" s="285">
        <v>0</v>
      </c>
      <c r="I348" s="286">
        <v>14422465.68</v>
      </c>
      <c r="J348" s="287"/>
      <c r="K348" s="7"/>
    </row>
    <row r="349" spans="1:11" ht="15.75" hidden="1" customHeight="1" x14ac:dyDescent="0.3">
      <c r="A349" s="278" t="s">
        <v>628</v>
      </c>
      <c r="B349" s="279">
        <v>11</v>
      </c>
      <c r="C349" s="278" t="s">
        <v>13</v>
      </c>
      <c r="D349" s="279" t="s">
        <v>313</v>
      </c>
      <c r="E349" s="278"/>
      <c r="F349" s="278" t="s">
        <v>639</v>
      </c>
      <c r="G349" s="280">
        <v>10049941.720000001</v>
      </c>
      <c r="H349" s="280">
        <v>0</v>
      </c>
      <c r="I349" s="281">
        <v>10049941.720000001</v>
      </c>
      <c r="J349" s="282"/>
      <c r="K349" s="7"/>
    </row>
    <row r="350" spans="1:11" ht="15.75" hidden="1" customHeight="1" x14ac:dyDescent="0.3">
      <c r="A350" s="283" t="s">
        <v>628</v>
      </c>
      <c r="B350" s="284">
        <v>11</v>
      </c>
      <c r="C350" s="283" t="s">
        <v>13</v>
      </c>
      <c r="D350" s="284" t="s">
        <v>313</v>
      </c>
      <c r="E350" s="283"/>
      <c r="F350" s="283" t="s">
        <v>336</v>
      </c>
      <c r="G350" s="285">
        <v>0</v>
      </c>
      <c r="H350" s="285">
        <v>14236650</v>
      </c>
      <c r="I350" s="286">
        <v>-14236650</v>
      </c>
      <c r="J350" s="287"/>
      <c r="K350" s="7"/>
    </row>
    <row r="351" spans="1:11" ht="15.75" hidden="1" customHeight="1" x14ac:dyDescent="0.3">
      <c r="A351" s="278" t="s">
        <v>628</v>
      </c>
      <c r="B351" s="279">
        <v>11</v>
      </c>
      <c r="C351" s="278" t="s">
        <v>13</v>
      </c>
      <c r="D351" s="279" t="s">
        <v>313</v>
      </c>
      <c r="E351" s="278"/>
      <c r="F351" s="278" t="s">
        <v>640</v>
      </c>
      <c r="G351" s="280">
        <v>0</v>
      </c>
      <c r="H351" s="280">
        <v>10214099.369999999</v>
      </c>
      <c r="I351" s="281">
        <v>-10214099.369999999</v>
      </c>
      <c r="J351" s="282"/>
      <c r="K351" s="7"/>
    </row>
    <row r="352" spans="1:11" ht="15.75" hidden="1" customHeight="1" x14ac:dyDescent="0.3">
      <c r="A352" s="288" t="s">
        <v>628</v>
      </c>
      <c r="B352" s="288">
        <v>11</v>
      </c>
      <c r="C352" s="289" t="s">
        <v>13</v>
      </c>
      <c r="D352" s="288" t="s">
        <v>320</v>
      </c>
      <c r="E352" s="290"/>
      <c r="F352" s="289" t="s">
        <v>321</v>
      </c>
      <c r="G352" s="291">
        <v>24472407.399999999</v>
      </c>
      <c r="H352" s="291">
        <v>38873215.049999997</v>
      </c>
      <c r="I352" s="292">
        <v>-14400807.65</v>
      </c>
      <c r="J352" s="292">
        <v>14400807.648700001</v>
      </c>
      <c r="K352" s="293">
        <v>1.2999977916479111E-3</v>
      </c>
    </row>
    <row r="353" spans="1:11" ht="15.75" hidden="1" customHeight="1" x14ac:dyDescent="0.3">
      <c r="A353" s="278" t="s">
        <v>628</v>
      </c>
      <c r="B353" s="279">
        <v>12</v>
      </c>
      <c r="C353" s="278" t="s">
        <v>14</v>
      </c>
      <c r="D353" s="279" t="s">
        <v>313</v>
      </c>
      <c r="E353" s="278" t="s">
        <v>314</v>
      </c>
      <c r="F353" s="278" t="s">
        <v>641</v>
      </c>
      <c r="G353" s="280">
        <v>0</v>
      </c>
      <c r="H353" s="280">
        <v>2750304.86</v>
      </c>
      <c r="I353" s="281">
        <v>-2750304.86</v>
      </c>
      <c r="J353" s="282"/>
      <c r="K353" s="7"/>
    </row>
    <row r="354" spans="1:11" ht="15.75" hidden="1" customHeight="1" x14ac:dyDescent="0.3">
      <c r="A354" s="283" t="s">
        <v>628</v>
      </c>
      <c r="B354" s="284">
        <v>12</v>
      </c>
      <c r="C354" s="283" t="s">
        <v>14</v>
      </c>
      <c r="D354" s="284" t="s">
        <v>313</v>
      </c>
      <c r="E354" s="283"/>
      <c r="F354" s="283" t="s">
        <v>339</v>
      </c>
      <c r="G354" s="285">
        <v>2750304.86</v>
      </c>
      <c r="H354" s="285">
        <v>0</v>
      </c>
      <c r="I354" s="286">
        <v>2750304.86</v>
      </c>
      <c r="J354" s="287"/>
      <c r="K354" s="7"/>
    </row>
    <row r="355" spans="1:11" ht="15.75" hidden="1" customHeight="1" x14ac:dyDescent="0.3">
      <c r="A355" s="278" t="s">
        <v>628</v>
      </c>
      <c r="B355" s="279">
        <v>12</v>
      </c>
      <c r="C355" s="278" t="s">
        <v>14</v>
      </c>
      <c r="D355" s="279" t="s">
        <v>313</v>
      </c>
      <c r="E355" s="278"/>
      <c r="F355" s="278" t="s">
        <v>642</v>
      </c>
      <c r="G355" s="280">
        <v>2632678.27</v>
      </c>
      <c r="H355" s="280">
        <v>0</v>
      </c>
      <c r="I355" s="281">
        <v>2632678.27</v>
      </c>
      <c r="J355" s="282"/>
      <c r="K355" s="7"/>
    </row>
    <row r="356" spans="1:11" ht="15.75" hidden="1" customHeight="1" x14ac:dyDescent="0.3">
      <c r="A356" s="283" t="s">
        <v>628</v>
      </c>
      <c r="B356" s="284">
        <v>12</v>
      </c>
      <c r="C356" s="283" t="s">
        <v>14</v>
      </c>
      <c r="D356" s="284" t="s">
        <v>313</v>
      </c>
      <c r="E356" s="283"/>
      <c r="F356" s="283" t="s">
        <v>341</v>
      </c>
      <c r="G356" s="285">
        <v>0</v>
      </c>
      <c r="H356" s="285">
        <v>2730587.5</v>
      </c>
      <c r="I356" s="286">
        <v>-2730587.5</v>
      </c>
      <c r="J356" s="287"/>
      <c r="K356" s="7"/>
    </row>
    <row r="357" spans="1:11" ht="15.75" hidden="1" customHeight="1" x14ac:dyDescent="0.3">
      <c r="A357" s="278" t="s">
        <v>628</v>
      </c>
      <c r="B357" s="279">
        <v>12</v>
      </c>
      <c r="C357" s="278" t="s">
        <v>14</v>
      </c>
      <c r="D357" s="279" t="s">
        <v>313</v>
      </c>
      <c r="E357" s="278"/>
      <c r="F357" s="278" t="s">
        <v>643</v>
      </c>
      <c r="G357" s="280">
        <v>0</v>
      </c>
      <c r="H357" s="280">
        <v>2434375</v>
      </c>
      <c r="I357" s="281">
        <v>-2434375</v>
      </c>
      <c r="J357" s="282"/>
      <c r="K357" s="7"/>
    </row>
    <row r="358" spans="1:11" ht="15.75" hidden="1" customHeight="1" x14ac:dyDescent="0.3">
      <c r="A358" s="288" t="s">
        <v>628</v>
      </c>
      <c r="B358" s="288">
        <v>12</v>
      </c>
      <c r="C358" s="289" t="s">
        <v>14</v>
      </c>
      <c r="D358" s="288" t="s">
        <v>320</v>
      </c>
      <c r="E358" s="290"/>
      <c r="F358" s="289" t="s">
        <v>321</v>
      </c>
      <c r="G358" s="291">
        <v>5382983.1299999999</v>
      </c>
      <c r="H358" s="291">
        <v>7915267.3599999994</v>
      </c>
      <c r="I358" s="292">
        <v>-2532284.23</v>
      </c>
      <c r="J358" s="292">
        <v>2532284.2245</v>
      </c>
      <c r="K358" s="293">
        <v>5.4999999701976776E-3</v>
      </c>
    </row>
    <row r="359" spans="1:11" ht="15.75" hidden="1" customHeight="1" x14ac:dyDescent="0.3">
      <c r="A359" s="278" t="s">
        <v>628</v>
      </c>
      <c r="B359" s="279">
        <v>13</v>
      </c>
      <c r="C359" s="278" t="s">
        <v>15</v>
      </c>
      <c r="D359" s="279" t="s">
        <v>313</v>
      </c>
      <c r="E359" s="278" t="s">
        <v>314</v>
      </c>
      <c r="F359" s="278" t="s">
        <v>644</v>
      </c>
      <c r="G359" s="280">
        <v>0</v>
      </c>
      <c r="H359" s="280">
        <v>4722130.2300000004</v>
      </c>
      <c r="I359" s="281">
        <v>-4722130.2300000004</v>
      </c>
      <c r="J359" s="282"/>
      <c r="K359" s="7"/>
    </row>
    <row r="360" spans="1:11" ht="15.75" hidden="1" customHeight="1" x14ac:dyDescent="0.3">
      <c r="A360" s="283" t="s">
        <v>628</v>
      </c>
      <c r="B360" s="284">
        <v>13</v>
      </c>
      <c r="C360" s="283" t="s">
        <v>15</v>
      </c>
      <c r="D360" s="284" t="s">
        <v>313</v>
      </c>
      <c r="E360" s="283"/>
      <c r="F360" s="283" t="s">
        <v>344</v>
      </c>
      <c r="G360" s="285">
        <v>4722130.2300000004</v>
      </c>
      <c r="H360" s="285">
        <v>0</v>
      </c>
      <c r="I360" s="286">
        <v>4722130.2300000004</v>
      </c>
      <c r="J360" s="287"/>
      <c r="K360" s="7"/>
    </row>
    <row r="361" spans="1:11" ht="15.75" hidden="1" customHeight="1" x14ac:dyDescent="0.3">
      <c r="A361" s="278" t="s">
        <v>628</v>
      </c>
      <c r="B361" s="279">
        <v>13</v>
      </c>
      <c r="C361" s="278" t="s">
        <v>15</v>
      </c>
      <c r="D361" s="279" t="s">
        <v>313</v>
      </c>
      <c r="E361" s="278"/>
      <c r="F361" s="278" t="s">
        <v>645</v>
      </c>
      <c r="G361" s="280">
        <v>2932439.68</v>
      </c>
      <c r="H361" s="280">
        <v>0</v>
      </c>
      <c r="I361" s="281">
        <v>2932439.68</v>
      </c>
      <c r="J361" s="282"/>
      <c r="K361" s="7"/>
    </row>
    <row r="362" spans="1:11" ht="15.75" hidden="1" customHeight="1" x14ac:dyDescent="0.3">
      <c r="A362" s="283" t="s">
        <v>628</v>
      </c>
      <c r="B362" s="284">
        <v>13</v>
      </c>
      <c r="C362" s="283" t="s">
        <v>15</v>
      </c>
      <c r="D362" s="284" t="s">
        <v>313</v>
      </c>
      <c r="E362" s="283"/>
      <c r="F362" s="283" t="s">
        <v>346</v>
      </c>
      <c r="G362" s="285">
        <v>0</v>
      </c>
      <c r="H362" s="285">
        <v>4671696.2</v>
      </c>
      <c r="I362" s="286">
        <v>-4671696.2</v>
      </c>
      <c r="J362" s="287"/>
      <c r="K362" s="7"/>
    </row>
    <row r="363" spans="1:11" ht="15.75" hidden="1" customHeight="1" x14ac:dyDescent="0.3">
      <c r="A363" s="278" t="s">
        <v>628</v>
      </c>
      <c r="B363" s="279">
        <v>13</v>
      </c>
      <c r="C363" s="278" t="s">
        <v>15</v>
      </c>
      <c r="D363" s="279" t="s">
        <v>313</v>
      </c>
      <c r="E363" s="278"/>
      <c r="F363" s="278" t="s">
        <v>646</v>
      </c>
      <c r="G363" s="280">
        <v>0</v>
      </c>
      <c r="H363" s="280">
        <v>3177191.51</v>
      </c>
      <c r="I363" s="281">
        <v>-3177191.51</v>
      </c>
      <c r="J363" s="282"/>
      <c r="K363" s="7"/>
    </row>
    <row r="364" spans="1:11" ht="15.75" hidden="1" customHeight="1" x14ac:dyDescent="0.3">
      <c r="A364" s="288" t="s">
        <v>628</v>
      </c>
      <c r="B364" s="288">
        <v>13</v>
      </c>
      <c r="C364" s="289" t="s">
        <v>15</v>
      </c>
      <c r="D364" s="288" t="s">
        <v>320</v>
      </c>
      <c r="E364" s="290"/>
      <c r="F364" s="289" t="s">
        <v>321</v>
      </c>
      <c r="G364" s="291">
        <v>7654569.9100000001</v>
      </c>
      <c r="H364" s="291">
        <v>12571017.939999999</v>
      </c>
      <c r="I364" s="292">
        <v>-4916448.0299999993</v>
      </c>
      <c r="J364" s="292">
        <v>4916448.0289000003</v>
      </c>
      <c r="K364" s="293">
        <v>1.0999990627169609E-3</v>
      </c>
    </row>
    <row r="365" spans="1:11" ht="15.75" hidden="1" customHeight="1" x14ac:dyDescent="0.3">
      <c r="A365" s="278" t="s">
        <v>628</v>
      </c>
      <c r="B365" s="279">
        <v>14</v>
      </c>
      <c r="C365" s="278" t="s">
        <v>16</v>
      </c>
      <c r="D365" s="279" t="s">
        <v>313</v>
      </c>
      <c r="E365" s="278" t="s">
        <v>314</v>
      </c>
      <c r="F365" s="278" t="s">
        <v>647</v>
      </c>
      <c r="G365" s="280">
        <v>0</v>
      </c>
      <c r="H365" s="280">
        <v>1404991911.96</v>
      </c>
      <c r="I365" s="281">
        <v>-1404991911.96</v>
      </c>
      <c r="J365" s="282"/>
      <c r="K365" s="7"/>
    </row>
    <row r="366" spans="1:11" ht="15.75" hidden="1" customHeight="1" x14ac:dyDescent="0.3">
      <c r="A366" s="283" t="s">
        <v>628</v>
      </c>
      <c r="B366" s="284">
        <v>14</v>
      </c>
      <c r="C366" s="283" t="s">
        <v>16</v>
      </c>
      <c r="D366" s="284" t="s">
        <v>313</v>
      </c>
      <c r="E366" s="283"/>
      <c r="F366" s="283" t="s">
        <v>348</v>
      </c>
      <c r="G366" s="285">
        <v>1404991911.96</v>
      </c>
      <c r="H366" s="285">
        <v>0</v>
      </c>
      <c r="I366" s="286">
        <v>1404991911.96</v>
      </c>
      <c r="J366" s="287"/>
      <c r="K366" s="7"/>
    </row>
    <row r="367" spans="1:11" ht="15.75" hidden="1" customHeight="1" x14ac:dyDescent="0.3">
      <c r="A367" s="278" t="s">
        <v>628</v>
      </c>
      <c r="B367" s="279">
        <v>14</v>
      </c>
      <c r="C367" s="278" t="s">
        <v>16</v>
      </c>
      <c r="D367" s="279" t="s">
        <v>313</v>
      </c>
      <c r="E367" s="278"/>
      <c r="F367" s="278" t="s">
        <v>648</v>
      </c>
      <c r="G367" s="280">
        <v>1396060029</v>
      </c>
      <c r="H367" s="280">
        <v>0</v>
      </c>
      <c r="I367" s="281">
        <v>1396060029</v>
      </c>
      <c r="J367" s="282"/>
      <c r="K367" s="7"/>
    </row>
    <row r="368" spans="1:11" ht="15.75" hidden="1" customHeight="1" x14ac:dyDescent="0.3">
      <c r="A368" s="283" t="s">
        <v>628</v>
      </c>
      <c r="B368" s="284">
        <v>14</v>
      </c>
      <c r="C368" s="283" t="s">
        <v>16</v>
      </c>
      <c r="D368" s="284" t="s">
        <v>313</v>
      </c>
      <c r="E368" s="283"/>
      <c r="F368" s="283" t="s">
        <v>351</v>
      </c>
      <c r="G368" s="285">
        <v>0</v>
      </c>
      <c r="H368" s="285">
        <v>1411584515.1099999</v>
      </c>
      <c r="I368" s="286">
        <v>-1411584515.1099999</v>
      </c>
      <c r="J368" s="287"/>
      <c r="K368" s="7"/>
    </row>
    <row r="369" spans="1:11" ht="15.75" hidden="1" customHeight="1" x14ac:dyDescent="0.3">
      <c r="A369" s="278" t="s">
        <v>628</v>
      </c>
      <c r="B369" s="279">
        <v>14</v>
      </c>
      <c r="C369" s="278" t="s">
        <v>16</v>
      </c>
      <c r="D369" s="279" t="s">
        <v>313</v>
      </c>
      <c r="E369" s="278"/>
      <c r="F369" s="278" t="s">
        <v>649</v>
      </c>
      <c r="G369" s="280">
        <v>0</v>
      </c>
      <c r="H369" s="280">
        <v>1313825012.5</v>
      </c>
      <c r="I369" s="281">
        <v>-1313825012.5</v>
      </c>
      <c r="J369" s="282"/>
      <c r="K369" s="7"/>
    </row>
    <row r="370" spans="1:11" ht="15.75" hidden="1" customHeight="1" x14ac:dyDescent="0.3">
      <c r="A370" s="288" t="s">
        <v>628</v>
      </c>
      <c r="B370" s="288">
        <v>14</v>
      </c>
      <c r="C370" s="289" t="s">
        <v>16</v>
      </c>
      <c r="D370" s="288" t="s">
        <v>320</v>
      </c>
      <c r="E370" s="290"/>
      <c r="F370" s="289" t="s">
        <v>321</v>
      </c>
      <c r="G370" s="291">
        <v>2801051940.96</v>
      </c>
      <c r="H370" s="291">
        <v>4130401439.5700002</v>
      </c>
      <c r="I370" s="292">
        <v>-1329349498.6099999</v>
      </c>
      <c r="J370" s="292">
        <v>1329349498.6099999</v>
      </c>
      <c r="K370" s="293">
        <v>0</v>
      </c>
    </row>
    <row r="371" spans="1:11" ht="15.75" hidden="1" customHeight="1" x14ac:dyDescent="0.3">
      <c r="A371" s="278" t="s">
        <v>628</v>
      </c>
      <c r="B371" s="279">
        <v>15</v>
      </c>
      <c r="C371" s="278" t="s">
        <v>17</v>
      </c>
      <c r="D371" s="279" t="s">
        <v>313</v>
      </c>
      <c r="E371" s="278" t="s">
        <v>314</v>
      </c>
      <c r="F371" s="278" t="s">
        <v>650</v>
      </c>
      <c r="G371" s="280">
        <v>0</v>
      </c>
      <c r="H371" s="280">
        <v>41086643.759999998</v>
      </c>
      <c r="I371" s="281">
        <v>-41086643.759999998</v>
      </c>
      <c r="J371" s="282"/>
      <c r="K371" s="7"/>
    </row>
    <row r="372" spans="1:11" ht="15.75" hidden="1" customHeight="1" x14ac:dyDescent="0.3">
      <c r="A372" s="283" t="s">
        <v>628</v>
      </c>
      <c r="B372" s="284">
        <v>15</v>
      </c>
      <c r="C372" s="283" t="s">
        <v>17</v>
      </c>
      <c r="D372" s="284" t="s">
        <v>313</v>
      </c>
      <c r="E372" s="283"/>
      <c r="F372" s="283" t="s">
        <v>354</v>
      </c>
      <c r="G372" s="285">
        <v>41086643.759999998</v>
      </c>
      <c r="H372" s="285">
        <v>0</v>
      </c>
      <c r="I372" s="286">
        <v>41086643.759999998</v>
      </c>
      <c r="J372" s="287"/>
      <c r="K372" s="7"/>
    </row>
    <row r="373" spans="1:11" ht="15.75" hidden="1" customHeight="1" x14ac:dyDescent="0.3">
      <c r="A373" s="278" t="s">
        <v>628</v>
      </c>
      <c r="B373" s="279">
        <v>15</v>
      </c>
      <c r="C373" s="278" t="s">
        <v>17</v>
      </c>
      <c r="D373" s="279" t="s">
        <v>313</v>
      </c>
      <c r="E373" s="278"/>
      <c r="F373" s="278" t="s">
        <v>651</v>
      </c>
      <c r="G373" s="280">
        <v>38671500</v>
      </c>
      <c r="H373" s="280">
        <v>0</v>
      </c>
      <c r="I373" s="281">
        <v>38671500</v>
      </c>
      <c r="J373" s="282"/>
      <c r="K373" s="7"/>
    </row>
    <row r="374" spans="1:11" ht="15.75" hidden="1" customHeight="1" x14ac:dyDescent="0.3">
      <c r="A374" s="283" t="s">
        <v>628</v>
      </c>
      <c r="B374" s="284">
        <v>15</v>
      </c>
      <c r="C374" s="283" t="s">
        <v>17</v>
      </c>
      <c r="D374" s="284" t="s">
        <v>313</v>
      </c>
      <c r="E374" s="283"/>
      <c r="F374" s="283" t="s">
        <v>356</v>
      </c>
      <c r="G374" s="285">
        <v>0</v>
      </c>
      <c r="H374" s="285">
        <v>41734687.68</v>
      </c>
      <c r="I374" s="286">
        <v>-41734687.68</v>
      </c>
      <c r="J374" s="287"/>
      <c r="K374" s="7"/>
    </row>
    <row r="375" spans="1:11" ht="15.75" hidden="1" customHeight="1" x14ac:dyDescent="0.3">
      <c r="A375" s="278" t="s">
        <v>628</v>
      </c>
      <c r="B375" s="279">
        <v>15</v>
      </c>
      <c r="C375" s="278" t="s">
        <v>17</v>
      </c>
      <c r="D375" s="279" t="s">
        <v>313</v>
      </c>
      <c r="E375" s="278"/>
      <c r="F375" s="278" t="s">
        <v>652</v>
      </c>
      <c r="G375" s="280">
        <v>0</v>
      </c>
      <c r="H375" s="280">
        <v>39741073.68</v>
      </c>
      <c r="I375" s="281">
        <v>-39741073.68</v>
      </c>
      <c r="J375" s="282"/>
      <c r="K375" s="7"/>
    </row>
    <row r="376" spans="1:11" ht="15.75" hidden="1" customHeight="1" x14ac:dyDescent="0.3">
      <c r="A376" s="288" t="s">
        <v>628</v>
      </c>
      <c r="B376" s="288">
        <v>15</v>
      </c>
      <c r="C376" s="289" t="s">
        <v>17</v>
      </c>
      <c r="D376" s="288" t="s">
        <v>320</v>
      </c>
      <c r="E376" s="290"/>
      <c r="F376" s="289" t="s">
        <v>321</v>
      </c>
      <c r="G376" s="291">
        <v>79758143.75999999</v>
      </c>
      <c r="H376" s="291">
        <v>122562405.12</v>
      </c>
      <c r="I376" s="292">
        <v>-42804261.359999999</v>
      </c>
      <c r="J376" s="292">
        <v>42804261.359999999</v>
      </c>
      <c r="K376" s="293">
        <v>0</v>
      </c>
    </row>
    <row r="377" spans="1:11" ht="15.75" hidden="1" customHeight="1" x14ac:dyDescent="0.3">
      <c r="A377" s="278" t="s">
        <v>628</v>
      </c>
      <c r="B377" s="279">
        <v>17</v>
      </c>
      <c r="C377" s="278" t="s">
        <v>19</v>
      </c>
      <c r="D377" s="279" t="s">
        <v>313</v>
      </c>
      <c r="E377" s="278" t="s">
        <v>19</v>
      </c>
      <c r="F377" s="278" t="s">
        <v>653</v>
      </c>
      <c r="G377" s="280">
        <v>0</v>
      </c>
      <c r="H377" s="280">
        <v>1073509.3</v>
      </c>
      <c r="I377" s="281">
        <v>-1073509.3</v>
      </c>
      <c r="J377" s="282"/>
      <c r="K377" s="7"/>
    </row>
    <row r="378" spans="1:11" ht="15.75" hidden="1" customHeight="1" x14ac:dyDescent="0.3">
      <c r="A378" s="283" t="s">
        <v>628</v>
      </c>
      <c r="B378" s="284">
        <v>17</v>
      </c>
      <c r="C378" s="283" t="s">
        <v>19</v>
      </c>
      <c r="D378" s="284" t="s">
        <v>313</v>
      </c>
      <c r="E378" s="283"/>
      <c r="F378" s="283" t="s">
        <v>654</v>
      </c>
      <c r="G378" s="285">
        <v>1000000</v>
      </c>
      <c r="H378" s="285">
        <v>0</v>
      </c>
      <c r="I378" s="286">
        <v>1000000</v>
      </c>
      <c r="J378" s="287"/>
      <c r="K378" s="7"/>
    </row>
    <row r="379" spans="1:11" ht="15.75" hidden="1" customHeight="1" x14ac:dyDescent="0.3">
      <c r="A379" s="278" t="s">
        <v>628</v>
      </c>
      <c r="B379" s="279">
        <v>17</v>
      </c>
      <c r="C379" s="278" t="s">
        <v>19</v>
      </c>
      <c r="D379" s="279" t="s">
        <v>313</v>
      </c>
      <c r="E379" s="278"/>
      <c r="F379" s="278" t="s">
        <v>655</v>
      </c>
      <c r="G379" s="280">
        <v>0</v>
      </c>
      <c r="H379" s="280">
        <v>1000000</v>
      </c>
      <c r="I379" s="281">
        <v>-1000000</v>
      </c>
      <c r="J379" s="282"/>
      <c r="K379" s="7"/>
    </row>
    <row r="380" spans="1:11" ht="15.75" hidden="1" customHeight="1" x14ac:dyDescent="0.3">
      <c r="A380" s="288" t="s">
        <v>628</v>
      </c>
      <c r="B380" s="288">
        <v>17</v>
      </c>
      <c r="C380" s="289" t="s">
        <v>19</v>
      </c>
      <c r="D380" s="288" t="s">
        <v>320</v>
      </c>
      <c r="E380" s="290"/>
      <c r="F380" s="289" t="s">
        <v>321</v>
      </c>
      <c r="G380" s="291">
        <v>1000000</v>
      </c>
      <c r="H380" s="291">
        <v>2073509.3</v>
      </c>
      <c r="I380" s="292">
        <v>-1073509.3</v>
      </c>
      <c r="J380" s="292">
        <v>1073509.3</v>
      </c>
      <c r="K380" s="293">
        <v>0</v>
      </c>
    </row>
    <row r="381" spans="1:11" ht="15.75" hidden="1" customHeight="1" x14ac:dyDescent="0.3">
      <c r="A381" s="278" t="s">
        <v>628</v>
      </c>
      <c r="B381" s="279">
        <v>21</v>
      </c>
      <c r="C381" s="278" t="s">
        <v>21</v>
      </c>
      <c r="D381" s="279" t="s">
        <v>313</v>
      </c>
      <c r="E381" s="278" t="s">
        <v>21</v>
      </c>
      <c r="F381" s="278" t="s">
        <v>656</v>
      </c>
      <c r="G381" s="280">
        <v>0</v>
      </c>
      <c r="H381" s="280">
        <v>20929743.550000001</v>
      </c>
      <c r="I381" s="281">
        <v>-20929743.550000001</v>
      </c>
      <c r="J381" s="282"/>
      <c r="K381" s="7"/>
    </row>
    <row r="382" spans="1:11" ht="15.75" hidden="1" customHeight="1" x14ac:dyDescent="0.3">
      <c r="A382" s="283" t="s">
        <v>628</v>
      </c>
      <c r="B382" s="284">
        <v>21</v>
      </c>
      <c r="C382" s="283" t="s">
        <v>21</v>
      </c>
      <c r="D382" s="284" t="s">
        <v>313</v>
      </c>
      <c r="E382" s="283"/>
      <c r="F382" s="283" t="s">
        <v>657</v>
      </c>
      <c r="G382" s="285">
        <v>21000000</v>
      </c>
      <c r="H382" s="285">
        <v>0</v>
      </c>
      <c r="I382" s="286">
        <v>21000000</v>
      </c>
      <c r="J382" s="287"/>
      <c r="K382" s="7"/>
    </row>
    <row r="383" spans="1:11" ht="15.75" hidden="1" customHeight="1" x14ac:dyDescent="0.3">
      <c r="A383" s="278" t="s">
        <v>628</v>
      </c>
      <c r="B383" s="279">
        <v>21</v>
      </c>
      <c r="C383" s="278" t="s">
        <v>21</v>
      </c>
      <c r="D383" s="279" t="s">
        <v>313</v>
      </c>
      <c r="E383" s="278"/>
      <c r="F383" s="278" t="s">
        <v>658</v>
      </c>
      <c r="G383" s="280">
        <v>0</v>
      </c>
      <c r="H383" s="280">
        <v>21000000</v>
      </c>
      <c r="I383" s="281">
        <v>-21000000</v>
      </c>
      <c r="J383" s="282"/>
      <c r="K383" s="7"/>
    </row>
    <row r="384" spans="1:11" ht="15.75" hidden="1" customHeight="1" x14ac:dyDescent="0.3">
      <c r="A384" s="288" t="s">
        <v>628</v>
      </c>
      <c r="B384" s="288">
        <v>21</v>
      </c>
      <c r="C384" s="289" t="s">
        <v>21</v>
      </c>
      <c r="D384" s="288" t="s">
        <v>320</v>
      </c>
      <c r="E384" s="290"/>
      <c r="F384" s="289" t="s">
        <v>321</v>
      </c>
      <c r="G384" s="291">
        <v>21000000</v>
      </c>
      <c r="H384" s="291">
        <v>41929743.549999997</v>
      </c>
      <c r="I384" s="292">
        <v>-20929743.550000001</v>
      </c>
      <c r="J384" s="292">
        <v>20929743.550000001</v>
      </c>
      <c r="K384" s="293">
        <v>0</v>
      </c>
    </row>
    <row r="385" spans="1:11" ht="15.75" hidden="1" customHeight="1" x14ac:dyDescent="0.3">
      <c r="A385" s="278" t="s">
        <v>628</v>
      </c>
      <c r="B385" s="279">
        <v>22</v>
      </c>
      <c r="C385" s="278" t="s">
        <v>22</v>
      </c>
      <c r="D385" s="279" t="s">
        <v>313</v>
      </c>
      <c r="E385" s="278" t="s">
        <v>22</v>
      </c>
      <c r="F385" s="278" t="s">
        <v>659</v>
      </c>
      <c r="G385" s="280">
        <v>0</v>
      </c>
      <c r="H385" s="280">
        <v>65199032</v>
      </c>
      <c r="I385" s="281">
        <v>-65199032</v>
      </c>
      <c r="J385" s="282"/>
      <c r="K385" s="7"/>
    </row>
    <row r="386" spans="1:11" ht="15.75" hidden="1" customHeight="1" x14ac:dyDescent="0.3">
      <c r="A386" s="283" t="s">
        <v>628</v>
      </c>
      <c r="B386" s="284">
        <v>22</v>
      </c>
      <c r="C386" s="283" t="s">
        <v>22</v>
      </c>
      <c r="D386" s="284" t="s">
        <v>313</v>
      </c>
      <c r="E386" s="283"/>
      <c r="F386" s="283" t="s">
        <v>660</v>
      </c>
      <c r="G386" s="285">
        <v>60000000</v>
      </c>
      <c r="H386" s="285">
        <v>0</v>
      </c>
      <c r="I386" s="286">
        <v>60000000</v>
      </c>
      <c r="J386" s="287"/>
      <c r="K386" s="7"/>
    </row>
    <row r="387" spans="1:11" ht="15.75" hidden="1" customHeight="1" x14ac:dyDescent="0.3">
      <c r="A387" s="278" t="s">
        <v>628</v>
      </c>
      <c r="B387" s="279">
        <v>22</v>
      </c>
      <c r="C387" s="278" t="s">
        <v>22</v>
      </c>
      <c r="D387" s="279" t="s">
        <v>313</v>
      </c>
      <c r="E387" s="278"/>
      <c r="F387" s="278" t="s">
        <v>661</v>
      </c>
      <c r="G387" s="280">
        <v>0</v>
      </c>
      <c r="H387" s="280">
        <v>43000000</v>
      </c>
      <c r="I387" s="281">
        <v>-43000000</v>
      </c>
      <c r="J387" s="282"/>
      <c r="K387" s="7"/>
    </row>
    <row r="388" spans="1:11" ht="15.75" hidden="1" customHeight="1" x14ac:dyDescent="0.3">
      <c r="A388" s="288" t="s">
        <v>628</v>
      </c>
      <c r="B388" s="288">
        <v>22</v>
      </c>
      <c r="C388" s="289" t="s">
        <v>22</v>
      </c>
      <c r="D388" s="288" t="s">
        <v>320</v>
      </c>
      <c r="E388" s="290"/>
      <c r="F388" s="289" t="s">
        <v>321</v>
      </c>
      <c r="G388" s="291">
        <v>60000000</v>
      </c>
      <c r="H388" s="291">
        <v>108199032</v>
      </c>
      <c r="I388" s="292">
        <v>-48199032</v>
      </c>
      <c r="J388" s="292">
        <v>48199032</v>
      </c>
      <c r="K388" s="293">
        <v>0</v>
      </c>
    </row>
    <row r="389" spans="1:11" ht="15.75" hidden="1" customHeight="1" x14ac:dyDescent="0.3">
      <c r="A389" s="278" t="s">
        <v>628</v>
      </c>
      <c r="B389" s="279">
        <v>24</v>
      </c>
      <c r="C389" s="278" t="s">
        <v>25</v>
      </c>
      <c r="D389" s="279" t="s">
        <v>313</v>
      </c>
      <c r="E389" s="278" t="s">
        <v>25</v>
      </c>
      <c r="F389" s="278" t="s">
        <v>662</v>
      </c>
      <c r="G389" s="280">
        <v>0</v>
      </c>
      <c r="H389" s="280">
        <v>972221.92</v>
      </c>
      <c r="I389" s="281">
        <v>-972221.92</v>
      </c>
      <c r="J389" s="282"/>
      <c r="K389" s="7"/>
    </row>
    <row r="390" spans="1:11" ht="15.75" hidden="1" customHeight="1" x14ac:dyDescent="0.3">
      <c r="A390" s="283" t="s">
        <v>628</v>
      </c>
      <c r="B390" s="284">
        <v>24</v>
      </c>
      <c r="C390" s="283" t="s">
        <v>25</v>
      </c>
      <c r="D390" s="284" t="s">
        <v>313</v>
      </c>
      <c r="E390" s="283"/>
      <c r="F390" s="283" t="s">
        <v>663</v>
      </c>
      <c r="G390" s="285">
        <v>987000</v>
      </c>
      <c r="H390" s="285">
        <v>0</v>
      </c>
      <c r="I390" s="286">
        <v>987000</v>
      </c>
      <c r="J390" s="287"/>
      <c r="K390" s="7"/>
    </row>
    <row r="391" spans="1:11" ht="15.75" hidden="1" customHeight="1" x14ac:dyDescent="0.3">
      <c r="A391" s="278" t="s">
        <v>628</v>
      </c>
      <c r="B391" s="279">
        <v>24</v>
      </c>
      <c r="C391" s="278" t="s">
        <v>25</v>
      </c>
      <c r="D391" s="279" t="s">
        <v>313</v>
      </c>
      <c r="E391" s="278"/>
      <c r="F391" s="278" t="s">
        <v>664</v>
      </c>
      <c r="G391" s="280">
        <v>0</v>
      </c>
      <c r="H391" s="280">
        <v>987000</v>
      </c>
      <c r="I391" s="281">
        <v>-987000</v>
      </c>
      <c r="J391" s="282"/>
      <c r="K391" s="7"/>
    </row>
    <row r="392" spans="1:11" ht="15.75" hidden="1" customHeight="1" x14ac:dyDescent="0.3">
      <c r="A392" s="288" t="s">
        <v>628</v>
      </c>
      <c r="B392" s="288">
        <v>24</v>
      </c>
      <c r="C392" s="289" t="s">
        <v>25</v>
      </c>
      <c r="D392" s="288" t="s">
        <v>320</v>
      </c>
      <c r="E392" s="290"/>
      <c r="F392" s="289" t="s">
        <v>321</v>
      </c>
      <c r="G392" s="291">
        <v>987000</v>
      </c>
      <c r="H392" s="291">
        <v>1959221.92</v>
      </c>
      <c r="I392" s="292">
        <v>-972221.92</v>
      </c>
      <c r="J392" s="292">
        <v>972221.92</v>
      </c>
      <c r="K392" s="293">
        <v>0</v>
      </c>
    </row>
    <row r="393" spans="1:11" ht="15.75" hidden="1" customHeight="1" x14ac:dyDescent="0.3">
      <c r="A393" s="278" t="s">
        <v>628</v>
      </c>
      <c r="B393" s="279">
        <v>25</v>
      </c>
      <c r="C393" s="278" t="s">
        <v>26</v>
      </c>
      <c r="D393" s="279" t="s">
        <v>313</v>
      </c>
      <c r="E393" s="278" t="s">
        <v>26</v>
      </c>
      <c r="F393" s="278" t="s">
        <v>665</v>
      </c>
      <c r="G393" s="280">
        <v>0</v>
      </c>
      <c r="H393" s="280">
        <v>159805.20000000001</v>
      </c>
      <c r="I393" s="281">
        <v>-159805.20000000001</v>
      </c>
      <c r="J393" s="282"/>
      <c r="K393" s="7"/>
    </row>
    <row r="394" spans="1:11" ht="15.75" hidden="1" customHeight="1" x14ac:dyDescent="0.3">
      <c r="A394" s="283" t="s">
        <v>628</v>
      </c>
      <c r="B394" s="284">
        <v>25</v>
      </c>
      <c r="C394" s="283" t="s">
        <v>26</v>
      </c>
      <c r="D394" s="284" t="s">
        <v>313</v>
      </c>
      <c r="E394" s="283"/>
      <c r="F394" s="283" t="s">
        <v>666</v>
      </c>
      <c r="G394" s="285">
        <v>567000</v>
      </c>
      <c r="H394" s="285">
        <v>0</v>
      </c>
      <c r="I394" s="286">
        <v>567000</v>
      </c>
      <c r="J394" s="287"/>
      <c r="K394" s="7"/>
    </row>
    <row r="395" spans="1:11" ht="15.75" hidden="1" customHeight="1" x14ac:dyDescent="0.3">
      <c r="A395" s="288" t="s">
        <v>628</v>
      </c>
      <c r="B395" s="288">
        <v>25</v>
      </c>
      <c r="C395" s="289" t="s">
        <v>26</v>
      </c>
      <c r="D395" s="288" t="s">
        <v>320</v>
      </c>
      <c r="E395" s="290"/>
      <c r="F395" s="289" t="s">
        <v>321</v>
      </c>
      <c r="G395" s="291">
        <v>567000</v>
      </c>
      <c r="H395" s="291">
        <v>159805.20000000001</v>
      </c>
      <c r="I395" s="292">
        <v>407194.8</v>
      </c>
      <c r="J395" s="292">
        <v>-407194.8</v>
      </c>
      <c r="K395" s="293">
        <v>0</v>
      </c>
    </row>
    <row r="396" spans="1:11" ht="15.75" hidden="1" customHeight="1" x14ac:dyDescent="0.3">
      <c r="A396" s="278" t="s">
        <v>628</v>
      </c>
      <c r="B396" s="279">
        <v>26</v>
      </c>
      <c r="C396" s="278" t="s">
        <v>27</v>
      </c>
      <c r="D396" s="279" t="s">
        <v>313</v>
      </c>
      <c r="E396" s="278" t="s">
        <v>27</v>
      </c>
      <c r="F396" s="278" t="s">
        <v>667</v>
      </c>
      <c r="G396" s="280">
        <v>0</v>
      </c>
      <c r="H396" s="280">
        <v>242021032</v>
      </c>
      <c r="I396" s="281">
        <v>-242021032</v>
      </c>
      <c r="J396" s="282"/>
      <c r="K396" s="7"/>
    </row>
    <row r="397" spans="1:11" ht="15.75" hidden="1" customHeight="1" x14ac:dyDescent="0.3">
      <c r="A397" s="283" t="s">
        <v>628</v>
      </c>
      <c r="B397" s="284">
        <v>26</v>
      </c>
      <c r="C397" s="283" t="s">
        <v>27</v>
      </c>
      <c r="D397" s="284" t="s">
        <v>668</v>
      </c>
      <c r="E397" s="283"/>
      <c r="F397" s="283" t="s">
        <v>669</v>
      </c>
      <c r="G397" s="285">
        <v>201684193</v>
      </c>
      <c r="H397" s="285">
        <v>0</v>
      </c>
      <c r="I397" s="286">
        <v>201684193</v>
      </c>
      <c r="J397" s="287"/>
      <c r="K397" s="7"/>
    </row>
    <row r="398" spans="1:11" ht="15.75" hidden="1" customHeight="1" x14ac:dyDescent="0.3">
      <c r="A398" s="288" t="s">
        <v>628</v>
      </c>
      <c r="B398" s="288">
        <v>26</v>
      </c>
      <c r="C398" s="289" t="s">
        <v>27</v>
      </c>
      <c r="D398" s="288" t="s">
        <v>320</v>
      </c>
      <c r="E398" s="290"/>
      <c r="F398" s="289" t="s">
        <v>321</v>
      </c>
      <c r="G398" s="291">
        <v>201684193</v>
      </c>
      <c r="H398" s="291">
        <v>242021032</v>
      </c>
      <c r="I398" s="292">
        <v>-40336839</v>
      </c>
      <c r="J398" s="292">
        <v>40336838.666666701</v>
      </c>
      <c r="K398" s="293">
        <v>0.33333329856395721</v>
      </c>
    </row>
    <row r="399" spans="1:11" ht="15.75" hidden="1" customHeight="1" x14ac:dyDescent="0.3">
      <c r="A399" s="278" t="s">
        <v>628</v>
      </c>
      <c r="B399" s="279">
        <v>27</v>
      </c>
      <c r="C399" s="278" t="s">
        <v>28</v>
      </c>
      <c r="D399" s="279" t="s">
        <v>313</v>
      </c>
      <c r="E399" s="278" t="s">
        <v>374</v>
      </c>
      <c r="F399" s="278" t="s">
        <v>670</v>
      </c>
      <c r="G399" s="280">
        <v>0</v>
      </c>
      <c r="H399" s="280">
        <v>1313290.74</v>
      </c>
      <c r="I399" s="281">
        <v>-1313290.74</v>
      </c>
      <c r="J399" s="282"/>
      <c r="K399" s="7"/>
    </row>
    <row r="400" spans="1:11" ht="15.75" hidden="1" customHeight="1" x14ac:dyDescent="0.3">
      <c r="A400" s="283" t="s">
        <v>628</v>
      </c>
      <c r="B400" s="284">
        <v>27</v>
      </c>
      <c r="C400" s="283" t="s">
        <v>28</v>
      </c>
      <c r="D400" s="284" t="s">
        <v>313</v>
      </c>
      <c r="E400" s="283"/>
      <c r="F400" s="283" t="s">
        <v>671</v>
      </c>
      <c r="G400" s="285">
        <v>1000000</v>
      </c>
      <c r="H400" s="285">
        <v>0</v>
      </c>
      <c r="I400" s="286">
        <v>1000000</v>
      </c>
      <c r="J400" s="287"/>
      <c r="K400" s="7"/>
    </row>
    <row r="401" spans="1:11" ht="15.75" hidden="1" customHeight="1" x14ac:dyDescent="0.3">
      <c r="A401" s="278" t="s">
        <v>628</v>
      </c>
      <c r="B401" s="279">
        <v>27</v>
      </c>
      <c r="C401" s="278" t="s">
        <v>28</v>
      </c>
      <c r="D401" s="279" t="s">
        <v>313</v>
      </c>
      <c r="E401" s="278"/>
      <c r="F401" s="278" t="s">
        <v>672</v>
      </c>
      <c r="G401" s="280">
        <v>0</v>
      </c>
      <c r="H401" s="280">
        <v>1000000</v>
      </c>
      <c r="I401" s="281">
        <v>-1000000</v>
      </c>
      <c r="J401" s="282"/>
      <c r="K401" s="7"/>
    </row>
    <row r="402" spans="1:11" ht="15.75" hidden="1" customHeight="1" x14ac:dyDescent="0.3">
      <c r="A402" s="288" t="s">
        <v>628</v>
      </c>
      <c r="B402" s="288">
        <v>27</v>
      </c>
      <c r="C402" s="289" t="s">
        <v>28</v>
      </c>
      <c r="D402" s="288" t="s">
        <v>320</v>
      </c>
      <c r="E402" s="290"/>
      <c r="F402" s="289" t="s">
        <v>321</v>
      </c>
      <c r="G402" s="291">
        <v>1000000</v>
      </c>
      <c r="H402" s="291">
        <v>2313290.7400000002</v>
      </c>
      <c r="I402" s="292">
        <v>-1313290.74</v>
      </c>
      <c r="J402" s="292">
        <v>1313290.74</v>
      </c>
      <c r="K402" s="293">
        <v>0</v>
      </c>
    </row>
    <row r="403" spans="1:11" ht="15.75" hidden="1" customHeight="1" x14ac:dyDescent="0.3">
      <c r="A403" s="278" t="s">
        <v>628</v>
      </c>
      <c r="B403" s="279">
        <v>28</v>
      </c>
      <c r="C403" s="278" t="s">
        <v>29</v>
      </c>
      <c r="D403" s="279" t="s">
        <v>313</v>
      </c>
      <c r="E403" s="278" t="s">
        <v>29</v>
      </c>
      <c r="F403" s="278" t="s">
        <v>673</v>
      </c>
      <c r="G403" s="280">
        <v>0</v>
      </c>
      <c r="H403" s="280">
        <v>6443666.5099999998</v>
      </c>
      <c r="I403" s="281">
        <v>-6443666.5099999998</v>
      </c>
      <c r="J403" s="282"/>
      <c r="K403" s="7"/>
    </row>
    <row r="404" spans="1:11" ht="15.75" hidden="1" customHeight="1" x14ac:dyDescent="0.3">
      <c r="A404" s="288" t="s">
        <v>628</v>
      </c>
      <c r="B404" s="288">
        <v>28</v>
      </c>
      <c r="C404" s="289" t="s">
        <v>29</v>
      </c>
      <c r="D404" s="288" t="s">
        <v>320</v>
      </c>
      <c r="E404" s="290"/>
      <c r="F404" s="289" t="s">
        <v>321</v>
      </c>
      <c r="G404" s="291">
        <v>0</v>
      </c>
      <c r="H404" s="291">
        <v>6443666.5099999998</v>
      </c>
      <c r="I404" s="292">
        <v>-6443666.5099999998</v>
      </c>
      <c r="J404" s="292">
        <v>8443666.5099999998</v>
      </c>
      <c r="K404" s="294">
        <v>-2000000</v>
      </c>
    </row>
    <row r="405" spans="1:11" ht="15.75" hidden="1" customHeight="1" x14ac:dyDescent="0.3">
      <c r="A405" s="278" t="s">
        <v>628</v>
      </c>
      <c r="B405" s="279">
        <v>29</v>
      </c>
      <c r="C405" s="278" t="s">
        <v>29</v>
      </c>
      <c r="D405" s="279" t="s">
        <v>313</v>
      </c>
      <c r="E405" s="278" t="s">
        <v>29</v>
      </c>
      <c r="F405" s="278" t="s">
        <v>674</v>
      </c>
      <c r="G405" s="280">
        <v>0</v>
      </c>
      <c r="H405" s="280">
        <v>26248448.039999999</v>
      </c>
      <c r="I405" s="281">
        <v>-26248448.039999999</v>
      </c>
      <c r="J405" s="282"/>
      <c r="K405" s="7"/>
    </row>
    <row r="406" spans="1:11" ht="15.75" hidden="1" customHeight="1" x14ac:dyDescent="0.3">
      <c r="A406" s="283" t="s">
        <v>628</v>
      </c>
      <c r="B406" s="284">
        <v>29</v>
      </c>
      <c r="C406" s="283" t="s">
        <v>29</v>
      </c>
      <c r="D406" s="284" t="s">
        <v>313</v>
      </c>
      <c r="E406" s="283"/>
      <c r="F406" s="283" t="s">
        <v>675</v>
      </c>
      <c r="G406" s="285">
        <v>30000000</v>
      </c>
      <c r="H406" s="285">
        <v>0</v>
      </c>
      <c r="I406" s="286">
        <v>30000000</v>
      </c>
      <c r="J406" s="287"/>
      <c r="K406" s="7"/>
    </row>
    <row r="407" spans="1:11" ht="15.75" hidden="1" customHeight="1" x14ac:dyDescent="0.3">
      <c r="A407" s="278" t="s">
        <v>628</v>
      </c>
      <c r="B407" s="279">
        <v>29</v>
      </c>
      <c r="C407" s="278" t="s">
        <v>29</v>
      </c>
      <c r="D407" s="279" t="s">
        <v>313</v>
      </c>
      <c r="E407" s="278"/>
      <c r="F407" s="278" t="s">
        <v>676</v>
      </c>
      <c r="G407" s="280">
        <v>0</v>
      </c>
      <c r="H407" s="280">
        <v>33000000</v>
      </c>
      <c r="I407" s="281">
        <v>-33000000</v>
      </c>
      <c r="J407" s="282"/>
      <c r="K407" s="7"/>
    </row>
    <row r="408" spans="1:11" ht="15.75" hidden="1" customHeight="1" x14ac:dyDescent="0.3">
      <c r="A408" s="288" t="s">
        <v>628</v>
      </c>
      <c r="B408" s="288">
        <v>29</v>
      </c>
      <c r="C408" s="289" t="s">
        <v>29</v>
      </c>
      <c r="D408" s="288" t="s">
        <v>320</v>
      </c>
      <c r="E408" s="290"/>
      <c r="F408" s="289" t="s">
        <v>321</v>
      </c>
      <c r="G408" s="291">
        <v>30000000</v>
      </c>
      <c r="H408" s="291">
        <v>59248448.039999999</v>
      </c>
      <c r="I408" s="292">
        <v>-29248448.039999999</v>
      </c>
      <c r="J408" s="292">
        <v>27248448.039999999</v>
      </c>
      <c r="K408" s="294">
        <v>2000000</v>
      </c>
    </row>
    <row r="409" spans="1:11" ht="15.75" hidden="1" customHeight="1" x14ac:dyDescent="0.3">
      <c r="A409" s="278" t="s">
        <v>628</v>
      </c>
      <c r="B409" s="279">
        <v>30</v>
      </c>
      <c r="C409" s="278" t="s">
        <v>32</v>
      </c>
      <c r="D409" s="279" t="s">
        <v>313</v>
      </c>
      <c r="E409" s="278"/>
      <c r="F409" s="278" t="s">
        <v>677</v>
      </c>
      <c r="G409" s="280">
        <v>2300000</v>
      </c>
      <c r="H409" s="280">
        <v>0</v>
      </c>
      <c r="I409" s="281">
        <v>2300000</v>
      </c>
      <c r="J409" s="282"/>
      <c r="K409" s="7"/>
    </row>
    <row r="410" spans="1:11" ht="15.75" hidden="1" customHeight="1" x14ac:dyDescent="0.3">
      <c r="A410" s="283" t="s">
        <v>628</v>
      </c>
      <c r="B410" s="284">
        <v>30</v>
      </c>
      <c r="C410" s="283" t="s">
        <v>32</v>
      </c>
      <c r="D410" s="284" t="s">
        <v>313</v>
      </c>
      <c r="E410" s="283"/>
      <c r="F410" s="283" t="s">
        <v>678</v>
      </c>
      <c r="G410" s="285">
        <v>0</v>
      </c>
      <c r="H410" s="285">
        <v>5275325</v>
      </c>
      <c r="I410" s="286">
        <v>-5275325</v>
      </c>
      <c r="J410" s="287"/>
      <c r="K410" s="7"/>
    </row>
    <row r="411" spans="1:11" ht="15.75" hidden="1" customHeight="1" x14ac:dyDescent="0.3">
      <c r="A411" s="288" t="s">
        <v>628</v>
      </c>
      <c r="B411" s="288">
        <v>30</v>
      </c>
      <c r="C411" s="289" t="s">
        <v>32</v>
      </c>
      <c r="D411" s="288" t="s">
        <v>320</v>
      </c>
      <c r="E411" s="290"/>
      <c r="F411" s="289" t="s">
        <v>321</v>
      </c>
      <c r="G411" s="291">
        <v>2300000</v>
      </c>
      <c r="H411" s="291">
        <v>5275325</v>
      </c>
      <c r="I411" s="292">
        <v>-2975325</v>
      </c>
      <c r="J411" s="292">
        <v>2975325</v>
      </c>
      <c r="K411" s="293">
        <v>0</v>
      </c>
    </row>
    <row r="412" spans="1:11" ht="15.75" hidden="1" customHeight="1" x14ac:dyDescent="0.3">
      <c r="A412" s="278" t="s">
        <v>628</v>
      </c>
      <c r="B412" s="279">
        <v>31</v>
      </c>
      <c r="C412" s="278" t="s">
        <v>33</v>
      </c>
      <c r="D412" s="279" t="s">
        <v>313</v>
      </c>
      <c r="E412" s="278" t="s">
        <v>33</v>
      </c>
      <c r="F412" s="278" t="s">
        <v>679</v>
      </c>
      <c r="G412" s="280">
        <v>0</v>
      </c>
      <c r="H412" s="280">
        <v>766721.67</v>
      </c>
      <c r="I412" s="281">
        <v>-766721.67</v>
      </c>
      <c r="J412" s="282"/>
      <c r="K412" s="7"/>
    </row>
    <row r="413" spans="1:11" ht="15.75" hidden="1" customHeight="1" x14ac:dyDescent="0.3">
      <c r="A413" s="283" t="s">
        <v>628</v>
      </c>
      <c r="B413" s="284">
        <v>31</v>
      </c>
      <c r="C413" s="283" t="s">
        <v>33</v>
      </c>
      <c r="D413" s="284" t="s">
        <v>313</v>
      </c>
      <c r="E413" s="283"/>
      <c r="F413" s="283" t="s">
        <v>680</v>
      </c>
      <c r="G413" s="285">
        <v>766722</v>
      </c>
      <c r="H413" s="285">
        <v>0</v>
      </c>
      <c r="I413" s="286">
        <v>766722</v>
      </c>
      <c r="J413" s="287"/>
      <c r="K413" s="7"/>
    </row>
    <row r="414" spans="1:11" ht="15.75" hidden="1" customHeight="1" x14ac:dyDescent="0.3">
      <c r="A414" s="278" t="s">
        <v>628</v>
      </c>
      <c r="B414" s="279">
        <v>31</v>
      </c>
      <c r="C414" s="278" t="s">
        <v>33</v>
      </c>
      <c r="D414" s="279" t="s">
        <v>313</v>
      </c>
      <c r="E414" s="278"/>
      <c r="F414" s="278" t="s">
        <v>681</v>
      </c>
      <c r="G414" s="280">
        <v>0</v>
      </c>
      <c r="H414" s="280">
        <v>766722</v>
      </c>
      <c r="I414" s="281">
        <v>-766722</v>
      </c>
      <c r="J414" s="282"/>
      <c r="K414" s="7"/>
    </row>
    <row r="415" spans="1:11" ht="15.75" hidden="1" customHeight="1" x14ac:dyDescent="0.3">
      <c r="A415" s="288" t="s">
        <v>628</v>
      </c>
      <c r="B415" s="288">
        <v>31</v>
      </c>
      <c r="C415" s="289" t="s">
        <v>33</v>
      </c>
      <c r="D415" s="288" t="s">
        <v>320</v>
      </c>
      <c r="E415" s="290"/>
      <c r="F415" s="289" t="s">
        <v>321</v>
      </c>
      <c r="G415" s="291">
        <v>766722</v>
      </c>
      <c r="H415" s="291">
        <v>1533443.67</v>
      </c>
      <c r="I415" s="292">
        <v>-766721.67</v>
      </c>
      <c r="J415" s="292">
        <v>766721.67</v>
      </c>
      <c r="K415" s="293">
        <v>0</v>
      </c>
    </row>
    <row r="416" spans="1:11" ht="15.75" hidden="1" customHeight="1" x14ac:dyDescent="0.3">
      <c r="A416" s="278" t="s">
        <v>628</v>
      </c>
      <c r="B416" s="279">
        <v>32</v>
      </c>
      <c r="C416" s="278" t="s">
        <v>34</v>
      </c>
      <c r="D416" s="279" t="s">
        <v>313</v>
      </c>
      <c r="E416" s="278" t="s">
        <v>388</v>
      </c>
      <c r="F416" s="278" t="s">
        <v>682</v>
      </c>
      <c r="G416" s="280">
        <v>0</v>
      </c>
      <c r="H416" s="280">
        <v>9033.18</v>
      </c>
      <c r="I416" s="281">
        <v>-9033.18</v>
      </c>
      <c r="J416" s="282"/>
      <c r="K416" s="7"/>
    </row>
    <row r="417" spans="1:11" ht="15.75" hidden="1" customHeight="1" x14ac:dyDescent="0.3">
      <c r="A417" s="283" t="s">
        <v>628</v>
      </c>
      <c r="B417" s="284">
        <v>32</v>
      </c>
      <c r="C417" s="283" t="s">
        <v>34</v>
      </c>
      <c r="D417" s="284" t="s">
        <v>313</v>
      </c>
      <c r="E417" s="283"/>
      <c r="F417" s="283" t="s">
        <v>683</v>
      </c>
      <c r="G417" s="285">
        <v>10000</v>
      </c>
      <c r="H417" s="285">
        <v>0</v>
      </c>
      <c r="I417" s="286">
        <v>10000</v>
      </c>
      <c r="J417" s="287"/>
      <c r="K417" s="7"/>
    </row>
    <row r="418" spans="1:11" ht="15.75" hidden="1" customHeight="1" x14ac:dyDescent="0.3">
      <c r="A418" s="278" t="s">
        <v>628</v>
      </c>
      <c r="B418" s="279">
        <v>32</v>
      </c>
      <c r="C418" s="278" t="s">
        <v>34</v>
      </c>
      <c r="D418" s="279" t="s">
        <v>313</v>
      </c>
      <c r="E418" s="278"/>
      <c r="F418" s="278" t="s">
        <v>684</v>
      </c>
      <c r="G418" s="280">
        <v>0</v>
      </c>
      <c r="H418" s="280">
        <v>9000</v>
      </c>
      <c r="I418" s="281">
        <v>-9000</v>
      </c>
      <c r="J418" s="282"/>
      <c r="K418" s="7"/>
    </row>
    <row r="419" spans="1:11" ht="15.75" hidden="1" customHeight="1" x14ac:dyDescent="0.3">
      <c r="A419" s="288" t="s">
        <v>628</v>
      </c>
      <c r="B419" s="288">
        <v>32</v>
      </c>
      <c r="C419" s="289" t="s">
        <v>34</v>
      </c>
      <c r="D419" s="288" t="s">
        <v>320</v>
      </c>
      <c r="E419" s="290"/>
      <c r="F419" s="289" t="s">
        <v>321</v>
      </c>
      <c r="G419" s="291">
        <v>10000</v>
      </c>
      <c r="H419" s="291">
        <v>18033.18</v>
      </c>
      <c r="I419" s="292">
        <v>-8033.18</v>
      </c>
      <c r="J419" s="292">
        <v>8033.18</v>
      </c>
      <c r="K419" s="293">
        <v>0</v>
      </c>
    </row>
    <row r="420" spans="1:11" ht="15.75" hidden="1" customHeight="1" x14ac:dyDescent="0.3">
      <c r="A420" s="278" t="s">
        <v>628</v>
      </c>
      <c r="B420" s="279">
        <v>33</v>
      </c>
      <c r="C420" s="278" t="s">
        <v>35</v>
      </c>
      <c r="D420" s="279" t="s">
        <v>313</v>
      </c>
      <c r="E420" s="278" t="s">
        <v>35</v>
      </c>
      <c r="F420" s="278" t="s">
        <v>685</v>
      </c>
      <c r="G420" s="280">
        <v>0</v>
      </c>
      <c r="H420" s="280">
        <v>971875.5</v>
      </c>
      <c r="I420" s="281">
        <v>-971875.5</v>
      </c>
      <c r="J420" s="282"/>
      <c r="K420" s="7"/>
    </row>
    <row r="421" spans="1:11" ht="15.75" hidden="1" customHeight="1" x14ac:dyDescent="0.3">
      <c r="A421" s="283" t="s">
        <v>628</v>
      </c>
      <c r="B421" s="284">
        <v>33</v>
      </c>
      <c r="C421" s="283" t="s">
        <v>35</v>
      </c>
      <c r="D421" s="284" t="s">
        <v>313</v>
      </c>
      <c r="E421" s="283"/>
      <c r="F421" s="283" t="s">
        <v>686</v>
      </c>
      <c r="G421" s="285">
        <v>370000</v>
      </c>
      <c r="H421" s="285">
        <v>0</v>
      </c>
      <c r="I421" s="286">
        <v>370000</v>
      </c>
      <c r="J421" s="287"/>
      <c r="K421" s="7"/>
    </row>
    <row r="422" spans="1:11" ht="15.75" hidden="1" customHeight="1" x14ac:dyDescent="0.3">
      <c r="A422" s="278" t="s">
        <v>628</v>
      </c>
      <c r="B422" s="279">
        <v>33</v>
      </c>
      <c r="C422" s="278" t="s">
        <v>35</v>
      </c>
      <c r="D422" s="279" t="s">
        <v>313</v>
      </c>
      <c r="E422" s="278"/>
      <c r="F422" s="278" t="s">
        <v>687</v>
      </c>
      <c r="G422" s="280">
        <v>0</v>
      </c>
      <c r="H422" s="280">
        <v>370000</v>
      </c>
      <c r="I422" s="281">
        <v>-370000</v>
      </c>
      <c r="J422" s="282"/>
      <c r="K422" s="7"/>
    </row>
    <row r="423" spans="1:11" ht="15.75" hidden="1" customHeight="1" x14ac:dyDescent="0.3">
      <c r="A423" s="288" t="s">
        <v>628</v>
      </c>
      <c r="B423" s="288">
        <v>33</v>
      </c>
      <c r="C423" s="289" t="s">
        <v>35</v>
      </c>
      <c r="D423" s="288" t="s">
        <v>320</v>
      </c>
      <c r="E423" s="290"/>
      <c r="F423" s="289" t="s">
        <v>321</v>
      </c>
      <c r="G423" s="291">
        <v>370000</v>
      </c>
      <c r="H423" s="291">
        <v>1341875.5</v>
      </c>
      <c r="I423" s="292">
        <v>-971875.5</v>
      </c>
      <c r="J423" s="292">
        <v>971875.5</v>
      </c>
      <c r="K423" s="293">
        <v>0</v>
      </c>
    </row>
    <row r="424" spans="1:11" ht="15.75" hidden="1" customHeight="1" x14ac:dyDescent="0.3">
      <c r="A424" s="278" t="s">
        <v>628</v>
      </c>
      <c r="B424" s="279">
        <v>34</v>
      </c>
      <c r="C424" s="278" t="s">
        <v>36</v>
      </c>
      <c r="D424" s="279" t="s">
        <v>313</v>
      </c>
      <c r="E424" s="278" t="s">
        <v>395</v>
      </c>
      <c r="F424" s="278" t="s">
        <v>688</v>
      </c>
      <c r="G424" s="280">
        <v>0</v>
      </c>
      <c r="H424" s="280">
        <v>1730226.41</v>
      </c>
      <c r="I424" s="281">
        <v>-1730226.41</v>
      </c>
      <c r="J424" s="282"/>
      <c r="K424" s="7"/>
    </row>
    <row r="425" spans="1:11" ht="15.75" hidden="1" customHeight="1" x14ac:dyDescent="0.3">
      <c r="A425" s="283" t="s">
        <v>628</v>
      </c>
      <c r="B425" s="284">
        <v>34</v>
      </c>
      <c r="C425" s="283" t="s">
        <v>36</v>
      </c>
      <c r="D425" s="284" t="s">
        <v>313</v>
      </c>
      <c r="E425" s="283"/>
      <c r="F425" s="283" t="s">
        <v>689</v>
      </c>
      <c r="G425" s="285">
        <v>1500000</v>
      </c>
      <c r="H425" s="285">
        <v>0</v>
      </c>
      <c r="I425" s="286">
        <v>1500000</v>
      </c>
      <c r="J425" s="287"/>
      <c r="K425" s="7"/>
    </row>
    <row r="426" spans="1:11" ht="15.75" hidden="1" customHeight="1" x14ac:dyDescent="0.3">
      <c r="A426" s="278" t="s">
        <v>628</v>
      </c>
      <c r="B426" s="279">
        <v>34</v>
      </c>
      <c r="C426" s="278" t="s">
        <v>36</v>
      </c>
      <c r="D426" s="279" t="s">
        <v>313</v>
      </c>
      <c r="E426" s="278"/>
      <c r="F426" s="278" t="s">
        <v>690</v>
      </c>
      <c r="G426" s="280">
        <v>0</v>
      </c>
      <c r="H426" s="280">
        <v>1500000</v>
      </c>
      <c r="I426" s="281">
        <v>-1500000</v>
      </c>
      <c r="J426" s="282"/>
      <c r="K426" s="7"/>
    </row>
    <row r="427" spans="1:11" ht="15.75" hidden="1" customHeight="1" x14ac:dyDescent="0.3">
      <c r="A427" s="288" t="s">
        <v>628</v>
      </c>
      <c r="B427" s="288">
        <v>34</v>
      </c>
      <c r="C427" s="289" t="s">
        <v>36</v>
      </c>
      <c r="D427" s="288" t="s">
        <v>320</v>
      </c>
      <c r="E427" s="290"/>
      <c r="F427" s="289" t="s">
        <v>321</v>
      </c>
      <c r="G427" s="291">
        <v>1500000</v>
      </c>
      <c r="H427" s="291">
        <v>3230226.41</v>
      </c>
      <c r="I427" s="292">
        <v>-1730226.41</v>
      </c>
      <c r="J427" s="292">
        <v>1730226.41</v>
      </c>
      <c r="K427" s="293">
        <v>0</v>
      </c>
    </row>
    <row r="428" spans="1:11" ht="15.75" hidden="1" customHeight="1" x14ac:dyDescent="0.3">
      <c r="A428" s="278" t="s">
        <v>628</v>
      </c>
      <c r="B428" s="279">
        <v>35</v>
      </c>
      <c r="C428" s="278" t="s">
        <v>37</v>
      </c>
      <c r="D428" s="279" t="s">
        <v>313</v>
      </c>
      <c r="E428" s="278" t="s">
        <v>691</v>
      </c>
      <c r="F428" s="278" t="s">
        <v>692</v>
      </c>
      <c r="G428" s="280">
        <v>0</v>
      </c>
      <c r="H428" s="280">
        <v>500000</v>
      </c>
      <c r="I428" s="281">
        <v>-500000</v>
      </c>
      <c r="J428" s="282"/>
      <c r="K428" s="7"/>
    </row>
    <row r="429" spans="1:11" ht="15.75" hidden="1" customHeight="1" x14ac:dyDescent="0.3">
      <c r="A429" s="283" t="s">
        <v>628</v>
      </c>
      <c r="B429" s="284">
        <v>35</v>
      </c>
      <c r="C429" s="283" t="s">
        <v>37</v>
      </c>
      <c r="D429" s="284" t="s">
        <v>313</v>
      </c>
      <c r="E429" s="283"/>
      <c r="F429" s="283" t="s">
        <v>693</v>
      </c>
      <c r="G429" s="285">
        <v>0</v>
      </c>
      <c r="H429" s="285">
        <v>500000</v>
      </c>
      <c r="I429" s="286">
        <v>-500000</v>
      </c>
      <c r="J429" s="287"/>
      <c r="K429" s="7"/>
    </row>
    <row r="430" spans="1:11" ht="15.75" hidden="1" customHeight="1" x14ac:dyDescent="0.3">
      <c r="A430" s="288" t="s">
        <v>628</v>
      </c>
      <c r="B430" s="288">
        <v>35</v>
      </c>
      <c r="C430" s="289" t="s">
        <v>37</v>
      </c>
      <c r="D430" s="288" t="s">
        <v>320</v>
      </c>
      <c r="E430" s="290"/>
      <c r="F430" s="289" t="s">
        <v>321</v>
      </c>
      <c r="G430" s="291">
        <v>0</v>
      </c>
      <c r="H430" s="291">
        <v>1000000</v>
      </c>
      <c r="I430" s="292">
        <v>-1000000</v>
      </c>
      <c r="J430" s="292">
        <v>1000000</v>
      </c>
      <c r="K430" s="293">
        <v>0</v>
      </c>
    </row>
    <row r="431" spans="1:11" ht="15.75" hidden="1" customHeight="1" x14ac:dyDescent="0.3">
      <c r="A431" s="278" t="s">
        <v>628</v>
      </c>
      <c r="B431" s="279">
        <v>38</v>
      </c>
      <c r="C431" s="278" t="s">
        <v>39</v>
      </c>
      <c r="D431" s="279" t="s">
        <v>313</v>
      </c>
      <c r="E431" s="278" t="s">
        <v>399</v>
      </c>
      <c r="F431" s="278" t="s">
        <v>694</v>
      </c>
      <c r="G431" s="280">
        <v>0</v>
      </c>
      <c r="H431" s="280">
        <v>12034640.49</v>
      </c>
      <c r="I431" s="281">
        <v>-12034640.49</v>
      </c>
      <c r="J431" s="282"/>
      <c r="K431" s="7"/>
    </row>
    <row r="432" spans="1:11" ht="15.75" hidden="1" customHeight="1" x14ac:dyDescent="0.3">
      <c r="A432" s="283" t="s">
        <v>628</v>
      </c>
      <c r="B432" s="284">
        <v>38</v>
      </c>
      <c r="C432" s="283" t="s">
        <v>39</v>
      </c>
      <c r="D432" s="284" t="s">
        <v>313</v>
      </c>
      <c r="E432" s="283" t="s">
        <v>399</v>
      </c>
      <c r="F432" s="283" t="s">
        <v>695</v>
      </c>
      <c r="G432" s="285">
        <v>0</v>
      </c>
      <c r="H432" s="285">
        <v>12034640.49</v>
      </c>
      <c r="I432" s="286">
        <v>-12034640.49</v>
      </c>
      <c r="J432" s="287"/>
      <c r="K432" s="7"/>
    </row>
    <row r="433" spans="1:11" ht="15.75" hidden="1" customHeight="1" x14ac:dyDescent="0.3">
      <c r="A433" s="278" t="s">
        <v>628</v>
      </c>
      <c r="B433" s="279">
        <v>38</v>
      </c>
      <c r="C433" s="278" t="s">
        <v>39</v>
      </c>
      <c r="D433" s="279" t="s">
        <v>313</v>
      </c>
      <c r="E433" s="278" t="s">
        <v>399</v>
      </c>
      <c r="F433" s="278" t="s">
        <v>695</v>
      </c>
      <c r="G433" s="280">
        <v>0</v>
      </c>
      <c r="H433" s="280">
        <v>12034640.49</v>
      </c>
      <c r="I433" s="281">
        <v>-12034640.49</v>
      </c>
      <c r="J433" s="282"/>
      <c r="K433" s="7"/>
    </row>
    <row r="434" spans="1:11" ht="15.75" hidden="1" customHeight="1" x14ac:dyDescent="0.3">
      <c r="A434" s="283" t="s">
        <v>628</v>
      </c>
      <c r="B434" s="284">
        <v>38</v>
      </c>
      <c r="C434" s="283" t="s">
        <v>39</v>
      </c>
      <c r="D434" s="284" t="s">
        <v>313</v>
      </c>
      <c r="E434" s="283"/>
      <c r="F434" s="283" t="s">
        <v>696</v>
      </c>
      <c r="G434" s="285">
        <v>11164531</v>
      </c>
      <c r="H434" s="285">
        <v>0</v>
      </c>
      <c r="I434" s="286">
        <v>11164531</v>
      </c>
      <c r="J434" s="287"/>
      <c r="K434" s="7"/>
    </row>
    <row r="435" spans="1:11" ht="15.75" hidden="1" customHeight="1" x14ac:dyDescent="0.3">
      <c r="A435" s="278" t="s">
        <v>628</v>
      </c>
      <c r="B435" s="279">
        <v>38</v>
      </c>
      <c r="C435" s="278" t="s">
        <v>39</v>
      </c>
      <c r="D435" s="279" t="s">
        <v>313</v>
      </c>
      <c r="E435" s="278"/>
      <c r="F435" s="278" t="s">
        <v>697</v>
      </c>
      <c r="G435" s="280">
        <v>0</v>
      </c>
      <c r="H435" s="280">
        <v>12034640</v>
      </c>
      <c r="I435" s="281">
        <v>-12034640</v>
      </c>
      <c r="J435" s="282"/>
      <c r="K435" s="7"/>
    </row>
    <row r="436" spans="1:11" ht="15.75" hidden="1" customHeight="1" x14ac:dyDescent="0.3">
      <c r="A436" s="288" t="s">
        <v>628</v>
      </c>
      <c r="B436" s="288">
        <v>38</v>
      </c>
      <c r="C436" s="289" t="s">
        <v>39</v>
      </c>
      <c r="D436" s="288" t="s">
        <v>320</v>
      </c>
      <c r="E436" s="290"/>
      <c r="F436" s="289" t="s">
        <v>321</v>
      </c>
      <c r="G436" s="291">
        <v>11164531</v>
      </c>
      <c r="H436" s="291">
        <v>48138561.469999999</v>
      </c>
      <c r="I436" s="292">
        <v>-36974030.469999999</v>
      </c>
      <c r="J436" s="292">
        <v>36974028.890000001</v>
      </c>
      <c r="K436" s="294">
        <v>1.5799999982118611</v>
      </c>
    </row>
    <row r="437" spans="1:11" ht="15.75" hidden="1" customHeight="1" x14ac:dyDescent="0.3">
      <c r="A437" s="278" t="s">
        <v>628</v>
      </c>
      <c r="B437" s="279">
        <v>41</v>
      </c>
      <c r="C437" s="278" t="s">
        <v>41</v>
      </c>
      <c r="D437" s="279" t="s">
        <v>403</v>
      </c>
      <c r="E437" s="278"/>
      <c r="F437" s="278" t="s">
        <v>698</v>
      </c>
      <c r="G437" s="280">
        <v>0</v>
      </c>
      <c r="H437" s="280">
        <v>120619546.86</v>
      </c>
      <c r="I437" s="281">
        <v>-120619546.86</v>
      </c>
      <c r="J437" s="282"/>
      <c r="K437" s="7"/>
    </row>
    <row r="438" spans="1:11" ht="15.75" hidden="1" customHeight="1" x14ac:dyDescent="0.3">
      <c r="A438" s="283" t="s">
        <v>628</v>
      </c>
      <c r="B438" s="284">
        <v>41</v>
      </c>
      <c r="C438" s="283" t="s">
        <v>41</v>
      </c>
      <c r="D438" s="284" t="s">
        <v>403</v>
      </c>
      <c r="E438" s="283"/>
      <c r="F438" s="283" t="s">
        <v>699</v>
      </c>
      <c r="G438" s="285">
        <v>120619546.86</v>
      </c>
      <c r="H438" s="285">
        <v>0</v>
      </c>
      <c r="I438" s="286">
        <v>120619546.86</v>
      </c>
      <c r="J438" s="287"/>
      <c r="K438" s="7"/>
    </row>
    <row r="439" spans="1:11" ht="15.75" hidden="1" customHeight="1" x14ac:dyDescent="0.3">
      <c r="A439" s="278" t="s">
        <v>628</v>
      </c>
      <c r="B439" s="279">
        <v>41</v>
      </c>
      <c r="C439" s="278" t="s">
        <v>41</v>
      </c>
      <c r="D439" s="279" t="s">
        <v>403</v>
      </c>
      <c r="E439" s="278"/>
      <c r="F439" s="278" t="s">
        <v>700</v>
      </c>
      <c r="G439" s="280">
        <v>124410617.45999999</v>
      </c>
      <c r="H439" s="280">
        <v>0</v>
      </c>
      <c r="I439" s="281">
        <v>124410617.45999999</v>
      </c>
      <c r="J439" s="282"/>
      <c r="K439" s="7"/>
    </row>
    <row r="440" spans="1:11" ht="15.75" hidden="1" customHeight="1" x14ac:dyDescent="0.3">
      <c r="A440" s="288" t="s">
        <v>628</v>
      </c>
      <c r="B440" s="288">
        <v>41</v>
      </c>
      <c r="C440" s="289" t="s">
        <v>41</v>
      </c>
      <c r="D440" s="288" t="s">
        <v>320</v>
      </c>
      <c r="E440" s="290"/>
      <c r="F440" s="289" t="s">
        <v>321</v>
      </c>
      <c r="G440" s="291">
        <v>245030164.31999999</v>
      </c>
      <c r="H440" s="291">
        <v>120619546.86</v>
      </c>
      <c r="I440" s="292">
        <v>124410617.45999999</v>
      </c>
      <c r="J440" s="292">
        <v>-124410617</v>
      </c>
      <c r="K440" s="293">
        <v>0.45999999344348907</v>
      </c>
    </row>
    <row r="441" spans="1:11" ht="15.75" hidden="1" customHeight="1" x14ac:dyDescent="0.3">
      <c r="A441" s="278" t="s">
        <v>628</v>
      </c>
      <c r="B441" s="279">
        <v>47</v>
      </c>
      <c r="C441" s="278" t="s">
        <v>50</v>
      </c>
      <c r="D441" s="279" t="s">
        <v>405</v>
      </c>
      <c r="E441" s="278" t="s">
        <v>406</v>
      </c>
      <c r="F441" s="278" t="s">
        <v>701</v>
      </c>
      <c r="G441" s="280">
        <v>6728550</v>
      </c>
      <c r="H441" s="280">
        <v>0</v>
      </c>
      <c r="I441" s="281">
        <v>6728550</v>
      </c>
      <c r="J441" s="282"/>
      <c r="K441" s="7"/>
    </row>
    <row r="442" spans="1:11" ht="15.75" hidden="1" customHeight="1" x14ac:dyDescent="0.3">
      <c r="A442" s="283" t="s">
        <v>628</v>
      </c>
      <c r="B442" s="284">
        <v>47</v>
      </c>
      <c r="C442" s="283" t="s">
        <v>50</v>
      </c>
      <c r="D442" s="284" t="s">
        <v>405</v>
      </c>
      <c r="E442" s="283" t="s">
        <v>406</v>
      </c>
      <c r="F442" s="283" t="s">
        <v>702</v>
      </c>
      <c r="G442" s="285">
        <v>0</v>
      </c>
      <c r="H442" s="285">
        <v>1168133.48</v>
      </c>
      <c r="I442" s="286">
        <v>-1168133.48</v>
      </c>
      <c r="J442" s="287"/>
      <c r="K442" s="7"/>
    </row>
    <row r="443" spans="1:11" ht="15.75" hidden="1" customHeight="1" x14ac:dyDescent="0.3">
      <c r="A443" s="288" t="s">
        <v>628</v>
      </c>
      <c r="B443" s="288">
        <v>47</v>
      </c>
      <c r="C443" s="289" t="s">
        <v>50</v>
      </c>
      <c r="D443" s="288" t="s">
        <v>320</v>
      </c>
      <c r="E443" s="290"/>
      <c r="F443" s="289" t="s">
        <v>321</v>
      </c>
      <c r="G443" s="291">
        <v>6728550</v>
      </c>
      <c r="H443" s="291">
        <v>1168133.48</v>
      </c>
      <c r="I443" s="292">
        <v>5560416.5199999996</v>
      </c>
      <c r="J443" s="292">
        <v>5560417</v>
      </c>
      <c r="K443" s="293">
        <v>-0.48000000044703478</v>
      </c>
    </row>
    <row r="444" spans="1:11" ht="15.75" hidden="1" customHeight="1" x14ac:dyDescent="0.3">
      <c r="A444" s="278" t="s">
        <v>628</v>
      </c>
      <c r="B444" s="279">
        <v>48</v>
      </c>
      <c r="C444" s="278" t="s">
        <v>50</v>
      </c>
      <c r="D444" s="279" t="s">
        <v>409</v>
      </c>
      <c r="E444" s="278" t="s">
        <v>406</v>
      </c>
      <c r="F444" s="278" t="s">
        <v>703</v>
      </c>
      <c r="G444" s="280">
        <v>5700000</v>
      </c>
      <c r="H444" s="280">
        <v>0</v>
      </c>
      <c r="I444" s="281">
        <v>5700000</v>
      </c>
      <c r="J444" s="282"/>
      <c r="K444" s="7"/>
    </row>
    <row r="445" spans="1:11" ht="15.75" hidden="1" customHeight="1" x14ac:dyDescent="0.3">
      <c r="A445" s="283" t="s">
        <v>628</v>
      </c>
      <c r="B445" s="284">
        <v>48</v>
      </c>
      <c r="C445" s="283" t="s">
        <v>50</v>
      </c>
      <c r="D445" s="284" t="s">
        <v>409</v>
      </c>
      <c r="E445" s="283" t="s">
        <v>406</v>
      </c>
      <c r="F445" s="283" t="s">
        <v>704</v>
      </c>
      <c r="G445" s="285">
        <v>0</v>
      </c>
      <c r="H445" s="285">
        <v>570000</v>
      </c>
      <c r="I445" s="286">
        <v>-570000</v>
      </c>
      <c r="J445" s="287"/>
      <c r="K445" s="7"/>
    </row>
    <row r="446" spans="1:11" ht="15.75" hidden="1" customHeight="1" x14ac:dyDescent="0.3">
      <c r="A446" s="288" t="s">
        <v>628</v>
      </c>
      <c r="B446" s="288">
        <v>48</v>
      </c>
      <c r="C446" s="289" t="s">
        <v>50</v>
      </c>
      <c r="D446" s="288" t="s">
        <v>320</v>
      </c>
      <c r="E446" s="290"/>
      <c r="F446" s="289" t="s">
        <v>321</v>
      </c>
      <c r="G446" s="291">
        <v>5700000</v>
      </c>
      <c r="H446" s="291">
        <v>570000</v>
      </c>
      <c r="I446" s="292">
        <v>5130000</v>
      </c>
      <c r="J446" s="292">
        <v>5130000</v>
      </c>
      <c r="K446" s="293">
        <v>0</v>
      </c>
    </row>
    <row r="447" spans="1:11" ht="15.75" hidden="1" customHeight="1" x14ac:dyDescent="0.3">
      <c r="A447" s="278" t="s">
        <v>628</v>
      </c>
      <c r="B447" s="279">
        <v>53</v>
      </c>
      <c r="C447" s="278" t="s">
        <v>60</v>
      </c>
      <c r="D447" s="279" t="s">
        <v>409</v>
      </c>
      <c r="E447" s="278"/>
      <c r="F447" s="278" t="s">
        <v>705</v>
      </c>
      <c r="G447" s="280">
        <v>0</v>
      </c>
      <c r="H447" s="280">
        <v>25143521</v>
      </c>
      <c r="I447" s="281">
        <v>-25143521</v>
      </c>
      <c r="J447" s="282"/>
      <c r="K447" s="7"/>
    </row>
    <row r="448" spans="1:11" ht="15.75" hidden="1" customHeight="1" x14ac:dyDescent="0.3">
      <c r="A448" s="283" t="s">
        <v>628</v>
      </c>
      <c r="B448" s="284">
        <v>53</v>
      </c>
      <c r="C448" s="283" t="s">
        <v>60</v>
      </c>
      <c r="D448" s="284" t="s">
        <v>409</v>
      </c>
      <c r="E448" s="283" t="s">
        <v>413</v>
      </c>
      <c r="F448" s="283" t="s">
        <v>706</v>
      </c>
      <c r="G448" s="285">
        <v>22732990.609999999</v>
      </c>
      <c r="H448" s="285">
        <v>0</v>
      </c>
      <c r="I448" s="286">
        <v>22732990.609999999</v>
      </c>
      <c r="J448" s="287"/>
      <c r="K448" s="7"/>
    </row>
    <row r="449" spans="1:11" ht="15.75" hidden="1" customHeight="1" x14ac:dyDescent="0.3">
      <c r="A449" s="278" t="s">
        <v>628</v>
      </c>
      <c r="B449" s="279">
        <v>53</v>
      </c>
      <c r="C449" s="278" t="s">
        <v>60</v>
      </c>
      <c r="D449" s="279" t="s">
        <v>409</v>
      </c>
      <c r="E449" s="278" t="s">
        <v>413</v>
      </c>
      <c r="F449" s="278" t="s">
        <v>707</v>
      </c>
      <c r="G449" s="280">
        <v>2410530.36</v>
      </c>
      <c r="H449" s="280">
        <v>0</v>
      </c>
      <c r="I449" s="281">
        <v>2410530.36</v>
      </c>
      <c r="J449" s="282"/>
      <c r="K449" s="7"/>
    </row>
    <row r="450" spans="1:11" ht="15.75" hidden="1" customHeight="1" x14ac:dyDescent="0.3">
      <c r="A450" s="283" t="s">
        <v>628</v>
      </c>
      <c r="B450" s="284">
        <v>53</v>
      </c>
      <c r="C450" s="283" t="s">
        <v>60</v>
      </c>
      <c r="D450" s="284" t="s">
        <v>409</v>
      </c>
      <c r="E450" s="283"/>
      <c r="F450" s="283" t="s">
        <v>708</v>
      </c>
      <c r="G450" s="285">
        <v>24913963</v>
      </c>
      <c r="H450" s="285">
        <v>0</v>
      </c>
      <c r="I450" s="286">
        <v>24913963</v>
      </c>
      <c r="J450" s="287"/>
      <c r="K450" s="7"/>
    </row>
    <row r="451" spans="1:11" ht="15.75" hidden="1" customHeight="1" x14ac:dyDescent="0.3">
      <c r="A451" s="288" t="s">
        <v>628</v>
      </c>
      <c r="B451" s="288">
        <v>53</v>
      </c>
      <c r="C451" s="289" t="s">
        <v>60</v>
      </c>
      <c r="D451" s="288" t="s">
        <v>320</v>
      </c>
      <c r="E451" s="290"/>
      <c r="F451" s="289" t="s">
        <v>321</v>
      </c>
      <c r="G451" s="291">
        <v>50057483.969999999</v>
      </c>
      <c r="H451" s="291">
        <v>25143521</v>
      </c>
      <c r="I451" s="292">
        <v>24913962.969999999</v>
      </c>
      <c r="J451" s="292">
        <v>2183972</v>
      </c>
      <c r="K451" s="294">
        <v>22729990.969999999</v>
      </c>
    </row>
    <row r="452" spans="1:11" ht="15.75" hidden="1" customHeight="1" x14ac:dyDescent="0.3">
      <c r="A452" s="278" t="s">
        <v>628</v>
      </c>
      <c r="B452" s="279">
        <v>54</v>
      </c>
      <c r="C452" s="278" t="s">
        <v>50</v>
      </c>
      <c r="D452" s="279" t="s">
        <v>418</v>
      </c>
      <c r="E452" s="278"/>
      <c r="F452" s="278" t="s">
        <v>709</v>
      </c>
      <c r="G452" s="280">
        <v>343167.67</v>
      </c>
      <c r="H452" s="280">
        <v>0</v>
      </c>
      <c r="I452" s="281">
        <v>343167.67</v>
      </c>
      <c r="J452" s="282"/>
      <c r="K452" s="7"/>
    </row>
    <row r="453" spans="1:11" ht="15.75" hidden="1" customHeight="1" x14ac:dyDescent="0.3">
      <c r="A453" s="283" t="s">
        <v>628</v>
      </c>
      <c r="B453" s="284">
        <v>54</v>
      </c>
      <c r="C453" s="283" t="s">
        <v>50</v>
      </c>
      <c r="D453" s="284" t="s">
        <v>418</v>
      </c>
      <c r="E453" s="283"/>
      <c r="F453" s="283" t="s">
        <v>710</v>
      </c>
      <c r="G453" s="285">
        <v>365230.46</v>
      </c>
      <c r="H453" s="285">
        <v>0</v>
      </c>
      <c r="I453" s="286">
        <v>365230.46</v>
      </c>
      <c r="J453" s="287"/>
      <c r="K453" s="7"/>
    </row>
    <row r="454" spans="1:11" ht="15.75" hidden="1" customHeight="1" x14ac:dyDescent="0.3">
      <c r="A454" s="278" t="s">
        <v>628</v>
      </c>
      <c r="B454" s="279">
        <v>54</v>
      </c>
      <c r="C454" s="278" t="s">
        <v>50</v>
      </c>
      <c r="D454" s="279" t="s">
        <v>418</v>
      </c>
      <c r="E454" s="278"/>
      <c r="F454" s="278" t="s">
        <v>711</v>
      </c>
      <c r="G454" s="280">
        <v>354986.14</v>
      </c>
      <c r="H454" s="280">
        <v>0</v>
      </c>
      <c r="I454" s="281">
        <v>354986.14</v>
      </c>
      <c r="J454" s="282"/>
      <c r="K454" s="7"/>
    </row>
    <row r="455" spans="1:11" ht="15.75" hidden="1" customHeight="1" x14ac:dyDescent="0.3">
      <c r="A455" s="288" t="s">
        <v>628</v>
      </c>
      <c r="B455" s="288">
        <v>54</v>
      </c>
      <c r="C455" s="289" t="s">
        <v>50</v>
      </c>
      <c r="D455" s="288" t="s">
        <v>320</v>
      </c>
      <c r="E455" s="290"/>
      <c r="F455" s="289" t="s">
        <v>321</v>
      </c>
      <c r="G455" s="291">
        <v>1063384.27</v>
      </c>
      <c r="H455" s="291">
        <v>0</v>
      </c>
      <c r="I455" s="292">
        <v>1063384.27</v>
      </c>
      <c r="J455" s="292">
        <v>1063384.27</v>
      </c>
      <c r="K455" s="293">
        <v>0</v>
      </c>
    </row>
    <row r="456" spans="1:11" ht="15.75" hidden="1" customHeight="1" x14ac:dyDescent="0.3">
      <c r="A456" s="278" t="s">
        <v>628</v>
      </c>
      <c r="B456" s="279">
        <v>59</v>
      </c>
      <c r="C456" s="278" t="s">
        <v>66</v>
      </c>
      <c r="D456" s="279" t="s">
        <v>422</v>
      </c>
      <c r="E456" s="278" t="s">
        <v>423</v>
      </c>
      <c r="F456" s="278" t="s">
        <v>712</v>
      </c>
      <c r="G456" s="280">
        <v>477797</v>
      </c>
      <c r="H456" s="280">
        <v>0</v>
      </c>
      <c r="I456" s="281">
        <v>477797</v>
      </c>
      <c r="J456" s="282"/>
      <c r="K456" s="7"/>
    </row>
    <row r="457" spans="1:11" ht="15.75" hidden="1" customHeight="1" x14ac:dyDescent="0.3">
      <c r="A457" s="288" t="s">
        <v>628</v>
      </c>
      <c r="B457" s="288">
        <v>59</v>
      </c>
      <c r="C457" s="289" t="s">
        <v>66</v>
      </c>
      <c r="D457" s="288" t="s">
        <v>320</v>
      </c>
      <c r="E457" s="290"/>
      <c r="F457" s="289" t="s">
        <v>321</v>
      </c>
      <c r="G457" s="291">
        <v>477797</v>
      </c>
      <c r="H457" s="291">
        <v>0</v>
      </c>
      <c r="I457" s="292">
        <v>477797</v>
      </c>
      <c r="J457" s="292">
        <v>477797</v>
      </c>
      <c r="K457" s="293">
        <v>0</v>
      </c>
    </row>
    <row r="458" spans="1:11" ht="15.75" hidden="1" customHeight="1" x14ac:dyDescent="0.3">
      <c r="A458" s="278" t="s">
        <v>628</v>
      </c>
      <c r="B458" s="279">
        <v>60</v>
      </c>
      <c r="C458" s="278" t="s">
        <v>68</v>
      </c>
      <c r="D458" s="279" t="s">
        <v>422</v>
      </c>
      <c r="E458" s="278" t="s">
        <v>428</v>
      </c>
      <c r="F458" s="278" t="s">
        <v>713</v>
      </c>
      <c r="G458" s="280">
        <v>0</v>
      </c>
      <c r="H458" s="280">
        <v>50820</v>
      </c>
      <c r="I458" s="281">
        <v>-50820</v>
      </c>
      <c r="J458" s="282"/>
      <c r="K458" s="7"/>
    </row>
    <row r="459" spans="1:11" ht="15.75" hidden="1" customHeight="1" x14ac:dyDescent="0.3">
      <c r="A459" s="283" t="s">
        <v>628</v>
      </c>
      <c r="B459" s="284">
        <v>60</v>
      </c>
      <c r="C459" s="283" t="s">
        <v>68</v>
      </c>
      <c r="D459" s="284" t="s">
        <v>422</v>
      </c>
      <c r="E459" s="283" t="s">
        <v>428</v>
      </c>
      <c r="F459" s="283" t="s">
        <v>714</v>
      </c>
      <c r="G459" s="285">
        <v>852000</v>
      </c>
      <c r="H459" s="285">
        <v>0</v>
      </c>
      <c r="I459" s="286">
        <v>852000</v>
      </c>
      <c r="J459" s="287"/>
      <c r="K459" s="7"/>
    </row>
    <row r="460" spans="1:11" ht="15.75" hidden="1" customHeight="1" x14ac:dyDescent="0.3">
      <c r="A460" s="288" t="s">
        <v>628</v>
      </c>
      <c r="B460" s="288">
        <v>60</v>
      </c>
      <c r="C460" s="289" t="s">
        <v>68</v>
      </c>
      <c r="D460" s="288" t="s">
        <v>320</v>
      </c>
      <c r="E460" s="290"/>
      <c r="F460" s="289" t="s">
        <v>321</v>
      </c>
      <c r="G460" s="291">
        <v>852000</v>
      </c>
      <c r="H460" s="291">
        <v>50820</v>
      </c>
      <c r="I460" s="292">
        <v>801180</v>
      </c>
      <c r="J460" s="292">
        <v>801180</v>
      </c>
      <c r="K460" s="293">
        <v>0</v>
      </c>
    </row>
    <row r="461" spans="1:11" ht="15.75" hidden="1" customHeight="1" x14ac:dyDescent="0.3">
      <c r="A461" s="278" t="s">
        <v>628</v>
      </c>
      <c r="B461" s="279">
        <v>61</v>
      </c>
      <c r="C461" s="278" t="s">
        <v>70</v>
      </c>
      <c r="D461" s="279" t="s">
        <v>405</v>
      </c>
      <c r="E461" s="278"/>
      <c r="F461" s="278" t="s">
        <v>715</v>
      </c>
      <c r="G461" s="280">
        <v>0</v>
      </c>
      <c r="H461" s="280">
        <v>1740420</v>
      </c>
      <c r="I461" s="281">
        <v>-1740420</v>
      </c>
      <c r="J461" s="282"/>
      <c r="K461" s="7"/>
    </row>
    <row r="462" spans="1:11" ht="15.75" hidden="1" customHeight="1" x14ac:dyDescent="0.3">
      <c r="A462" s="283" t="s">
        <v>628</v>
      </c>
      <c r="B462" s="284">
        <v>61</v>
      </c>
      <c r="C462" s="283" t="s">
        <v>70</v>
      </c>
      <c r="D462" s="284" t="s">
        <v>405</v>
      </c>
      <c r="E462" s="283" t="s">
        <v>614</v>
      </c>
      <c r="F462" s="283" t="s">
        <v>716</v>
      </c>
      <c r="G462" s="285">
        <v>556776</v>
      </c>
      <c r="H462" s="285">
        <v>0</v>
      </c>
      <c r="I462" s="286">
        <v>556776</v>
      </c>
      <c r="J462" s="287"/>
      <c r="K462" s="7"/>
    </row>
    <row r="463" spans="1:11" ht="15.75" hidden="1" customHeight="1" x14ac:dyDescent="0.3">
      <c r="A463" s="278" t="s">
        <v>628</v>
      </c>
      <c r="B463" s="279">
        <v>61</v>
      </c>
      <c r="C463" s="278" t="s">
        <v>70</v>
      </c>
      <c r="D463" s="279" t="s">
        <v>405</v>
      </c>
      <c r="E463" s="278" t="s">
        <v>614</v>
      </c>
      <c r="F463" s="278" t="s">
        <v>717</v>
      </c>
      <c r="G463" s="280">
        <v>573648</v>
      </c>
      <c r="H463" s="280">
        <v>0</v>
      </c>
      <c r="I463" s="281">
        <v>573648</v>
      </c>
      <c r="J463" s="282"/>
      <c r="K463" s="7"/>
    </row>
    <row r="464" spans="1:11" ht="15.75" hidden="1" customHeight="1" x14ac:dyDescent="0.3">
      <c r="A464" s="283" t="s">
        <v>628</v>
      </c>
      <c r="B464" s="284">
        <v>61</v>
      </c>
      <c r="C464" s="283" t="s">
        <v>70</v>
      </c>
      <c r="D464" s="284" t="s">
        <v>405</v>
      </c>
      <c r="E464" s="283"/>
      <c r="F464" s="283" t="s">
        <v>718</v>
      </c>
      <c r="G464" s="285">
        <v>579360</v>
      </c>
      <c r="H464" s="285">
        <v>0</v>
      </c>
      <c r="I464" s="286">
        <v>579360</v>
      </c>
      <c r="J464" s="287"/>
      <c r="K464" s="7"/>
    </row>
    <row r="465" spans="1:11" ht="15.75" hidden="1" customHeight="1" x14ac:dyDescent="0.3">
      <c r="A465" s="288" t="s">
        <v>628</v>
      </c>
      <c r="B465" s="288">
        <v>61</v>
      </c>
      <c r="C465" s="289" t="s">
        <v>70</v>
      </c>
      <c r="D465" s="288" t="s">
        <v>320</v>
      </c>
      <c r="E465" s="290"/>
      <c r="F465" s="289" t="s">
        <v>321</v>
      </c>
      <c r="G465" s="291">
        <v>1709784</v>
      </c>
      <c r="H465" s="291">
        <v>1740420</v>
      </c>
      <c r="I465" s="292">
        <v>-30636</v>
      </c>
      <c r="J465" s="292">
        <v>-30636</v>
      </c>
      <c r="K465" s="293">
        <v>0</v>
      </c>
    </row>
    <row r="466" spans="1:11" ht="15.75" hidden="1" customHeight="1" x14ac:dyDescent="0.3">
      <c r="A466" s="278" t="s">
        <v>628</v>
      </c>
      <c r="B466" s="279">
        <v>64</v>
      </c>
      <c r="C466" s="278" t="s">
        <v>76</v>
      </c>
      <c r="D466" s="279" t="s">
        <v>405</v>
      </c>
      <c r="E466" s="278"/>
      <c r="F466" s="278" t="s">
        <v>719</v>
      </c>
      <c r="G466" s="280">
        <v>0</v>
      </c>
      <c r="H466" s="280">
        <v>637978</v>
      </c>
      <c r="I466" s="281">
        <v>-637978</v>
      </c>
      <c r="J466" s="282"/>
      <c r="K466" s="7"/>
    </row>
    <row r="467" spans="1:11" ht="15.75" hidden="1" customHeight="1" x14ac:dyDescent="0.3">
      <c r="A467" s="283" t="s">
        <v>628</v>
      </c>
      <c r="B467" s="284">
        <v>64</v>
      </c>
      <c r="C467" s="283" t="s">
        <v>76</v>
      </c>
      <c r="D467" s="284" t="s">
        <v>405</v>
      </c>
      <c r="E467" s="283" t="s">
        <v>433</v>
      </c>
      <c r="F467" s="283" t="s">
        <v>720</v>
      </c>
      <c r="G467" s="285">
        <v>599220.47999999998</v>
      </c>
      <c r="H467" s="285">
        <v>0</v>
      </c>
      <c r="I467" s="286">
        <v>599220.47999999998</v>
      </c>
      <c r="J467" s="287"/>
      <c r="K467" s="7"/>
    </row>
    <row r="468" spans="1:11" ht="15.75" hidden="1" customHeight="1" x14ac:dyDescent="0.3">
      <c r="A468" s="278" t="s">
        <v>628</v>
      </c>
      <c r="B468" s="279">
        <v>64</v>
      </c>
      <c r="C468" s="278" t="s">
        <v>76</v>
      </c>
      <c r="D468" s="279" t="s">
        <v>405</v>
      </c>
      <c r="E468" s="278"/>
      <c r="F468" s="278" t="s">
        <v>721</v>
      </c>
      <c r="G468" s="280">
        <v>618382</v>
      </c>
      <c r="H468" s="280">
        <v>0</v>
      </c>
      <c r="I468" s="281">
        <v>618382</v>
      </c>
      <c r="J468" s="282"/>
      <c r="K468" s="7"/>
    </row>
    <row r="469" spans="1:11" ht="15.75" hidden="1" customHeight="1" x14ac:dyDescent="0.3">
      <c r="A469" s="288" t="s">
        <v>628</v>
      </c>
      <c r="B469" s="288">
        <v>64</v>
      </c>
      <c r="C469" s="289" t="s">
        <v>76</v>
      </c>
      <c r="D469" s="288" t="s">
        <v>320</v>
      </c>
      <c r="E469" s="290"/>
      <c r="F469" s="289" t="s">
        <v>321</v>
      </c>
      <c r="G469" s="291">
        <v>1217602.48</v>
      </c>
      <c r="H469" s="291">
        <v>637978</v>
      </c>
      <c r="I469" s="292">
        <v>579624.48</v>
      </c>
      <c r="J469" s="292">
        <v>579624.48</v>
      </c>
      <c r="K469" s="293">
        <v>0</v>
      </c>
    </row>
    <row r="470" spans="1:11" ht="15.75" hidden="1" customHeight="1" x14ac:dyDescent="0.3">
      <c r="A470" s="278" t="s">
        <v>628</v>
      </c>
      <c r="B470" s="279">
        <v>65</v>
      </c>
      <c r="C470" s="278" t="s">
        <v>78</v>
      </c>
      <c r="D470" s="279" t="s">
        <v>405</v>
      </c>
      <c r="E470" s="278" t="s">
        <v>435</v>
      </c>
      <c r="F470" s="278" t="s">
        <v>722</v>
      </c>
      <c r="G470" s="280">
        <v>0</v>
      </c>
      <c r="H470" s="280">
        <v>637978.19999999995</v>
      </c>
      <c r="I470" s="281">
        <v>-637978.19999999995</v>
      </c>
      <c r="J470" s="282"/>
      <c r="K470" s="7"/>
    </row>
    <row r="471" spans="1:11" ht="15.75" hidden="1" customHeight="1" x14ac:dyDescent="0.3">
      <c r="A471" s="288" t="s">
        <v>628</v>
      </c>
      <c r="B471" s="288">
        <v>65</v>
      </c>
      <c r="C471" s="289" t="s">
        <v>78</v>
      </c>
      <c r="D471" s="288" t="s">
        <v>320</v>
      </c>
      <c r="E471" s="290"/>
      <c r="F471" s="289" t="s">
        <v>321</v>
      </c>
      <c r="G471" s="291">
        <v>0</v>
      </c>
      <c r="H471" s="291">
        <v>637978.19999999995</v>
      </c>
      <c r="I471" s="292">
        <v>-637978.19999999995</v>
      </c>
      <c r="J471" s="292">
        <v>0</v>
      </c>
      <c r="K471" s="294">
        <v>-637978.19999999995</v>
      </c>
    </row>
    <row r="472" spans="1:11" ht="15.75" hidden="1" customHeight="1" x14ac:dyDescent="0.3">
      <c r="A472" s="278" t="s">
        <v>628</v>
      </c>
      <c r="B472" s="279">
        <v>66</v>
      </c>
      <c r="C472" s="278" t="s">
        <v>80</v>
      </c>
      <c r="D472" s="279" t="s">
        <v>405</v>
      </c>
      <c r="E472" s="278" t="s">
        <v>438</v>
      </c>
      <c r="F472" s="278" t="s">
        <v>723</v>
      </c>
      <c r="G472" s="280">
        <v>443617.53</v>
      </c>
      <c r="H472" s="280">
        <v>0</v>
      </c>
      <c r="I472" s="281">
        <v>443617.53</v>
      </c>
      <c r="J472" s="282"/>
      <c r="K472" s="7"/>
    </row>
    <row r="473" spans="1:11" ht="15.75" hidden="1" customHeight="1" x14ac:dyDescent="0.3">
      <c r="A473" s="283" t="s">
        <v>628</v>
      </c>
      <c r="B473" s="284">
        <v>66</v>
      </c>
      <c r="C473" s="283" t="s">
        <v>80</v>
      </c>
      <c r="D473" s="284" t="s">
        <v>405</v>
      </c>
      <c r="E473" s="283" t="s">
        <v>438</v>
      </c>
      <c r="F473" s="283" t="s">
        <v>724</v>
      </c>
      <c r="G473" s="285">
        <v>17786.25</v>
      </c>
      <c r="H473" s="285">
        <v>0</v>
      </c>
      <c r="I473" s="286">
        <v>17786.25</v>
      </c>
      <c r="J473" s="287"/>
      <c r="K473" s="7"/>
    </row>
    <row r="474" spans="1:11" ht="15.75" hidden="1" customHeight="1" x14ac:dyDescent="0.3">
      <c r="A474" s="288" t="s">
        <v>628</v>
      </c>
      <c r="B474" s="288">
        <v>66</v>
      </c>
      <c r="C474" s="289" t="s">
        <v>80</v>
      </c>
      <c r="D474" s="288" t="s">
        <v>320</v>
      </c>
      <c r="E474" s="290"/>
      <c r="F474" s="289" t="s">
        <v>321</v>
      </c>
      <c r="G474" s="291">
        <v>461403.78</v>
      </c>
      <c r="H474" s="291">
        <v>0</v>
      </c>
      <c r="I474" s="292">
        <v>461403.78</v>
      </c>
      <c r="J474" s="292">
        <v>461403.78</v>
      </c>
      <c r="K474" s="293">
        <v>0</v>
      </c>
    </row>
    <row r="475" spans="1:11" ht="15.75" hidden="1" customHeight="1" x14ac:dyDescent="0.3">
      <c r="A475" s="278" t="s">
        <v>628</v>
      </c>
      <c r="B475" s="279">
        <v>69</v>
      </c>
      <c r="C475" s="278" t="s">
        <v>86</v>
      </c>
      <c r="D475" s="279" t="s">
        <v>405</v>
      </c>
      <c r="E475" s="278" t="s">
        <v>438</v>
      </c>
      <c r="F475" s="278" t="s">
        <v>725</v>
      </c>
      <c r="G475" s="280">
        <v>11727.32</v>
      </c>
      <c r="H475" s="280">
        <v>0</v>
      </c>
      <c r="I475" s="281">
        <v>11727.32</v>
      </c>
      <c r="J475" s="282"/>
      <c r="K475" s="7"/>
    </row>
    <row r="476" spans="1:11" ht="15.75" hidden="1" customHeight="1" x14ac:dyDescent="0.3">
      <c r="A476" s="288" t="s">
        <v>628</v>
      </c>
      <c r="B476" s="288">
        <v>69</v>
      </c>
      <c r="C476" s="289" t="s">
        <v>86</v>
      </c>
      <c r="D476" s="288" t="s">
        <v>320</v>
      </c>
      <c r="E476" s="290"/>
      <c r="F476" s="289" t="s">
        <v>321</v>
      </c>
      <c r="G476" s="291">
        <v>11727.32</v>
      </c>
      <c r="H476" s="291">
        <v>0</v>
      </c>
      <c r="I476" s="292">
        <v>11727.32</v>
      </c>
      <c r="J476" s="292">
        <v>11727.32</v>
      </c>
      <c r="K476" s="293">
        <v>0</v>
      </c>
    </row>
    <row r="477" spans="1:11" ht="15.75" hidden="1" customHeight="1" x14ac:dyDescent="0.3">
      <c r="A477" s="278" t="s">
        <v>628</v>
      </c>
      <c r="B477" s="279">
        <v>71</v>
      </c>
      <c r="C477" s="278" t="s">
        <v>89</v>
      </c>
      <c r="D477" s="279" t="s">
        <v>444</v>
      </c>
      <c r="E477" s="278"/>
      <c r="F477" s="278" t="s">
        <v>726</v>
      </c>
      <c r="G477" s="280">
        <v>3464932.49</v>
      </c>
      <c r="H477" s="280">
        <v>0</v>
      </c>
      <c r="I477" s="281">
        <v>3464932.49</v>
      </c>
      <c r="J477" s="282"/>
      <c r="K477" s="7"/>
    </row>
    <row r="478" spans="1:11" ht="15.75" hidden="1" customHeight="1" x14ac:dyDescent="0.3">
      <c r="A478" s="283" t="s">
        <v>628</v>
      </c>
      <c r="B478" s="284">
        <v>71</v>
      </c>
      <c r="C478" s="283" t="s">
        <v>89</v>
      </c>
      <c r="D478" s="284" t="s">
        <v>444</v>
      </c>
      <c r="E478" s="283"/>
      <c r="F478" s="283" t="s">
        <v>727</v>
      </c>
      <c r="G478" s="285">
        <v>1817356.27</v>
      </c>
      <c r="H478" s="285">
        <v>0</v>
      </c>
      <c r="I478" s="286">
        <v>1817356.27</v>
      </c>
      <c r="J478" s="287"/>
      <c r="K478" s="7"/>
    </row>
    <row r="479" spans="1:11" ht="15.75" hidden="1" customHeight="1" x14ac:dyDescent="0.3">
      <c r="A479" s="278" t="s">
        <v>628</v>
      </c>
      <c r="B479" s="279">
        <v>71</v>
      </c>
      <c r="C479" s="278" t="s">
        <v>89</v>
      </c>
      <c r="D479" s="279" t="s">
        <v>444</v>
      </c>
      <c r="E479" s="278"/>
      <c r="F479" s="278" t="s">
        <v>728</v>
      </c>
      <c r="G479" s="280">
        <v>40831.879999999997</v>
      </c>
      <c r="H479" s="280">
        <v>0</v>
      </c>
      <c r="I479" s="281">
        <v>40831.879999999997</v>
      </c>
      <c r="J479" s="282"/>
      <c r="K479" s="7"/>
    </row>
    <row r="480" spans="1:11" ht="15.75" hidden="1" customHeight="1" x14ac:dyDescent="0.3">
      <c r="A480" s="288" t="s">
        <v>628</v>
      </c>
      <c r="B480" s="288">
        <v>71</v>
      </c>
      <c r="C480" s="289" t="s">
        <v>89</v>
      </c>
      <c r="D480" s="288" t="s">
        <v>320</v>
      </c>
      <c r="E480" s="290"/>
      <c r="F480" s="289" t="s">
        <v>321</v>
      </c>
      <c r="G480" s="291">
        <v>5323120.6400000006</v>
      </c>
      <c r="H480" s="291">
        <v>0</v>
      </c>
      <c r="I480" s="292">
        <v>5323120.6400000006</v>
      </c>
      <c r="J480" s="292">
        <v>5323120.6399999997</v>
      </c>
      <c r="K480" s="293">
        <v>9.3132257461547852E-10</v>
      </c>
    </row>
    <row r="481" spans="1:11" ht="15.75" hidden="1" customHeight="1" x14ac:dyDescent="0.3">
      <c r="A481" s="278" t="s">
        <v>628</v>
      </c>
      <c r="B481" s="279">
        <v>76</v>
      </c>
      <c r="C481" s="278" t="s">
        <v>96</v>
      </c>
      <c r="D481" s="279" t="s">
        <v>448</v>
      </c>
      <c r="E481" s="278" t="s">
        <v>449</v>
      </c>
      <c r="F481" s="278" t="s">
        <v>729</v>
      </c>
      <c r="G481" s="280">
        <v>10500781.439999999</v>
      </c>
      <c r="H481" s="280">
        <v>0</v>
      </c>
      <c r="I481" s="281">
        <v>10500781.439999999</v>
      </c>
      <c r="J481" s="282"/>
      <c r="K481" s="7"/>
    </row>
    <row r="482" spans="1:11" ht="15.75" hidden="1" customHeight="1" x14ac:dyDescent="0.3">
      <c r="A482" s="288" t="s">
        <v>628</v>
      </c>
      <c r="B482" s="288">
        <v>76</v>
      </c>
      <c r="C482" s="289" t="s">
        <v>96</v>
      </c>
      <c r="D482" s="288" t="s">
        <v>320</v>
      </c>
      <c r="E482" s="290"/>
      <c r="F482" s="289" t="s">
        <v>321</v>
      </c>
      <c r="G482" s="291">
        <v>10500781.439999999</v>
      </c>
      <c r="H482" s="291">
        <v>0</v>
      </c>
      <c r="I482" s="292">
        <v>10500781.439999999</v>
      </c>
      <c r="J482" s="292">
        <v>10500781.439999999</v>
      </c>
      <c r="K482" s="293">
        <v>0</v>
      </c>
    </row>
    <row r="483" spans="1:11" ht="15.75" hidden="1" customHeight="1" x14ac:dyDescent="0.3">
      <c r="A483" s="278" t="s">
        <v>628</v>
      </c>
      <c r="B483" s="279">
        <v>78</v>
      </c>
      <c r="C483" s="278" t="s">
        <v>100</v>
      </c>
      <c r="D483" s="279" t="s">
        <v>451</v>
      </c>
      <c r="E483" s="278" t="s">
        <v>452</v>
      </c>
      <c r="F483" s="278" t="s">
        <v>730</v>
      </c>
      <c r="G483" s="280">
        <v>2128813</v>
      </c>
      <c r="H483" s="280">
        <v>0</v>
      </c>
      <c r="I483" s="281">
        <v>2128813</v>
      </c>
      <c r="J483" s="282"/>
      <c r="K483" s="7"/>
    </row>
    <row r="484" spans="1:11" ht="15.75" hidden="1" customHeight="1" x14ac:dyDescent="0.3">
      <c r="A484" s="288" t="s">
        <v>628</v>
      </c>
      <c r="B484" s="288">
        <v>78</v>
      </c>
      <c r="C484" s="289" t="s">
        <v>100</v>
      </c>
      <c r="D484" s="288" t="s">
        <v>320</v>
      </c>
      <c r="E484" s="290"/>
      <c r="F484" s="289" t="s">
        <v>321</v>
      </c>
      <c r="G484" s="291">
        <v>2128813</v>
      </c>
      <c r="H484" s="291">
        <v>0</v>
      </c>
      <c r="I484" s="292">
        <v>2128813</v>
      </c>
      <c r="J484" s="292">
        <v>2128813</v>
      </c>
      <c r="K484" s="293">
        <v>0</v>
      </c>
    </row>
    <row r="485" spans="1:11" ht="15.75" hidden="1" customHeight="1" x14ac:dyDescent="0.3">
      <c r="A485" s="278" t="s">
        <v>628</v>
      </c>
      <c r="B485" s="279">
        <v>82</v>
      </c>
      <c r="C485" s="278" t="s">
        <v>104</v>
      </c>
      <c r="D485" s="279" t="s">
        <v>451</v>
      </c>
      <c r="E485" s="278"/>
      <c r="F485" s="278" t="s">
        <v>731</v>
      </c>
      <c r="G485" s="280">
        <v>0</v>
      </c>
      <c r="H485" s="280">
        <v>11300000</v>
      </c>
      <c r="I485" s="281">
        <v>-11300000</v>
      </c>
      <c r="J485" s="282"/>
      <c r="K485" s="7"/>
    </row>
    <row r="486" spans="1:11" ht="15.75" hidden="1" customHeight="1" x14ac:dyDescent="0.3">
      <c r="A486" s="283" t="s">
        <v>628</v>
      </c>
      <c r="B486" s="284">
        <v>82</v>
      </c>
      <c r="C486" s="283" t="s">
        <v>104</v>
      </c>
      <c r="D486" s="284" t="s">
        <v>451</v>
      </c>
      <c r="E486" s="283" t="s">
        <v>455</v>
      </c>
      <c r="F486" s="283" t="s">
        <v>732</v>
      </c>
      <c r="G486" s="285">
        <v>8383626</v>
      </c>
      <c r="H486" s="285">
        <v>0</v>
      </c>
      <c r="I486" s="286">
        <v>8383626</v>
      </c>
      <c r="J486" s="287"/>
      <c r="K486" s="7"/>
    </row>
    <row r="487" spans="1:11" ht="15.75" hidden="1" customHeight="1" x14ac:dyDescent="0.3">
      <c r="A487" s="278" t="s">
        <v>628</v>
      </c>
      <c r="B487" s="279">
        <v>82</v>
      </c>
      <c r="C487" s="278" t="s">
        <v>104</v>
      </c>
      <c r="D487" s="279" t="s">
        <v>451</v>
      </c>
      <c r="E487" s="278" t="s">
        <v>455</v>
      </c>
      <c r="F487" s="278" t="s">
        <v>733</v>
      </c>
      <c r="G487" s="280">
        <v>3164020</v>
      </c>
      <c r="H487" s="280">
        <v>0</v>
      </c>
      <c r="I487" s="281">
        <v>3164020</v>
      </c>
      <c r="J487" s="282"/>
      <c r="K487" s="7"/>
    </row>
    <row r="488" spans="1:11" ht="15.75" hidden="1" customHeight="1" x14ac:dyDescent="0.3">
      <c r="A488" s="283" t="s">
        <v>628</v>
      </c>
      <c r="B488" s="284">
        <v>82</v>
      </c>
      <c r="C488" s="283" t="s">
        <v>104</v>
      </c>
      <c r="D488" s="284" t="s">
        <v>451</v>
      </c>
      <c r="E488" s="283"/>
      <c r="F488" s="283" t="s">
        <v>734</v>
      </c>
      <c r="G488" s="285">
        <v>11700000</v>
      </c>
      <c r="H488" s="285">
        <v>0</v>
      </c>
      <c r="I488" s="286">
        <v>11700000</v>
      </c>
      <c r="J488" s="287"/>
      <c r="K488" s="7"/>
    </row>
    <row r="489" spans="1:11" ht="15.75" hidden="1" customHeight="1" x14ac:dyDescent="0.3">
      <c r="A489" s="288" t="s">
        <v>628</v>
      </c>
      <c r="B489" s="288">
        <v>82</v>
      </c>
      <c r="C489" s="289" t="s">
        <v>104</v>
      </c>
      <c r="D489" s="288" t="s">
        <v>320</v>
      </c>
      <c r="E489" s="290"/>
      <c r="F489" s="289" t="s">
        <v>321</v>
      </c>
      <c r="G489" s="291">
        <v>23247646</v>
      </c>
      <c r="H489" s="291">
        <v>11300000</v>
      </c>
      <c r="I489" s="292">
        <v>11947646</v>
      </c>
      <c r="J489" s="292">
        <v>11947646</v>
      </c>
      <c r="K489" s="293">
        <v>0</v>
      </c>
    </row>
    <row r="490" spans="1:11" ht="15.75" hidden="1" customHeight="1" x14ac:dyDescent="0.3">
      <c r="A490" s="278" t="s">
        <v>628</v>
      </c>
      <c r="B490" s="279">
        <v>83</v>
      </c>
      <c r="C490" s="278" t="s">
        <v>107</v>
      </c>
      <c r="D490" s="279" t="s">
        <v>448</v>
      </c>
      <c r="E490" s="278" t="s">
        <v>459</v>
      </c>
      <c r="F490" s="278" t="s">
        <v>735</v>
      </c>
      <c r="G490" s="280">
        <v>6282207.7999999998</v>
      </c>
      <c r="H490" s="280">
        <v>0</v>
      </c>
      <c r="I490" s="281">
        <v>6282207.7999999998</v>
      </c>
      <c r="J490" s="282"/>
      <c r="K490" s="7"/>
    </row>
    <row r="491" spans="1:11" ht="15.75" hidden="1" customHeight="1" x14ac:dyDescent="0.3">
      <c r="A491" s="283" t="s">
        <v>628</v>
      </c>
      <c r="B491" s="284">
        <v>83</v>
      </c>
      <c r="C491" s="283" t="s">
        <v>107</v>
      </c>
      <c r="D491" s="284" t="s">
        <v>448</v>
      </c>
      <c r="E491" s="283" t="s">
        <v>459</v>
      </c>
      <c r="F491" s="283" t="s">
        <v>735</v>
      </c>
      <c r="G491" s="285">
        <v>0.22</v>
      </c>
      <c r="H491" s="285">
        <v>0</v>
      </c>
      <c r="I491" s="286">
        <v>0.22</v>
      </c>
      <c r="J491" s="287"/>
      <c r="K491" s="7"/>
    </row>
    <row r="492" spans="1:11" ht="15.75" hidden="1" customHeight="1" x14ac:dyDescent="0.3">
      <c r="A492" s="288" t="s">
        <v>628</v>
      </c>
      <c r="B492" s="288">
        <v>83</v>
      </c>
      <c r="C492" s="289" t="s">
        <v>107</v>
      </c>
      <c r="D492" s="288" t="s">
        <v>320</v>
      </c>
      <c r="E492" s="290"/>
      <c r="F492" s="289" t="s">
        <v>321</v>
      </c>
      <c r="G492" s="291">
        <v>6282208.0199999996</v>
      </c>
      <c r="H492" s="291">
        <v>0</v>
      </c>
      <c r="I492" s="292">
        <v>6282208.0199999996</v>
      </c>
      <c r="J492" s="292">
        <v>6282208</v>
      </c>
      <c r="K492" s="293">
        <v>1.9999999552965161E-2</v>
      </c>
    </row>
    <row r="493" spans="1:11" ht="15.75" hidden="1" customHeight="1" x14ac:dyDescent="0.3">
      <c r="A493" s="278" t="s">
        <v>628</v>
      </c>
      <c r="B493" s="279">
        <v>84</v>
      </c>
      <c r="C493" s="278" t="s">
        <v>110</v>
      </c>
      <c r="D493" s="279" t="s">
        <v>425</v>
      </c>
      <c r="E493" s="278"/>
      <c r="F493" s="278" t="s">
        <v>736</v>
      </c>
      <c r="G493" s="280">
        <v>0</v>
      </c>
      <c r="H493" s="280">
        <v>6235763</v>
      </c>
      <c r="I493" s="281">
        <v>-6235763</v>
      </c>
      <c r="J493" s="282"/>
      <c r="K493" s="7"/>
    </row>
    <row r="494" spans="1:11" ht="15.75" hidden="1" customHeight="1" x14ac:dyDescent="0.3">
      <c r="A494" s="283" t="s">
        <v>628</v>
      </c>
      <c r="B494" s="284">
        <v>84</v>
      </c>
      <c r="C494" s="283" t="s">
        <v>110</v>
      </c>
      <c r="D494" s="284" t="s">
        <v>425</v>
      </c>
      <c r="E494" s="283" t="s">
        <v>737</v>
      </c>
      <c r="F494" s="283" t="s">
        <v>738</v>
      </c>
      <c r="G494" s="285">
        <v>176677</v>
      </c>
      <c r="H494" s="285">
        <v>0</v>
      </c>
      <c r="I494" s="286">
        <v>176677</v>
      </c>
      <c r="J494" s="287"/>
      <c r="K494" s="7"/>
    </row>
    <row r="495" spans="1:11" ht="15.75" hidden="1" customHeight="1" x14ac:dyDescent="0.3">
      <c r="A495" s="278" t="s">
        <v>628</v>
      </c>
      <c r="B495" s="279">
        <v>84</v>
      </c>
      <c r="C495" s="278" t="s">
        <v>110</v>
      </c>
      <c r="D495" s="279" t="s">
        <v>425</v>
      </c>
      <c r="E495" s="278" t="s">
        <v>739</v>
      </c>
      <c r="F495" s="278" t="s">
        <v>740</v>
      </c>
      <c r="G495" s="280">
        <v>26303</v>
      </c>
      <c r="H495" s="280">
        <v>0</v>
      </c>
      <c r="I495" s="281">
        <v>26303</v>
      </c>
      <c r="J495" s="282"/>
      <c r="K495" s="7"/>
    </row>
    <row r="496" spans="1:11" ht="15.75" hidden="1" customHeight="1" x14ac:dyDescent="0.3">
      <c r="A496" s="283" t="s">
        <v>628</v>
      </c>
      <c r="B496" s="284">
        <v>84</v>
      </c>
      <c r="C496" s="283" t="s">
        <v>110</v>
      </c>
      <c r="D496" s="284" t="s">
        <v>425</v>
      </c>
      <c r="E496" s="283" t="s">
        <v>741</v>
      </c>
      <c r="F496" s="283" t="s">
        <v>742</v>
      </c>
      <c r="G496" s="285">
        <v>34295</v>
      </c>
      <c r="H496" s="285">
        <v>0</v>
      </c>
      <c r="I496" s="286">
        <v>34295</v>
      </c>
      <c r="J496" s="287"/>
      <c r="K496" s="7"/>
    </row>
    <row r="497" spans="1:11" ht="15.75" hidden="1" customHeight="1" x14ac:dyDescent="0.3">
      <c r="A497" s="278" t="s">
        <v>628</v>
      </c>
      <c r="B497" s="279">
        <v>84</v>
      </c>
      <c r="C497" s="278" t="s">
        <v>110</v>
      </c>
      <c r="D497" s="279" t="s">
        <v>425</v>
      </c>
      <c r="E497" s="278" t="s">
        <v>743</v>
      </c>
      <c r="F497" s="278" t="s">
        <v>744</v>
      </c>
      <c r="G497" s="280">
        <v>864514</v>
      </c>
      <c r="H497" s="280">
        <v>0</v>
      </c>
      <c r="I497" s="281">
        <v>864514</v>
      </c>
      <c r="J497" s="282"/>
      <c r="K497" s="7"/>
    </row>
    <row r="498" spans="1:11" ht="15.75" hidden="1" customHeight="1" x14ac:dyDescent="0.3">
      <c r="A498" s="283" t="s">
        <v>628</v>
      </c>
      <c r="B498" s="284">
        <v>84</v>
      </c>
      <c r="C498" s="283" t="s">
        <v>110</v>
      </c>
      <c r="D498" s="284" t="s">
        <v>425</v>
      </c>
      <c r="E498" s="283" t="s">
        <v>745</v>
      </c>
      <c r="F498" s="283" t="s">
        <v>746</v>
      </c>
      <c r="G498" s="285">
        <v>11673</v>
      </c>
      <c r="H498" s="285">
        <v>0</v>
      </c>
      <c r="I498" s="286">
        <v>11673</v>
      </c>
      <c r="J498" s="287"/>
      <c r="K498" s="7"/>
    </row>
    <row r="499" spans="1:11" ht="15.75" hidden="1" customHeight="1" x14ac:dyDescent="0.3">
      <c r="A499" s="278" t="s">
        <v>628</v>
      </c>
      <c r="B499" s="279">
        <v>84</v>
      </c>
      <c r="C499" s="278" t="s">
        <v>110</v>
      </c>
      <c r="D499" s="279" t="s">
        <v>425</v>
      </c>
      <c r="E499" s="278" t="s">
        <v>747</v>
      </c>
      <c r="F499" s="278" t="s">
        <v>746</v>
      </c>
      <c r="G499" s="280">
        <v>817753</v>
      </c>
      <c r="H499" s="280">
        <v>0</v>
      </c>
      <c r="I499" s="281">
        <v>817753</v>
      </c>
      <c r="J499" s="282"/>
      <c r="K499" s="7"/>
    </row>
    <row r="500" spans="1:11" ht="15.75" hidden="1" customHeight="1" x14ac:dyDescent="0.3">
      <c r="A500" s="283" t="s">
        <v>628</v>
      </c>
      <c r="B500" s="284">
        <v>84</v>
      </c>
      <c r="C500" s="283" t="s">
        <v>110</v>
      </c>
      <c r="D500" s="284" t="s">
        <v>425</v>
      </c>
      <c r="E500" s="283"/>
      <c r="F500" s="283" t="s">
        <v>748</v>
      </c>
      <c r="G500" s="285">
        <v>681119</v>
      </c>
      <c r="H500" s="285">
        <v>0</v>
      </c>
      <c r="I500" s="286">
        <v>681119</v>
      </c>
      <c r="J500" s="287"/>
      <c r="K500" s="7"/>
    </row>
    <row r="501" spans="1:11" ht="15.75" hidden="1" customHeight="1" x14ac:dyDescent="0.3">
      <c r="A501" s="278" t="s">
        <v>628</v>
      </c>
      <c r="B501" s="279">
        <v>84</v>
      </c>
      <c r="C501" s="278" t="s">
        <v>110</v>
      </c>
      <c r="D501" s="279" t="s">
        <v>425</v>
      </c>
      <c r="E501" s="278"/>
      <c r="F501" s="278" t="s">
        <v>749</v>
      </c>
      <c r="G501" s="280">
        <v>7909191</v>
      </c>
      <c r="H501" s="280">
        <v>0</v>
      </c>
      <c r="I501" s="281">
        <v>7909191</v>
      </c>
      <c r="J501" s="282"/>
      <c r="K501" s="7"/>
    </row>
    <row r="502" spans="1:11" ht="15.75" hidden="1" customHeight="1" x14ac:dyDescent="0.3">
      <c r="A502" s="288" t="s">
        <v>628</v>
      </c>
      <c r="B502" s="288">
        <v>84</v>
      </c>
      <c r="C502" s="289" t="s">
        <v>110</v>
      </c>
      <c r="D502" s="288" t="s">
        <v>320</v>
      </c>
      <c r="E502" s="290"/>
      <c r="F502" s="289" t="s">
        <v>321</v>
      </c>
      <c r="G502" s="291">
        <v>10521525</v>
      </c>
      <c r="H502" s="291">
        <v>6235763</v>
      </c>
      <c r="I502" s="292">
        <v>4285762</v>
      </c>
      <c r="J502" s="292">
        <v>4285762</v>
      </c>
      <c r="K502" s="293">
        <v>0</v>
      </c>
    </row>
    <row r="503" spans="1:11" ht="15.75" hidden="1" customHeight="1" x14ac:dyDescent="0.3">
      <c r="A503" s="278" t="s">
        <v>628</v>
      </c>
      <c r="B503" s="279">
        <v>85</v>
      </c>
      <c r="C503" s="278" t="s">
        <v>113</v>
      </c>
      <c r="D503" s="279" t="s">
        <v>472</v>
      </c>
      <c r="E503" s="278"/>
      <c r="F503" s="278" t="s">
        <v>750</v>
      </c>
      <c r="G503" s="280">
        <v>0</v>
      </c>
      <c r="H503" s="280">
        <v>7000000</v>
      </c>
      <c r="I503" s="281">
        <v>-7000000</v>
      </c>
      <c r="J503" s="282"/>
      <c r="K503" s="7"/>
    </row>
    <row r="504" spans="1:11" ht="15.75" hidden="1" customHeight="1" x14ac:dyDescent="0.3">
      <c r="A504" s="283" t="s">
        <v>628</v>
      </c>
      <c r="B504" s="284">
        <v>85</v>
      </c>
      <c r="C504" s="283" t="s">
        <v>113</v>
      </c>
      <c r="D504" s="284" t="s">
        <v>472</v>
      </c>
      <c r="E504" s="283" t="s">
        <v>474</v>
      </c>
      <c r="F504" s="283" t="s">
        <v>751</v>
      </c>
      <c r="G504" s="285">
        <v>3422249.8</v>
      </c>
      <c r="H504" s="285">
        <v>0</v>
      </c>
      <c r="I504" s="286">
        <v>3422249.8</v>
      </c>
      <c r="J504" s="287"/>
      <c r="K504" s="7"/>
    </row>
    <row r="505" spans="1:11" ht="15.75" hidden="1" customHeight="1" x14ac:dyDescent="0.3">
      <c r="A505" s="278" t="s">
        <v>628</v>
      </c>
      <c r="B505" s="279">
        <v>85</v>
      </c>
      <c r="C505" s="278" t="s">
        <v>113</v>
      </c>
      <c r="D505" s="279" t="s">
        <v>472</v>
      </c>
      <c r="E505" s="278"/>
      <c r="F505" s="278" t="s">
        <v>752</v>
      </c>
      <c r="G505" s="280">
        <v>3660000</v>
      </c>
      <c r="H505" s="280">
        <v>0</v>
      </c>
      <c r="I505" s="281">
        <v>3660000</v>
      </c>
      <c r="J505" s="282"/>
      <c r="K505" s="7"/>
    </row>
    <row r="506" spans="1:11" ht="15.75" hidden="1" customHeight="1" x14ac:dyDescent="0.3">
      <c r="A506" s="288" t="s">
        <v>628</v>
      </c>
      <c r="B506" s="288">
        <v>85</v>
      </c>
      <c r="C506" s="289" t="s">
        <v>113</v>
      </c>
      <c r="D506" s="288" t="s">
        <v>320</v>
      </c>
      <c r="E506" s="290"/>
      <c r="F506" s="289" t="s">
        <v>321</v>
      </c>
      <c r="G506" s="291">
        <v>7082249.7999999998</v>
      </c>
      <c r="H506" s="291">
        <v>7000000</v>
      </c>
      <c r="I506" s="292">
        <v>82249.799999999814</v>
      </c>
      <c r="J506" s="292">
        <v>82250</v>
      </c>
      <c r="K506" s="293">
        <v>-0.20000000018626449</v>
      </c>
    </row>
    <row r="507" spans="1:11" ht="15.75" hidden="1" customHeight="1" x14ac:dyDescent="0.3">
      <c r="A507" s="278" t="s">
        <v>628</v>
      </c>
      <c r="B507" s="279">
        <v>86</v>
      </c>
      <c r="C507" s="278" t="s">
        <v>116</v>
      </c>
      <c r="D507" s="279" t="s">
        <v>479</v>
      </c>
      <c r="E507" s="278"/>
      <c r="F507" s="278" t="s">
        <v>753</v>
      </c>
      <c r="G507" s="280">
        <v>0</v>
      </c>
      <c r="H507" s="280">
        <v>400000</v>
      </c>
      <c r="I507" s="281">
        <v>-400000</v>
      </c>
      <c r="J507" s="282"/>
      <c r="K507" s="7"/>
    </row>
    <row r="508" spans="1:11" ht="15.75" hidden="1" customHeight="1" x14ac:dyDescent="0.3">
      <c r="A508" s="283" t="s">
        <v>628</v>
      </c>
      <c r="B508" s="284">
        <v>86</v>
      </c>
      <c r="C508" s="283" t="s">
        <v>116</v>
      </c>
      <c r="D508" s="284" t="s">
        <v>479</v>
      </c>
      <c r="E508" s="283"/>
      <c r="F508" s="283" t="s">
        <v>754</v>
      </c>
      <c r="G508" s="285">
        <v>400000</v>
      </c>
      <c r="H508" s="285">
        <v>0</v>
      </c>
      <c r="I508" s="286">
        <v>400000</v>
      </c>
      <c r="J508" s="287"/>
      <c r="K508" s="7"/>
    </row>
    <row r="509" spans="1:11" ht="15.75" hidden="1" customHeight="1" x14ac:dyDescent="0.3">
      <c r="A509" s="288" t="s">
        <v>628</v>
      </c>
      <c r="B509" s="288">
        <v>86</v>
      </c>
      <c r="C509" s="289" t="s">
        <v>116</v>
      </c>
      <c r="D509" s="288" t="s">
        <v>320</v>
      </c>
      <c r="E509" s="290"/>
      <c r="F509" s="289" t="s">
        <v>321</v>
      </c>
      <c r="G509" s="291">
        <v>400000</v>
      </c>
      <c r="H509" s="291">
        <v>400000</v>
      </c>
      <c r="I509" s="292">
        <v>0</v>
      </c>
      <c r="J509" s="292">
        <v>0</v>
      </c>
      <c r="K509" s="293">
        <v>0</v>
      </c>
    </row>
    <row r="510" spans="1:11" ht="15.75" hidden="1" customHeight="1" x14ac:dyDescent="0.3">
      <c r="A510" s="278" t="s">
        <v>628</v>
      </c>
      <c r="B510" s="279">
        <v>88</v>
      </c>
      <c r="C510" s="278" t="s">
        <v>119</v>
      </c>
      <c r="D510" s="279" t="s">
        <v>422</v>
      </c>
      <c r="E510" s="278"/>
      <c r="F510" s="278" t="s">
        <v>755</v>
      </c>
      <c r="G510" s="280">
        <v>0</v>
      </c>
      <c r="H510" s="280">
        <v>105936178</v>
      </c>
      <c r="I510" s="281">
        <v>-105936178</v>
      </c>
      <c r="J510" s="282"/>
      <c r="K510" s="7"/>
    </row>
    <row r="511" spans="1:11" ht="15.75" hidden="1" customHeight="1" x14ac:dyDescent="0.3">
      <c r="A511" s="283" t="s">
        <v>628</v>
      </c>
      <c r="B511" s="284">
        <v>88</v>
      </c>
      <c r="C511" s="283" t="s">
        <v>119</v>
      </c>
      <c r="D511" s="284" t="s">
        <v>422</v>
      </c>
      <c r="E511" s="283" t="s">
        <v>483</v>
      </c>
      <c r="F511" s="283" t="s">
        <v>756</v>
      </c>
      <c r="G511" s="285">
        <v>72308951.349999994</v>
      </c>
      <c r="H511" s="285">
        <v>0</v>
      </c>
      <c r="I511" s="286">
        <v>72308951.349999994</v>
      </c>
      <c r="J511" s="287"/>
      <c r="K511" s="7"/>
    </row>
    <row r="512" spans="1:11" ht="15.75" hidden="1" customHeight="1" x14ac:dyDescent="0.3">
      <c r="A512" s="278" t="s">
        <v>628</v>
      </c>
      <c r="B512" s="279">
        <v>88</v>
      </c>
      <c r="C512" s="278" t="s">
        <v>119</v>
      </c>
      <c r="D512" s="279" t="s">
        <v>422</v>
      </c>
      <c r="E512" s="278" t="s">
        <v>483</v>
      </c>
      <c r="F512" s="278" t="s">
        <v>756</v>
      </c>
      <c r="G512" s="280">
        <v>0.01</v>
      </c>
      <c r="H512" s="280">
        <v>0</v>
      </c>
      <c r="I512" s="281">
        <v>0.01</v>
      </c>
      <c r="J512" s="282"/>
      <c r="K512" s="7"/>
    </row>
    <row r="513" spans="1:11" ht="15.75" hidden="1" customHeight="1" x14ac:dyDescent="0.3">
      <c r="A513" s="283" t="s">
        <v>628</v>
      </c>
      <c r="B513" s="284">
        <v>88</v>
      </c>
      <c r="C513" s="283" t="s">
        <v>119</v>
      </c>
      <c r="D513" s="284" t="s">
        <v>422</v>
      </c>
      <c r="E513" s="283" t="s">
        <v>483</v>
      </c>
      <c r="F513" s="283" t="s">
        <v>757</v>
      </c>
      <c r="G513" s="285">
        <v>3319736.43</v>
      </c>
      <c r="H513" s="285">
        <v>0</v>
      </c>
      <c r="I513" s="286">
        <v>3319736.43</v>
      </c>
      <c r="J513" s="287"/>
      <c r="K513" s="7"/>
    </row>
    <row r="514" spans="1:11" ht="15.75" hidden="1" customHeight="1" x14ac:dyDescent="0.3">
      <c r="A514" s="278" t="s">
        <v>628</v>
      </c>
      <c r="B514" s="279">
        <v>88</v>
      </c>
      <c r="C514" s="278" t="s">
        <v>119</v>
      </c>
      <c r="D514" s="279" t="s">
        <v>422</v>
      </c>
      <c r="E514" s="278" t="s">
        <v>483</v>
      </c>
      <c r="F514" s="278" t="s">
        <v>758</v>
      </c>
      <c r="G514" s="280">
        <v>30307490.27</v>
      </c>
      <c r="H514" s="280">
        <v>0</v>
      </c>
      <c r="I514" s="281">
        <v>30307490.27</v>
      </c>
      <c r="J514" s="282"/>
      <c r="K514" s="7"/>
    </row>
    <row r="515" spans="1:11" ht="15.75" hidden="1" customHeight="1" x14ac:dyDescent="0.3">
      <c r="A515" s="283" t="s">
        <v>628</v>
      </c>
      <c r="B515" s="284">
        <v>88</v>
      </c>
      <c r="C515" s="283" t="s">
        <v>119</v>
      </c>
      <c r="D515" s="284" t="s">
        <v>422</v>
      </c>
      <c r="E515" s="283" t="s">
        <v>487</v>
      </c>
      <c r="F515" s="283" t="s">
        <v>759</v>
      </c>
      <c r="G515" s="285">
        <v>8500</v>
      </c>
      <c r="H515" s="285">
        <v>0</v>
      </c>
      <c r="I515" s="286">
        <v>8500</v>
      </c>
      <c r="J515" s="287"/>
      <c r="K515" s="7"/>
    </row>
    <row r="516" spans="1:11" ht="15.75" hidden="1" customHeight="1" x14ac:dyDescent="0.3">
      <c r="A516" s="278" t="s">
        <v>628</v>
      </c>
      <c r="B516" s="279">
        <v>88</v>
      </c>
      <c r="C516" s="278" t="s">
        <v>119</v>
      </c>
      <c r="D516" s="279" t="s">
        <v>422</v>
      </c>
      <c r="E516" s="278"/>
      <c r="F516" s="278" t="s">
        <v>760</v>
      </c>
      <c r="G516" s="280">
        <v>105616454</v>
      </c>
      <c r="H516" s="280">
        <v>0</v>
      </c>
      <c r="I516" s="281">
        <v>105616454</v>
      </c>
      <c r="J516" s="282"/>
      <c r="K516" s="7"/>
    </row>
    <row r="517" spans="1:11" ht="15.75" hidden="1" customHeight="1" x14ac:dyDescent="0.3">
      <c r="A517" s="288" t="s">
        <v>628</v>
      </c>
      <c r="B517" s="288">
        <v>88</v>
      </c>
      <c r="C517" s="289" t="s">
        <v>119</v>
      </c>
      <c r="D517" s="288" t="s">
        <v>320</v>
      </c>
      <c r="E517" s="290"/>
      <c r="F517" s="289" t="s">
        <v>321</v>
      </c>
      <c r="G517" s="291">
        <v>211561132.06</v>
      </c>
      <c r="H517" s="291">
        <v>105936178</v>
      </c>
      <c r="I517" s="292">
        <v>105624954.06</v>
      </c>
      <c r="J517" s="292">
        <v>105616454</v>
      </c>
      <c r="K517" s="294">
        <v>8500.059999987483</v>
      </c>
    </row>
    <row r="518" spans="1:11" ht="15.75" hidden="1" customHeight="1" x14ac:dyDescent="0.3">
      <c r="A518" s="278" t="s">
        <v>628</v>
      </c>
      <c r="B518" s="279">
        <v>89</v>
      </c>
      <c r="C518" s="278" t="s">
        <v>121</v>
      </c>
      <c r="D518" s="279" t="s">
        <v>422</v>
      </c>
      <c r="E518" s="278"/>
      <c r="F518" s="278" t="s">
        <v>761</v>
      </c>
      <c r="G518" s="280">
        <v>171376</v>
      </c>
      <c r="H518" s="280">
        <v>0</v>
      </c>
      <c r="I518" s="281">
        <v>171376</v>
      </c>
      <c r="J518" s="282"/>
      <c r="K518" s="7"/>
    </row>
    <row r="519" spans="1:11" ht="15.75" hidden="1" customHeight="1" x14ac:dyDescent="0.3">
      <c r="A519" s="283" t="s">
        <v>628</v>
      </c>
      <c r="B519" s="284">
        <v>89</v>
      </c>
      <c r="C519" s="283" t="s">
        <v>121</v>
      </c>
      <c r="D519" s="284" t="s">
        <v>422</v>
      </c>
      <c r="E519" s="283"/>
      <c r="F519" s="283" t="s">
        <v>762</v>
      </c>
      <c r="G519" s="285">
        <v>1178845</v>
      </c>
      <c r="H519" s="285">
        <v>0</v>
      </c>
      <c r="I519" s="286">
        <v>1178845</v>
      </c>
      <c r="J519" s="287"/>
      <c r="K519" s="7"/>
    </row>
    <row r="520" spans="1:11" ht="15.75" hidden="1" customHeight="1" x14ac:dyDescent="0.3">
      <c r="A520" s="278" t="s">
        <v>628</v>
      </c>
      <c r="B520" s="279">
        <v>89</v>
      </c>
      <c r="C520" s="278" t="s">
        <v>121</v>
      </c>
      <c r="D520" s="279" t="s">
        <v>422</v>
      </c>
      <c r="E520" s="278"/>
      <c r="F520" s="278" t="s">
        <v>763</v>
      </c>
      <c r="G520" s="280">
        <v>1812431</v>
      </c>
      <c r="H520" s="280">
        <v>0</v>
      </c>
      <c r="I520" s="281">
        <v>1812431</v>
      </c>
      <c r="J520" s="282"/>
      <c r="K520" s="7"/>
    </row>
    <row r="521" spans="1:11" ht="15.75" hidden="1" customHeight="1" x14ac:dyDescent="0.3">
      <c r="A521" s="283" t="s">
        <v>628</v>
      </c>
      <c r="B521" s="284">
        <v>89</v>
      </c>
      <c r="C521" s="283" t="s">
        <v>121</v>
      </c>
      <c r="D521" s="284" t="s">
        <v>422</v>
      </c>
      <c r="E521" s="283"/>
      <c r="F521" s="283" t="s">
        <v>764</v>
      </c>
      <c r="G521" s="285">
        <v>994850</v>
      </c>
      <c r="H521" s="285">
        <v>0</v>
      </c>
      <c r="I521" s="286">
        <v>994850</v>
      </c>
      <c r="J521" s="287"/>
      <c r="K521" s="7"/>
    </row>
    <row r="522" spans="1:11" ht="15.75" hidden="1" customHeight="1" x14ac:dyDescent="0.3">
      <c r="A522" s="278" t="s">
        <v>628</v>
      </c>
      <c r="B522" s="279">
        <v>89</v>
      </c>
      <c r="C522" s="278" t="s">
        <v>121</v>
      </c>
      <c r="D522" s="279" t="s">
        <v>422</v>
      </c>
      <c r="E522" s="278"/>
      <c r="F522" s="278" t="s">
        <v>765</v>
      </c>
      <c r="G522" s="280">
        <v>352871</v>
      </c>
      <c r="H522" s="280">
        <v>0</v>
      </c>
      <c r="I522" s="281">
        <v>352871</v>
      </c>
      <c r="J522" s="282"/>
      <c r="K522" s="7"/>
    </row>
    <row r="523" spans="1:11" ht="15.75" hidden="1" customHeight="1" x14ac:dyDescent="0.3">
      <c r="A523" s="283" t="s">
        <v>628</v>
      </c>
      <c r="B523" s="284">
        <v>89</v>
      </c>
      <c r="C523" s="283" t="s">
        <v>121</v>
      </c>
      <c r="D523" s="284" t="s">
        <v>422</v>
      </c>
      <c r="E523" s="283"/>
      <c r="F523" s="283" t="s">
        <v>766</v>
      </c>
      <c r="G523" s="285">
        <v>170243</v>
      </c>
      <c r="H523" s="285">
        <v>0</v>
      </c>
      <c r="I523" s="286">
        <v>170243</v>
      </c>
      <c r="J523" s="287"/>
      <c r="K523" s="7"/>
    </row>
    <row r="524" spans="1:11" ht="15.75" hidden="1" customHeight="1" x14ac:dyDescent="0.3">
      <c r="A524" s="278" t="s">
        <v>628</v>
      </c>
      <c r="B524" s="279">
        <v>89</v>
      </c>
      <c r="C524" s="278" t="s">
        <v>121</v>
      </c>
      <c r="D524" s="279" t="s">
        <v>422</v>
      </c>
      <c r="E524" s="278"/>
      <c r="F524" s="278" t="s">
        <v>767</v>
      </c>
      <c r="G524" s="280">
        <v>844391</v>
      </c>
      <c r="H524" s="280">
        <v>0</v>
      </c>
      <c r="I524" s="281">
        <v>844391</v>
      </c>
      <c r="J524" s="282"/>
      <c r="K524" s="7"/>
    </row>
    <row r="525" spans="1:11" ht="15.75" hidden="1" customHeight="1" x14ac:dyDescent="0.3">
      <c r="A525" s="283" t="s">
        <v>628</v>
      </c>
      <c r="B525" s="284">
        <v>89</v>
      </c>
      <c r="C525" s="283" t="s">
        <v>121</v>
      </c>
      <c r="D525" s="284" t="s">
        <v>422</v>
      </c>
      <c r="E525" s="283"/>
      <c r="F525" s="283" t="s">
        <v>768</v>
      </c>
      <c r="G525" s="285">
        <v>247538</v>
      </c>
      <c r="H525" s="285">
        <v>0</v>
      </c>
      <c r="I525" s="286">
        <v>247538</v>
      </c>
      <c r="J525" s="287"/>
      <c r="K525" s="7"/>
    </row>
    <row r="526" spans="1:11" ht="15.75" hidden="1" customHeight="1" x14ac:dyDescent="0.3">
      <c r="A526" s="278" t="s">
        <v>628</v>
      </c>
      <c r="B526" s="279">
        <v>89</v>
      </c>
      <c r="C526" s="278" t="s">
        <v>121</v>
      </c>
      <c r="D526" s="279" t="s">
        <v>422</v>
      </c>
      <c r="E526" s="278"/>
      <c r="F526" s="278" t="s">
        <v>769</v>
      </c>
      <c r="G526" s="280">
        <v>538986</v>
      </c>
      <c r="H526" s="280">
        <v>0</v>
      </c>
      <c r="I526" s="281">
        <v>538986</v>
      </c>
      <c r="J526" s="282"/>
      <c r="K526" s="7"/>
    </row>
    <row r="527" spans="1:11" ht="15.75" hidden="1" customHeight="1" x14ac:dyDescent="0.3">
      <c r="A527" s="283" t="s">
        <v>628</v>
      </c>
      <c r="B527" s="284">
        <v>89</v>
      </c>
      <c r="C527" s="283" t="s">
        <v>121</v>
      </c>
      <c r="D527" s="284" t="s">
        <v>422</v>
      </c>
      <c r="E527" s="283"/>
      <c r="F527" s="283" t="s">
        <v>770</v>
      </c>
      <c r="G527" s="285">
        <v>1339004</v>
      </c>
      <c r="H527" s="285">
        <v>0</v>
      </c>
      <c r="I527" s="286">
        <v>1339004</v>
      </c>
      <c r="J527" s="287"/>
      <c r="K527" s="7"/>
    </row>
    <row r="528" spans="1:11" ht="15.75" hidden="1" customHeight="1" x14ac:dyDescent="0.3">
      <c r="A528" s="278" t="s">
        <v>628</v>
      </c>
      <c r="B528" s="279">
        <v>89</v>
      </c>
      <c r="C528" s="278" t="s">
        <v>121</v>
      </c>
      <c r="D528" s="279" t="s">
        <v>422</v>
      </c>
      <c r="E528" s="278"/>
      <c r="F528" s="278" t="s">
        <v>771</v>
      </c>
      <c r="G528" s="280">
        <v>1339333</v>
      </c>
      <c r="H528" s="280">
        <v>0</v>
      </c>
      <c r="I528" s="281">
        <v>1339333</v>
      </c>
      <c r="J528" s="282"/>
      <c r="K528" s="7"/>
    </row>
    <row r="529" spans="1:11" ht="15.75" hidden="1" customHeight="1" x14ac:dyDescent="0.3">
      <c r="A529" s="283" t="s">
        <v>628</v>
      </c>
      <c r="B529" s="284">
        <v>89</v>
      </c>
      <c r="C529" s="283" t="s">
        <v>121</v>
      </c>
      <c r="D529" s="284" t="s">
        <v>422</v>
      </c>
      <c r="E529" s="283"/>
      <c r="F529" s="283" t="s">
        <v>772</v>
      </c>
      <c r="G529" s="285">
        <v>4229602</v>
      </c>
      <c r="H529" s="285">
        <v>0</v>
      </c>
      <c r="I529" s="286">
        <v>4229602</v>
      </c>
      <c r="J529" s="287"/>
      <c r="K529" s="7"/>
    </row>
    <row r="530" spans="1:11" ht="15.75" hidden="1" customHeight="1" x14ac:dyDescent="0.3">
      <c r="A530" s="278" t="s">
        <v>628</v>
      </c>
      <c r="B530" s="279">
        <v>89</v>
      </c>
      <c r="C530" s="278" t="s">
        <v>121</v>
      </c>
      <c r="D530" s="279" t="s">
        <v>422</v>
      </c>
      <c r="E530" s="278"/>
      <c r="F530" s="278" t="s">
        <v>773</v>
      </c>
      <c r="G530" s="280">
        <v>610756</v>
      </c>
      <c r="H530" s="280">
        <v>0</v>
      </c>
      <c r="I530" s="281">
        <v>610756</v>
      </c>
      <c r="J530" s="282"/>
      <c r="K530" s="7"/>
    </row>
    <row r="531" spans="1:11" ht="15.75" hidden="1" customHeight="1" x14ac:dyDescent="0.3">
      <c r="A531" s="288" t="s">
        <v>628</v>
      </c>
      <c r="B531" s="288">
        <v>89</v>
      </c>
      <c r="C531" s="289" t="s">
        <v>121</v>
      </c>
      <c r="D531" s="288" t="s">
        <v>320</v>
      </c>
      <c r="E531" s="290"/>
      <c r="F531" s="289" t="s">
        <v>321</v>
      </c>
      <c r="G531" s="291">
        <v>13830226</v>
      </c>
      <c r="H531" s="291">
        <v>0</v>
      </c>
      <c r="I531" s="292">
        <v>13830226</v>
      </c>
      <c r="J531" s="292">
        <v>13830226</v>
      </c>
      <c r="K531" s="293">
        <v>0</v>
      </c>
    </row>
    <row r="532" spans="1:11" ht="15.75" hidden="1" customHeight="1" x14ac:dyDescent="0.3">
      <c r="A532" s="278" t="s">
        <v>628</v>
      </c>
      <c r="B532" s="279">
        <v>95</v>
      </c>
      <c r="C532" s="278" t="s">
        <v>129</v>
      </c>
      <c r="D532" s="279" t="s">
        <v>503</v>
      </c>
      <c r="E532" s="278" t="s">
        <v>504</v>
      </c>
      <c r="F532" s="278" t="s">
        <v>774</v>
      </c>
      <c r="G532" s="280">
        <v>6048000</v>
      </c>
      <c r="H532" s="280">
        <v>0</v>
      </c>
      <c r="I532" s="281">
        <v>6048000</v>
      </c>
      <c r="J532" s="282"/>
      <c r="K532" s="7"/>
    </row>
    <row r="533" spans="1:11" ht="15.75" hidden="1" customHeight="1" x14ac:dyDescent="0.3">
      <c r="A533" s="288" t="s">
        <v>628</v>
      </c>
      <c r="B533" s="288">
        <v>95</v>
      </c>
      <c r="C533" s="289" t="s">
        <v>129</v>
      </c>
      <c r="D533" s="288" t="s">
        <v>320</v>
      </c>
      <c r="E533" s="290"/>
      <c r="F533" s="289" t="s">
        <v>321</v>
      </c>
      <c r="G533" s="291">
        <v>6048000</v>
      </c>
      <c r="H533" s="291">
        <v>0</v>
      </c>
      <c r="I533" s="292">
        <v>6048000</v>
      </c>
      <c r="J533" s="292">
        <v>6048000</v>
      </c>
      <c r="K533" s="293">
        <v>0</v>
      </c>
    </row>
    <row r="534" spans="1:11" ht="15.75" hidden="1" customHeight="1" x14ac:dyDescent="0.3">
      <c r="A534" s="278" t="s">
        <v>628</v>
      </c>
      <c r="B534" s="279">
        <v>96</v>
      </c>
      <c r="C534" s="278" t="s">
        <v>132</v>
      </c>
      <c r="D534" s="279" t="s">
        <v>503</v>
      </c>
      <c r="E534" s="278"/>
      <c r="F534" s="278" t="s">
        <v>775</v>
      </c>
      <c r="G534" s="280">
        <v>1500000</v>
      </c>
      <c r="H534" s="280">
        <v>0</v>
      </c>
      <c r="I534" s="281">
        <v>1500000</v>
      </c>
      <c r="J534" s="282"/>
      <c r="K534" s="7"/>
    </row>
    <row r="535" spans="1:11" ht="15.75" hidden="1" customHeight="1" x14ac:dyDescent="0.3">
      <c r="A535" s="283" t="s">
        <v>628</v>
      </c>
      <c r="B535" s="284">
        <v>96</v>
      </c>
      <c r="C535" s="283" t="s">
        <v>132</v>
      </c>
      <c r="D535" s="284" t="s">
        <v>509</v>
      </c>
      <c r="E535" s="283" t="s">
        <v>510</v>
      </c>
      <c r="F535" s="283" t="s">
        <v>776</v>
      </c>
      <c r="G535" s="285">
        <v>200000</v>
      </c>
      <c r="H535" s="285">
        <v>0</v>
      </c>
      <c r="I535" s="286">
        <v>200000</v>
      </c>
      <c r="J535" s="287"/>
      <c r="K535" s="7"/>
    </row>
    <row r="536" spans="1:11" ht="15.75" hidden="1" customHeight="1" x14ac:dyDescent="0.3">
      <c r="A536" s="288" t="s">
        <v>628</v>
      </c>
      <c r="B536" s="288">
        <v>96</v>
      </c>
      <c r="C536" s="289" t="s">
        <v>132</v>
      </c>
      <c r="D536" s="288" t="s">
        <v>320</v>
      </c>
      <c r="E536" s="290"/>
      <c r="F536" s="289" t="s">
        <v>321</v>
      </c>
      <c r="G536" s="291">
        <v>1700000</v>
      </c>
      <c r="H536" s="291">
        <v>0</v>
      </c>
      <c r="I536" s="292">
        <v>1700000</v>
      </c>
      <c r="J536" s="292">
        <v>200000</v>
      </c>
      <c r="K536" s="294">
        <v>1500000</v>
      </c>
    </row>
    <row r="537" spans="1:11" ht="15.75" hidden="1" customHeight="1" x14ac:dyDescent="0.3">
      <c r="A537" s="278" t="s">
        <v>628</v>
      </c>
      <c r="B537" s="279">
        <v>97</v>
      </c>
      <c r="C537" s="278" t="s">
        <v>133</v>
      </c>
      <c r="D537" s="279" t="s">
        <v>222</v>
      </c>
      <c r="E537" s="278" t="s">
        <v>514</v>
      </c>
      <c r="F537" s="278" t="s">
        <v>777</v>
      </c>
      <c r="G537" s="280">
        <v>240900</v>
      </c>
      <c r="H537" s="280">
        <v>0</v>
      </c>
      <c r="I537" s="281">
        <v>240900</v>
      </c>
      <c r="J537" s="282"/>
      <c r="K537" s="7"/>
    </row>
    <row r="538" spans="1:11" ht="15.75" hidden="1" customHeight="1" x14ac:dyDescent="0.3">
      <c r="A538" s="288" t="s">
        <v>628</v>
      </c>
      <c r="B538" s="288">
        <v>97</v>
      </c>
      <c r="C538" s="289" t="s">
        <v>133</v>
      </c>
      <c r="D538" s="288" t="s">
        <v>320</v>
      </c>
      <c r="E538" s="290"/>
      <c r="F538" s="289" t="s">
        <v>321</v>
      </c>
      <c r="G538" s="291">
        <v>240900</v>
      </c>
      <c r="H538" s="291">
        <v>0</v>
      </c>
      <c r="I538" s="292">
        <v>240900</v>
      </c>
      <c r="J538" s="292">
        <v>240900</v>
      </c>
      <c r="K538" s="293">
        <v>0</v>
      </c>
    </row>
    <row r="539" spans="1:11" ht="15.75" hidden="1" customHeight="1" x14ac:dyDescent="0.3">
      <c r="A539" s="278" t="s">
        <v>628</v>
      </c>
      <c r="B539" s="279">
        <v>101</v>
      </c>
      <c r="C539" s="278" t="s">
        <v>139</v>
      </c>
      <c r="D539" s="279" t="s">
        <v>222</v>
      </c>
      <c r="E539" s="278" t="s">
        <v>438</v>
      </c>
      <c r="F539" s="278" t="s">
        <v>778</v>
      </c>
      <c r="G539" s="280">
        <v>12000</v>
      </c>
      <c r="H539" s="280">
        <v>0</v>
      </c>
      <c r="I539" s="281">
        <v>12000</v>
      </c>
      <c r="J539" s="282"/>
      <c r="K539" s="7"/>
    </row>
    <row r="540" spans="1:11" ht="15.75" hidden="1" customHeight="1" x14ac:dyDescent="0.3">
      <c r="A540" s="288" t="s">
        <v>628</v>
      </c>
      <c r="B540" s="288">
        <v>101</v>
      </c>
      <c r="C540" s="289" t="s">
        <v>139</v>
      </c>
      <c r="D540" s="288" t="s">
        <v>320</v>
      </c>
      <c r="E540" s="290"/>
      <c r="F540" s="289" t="s">
        <v>321</v>
      </c>
      <c r="G540" s="291">
        <v>12000</v>
      </c>
      <c r="H540" s="291">
        <v>0</v>
      </c>
      <c r="I540" s="292">
        <v>12000</v>
      </c>
      <c r="J540" s="292">
        <v>12000</v>
      </c>
      <c r="K540" s="293">
        <v>0</v>
      </c>
    </row>
    <row r="541" spans="1:11" ht="15.75" hidden="1" customHeight="1" x14ac:dyDescent="0.3">
      <c r="A541" s="278" t="s">
        <v>628</v>
      </c>
      <c r="B541" s="279">
        <v>107</v>
      </c>
      <c r="C541" s="278" t="s">
        <v>149</v>
      </c>
      <c r="D541" s="279" t="s">
        <v>516</v>
      </c>
      <c r="E541" s="278"/>
      <c r="F541" s="278" t="s">
        <v>779</v>
      </c>
      <c r="G541" s="280">
        <v>91583260.930000007</v>
      </c>
      <c r="H541" s="280">
        <v>0</v>
      </c>
      <c r="I541" s="281">
        <v>91583260.930000007</v>
      </c>
      <c r="J541" s="282"/>
      <c r="K541" s="7"/>
    </row>
    <row r="542" spans="1:11" ht="15.75" hidden="1" customHeight="1" x14ac:dyDescent="0.3">
      <c r="A542" s="283" t="s">
        <v>628</v>
      </c>
      <c r="B542" s="284">
        <v>107</v>
      </c>
      <c r="C542" s="283" t="s">
        <v>149</v>
      </c>
      <c r="D542" s="284" t="s">
        <v>518</v>
      </c>
      <c r="E542" s="283"/>
      <c r="F542" s="283" t="s">
        <v>780</v>
      </c>
      <c r="G542" s="285">
        <v>305517.02</v>
      </c>
      <c r="H542" s="285">
        <v>0</v>
      </c>
      <c r="I542" s="286">
        <v>305517.02</v>
      </c>
      <c r="J542" s="287"/>
      <c r="K542" s="7"/>
    </row>
    <row r="543" spans="1:11" ht="15.75" hidden="1" customHeight="1" x14ac:dyDescent="0.3">
      <c r="A543" s="278" t="s">
        <v>628</v>
      </c>
      <c r="B543" s="279">
        <v>107</v>
      </c>
      <c r="C543" s="278" t="s">
        <v>149</v>
      </c>
      <c r="D543" s="279" t="s">
        <v>518</v>
      </c>
      <c r="E543" s="278"/>
      <c r="F543" s="278" t="s">
        <v>780</v>
      </c>
      <c r="G543" s="280">
        <v>0</v>
      </c>
      <c r="H543" s="280">
        <v>637176.38</v>
      </c>
      <c r="I543" s="281">
        <v>-637176.38</v>
      </c>
      <c r="J543" s="282"/>
      <c r="K543" s="7"/>
    </row>
    <row r="544" spans="1:11" ht="15.75" hidden="1" customHeight="1" x14ac:dyDescent="0.3">
      <c r="A544" s="283" t="s">
        <v>628</v>
      </c>
      <c r="B544" s="284">
        <v>107</v>
      </c>
      <c r="C544" s="283" t="s">
        <v>149</v>
      </c>
      <c r="D544" s="284" t="s">
        <v>518</v>
      </c>
      <c r="E544" s="283"/>
      <c r="F544" s="283" t="s">
        <v>779</v>
      </c>
      <c r="G544" s="285">
        <v>22774086.510000002</v>
      </c>
      <c r="H544" s="285">
        <v>0</v>
      </c>
      <c r="I544" s="286">
        <v>22774086.510000002</v>
      </c>
      <c r="J544" s="287"/>
      <c r="K544" s="7"/>
    </row>
    <row r="545" spans="1:11" ht="15.75" hidden="1" customHeight="1" x14ac:dyDescent="0.3">
      <c r="A545" s="288" t="s">
        <v>628</v>
      </c>
      <c r="B545" s="288">
        <v>107</v>
      </c>
      <c r="C545" s="289" t="s">
        <v>149</v>
      </c>
      <c r="D545" s="288" t="s">
        <v>320</v>
      </c>
      <c r="E545" s="290"/>
      <c r="F545" s="289" t="s">
        <v>321</v>
      </c>
      <c r="G545" s="291">
        <v>114662864.45999999</v>
      </c>
      <c r="H545" s="291">
        <v>637176.38</v>
      </c>
      <c r="I545" s="292">
        <v>114025688.08</v>
      </c>
      <c r="J545" s="292">
        <v>114025688</v>
      </c>
      <c r="K545" s="293">
        <v>8.0000013113021851E-2</v>
      </c>
    </row>
    <row r="546" spans="1:11" ht="15.75" hidden="1" customHeight="1" x14ac:dyDescent="0.3">
      <c r="A546" s="278" t="s">
        <v>628</v>
      </c>
      <c r="B546" s="279">
        <v>108</v>
      </c>
      <c r="C546" s="278" t="s">
        <v>153</v>
      </c>
      <c r="D546" s="279" t="s">
        <v>516</v>
      </c>
      <c r="E546" s="278"/>
      <c r="F546" s="278" t="s">
        <v>781</v>
      </c>
      <c r="G546" s="280">
        <v>7489299.04</v>
      </c>
      <c r="H546" s="280">
        <v>0</v>
      </c>
      <c r="I546" s="281">
        <v>7489299.04</v>
      </c>
      <c r="J546" s="282"/>
      <c r="K546" s="7"/>
    </row>
    <row r="547" spans="1:11" ht="15.75" hidden="1" customHeight="1" x14ac:dyDescent="0.3">
      <c r="A547" s="283" t="s">
        <v>628</v>
      </c>
      <c r="B547" s="284">
        <v>108</v>
      </c>
      <c r="C547" s="283" t="s">
        <v>153</v>
      </c>
      <c r="D547" s="284" t="s">
        <v>518</v>
      </c>
      <c r="E547" s="283"/>
      <c r="F547" s="283" t="s">
        <v>781</v>
      </c>
      <c r="G547" s="285">
        <v>1797431.77</v>
      </c>
      <c r="H547" s="285">
        <v>0</v>
      </c>
      <c r="I547" s="286">
        <v>1797431.77</v>
      </c>
      <c r="J547" s="287"/>
      <c r="K547" s="7"/>
    </row>
    <row r="548" spans="1:11" ht="15.75" hidden="1" customHeight="1" x14ac:dyDescent="0.3">
      <c r="A548" s="288" t="s">
        <v>628</v>
      </c>
      <c r="B548" s="288">
        <v>108</v>
      </c>
      <c r="C548" s="289" t="s">
        <v>153</v>
      </c>
      <c r="D548" s="288" t="s">
        <v>320</v>
      </c>
      <c r="E548" s="290"/>
      <c r="F548" s="289" t="s">
        <v>321</v>
      </c>
      <c r="G548" s="291">
        <v>9286730.8100000005</v>
      </c>
      <c r="H548" s="291">
        <v>0</v>
      </c>
      <c r="I548" s="292">
        <v>9286730.8100000005</v>
      </c>
      <c r="J548" s="292">
        <v>9286731</v>
      </c>
      <c r="K548" s="293">
        <v>-0.18999999947845941</v>
      </c>
    </row>
    <row r="549" spans="1:11" ht="15.75" hidden="1" customHeight="1" x14ac:dyDescent="0.3">
      <c r="A549" s="278" t="s">
        <v>628</v>
      </c>
      <c r="B549" s="279">
        <v>109</v>
      </c>
      <c r="C549" s="278" t="s">
        <v>154</v>
      </c>
      <c r="D549" s="279" t="s">
        <v>516</v>
      </c>
      <c r="E549" s="278"/>
      <c r="F549" s="278" t="s">
        <v>782</v>
      </c>
      <c r="G549" s="280">
        <v>7854744.5099999998</v>
      </c>
      <c r="H549" s="280">
        <v>0</v>
      </c>
      <c r="I549" s="281">
        <v>7854744.5099999998</v>
      </c>
      <c r="J549" s="282"/>
      <c r="K549" s="7"/>
    </row>
    <row r="550" spans="1:11" ht="15.75" hidden="1" customHeight="1" x14ac:dyDescent="0.3">
      <c r="A550" s="283" t="s">
        <v>628</v>
      </c>
      <c r="B550" s="284">
        <v>109</v>
      </c>
      <c r="C550" s="283" t="s">
        <v>154</v>
      </c>
      <c r="D550" s="284" t="s">
        <v>518</v>
      </c>
      <c r="E550" s="283"/>
      <c r="F550" s="283" t="s">
        <v>782</v>
      </c>
      <c r="G550" s="285">
        <v>1885138.68</v>
      </c>
      <c r="H550" s="285">
        <v>0</v>
      </c>
      <c r="I550" s="286">
        <v>1885138.68</v>
      </c>
      <c r="J550" s="287"/>
      <c r="K550" s="7"/>
    </row>
    <row r="551" spans="1:11" ht="15.75" hidden="1" customHeight="1" x14ac:dyDescent="0.3">
      <c r="A551" s="288" t="s">
        <v>628</v>
      </c>
      <c r="B551" s="288">
        <v>109</v>
      </c>
      <c r="C551" s="289" t="s">
        <v>154</v>
      </c>
      <c r="D551" s="288" t="s">
        <v>320</v>
      </c>
      <c r="E551" s="290"/>
      <c r="F551" s="289" t="s">
        <v>321</v>
      </c>
      <c r="G551" s="291">
        <v>9739883.1899999995</v>
      </c>
      <c r="H551" s="291">
        <v>0</v>
      </c>
      <c r="I551" s="292">
        <v>9739883.1899999995</v>
      </c>
      <c r="J551" s="292">
        <v>9739883.1899999995</v>
      </c>
      <c r="K551" s="293">
        <v>0</v>
      </c>
    </row>
    <row r="552" spans="1:11" ht="15.75" hidden="1" customHeight="1" x14ac:dyDescent="0.3">
      <c r="A552" s="278" t="s">
        <v>628</v>
      </c>
      <c r="B552" s="279">
        <v>110</v>
      </c>
      <c r="C552" s="278" t="s">
        <v>155</v>
      </c>
      <c r="D552" s="279" t="s">
        <v>516</v>
      </c>
      <c r="E552" s="278"/>
      <c r="F552" s="278" t="s">
        <v>783</v>
      </c>
      <c r="G552" s="280">
        <v>1773873.47</v>
      </c>
      <c r="H552" s="280">
        <v>0</v>
      </c>
      <c r="I552" s="281">
        <v>1773873.47</v>
      </c>
      <c r="J552" s="282"/>
      <c r="K552" s="7"/>
    </row>
    <row r="553" spans="1:11" ht="15.75" hidden="1" customHeight="1" x14ac:dyDescent="0.3">
      <c r="A553" s="283" t="s">
        <v>628</v>
      </c>
      <c r="B553" s="284">
        <v>110</v>
      </c>
      <c r="C553" s="283" t="s">
        <v>155</v>
      </c>
      <c r="D553" s="284" t="s">
        <v>518</v>
      </c>
      <c r="E553" s="283"/>
      <c r="F553" s="283" t="s">
        <v>783</v>
      </c>
      <c r="G553" s="285">
        <v>425729.63</v>
      </c>
      <c r="H553" s="285">
        <v>0</v>
      </c>
      <c r="I553" s="286">
        <v>425729.63</v>
      </c>
      <c r="J553" s="287"/>
      <c r="K553" s="7"/>
    </row>
    <row r="554" spans="1:11" ht="15.75" hidden="1" customHeight="1" x14ac:dyDescent="0.3">
      <c r="A554" s="288" t="s">
        <v>628</v>
      </c>
      <c r="B554" s="288">
        <v>110</v>
      </c>
      <c r="C554" s="289" t="s">
        <v>155</v>
      </c>
      <c r="D554" s="288" t="s">
        <v>320</v>
      </c>
      <c r="E554" s="290"/>
      <c r="F554" s="289" t="s">
        <v>321</v>
      </c>
      <c r="G554" s="291">
        <v>2199603.1</v>
      </c>
      <c r="H554" s="291">
        <v>0</v>
      </c>
      <c r="I554" s="292">
        <v>2199603.1</v>
      </c>
      <c r="J554" s="292">
        <v>2199603.1</v>
      </c>
      <c r="K554" s="293">
        <v>0</v>
      </c>
    </row>
    <row r="555" spans="1:11" ht="15.75" hidden="1" customHeight="1" x14ac:dyDescent="0.3">
      <c r="A555" s="278" t="s">
        <v>628</v>
      </c>
      <c r="B555" s="279">
        <v>111</v>
      </c>
      <c r="C555" s="278" t="s">
        <v>156</v>
      </c>
      <c r="D555" s="279" t="s">
        <v>522</v>
      </c>
      <c r="E555" s="278" t="s">
        <v>523</v>
      </c>
      <c r="F555" s="278" t="s">
        <v>784</v>
      </c>
      <c r="G555" s="280">
        <v>0</v>
      </c>
      <c r="H555" s="280">
        <v>368676.23</v>
      </c>
      <c r="I555" s="281">
        <v>-368676.23</v>
      </c>
      <c r="J555" s="282"/>
      <c r="K555" s="7"/>
    </row>
    <row r="556" spans="1:11" ht="15.75" hidden="1" customHeight="1" x14ac:dyDescent="0.3">
      <c r="A556" s="283" t="s">
        <v>628</v>
      </c>
      <c r="B556" s="284">
        <v>111</v>
      </c>
      <c r="C556" s="283" t="s">
        <v>156</v>
      </c>
      <c r="D556" s="284" t="s">
        <v>522</v>
      </c>
      <c r="E556" s="283" t="s">
        <v>523</v>
      </c>
      <c r="F556" s="283" t="s">
        <v>785</v>
      </c>
      <c r="G556" s="285">
        <v>0</v>
      </c>
      <c r="H556" s="285">
        <v>2357855.25</v>
      </c>
      <c r="I556" s="286">
        <v>-2357855.25</v>
      </c>
      <c r="J556" s="287"/>
      <c r="K556" s="7"/>
    </row>
    <row r="557" spans="1:11" ht="15.75" hidden="1" customHeight="1" x14ac:dyDescent="0.3">
      <c r="A557" s="278" t="s">
        <v>628</v>
      </c>
      <c r="B557" s="279">
        <v>111</v>
      </c>
      <c r="C557" s="278" t="s">
        <v>156</v>
      </c>
      <c r="D557" s="279" t="s">
        <v>522</v>
      </c>
      <c r="E557" s="278" t="s">
        <v>523</v>
      </c>
      <c r="F557" s="278" t="s">
        <v>786</v>
      </c>
      <c r="G557" s="280">
        <v>7691576.3099999996</v>
      </c>
      <c r="H557" s="280">
        <v>0</v>
      </c>
      <c r="I557" s="281">
        <v>7691576.3099999996</v>
      </c>
      <c r="J557" s="282"/>
      <c r="K557" s="7"/>
    </row>
    <row r="558" spans="1:11" ht="15.75" hidden="1" customHeight="1" x14ac:dyDescent="0.3">
      <c r="A558" s="283" t="s">
        <v>628</v>
      </c>
      <c r="B558" s="284">
        <v>111</v>
      </c>
      <c r="C558" s="283" t="s">
        <v>156</v>
      </c>
      <c r="D558" s="284" t="s">
        <v>522</v>
      </c>
      <c r="E558" s="283" t="s">
        <v>523</v>
      </c>
      <c r="F558" s="283" t="s">
        <v>786</v>
      </c>
      <c r="G558" s="285">
        <v>170260.81</v>
      </c>
      <c r="H558" s="285">
        <v>0</v>
      </c>
      <c r="I558" s="286">
        <v>170260.81</v>
      </c>
      <c r="J558" s="287"/>
      <c r="K558" s="7"/>
    </row>
    <row r="559" spans="1:11" ht="15.75" hidden="1" customHeight="1" x14ac:dyDescent="0.3">
      <c r="A559" s="278" t="s">
        <v>628</v>
      </c>
      <c r="B559" s="279">
        <v>111</v>
      </c>
      <c r="C559" s="278" t="s">
        <v>156</v>
      </c>
      <c r="D559" s="279" t="s">
        <v>522</v>
      </c>
      <c r="E559" s="278" t="s">
        <v>523</v>
      </c>
      <c r="F559" s="278" t="s">
        <v>787</v>
      </c>
      <c r="G559" s="280">
        <v>194698.95</v>
      </c>
      <c r="H559" s="280">
        <v>0</v>
      </c>
      <c r="I559" s="281">
        <v>194698.95</v>
      </c>
      <c r="J559" s="282"/>
      <c r="K559" s="7"/>
    </row>
    <row r="560" spans="1:11" ht="15.75" hidden="1" customHeight="1" x14ac:dyDescent="0.3">
      <c r="A560" s="283" t="s">
        <v>628</v>
      </c>
      <c r="B560" s="284">
        <v>111</v>
      </c>
      <c r="C560" s="283" t="s">
        <v>156</v>
      </c>
      <c r="D560" s="284" t="s">
        <v>522</v>
      </c>
      <c r="E560" s="283" t="s">
        <v>523</v>
      </c>
      <c r="F560" s="283" t="s">
        <v>787</v>
      </c>
      <c r="G560" s="285">
        <v>4152.7</v>
      </c>
      <c r="H560" s="285">
        <v>0</v>
      </c>
      <c r="I560" s="286">
        <v>4152.7</v>
      </c>
      <c r="J560" s="287"/>
      <c r="K560" s="7"/>
    </row>
    <row r="561" spans="1:11" ht="15.75" hidden="1" customHeight="1" x14ac:dyDescent="0.3">
      <c r="A561" s="278" t="s">
        <v>628</v>
      </c>
      <c r="B561" s="279">
        <v>111</v>
      </c>
      <c r="C561" s="278" t="s">
        <v>156</v>
      </c>
      <c r="D561" s="279" t="s">
        <v>522</v>
      </c>
      <c r="E561" s="278" t="s">
        <v>523</v>
      </c>
      <c r="F561" s="278" t="s">
        <v>788</v>
      </c>
      <c r="G561" s="280">
        <v>223055.62</v>
      </c>
      <c r="H561" s="280">
        <v>0</v>
      </c>
      <c r="I561" s="281">
        <v>223055.62</v>
      </c>
      <c r="J561" s="282"/>
      <c r="K561" s="7"/>
    </row>
    <row r="562" spans="1:11" ht="15.75" hidden="1" customHeight="1" x14ac:dyDescent="0.3">
      <c r="A562" s="283" t="s">
        <v>628</v>
      </c>
      <c r="B562" s="284">
        <v>111</v>
      </c>
      <c r="C562" s="283" t="s">
        <v>156</v>
      </c>
      <c r="D562" s="284" t="s">
        <v>522</v>
      </c>
      <c r="E562" s="283" t="s">
        <v>523</v>
      </c>
      <c r="F562" s="283" t="s">
        <v>788</v>
      </c>
      <c r="G562" s="285">
        <v>4937.5600000000004</v>
      </c>
      <c r="H562" s="285">
        <v>0</v>
      </c>
      <c r="I562" s="286">
        <v>4937.5600000000004</v>
      </c>
      <c r="J562" s="287"/>
      <c r="K562" s="7"/>
    </row>
    <row r="563" spans="1:11" ht="15.75" hidden="1" customHeight="1" x14ac:dyDescent="0.3">
      <c r="A563" s="278" t="s">
        <v>628</v>
      </c>
      <c r="B563" s="279">
        <v>111</v>
      </c>
      <c r="C563" s="278" t="s">
        <v>156</v>
      </c>
      <c r="D563" s="279" t="s">
        <v>522</v>
      </c>
      <c r="E563" s="278" t="s">
        <v>523</v>
      </c>
      <c r="F563" s="278" t="s">
        <v>789</v>
      </c>
      <c r="G563" s="280">
        <v>0</v>
      </c>
      <c r="H563" s="280">
        <v>40272.44</v>
      </c>
      <c r="I563" s="281">
        <v>-40272.44</v>
      </c>
      <c r="J563" s="282"/>
      <c r="K563" s="7"/>
    </row>
    <row r="564" spans="1:11" ht="15.75" hidden="1" customHeight="1" x14ac:dyDescent="0.3">
      <c r="A564" s="288" t="s">
        <v>628</v>
      </c>
      <c r="B564" s="288">
        <v>111</v>
      </c>
      <c r="C564" s="289" t="s">
        <v>156</v>
      </c>
      <c r="D564" s="288" t="s">
        <v>320</v>
      </c>
      <c r="E564" s="290"/>
      <c r="F564" s="289" t="s">
        <v>321</v>
      </c>
      <c r="G564" s="291">
        <v>8288681.9499999993</v>
      </c>
      <c r="H564" s="291">
        <v>2766803.92</v>
      </c>
      <c r="I564" s="292">
        <v>5521878.0299999993</v>
      </c>
      <c r="J564" s="292">
        <v>5521878</v>
      </c>
      <c r="K564" s="293">
        <v>2.999999932944775E-2</v>
      </c>
    </row>
    <row r="565" spans="1:11" ht="15.75" hidden="1" customHeight="1" x14ac:dyDescent="0.3">
      <c r="A565" s="278" t="s">
        <v>628</v>
      </c>
      <c r="B565" s="279">
        <v>112</v>
      </c>
      <c r="C565" s="278" t="s">
        <v>157</v>
      </c>
      <c r="D565" s="279" t="s">
        <v>522</v>
      </c>
      <c r="E565" s="278"/>
      <c r="F565" s="278" t="s">
        <v>790</v>
      </c>
      <c r="G565" s="280">
        <v>0</v>
      </c>
      <c r="H565" s="280">
        <v>1200000</v>
      </c>
      <c r="I565" s="281">
        <v>-1200000</v>
      </c>
      <c r="J565" s="282"/>
      <c r="K565" s="7"/>
    </row>
    <row r="566" spans="1:11" ht="15.75" hidden="1" customHeight="1" x14ac:dyDescent="0.3">
      <c r="A566" s="283" t="s">
        <v>628</v>
      </c>
      <c r="B566" s="284">
        <v>112</v>
      </c>
      <c r="C566" s="283" t="s">
        <v>157</v>
      </c>
      <c r="D566" s="284" t="s">
        <v>522</v>
      </c>
      <c r="E566" s="283" t="s">
        <v>791</v>
      </c>
      <c r="F566" s="283" t="s">
        <v>792</v>
      </c>
      <c r="G566" s="285">
        <v>1202894.26</v>
      </c>
      <c r="H566" s="285">
        <v>0</v>
      </c>
      <c r="I566" s="286">
        <v>1202894.26</v>
      </c>
      <c r="J566" s="287"/>
      <c r="K566" s="7"/>
    </row>
    <row r="567" spans="1:11" ht="15.75" hidden="1" customHeight="1" x14ac:dyDescent="0.3">
      <c r="A567" s="278" t="s">
        <v>628</v>
      </c>
      <c r="B567" s="279">
        <v>112</v>
      </c>
      <c r="C567" s="278" t="s">
        <v>157</v>
      </c>
      <c r="D567" s="279" t="s">
        <v>522</v>
      </c>
      <c r="E567" s="278"/>
      <c r="F567" s="278" t="s">
        <v>793</v>
      </c>
      <c r="G567" s="280">
        <v>1300000</v>
      </c>
      <c r="H567" s="280">
        <v>0</v>
      </c>
      <c r="I567" s="281">
        <v>1300000</v>
      </c>
      <c r="J567" s="282"/>
      <c r="K567" s="7"/>
    </row>
    <row r="568" spans="1:11" ht="15.75" hidden="1" customHeight="1" x14ac:dyDescent="0.3">
      <c r="A568" s="288" t="s">
        <v>628</v>
      </c>
      <c r="B568" s="288">
        <v>112</v>
      </c>
      <c r="C568" s="289" t="s">
        <v>157</v>
      </c>
      <c r="D568" s="288" t="s">
        <v>320</v>
      </c>
      <c r="E568" s="290"/>
      <c r="F568" s="289" t="s">
        <v>321</v>
      </c>
      <c r="G568" s="291">
        <v>2502894.2599999998</v>
      </c>
      <c r="H568" s="291">
        <v>1200000</v>
      </c>
      <c r="I568" s="292">
        <v>1302894.26</v>
      </c>
      <c r="J568" s="292">
        <v>1302894</v>
      </c>
      <c r="K568" s="293">
        <v>0.26000000000931323</v>
      </c>
    </row>
    <row r="569" spans="1:11" ht="15.75" hidden="1" customHeight="1" x14ac:dyDescent="0.3">
      <c r="A569" s="278" t="s">
        <v>628</v>
      </c>
      <c r="B569" s="279">
        <v>115</v>
      </c>
      <c r="C569" s="278" t="s">
        <v>162</v>
      </c>
      <c r="D569" s="279" t="s">
        <v>529</v>
      </c>
      <c r="E569" s="278" t="s">
        <v>530</v>
      </c>
      <c r="F569" s="278" t="s">
        <v>794</v>
      </c>
      <c r="G569" s="280">
        <v>28800</v>
      </c>
      <c r="H569" s="280">
        <v>0</v>
      </c>
      <c r="I569" s="281">
        <v>28800</v>
      </c>
      <c r="J569" s="282"/>
      <c r="K569" s="7"/>
    </row>
    <row r="570" spans="1:11" ht="15.75" hidden="1" customHeight="1" x14ac:dyDescent="0.3">
      <c r="A570" s="283" t="s">
        <v>628</v>
      </c>
      <c r="B570" s="284">
        <v>115</v>
      </c>
      <c r="C570" s="283" t="s">
        <v>162</v>
      </c>
      <c r="D570" s="284" t="s">
        <v>529</v>
      </c>
      <c r="E570" s="283" t="s">
        <v>530</v>
      </c>
      <c r="F570" s="283" t="s">
        <v>795</v>
      </c>
      <c r="G570" s="285">
        <v>892256.57</v>
      </c>
      <c r="H570" s="285">
        <v>0</v>
      </c>
      <c r="I570" s="286">
        <v>892256.57</v>
      </c>
      <c r="J570" s="287"/>
      <c r="K570" s="7"/>
    </row>
    <row r="571" spans="1:11" ht="15.75" hidden="1" customHeight="1" x14ac:dyDescent="0.3">
      <c r="A571" s="278" t="s">
        <v>628</v>
      </c>
      <c r="B571" s="279">
        <v>115</v>
      </c>
      <c r="C571" s="278" t="s">
        <v>162</v>
      </c>
      <c r="D571" s="279" t="s">
        <v>529</v>
      </c>
      <c r="E571" s="278" t="s">
        <v>530</v>
      </c>
      <c r="F571" s="278" t="s">
        <v>795</v>
      </c>
      <c r="G571" s="280">
        <v>191949.34</v>
      </c>
      <c r="H571" s="280">
        <v>0</v>
      </c>
      <c r="I571" s="281">
        <v>191949.34</v>
      </c>
      <c r="J571" s="282"/>
      <c r="K571" s="7"/>
    </row>
    <row r="572" spans="1:11" ht="15.75" hidden="1" customHeight="1" x14ac:dyDescent="0.3">
      <c r="A572" s="288" t="s">
        <v>628</v>
      </c>
      <c r="B572" s="288">
        <v>115</v>
      </c>
      <c r="C572" s="289" t="s">
        <v>162</v>
      </c>
      <c r="D572" s="288" t="s">
        <v>320</v>
      </c>
      <c r="E572" s="290"/>
      <c r="F572" s="289" t="s">
        <v>321</v>
      </c>
      <c r="G572" s="291">
        <v>1113005.9099999999</v>
      </c>
      <c r="H572" s="291">
        <v>0</v>
      </c>
      <c r="I572" s="292">
        <v>1113005.9099999999</v>
      </c>
      <c r="J572" s="292">
        <v>1113006</v>
      </c>
      <c r="K572" s="293">
        <v>-9.0000000083819032E-2</v>
      </c>
    </row>
    <row r="573" spans="1:11" ht="15.75" hidden="1" customHeight="1" x14ac:dyDescent="0.3">
      <c r="A573" s="278" t="s">
        <v>628</v>
      </c>
      <c r="B573" s="279">
        <v>117</v>
      </c>
      <c r="C573" s="278" t="s">
        <v>165</v>
      </c>
      <c r="D573" s="279" t="s">
        <v>534</v>
      </c>
      <c r="E573" s="278" t="s">
        <v>535</v>
      </c>
      <c r="F573" s="278" t="s">
        <v>796</v>
      </c>
      <c r="G573" s="280">
        <v>351600</v>
      </c>
      <c r="H573" s="280">
        <v>0</v>
      </c>
      <c r="I573" s="281">
        <v>351600</v>
      </c>
      <c r="J573" s="282"/>
      <c r="K573" s="7"/>
    </row>
    <row r="574" spans="1:11" ht="15.75" hidden="1" customHeight="1" x14ac:dyDescent="0.3">
      <c r="A574" s="283" t="s">
        <v>628</v>
      </c>
      <c r="B574" s="284">
        <v>117</v>
      </c>
      <c r="C574" s="283" t="s">
        <v>165</v>
      </c>
      <c r="D574" s="284" t="s">
        <v>534</v>
      </c>
      <c r="E574" s="283" t="s">
        <v>535</v>
      </c>
      <c r="F574" s="283" t="s">
        <v>797</v>
      </c>
      <c r="G574" s="285">
        <v>0</v>
      </c>
      <c r="H574" s="285">
        <v>59000</v>
      </c>
      <c r="I574" s="286">
        <v>-59000</v>
      </c>
      <c r="J574" s="287"/>
      <c r="K574" s="7"/>
    </row>
    <row r="575" spans="1:11" ht="15.75" hidden="1" customHeight="1" x14ac:dyDescent="0.3">
      <c r="A575" s="278" t="s">
        <v>628</v>
      </c>
      <c r="B575" s="279">
        <v>117</v>
      </c>
      <c r="C575" s="278" t="s">
        <v>165</v>
      </c>
      <c r="D575" s="279" t="s">
        <v>534</v>
      </c>
      <c r="E575" s="278" t="s">
        <v>535</v>
      </c>
      <c r="F575" s="278" t="s">
        <v>798</v>
      </c>
      <c r="G575" s="280">
        <v>0</v>
      </c>
      <c r="H575" s="280">
        <v>58600</v>
      </c>
      <c r="I575" s="281">
        <v>-58600</v>
      </c>
      <c r="J575" s="282"/>
      <c r="K575" s="7"/>
    </row>
    <row r="576" spans="1:11" ht="15.75" hidden="1" customHeight="1" x14ac:dyDescent="0.3">
      <c r="A576" s="283" t="s">
        <v>628</v>
      </c>
      <c r="B576" s="284">
        <v>117</v>
      </c>
      <c r="C576" s="283" t="s">
        <v>165</v>
      </c>
      <c r="D576" s="284" t="s">
        <v>534</v>
      </c>
      <c r="E576" s="283" t="s">
        <v>535</v>
      </c>
      <c r="F576" s="283" t="s">
        <v>799</v>
      </c>
      <c r="G576" s="285">
        <v>0</v>
      </c>
      <c r="H576" s="285">
        <v>16940</v>
      </c>
      <c r="I576" s="286">
        <v>-16940</v>
      </c>
      <c r="J576" s="287"/>
      <c r="K576" s="7"/>
    </row>
    <row r="577" spans="1:11" ht="15.75" hidden="1" customHeight="1" x14ac:dyDescent="0.3">
      <c r="A577" s="288" t="s">
        <v>628</v>
      </c>
      <c r="B577" s="288">
        <v>117</v>
      </c>
      <c r="C577" s="289" t="s">
        <v>165</v>
      </c>
      <c r="D577" s="288" t="s">
        <v>320</v>
      </c>
      <c r="E577" s="290"/>
      <c r="F577" s="289" t="s">
        <v>321</v>
      </c>
      <c r="G577" s="291">
        <v>351600</v>
      </c>
      <c r="H577" s="291">
        <v>134540</v>
      </c>
      <c r="I577" s="292">
        <v>217060</v>
      </c>
      <c r="J577" s="292">
        <v>217060</v>
      </c>
      <c r="K577" s="293">
        <v>0</v>
      </c>
    </row>
    <row r="578" spans="1:11" ht="15.75" hidden="1" customHeight="1" x14ac:dyDescent="0.3">
      <c r="A578" s="278" t="s">
        <v>628</v>
      </c>
      <c r="B578" s="279">
        <v>119</v>
      </c>
      <c r="C578" s="278" t="s">
        <v>169</v>
      </c>
      <c r="D578" s="279" t="s">
        <v>542</v>
      </c>
      <c r="E578" s="278" t="s">
        <v>438</v>
      </c>
      <c r="F578" s="278" t="s">
        <v>800</v>
      </c>
      <c r="G578" s="280">
        <v>121200</v>
      </c>
      <c r="H578" s="280">
        <v>0</v>
      </c>
      <c r="I578" s="281">
        <v>121200</v>
      </c>
      <c r="J578" s="282"/>
      <c r="K578" s="7"/>
    </row>
    <row r="579" spans="1:11" ht="15.75" hidden="1" customHeight="1" x14ac:dyDescent="0.3">
      <c r="A579" s="283" t="s">
        <v>628</v>
      </c>
      <c r="B579" s="284">
        <v>119</v>
      </c>
      <c r="C579" s="283" t="s">
        <v>169</v>
      </c>
      <c r="D579" s="284" t="s">
        <v>542</v>
      </c>
      <c r="E579" s="283" t="s">
        <v>438</v>
      </c>
      <c r="F579" s="283" t="s">
        <v>801</v>
      </c>
      <c r="G579" s="285">
        <v>244999</v>
      </c>
      <c r="H579" s="285">
        <v>0</v>
      </c>
      <c r="I579" s="286">
        <v>244999</v>
      </c>
      <c r="J579" s="287"/>
      <c r="K579" s="7"/>
    </row>
    <row r="580" spans="1:11" ht="15.75" hidden="1" customHeight="1" x14ac:dyDescent="0.3">
      <c r="A580" s="278" t="s">
        <v>628</v>
      </c>
      <c r="B580" s="279">
        <v>119</v>
      </c>
      <c r="C580" s="278" t="s">
        <v>169</v>
      </c>
      <c r="D580" s="279" t="s">
        <v>542</v>
      </c>
      <c r="E580" s="278" t="s">
        <v>802</v>
      </c>
      <c r="F580" s="278" t="s">
        <v>803</v>
      </c>
      <c r="G580" s="280">
        <v>38430</v>
      </c>
      <c r="H580" s="280">
        <v>0</v>
      </c>
      <c r="I580" s="281">
        <v>38430</v>
      </c>
      <c r="J580" s="282"/>
      <c r="K580" s="7"/>
    </row>
    <row r="581" spans="1:11" ht="15.75" hidden="1" customHeight="1" x14ac:dyDescent="0.3">
      <c r="A581" s="283" t="s">
        <v>628</v>
      </c>
      <c r="B581" s="284">
        <v>119</v>
      </c>
      <c r="C581" s="283" t="s">
        <v>169</v>
      </c>
      <c r="D581" s="284" t="s">
        <v>542</v>
      </c>
      <c r="E581" s="283" t="s">
        <v>802</v>
      </c>
      <c r="F581" s="283" t="s">
        <v>804</v>
      </c>
      <c r="G581" s="285">
        <v>0</v>
      </c>
      <c r="H581" s="285">
        <v>0.3</v>
      </c>
      <c r="I581" s="286">
        <v>-0.3</v>
      </c>
      <c r="J581" s="287"/>
      <c r="K581" s="7"/>
    </row>
    <row r="582" spans="1:11" ht="15.75" hidden="1" customHeight="1" x14ac:dyDescent="0.3">
      <c r="A582" s="278" t="s">
        <v>628</v>
      </c>
      <c r="B582" s="279">
        <v>119</v>
      </c>
      <c r="C582" s="278" t="s">
        <v>169</v>
      </c>
      <c r="D582" s="279" t="s">
        <v>542</v>
      </c>
      <c r="E582" s="278" t="s">
        <v>438</v>
      </c>
      <c r="F582" s="278" t="s">
        <v>805</v>
      </c>
      <c r="G582" s="280">
        <v>11000</v>
      </c>
      <c r="H582" s="280">
        <v>0</v>
      </c>
      <c r="I582" s="281">
        <v>11000</v>
      </c>
      <c r="J582" s="282"/>
      <c r="K582" s="7"/>
    </row>
    <row r="583" spans="1:11" ht="15.75" hidden="1" customHeight="1" x14ac:dyDescent="0.3">
      <c r="A583" s="283" t="s">
        <v>628</v>
      </c>
      <c r="B583" s="284">
        <v>119</v>
      </c>
      <c r="C583" s="283" t="s">
        <v>169</v>
      </c>
      <c r="D583" s="284" t="s">
        <v>542</v>
      </c>
      <c r="E583" s="283" t="s">
        <v>438</v>
      </c>
      <c r="F583" s="283" t="s">
        <v>806</v>
      </c>
      <c r="G583" s="285">
        <v>310000</v>
      </c>
      <c r="H583" s="285">
        <v>0</v>
      </c>
      <c r="I583" s="286">
        <v>310000</v>
      </c>
      <c r="J583" s="287"/>
      <c r="K583" s="7"/>
    </row>
    <row r="584" spans="1:11" ht="15.75" hidden="1" customHeight="1" x14ac:dyDescent="0.3">
      <c r="A584" s="288" t="s">
        <v>628</v>
      </c>
      <c r="B584" s="288">
        <v>119</v>
      </c>
      <c r="C584" s="289" t="s">
        <v>169</v>
      </c>
      <c r="D584" s="288" t="s">
        <v>320</v>
      </c>
      <c r="E584" s="290"/>
      <c r="F584" s="289" t="s">
        <v>321</v>
      </c>
      <c r="G584" s="291">
        <v>725629</v>
      </c>
      <c r="H584" s="291">
        <v>0.3</v>
      </c>
      <c r="I584" s="292">
        <v>725628.7</v>
      </c>
      <c r="J584" s="292">
        <v>725629</v>
      </c>
      <c r="K584" s="293">
        <v>-0.30000000004656607</v>
      </c>
    </row>
    <row r="585" spans="1:11" ht="15.75" hidden="1" customHeight="1" x14ac:dyDescent="0.3">
      <c r="A585" s="278" t="s">
        <v>628</v>
      </c>
      <c r="B585" s="279">
        <v>122</v>
      </c>
      <c r="C585" s="278" t="s">
        <v>175</v>
      </c>
      <c r="D585" s="279" t="s">
        <v>549</v>
      </c>
      <c r="E585" s="278"/>
      <c r="F585" s="278" t="s">
        <v>807</v>
      </c>
      <c r="G585" s="280">
        <v>432412</v>
      </c>
      <c r="H585" s="280">
        <v>0</v>
      </c>
      <c r="I585" s="281">
        <v>432412</v>
      </c>
      <c r="J585" s="282"/>
      <c r="K585" s="7"/>
    </row>
    <row r="586" spans="1:11" ht="15.75" hidden="1" customHeight="1" x14ac:dyDescent="0.3">
      <c r="A586" s="288" t="s">
        <v>628</v>
      </c>
      <c r="B586" s="288">
        <v>122</v>
      </c>
      <c r="C586" s="289" t="s">
        <v>175</v>
      </c>
      <c r="D586" s="288" t="s">
        <v>320</v>
      </c>
      <c r="E586" s="290"/>
      <c r="F586" s="289" t="s">
        <v>321</v>
      </c>
      <c r="G586" s="291">
        <v>432412</v>
      </c>
      <c r="H586" s="291">
        <v>0</v>
      </c>
      <c r="I586" s="292">
        <v>432412</v>
      </c>
      <c r="J586" s="292">
        <v>432412</v>
      </c>
      <c r="K586" s="293">
        <v>0</v>
      </c>
    </row>
    <row r="587" spans="1:11" ht="15.75" hidden="1" customHeight="1" x14ac:dyDescent="0.3">
      <c r="A587" s="278" t="s">
        <v>628</v>
      </c>
      <c r="B587" s="279">
        <v>123</v>
      </c>
      <c r="C587" s="278" t="s">
        <v>177</v>
      </c>
      <c r="D587" s="279" t="s">
        <v>551</v>
      </c>
      <c r="E587" s="278" t="s">
        <v>552</v>
      </c>
      <c r="F587" s="278" t="s">
        <v>808</v>
      </c>
      <c r="G587" s="280">
        <v>1808665</v>
      </c>
      <c r="H587" s="280">
        <v>0</v>
      </c>
      <c r="I587" s="281">
        <v>1808665</v>
      </c>
      <c r="J587" s="282"/>
      <c r="K587" s="7"/>
    </row>
    <row r="588" spans="1:11" ht="15.75" hidden="1" customHeight="1" x14ac:dyDescent="0.3">
      <c r="A588" s="288" t="s">
        <v>628</v>
      </c>
      <c r="B588" s="288">
        <v>123</v>
      </c>
      <c r="C588" s="289" t="s">
        <v>177</v>
      </c>
      <c r="D588" s="288" t="s">
        <v>320</v>
      </c>
      <c r="E588" s="290"/>
      <c r="F588" s="289" t="s">
        <v>321</v>
      </c>
      <c r="G588" s="291">
        <v>1808665</v>
      </c>
      <c r="H588" s="291">
        <v>0</v>
      </c>
      <c r="I588" s="292">
        <v>1808665</v>
      </c>
      <c r="J588" s="292">
        <v>1808665</v>
      </c>
      <c r="K588" s="293">
        <v>0</v>
      </c>
    </row>
    <row r="589" spans="1:11" ht="15.75" hidden="1" customHeight="1" x14ac:dyDescent="0.3">
      <c r="A589" s="278" t="s">
        <v>628</v>
      </c>
      <c r="B589" s="279">
        <v>129</v>
      </c>
      <c r="C589" s="278" t="s">
        <v>183</v>
      </c>
      <c r="D589" s="279" t="s">
        <v>553</v>
      </c>
      <c r="E589" s="278" t="s">
        <v>554</v>
      </c>
      <c r="F589" s="278" t="s">
        <v>809</v>
      </c>
      <c r="G589" s="280">
        <v>4468250</v>
      </c>
      <c r="H589" s="280">
        <v>0</v>
      </c>
      <c r="I589" s="281">
        <v>4468250</v>
      </c>
      <c r="J589" s="282"/>
      <c r="K589" s="7"/>
    </row>
    <row r="590" spans="1:11" ht="15.75" hidden="1" customHeight="1" x14ac:dyDescent="0.3">
      <c r="A590" s="288" t="s">
        <v>628</v>
      </c>
      <c r="B590" s="288">
        <v>129</v>
      </c>
      <c r="C590" s="289" t="s">
        <v>183</v>
      </c>
      <c r="D590" s="288" t="s">
        <v>320</v>
      </c>
      <c r="E590" s="290"/>
      <c r="F590" s="289" t="s">
        <v>321</v>
      </c>
      <c r="G590" s="291">
        <v>4468250</v>
      </c>
      <c r="H590" s="291">
        <v>0</v>
      </c>
      <c r="I590" s="292">
        <v>4468250</v>
      </c>
      <c r="J590" s="292">
        <v>4468250</v>
      </c>
      <c r="K590" s="293">
        <v>0</v>
      </c>
    </row>
    <row r="591" spans="1:11" ht="15.75" hidden="1" customHeight="1" x14ac:dyDescent="0.3">
      <c r="A591" s="278" t="s">
        <v>628</v>
      </c>
      <c r="B591" s="279">
        <v>130</v>
      </c>
      <c r="C591" s="278" t="s">
        <v>186</v>
      </c>
      <c r="D591" s="279" t="s">
        <v>553</v>
      </c>
      <c r="E591" s="278"/>
      <c r="F591" s="278" t="s">
        <v>810</v>
      </c>
      <c r="G591" s="280">
        <v>0</v>
      </c>
      <c r="H591" s="280">
        <v>1223500</v>
      </c>
      <c r="I591" s="281">
        <v>-1223500</v>
      </c>
      <c r="J591" s="282"/>
      <c r="K591" s="7"/>
    </row>
    <row r="592" spans="1:11" ht="15.75" hidden="1" customHeight="1" x14ac:dyDescent="0.3">
      <c r="A592" s="283" t="s">
        <v>628</v>
      </c>
      <c r="B592" s="284">
        <v>130</v>
      </c>
      <c r="C592" s="283" t="s">
        <v>186</v>
      </c>
      <c r="D592" s="284" t="s">
        <v>553</v>
      </c>
      <c r="E592" s="283" t="s">
        <v>557</v>
      </c>
      <c r="F592" s="283" t="s">
        <v>811</v>
      </c>
      <c r="G592" s="285">
        <v>1223564.0900000001</v>
      </c>
      <c r="H592" s="285">
        <v>0</v>
      </c>
      <c r="I592" s="286">
        <v>1223564.0900000001</v>
      </c>
      <c r="J592" s="287"/>
      <c r="K592" s="7"/>
    </row>
    <row r="593" spans="1:11" ht="15.75" hidden="1" customHeight="1" x14ac:dyDescent="0.3">
      <c r="A593" s="278" t="s">
        <v>628</v>
      </c>
      <c r="B593" s="279">
        <v>130</v>
      </c>
      <c r="C593" s="278" t="s">
        <v>186</v>
      </c>
      <c r="D593" s="279" t="s">
        <v>553</v>
      </c>
      <c r="E593" s="278"/>
      <c r="F593" s="278" t="s">
        <v>812</v>
      </c>
      <c r="G593" s="280">
        <v>1250000</v>
      </c>
      <c r="H593" s="280">
        <v>0</v>
      </c>
      <c r="I593" s="281">
        <v>1250000</v>
      </c>
      <c r="J593" s="282"/>
      <c r="K593" s="7"/>
    </row>
    <row r="594" spans="1:11" ht="15.75" hidden="1" customHeight="1" x14ac:dyDescent="0.3">
      <c r="A594" s="288" t="s">
        <v>628</v>
      </c>
      <c r="B594" s="288">
        <v>130</v>
      </c>
      <c r="C594" s="289" t="s">
        <v>186</v>
      </c>
      <c r="D594" s="288" t="s">
        <v>320</v>
      </c>
      <c r="E594" s="290"/>
      <c r="F594" s="289" t="s">
        <v>321</v>
      </c>
      <c r="G594" s="291">
        <v>2473564.09</v>
      </c>
      <c r="H594" s="291">
        <v>1223500</v>
      </c>
      <c r="I594" s="292">
        <v>1250064.0900000001</v>
      </c>
      <c r="J594" s="292">
        <v>1250064.0900000001</v>
      </c>
      <c r="K594" s="293">
        <v>0</v>
      </c>
    </row>
    <row r="595" spans="1:11" ht="15.75" hidden="1" customHeight="1" x14ac:dyDescent="0.3">
      <c r="A595" s="278" t="s">
        <v>628</v>
      </c>
      <c r="B595" s="279">
        <v>131</v>
      </c>
      <c r="C595" s="278" t="s">
        <v>188</v>
      </c>
      <c r="D595" s="279" t="s">
        <v>560</v>
      </c>
      <c r="E595" s="278" t="s">
        <v>438</v>
      </c>
      <c r="F595" s="278" t="s">
        <v>813</v>
      </c>
      <c r="G595" s="280">
        <v>6221</v>
      </c>
      <c r="H595" s="280">
        <v>0</v>
      </c>
      <c r="I595" s="281">
        <v>6221</v>
      </c>
      <c r="J595" s="282"/>
      <c r="K595" s="7"/>
    </row>
    <row r="596" spans="1:11" ht="15.75" hidden="1" customHeight="1" x14ac:dyDescent="0.3">
      <c r="A596" s="283" t="s">
        <v>628</v>
      </c>
      <c r="B596" s="284">
        <v>131</v>
      </c>
      <c r="C596" s="283" t="s">
        <v>188</v>
      </c>
      <c r="D596" s="284" t="s">
        <v>560</v>
      </c>
      <c r="E596" s="283" t="s">
        <v>438</v>
      </c>
      <c r="F596" s="283" t="s">
        <v>814</v>
      </c>
      <c r="G596" s="285">
        <v>323560</v>
      </c>
      <c r="H596" s="285">
        <v>0</v>
      </c>
      <c r="I596" s="286">
        <v>323560</v>
      </c>
      <c r="J596" s="287"/>
      <c r="K596" s="7"/>
    </row>
    <row r="597" spans="1:11" ht="15.75" hidden="1" customHeight="1" x14ac:dyDescent="0.3">
      <c r="A597" s="278" t="s">
        <v>628</v>
      </c>
      <c r="B597" s="279">
        <v>131</v>
      </c>
      <c r="C597" s="278" t="s">
        <v>188</v>
      </c>
      <c r="D597" s="279" t="s">
        <v>560</v>
      </c>
      <c r="E597" s="278" t="s">
        <v>438</v>
      </c>
      <c r="F597" s="278" t="s">
        <v>815</v>
      </c>
      <c r="G597" s="280">
        <v>6221</v>
      </c>
      <c r="H597" s="280">
        <v>0</v>
      </c>
      <c r="I597" s="281">
        <v>6221</v>
      </c>
      <c r="J597" s="282"/>
      <c r="K597" s="7"/>
    </row>
    <row r="598" spans="1:11" ht="15.75" hidden="1" customHeight="1" x14ac:dyDescent="0.3">
      <c r="A598" s="283" t="s">
        <v>628</v>
      </c>
      <c r="B598" s="284">
        <v>131</v>
      </c>
      <c r="C598" s="283" t="s">
        <v>188</v>
      </c>
      <c r="D598" s="284" t="s">
        <v>560</v>
      </c>
      <c r="E598" s="283" t="s">
        <v>438</v>
      </c>
      <c r="F598" s="283" t="s">
        <v>816</v>
      </c>
      <c r="G598" s="285">
        <v>6221</v>
      </c>
      <c r="H598" s="285">
        <v>0</v>
      </c>
      <c r="I598" s="286">
        <v>6221</v>
      </c>
      <c r="J598" s="287"/>
      <c r="K598" s="7"/>
    </row>
    <row r="599" spans="1:11" ht="15.75" hidden="1" customHeight="1" x14ac:dyDescent="0.3">
      <c r="A599" s="278" t="s">
        <v>628</v>
      </c>
      <c r="B599" s="279">
        <v>131</v>
      </c>
      <c r="C599" s="278" t="s">
        <v>188</v>
      </c>
      <c r="D599" s="279" t="s">
        <v>563</v>
      </c>
      <c r="E599" s="278" t="s">
        <v>554</v>
      </c>
      <c r="F599" s="278" t="s">
        <v>817</v>
      </c>
      <c r="G599" s="280">
        <v>0</v>
      </c>
      <c r="H599" s="280">
        <v>900777.24</v>
      </c>
      <c r="I599" s="281">
        <v>-900777.24</v>
      </c>
      <c r="J599" s="282"/>
      <c r="K599" s="7"/>
    </row>
    <row r="600" spans="1:11" ht="15.75" hidden="1" customHeight="1" x14ac:dyDescent="0.3">
      <c r="A600" s="288" t="s">
        <v>628</v>
      </c>
      <c r="B600" s="288">
        <v>131</v>
      </c>
      <c r="C600" s="289" t="s">
        <v>188</v>
      </c>
      <c r="D600" s="288" t="s">
        <v>320</v>
      </c>
      <c r="E600" s="290"/>
      <c r="F600" s="289" t="s">
        <v>321</v>
      </c>
      <c r="G600" s="291">
        <v>342223</v>
      </c>
      <c r="H600" s="291">
        <v>900777.24</v>
      </c>
      <c r="I600" s="292">
        <v>-558554.24</v>
      </c>
      <c r="J600" s="292">
        <v>342223</v>
      </c>
      <c r="K600" s="294">
        <v>-900777.24</v>
      </c>
    </row>
    <row r="601" spans="1:11" ht="15.75" hidden="1" customHeight="1" x14ac:dyDescent="0.3">
      <c r="A601" s="278" t="s">
        <v>628</v>
      </c>
      <c r="B601" s="279">
        <v>132</v>
      </c>
      <c r="C601" s="278" t="s">
        <v>190</v>
      </c>
      <c r="D601" s="279" t="s">
        <v>565</v>
      </c>
      <c r="E601" s="278" t="s">
        <v>566</v>
      </c>
      <c r="F601" s="278" t="s">
        <v>818</v>
      </c>
      <c r="G601" s="280">
        <v>914708.15</v>
      </c>
      <c r="H601" s="280">
        <v>0</v>
      </c>
      <c r="I601" s="281">
        <v>914708.15</v>
      </c>
      <c r="J601" s="282"/>
      <c r="K601" s="7"/>
    </row>
    <row r="602" spans="1:11" ht="15.75" hidden="1" customHeight="1" x14ac:dyDescent="0.3">
      <c r="A602" s="288" t="s">
        <v>628</v>
      </c>
      <c r="B602" s="288">
        <v>132</v>
      </c>
      <c r="C602" s="289" t="s">
        <v>190</v>
      </c>
      <c r="D602" s="288" t="s">
        <v>320</v>
      </c>
      <c r="E602" s="290"/>
      <c r="F602" s="289" t="s">
        <v>321</v>
      </c>
      <c r="G602" s="291">
        <v>914708.15</v>
      </c>
      <c r="H602" s="291">
        <v>0</v>
      </c>
      <c r="I602" s="292">
        <v>914708.15</v>
      </c>
      <c r="J602" s="292">
        <v>914708.15</v>
      </c>
      <c r="K602" s="293">
        <v>0</v>
      </c>
    </row>
    <row r="603" spans="1:11" ht="15.75" hidden="1" customHeight="1" x14ac:dyDescent="0.3">
      <c r="A603" s="278" t="s">
        <v>628</v>
      </c>
      <c r="B603" s="279">
        <v>134</v>
      </c>
      <c r="C603" s="278" t="s">
        <v>194</v>
      </c>
      <c r="D603" s="279" t="s">
        <v>549</v>
      </c>
      <c r="E603" s="278"/>
      <c r="F603" s="278" t="s">
        <v>819</v>
      </c>
      <c r="G603" s="280">
        <v>128926</v>
      </c>
      <c r="H603" s="280">
        <v>0</v>
      </c>
      <c r="I603" s="281">
        <v>128926</v>
      </c>
      <c r="J603" s="282"/>
      <c r="K603" s="7"/>
    </row>
    <row r="604" spans="1:11" ht="15.75" hidden="1" customHeight="1" x14ac:dyDescent="0.3">
      <c r="A604" s="288" t="s">
        <v>628</v>
      </c>
      <c r="B604" s="288">
        <v>134</v>
      </c>
      <c r="C604" s="289" t="s">
        <v>194</v>
      </c>
      <c r="D604" s="288" t="s">
        <v>320</v>
      </c>
      <c r="E604" s="290"/>
      <c r="F604" s="289" t="s">
        <v>321</v>
      </c>
      <c r="G604" s="291">
        <v>128926</v>
      </c>
      <c r="H604" s="291">
        <v>0</v>
      </c>
      <c r="I604" s="292">
        <v>128926</v>
      </c>
      <c r="J604" s="292">
        <v>0</v>
      </c>
      <c r="K604" s="294">
        <v>128926</v>
      </c>
    </row>
    <row r="605" spans="1:11" ht="15.75" hidden="1" customHeight="1" x14ac:dyDescent="0.3">
      <c r="A605" s="278" t="s">
        <v>628</v>
      </c>
      <c r="B605" s="279">
        <v>135</v>
      </c>
      <c r="C605" s="278" t="s">
        <v>196</v>
      </c>
      <c r="D605" s="279" t="s">
        <v>571</v>
      </c>
      <c r="E605" s="278" t="s">
        <v>572</v>
      </c>
      <c r="F605" s="278" t="s">
        <v>820</v>
      </c>
      <c r="G605" s="280">
        <v>91890</v>
      </c>
      <c r="H605" s="280">
        <v>0</v>
      </c>
      <c r="I605" s="281">
        <v>91890</v>
      </c>
      <c r="J605" s="282"/>
      <c r="K605" s="7"/>
    </row>
    <row r="606" spans="1:11" ht="15.75" hidden="1" customHeight="1" x14ac:dyDescent="0.3">
      <c r="A606" s="283" t="s">
        <v>628</v>
      </c>
      <c r="B606" s="284">
        <v>135</v>
      </c>
      <c r="C606" s="283" t="s">
        <v>196</v>
      </c>
      <c r="D606" s="284" t="s">
        <v>571</v>
      </c>
      <c r="E606" s="283" t="s">
        <v>575</v>
      </c>
      <c r="F606" s="283" t="s">
        <v>821</v>
      </c>
      <c r="G606" s="285">
        <v>29760</v>
      </c>
      <c r="H606" s="285">
        <v>0</v>
      </c>
      <c r="I606" s="286">
        <v>29760</v>
      </c>
      <c r="J606" s="287"/>
      <c r="K606" s="7"/>
    </row>
    <row r="607" spans="1:11" ht="15.75" hidden="1" customHeight="1" x14ac:dyDescent="0.3">
      <c r="A607" s="278" t="s">
        <v>628</v>
      </c>
      <c r="B607" s="279">
        <v>135</v>
      </c>
      <c r="C607" s="278" t="s">
        <v>196</v>
      </c>
      <c r="D607" s="279" t="s">
        <v>571</v>
      </c>
      <c r="E607" s="278" t="s">
        <v>575</v>
      </c>
      <c r="F607" s="278" t="s">
        <v>821</v>
      </c>
      <c r="G607" s="280">
        <v>180</v>
      </c>
      <c r="H607" s="280">
        <v>0</v>
      </c>
      <c r="I607" s="281">
        <v>180</v>
      </c>
      <c r="J607" s="282"/>
      <c r="K607" s="7"/>
    </row>
    <row r="608" spans="1:11" ht="15.75" hidden="1" customHeight="1" x14ac:dyDescent="0.3">
      <c r="A608" s="288" t="s">
        <v>628</v>
      </c>
      <c r="B608" s="288">
        <v>135</v>
      </c>
      <c r="C608" s="289" t="s">
        <v>196</v>
      </c>
      <c r="D608" s="288" t="s">
        <v>320</v>
      </c>
      <c r="E608" s="290"/>
      <c r="F608" s="289" t="s">
        <v>321</v>
      </c>
      <c r="G608" s="291">
        <v>121830</v>
      </c>
      <c r="H608" s="291">
        <v>0</v>
      </c>
      <c r="I608" s="292">
        <v>121830</v>
      </c>
      <c r="J608" s="292">
        <v>29940</v>
      </c>
      <c r="K608" s="294">
        <v>91890</v>
      </c>
    </row>
    <row r="609" spans="1:11" ht="15.75" hidden="1" customHeight="1" x14ac:dyDescent="0.3">
      <c r="A609" s="278" t="s">
        <v>628</v>
      </c>
      <c r="B609" s="279">
        <v>136</v>
      </c>
      <c r="C609" s="278" t="s">
        <v>198</v>
      </c>
      <c r="D609" s="279" t="s">
        <v>222</v>
      </c>
      <c r="E609" s="278" t="s">
        <v>577</v>
      </c>
      <c r="F609" s="278" t="s">
        <v>822</v>
      </c>
      <c r="G609" s="280">
        <v>88200</v>
      </c>
      <c r="H609" s="280">
        <v>0</v>
      </c>
      <c r="I609" s="281">
        <v>88200</v>
      </c>
      <c r="J609" s="282"/>
      <c r="K609" s="7"/>
    </row>
    <row r="610" spans="1:11" ht="15.75" hidden="1" customHeight="1" x14ac:dyDescent="0.3">
      <c r="A610" s="283" t="s">
        <v>628</v>
      </c>
      <c r="B610" s="284">
        <v>136</v>
      </c>
      <c r="C610" s="283" t="s">
        <v>198</v>
      </c>
      <c r="D610" s="284" t="s">
        <v>222</v>
      </c>
      <c r="E610" s="283" t="s">
        <v>577</v>
      </c>
      <c r="F610" s="283" t="s">
        <v>823</v>
      </c>
      <c r="G610" s="285">
        <v>0</v>
      </c>
      <c r="H610" s="285">
        <v>0.03</v>
      </c>
      <c r="I610" s="286">
        <v>-0.03</v>
      </c>
      <c r="J610" s="287"/>
      <c r="K610" s="7"/>
    </row>
    <row r="611" spans="1:11" ht="15.75" hidden="1" customHeight="1" x14ac:dyDescent="0.3">
      <c r="A611" s="278" t="s">
        <v>628</v>
      </c>
      <c r="B611" s="279">
        <v>136</v>
      </c>
      <c r="C611" s="278" t="s">
        <v>198</v>
      </c>
      <c r="D611" s="279" t="s">
        <v>222</v>
      </c>
      <c r="E611" s="278" t="s">
        <v>577</v>
      </c>
      <c r="F611" s="278" t="s">
        <v>823</v>
      </c>
      <c r="G611" s="280">
        <v>1</v>
      </c>
      <c r="H611" s="280">
        <v>0</v>
      </c>
      <c r="I611" s="281">
        <v>1</v>
      </c>
      <c r="J611" s="282"/>
      <c r="K611" s="7"/>
    </row>
    <row r="612" spans="1:11" ht="15.75" hidden="1" customHeight="1" x14ac:dyDescent="0.3">
      <c r="A612" s="288" t="s">
        <v>628</v>
      </c>
      <c r="B612" s="288">
        <v>136</v>
      </c>
      <c r="C612" s="289" t="s">
        <v>198</v>
      </c>
      <c r="D612" s="288" t="s">
        <v>320</v>
      </c>
      <c r="E612" s="290"/>
      <c r="F612" s="289" t="s">
        <v>321</v>
      </c>
      <c r="G612" s="291">
        <v>88201</v>
      </c>
      <c r="H612" s="291">
        <v>0.03</v>
      </c>
      <c r="I612" s="292">
        <v>88200.97</v>
      </c>
      <c r="J612" s="292">
        <v>88201</v>
      </c>
      <c r="K612" s="293">
        <v>-2.999999999883585E-2</v>
      </c>
    </row>
    <row r="613" spans="1:11" ht="15.75" hidden="1" customHeight="1" x14ac:dyDescent="0.3">
      <c r="A613" s="278" t="s">
        <v>628</v>
      </c>
      <c r="B613" s="279">
        <v>137</v>
      </c>
      <c r="C613" s="278" t="s">
        <v>200</v>
      </c>
      <c r="D613" s="279" t="s">
        <v>824</v>
      </c>
      <c r="E613" s="278" t="s">
        <v>825</v>
      </c>
      <c r="F613" s="278" t="s">
        <v>826</v>
      </c>
      <c r="G613" s="280">
        <v>570763.64</v>
      </c>
      <c r="H613" s="280">
        <v>0</v>
      </c>
      <c r="I613" s="281">
        <v>570763.64</v>
      </c>
      <c r="J613" s="282"/>
      <c r="K613" s="7"/>
    </row>
    <row r="614" spans="1:11" ht="15.75" hidden="1" customHeight="1" x14ac:dyDescent="0.3">
      <c r="A614" s="283" t="s">
        <v>628</v>
      </c>
      <c r="B614" s="284">
        <v>137</v>
      </c>
      <c r="C614" s="283" t="s">
        <v>200</v>
      </c>
      <c r="D614" s="284" t="s">
        <v>824</v>
      </c>
      <c r="E614" s="283" t="s">
        <v>825</v>
      </c>
      <c r="F614" s="283" t="s">
        <v>827</v>
      </c>
      <c r="G614" s="285">
        <v>0</v>
      </c>
      <c r="H614" s="285">
        <v>34625</v>
      </c>
      <c r="I614" s="286">
        <v>-34625</v>
      </c>
      <c r="J614" s="287"/>
      <c r="K614" s="7"/>
    </row>
    <row r="615" spans="1:11" ht="15.75" hidden="1" customHeight="1" x14ac:dyDescent="0.3">
      <c r="A615" s="278" t="s">
        <v>628</v>
      </c>
      <c r="B615" s="279">
        <v>137</v>
      </c>
      <c r="C615" s="278" t="s">
        <v>200</v>
      </c>
      <c r="D615" s="279" t="s">
        <v>824</v>
      </c>
      <c r="E615" s="278" t="s">
        <v>828</v>
      </c>
      <c r="F615" s="278" t="s">
        <v>829</v>
      </c>
      <c r="G615" s="280">
        <v>19202.060000000001</v>
      </c>
      <c r="H615" s="280">
        <v>0</v>
      </c>
      <c r="I615" s="281">
        <v>19202.060000000001</v>
      </c>
      <c r="J615" s="282"/>
      <c r="K615" s="7"/>
    </row>
    <row r="616" spans="1:11" ht="15.75" hidden="1" customHeight="1" x14ac:dyDescent="0.3">
      <c r="A616" s="283" t="s">
        <v>628</v>
      </c>
      <c r="B616" s="284">
        <v>137</v>
      </c>
      <c r="C616" s="283" t="s">
        <v>200</v>
      </c>
      <c r="D616" s="284" t="s">
        <v>824</v>
      </c>
      <c r="E616" s="283" t="s">
        <v>830</v>
      </c>
      <c r="F616" s="283" t="s">
        <v>831</v>
      </c>
      <c r="G616" s="285">
        <v>470174.66</v>
      </c>
      <c r="H616" s="285">
        <v>0</v>
      </c>
      <c r="I616" s="286">
        <v>470174.66</v>
      </c>
      <c r="J616" s="287"/>
      <c r="K616" s="7"/>
    </row>
    <row r="617" spans="1:11" ht="15.75" hidden="1" customHeight="1" x14ac:dyDescent="0.3">
      <c r="A617" s="278" t="s">
        <v>628</v>
      </c>
      <c r="B617" s="279">
        <v>137</v>
      </c>
      <c r="C617" s="278" t="s">
        <v>200</v>
      </c>
      <c r="D617" s="279" t="s">
        <v>824</v>
      </c>
      <c r="E617" s="278" t="s">
        <v>830</v>
      </c>
      <c r="F617" s="278" t="s">
        <v>832</v>
      </c>
      <c r="G617" s="280">
        <v>0</v>
      </c>
      <c r="H617" s="280">
        <v>19743</v>
      </c>
      <c r="I617" s="281">
        <v>-19743</v>
      </c>
      <c r="J617" s="282"/>
      <c r="K617" s="7"/>
    </row>
    <row r="618" spans="1:11" ht="15.75" hidden="1" customHeight="1" x14ac:dyDescent="0.3">
      <c r="A618" s="283" t="s">
        <v>628</v>
      </c>
      <c r="B618" s="284">
        <v>137</v>
      </c>
      <c r="C618" s="283" t="s">
        <v>200</v>
      </c>
      <c r="D618" s="284" t="s">
        <v>824</v>
      </c>
      <c r="E618" s="283" t="s">
        <v>438</v>
      </c>
      <c r="F618" s="283" t="s">
        <v>833</v>
      </c>
      <c r="G618" s="285">
        <v>10417.790000000001</v>
      </c>
      <c r="H618" s="285">
        <v>0</v>
      </c>
      <c r="I618" s="286">
        <v>10417.790000000001</v>
      </c>
      <c r="J618" s="287"/>
      <c r="K618" s="7"/>
    </row>
    <row r="619" spans="1:11" ht="15.75" hidden="1" customHeight="1" x14ac:dyDescent="0.3">
      <c r="A619" s="278" t="s">
        <v>628</v>
      </c>
      <c r="B619" s="279">
        <v>137</v>
      </c>
      <c r="C619" s="278" t="s">
        <v>200</v>
      </c>
      <c r="D619" s="279" t="s">
        <v>824</v>
      </c>
      <c r="E619" s="278" t="s">
        <v>438</v>
      </c>
      <c r="F619" s="278" t="s">
        <v>834</v>
      </c>
      <c r="G619" s="280">
        <v>439998</v>
      </c>
      <c r="H619" s="280">
        <v>0</v>
      </c>
      <c r="I619" s="281">
        <v>439998</v>
      </c>
      <c r="J619" s="282"/>
      <c r="K619" s="7"/>
    </row>
    <row r="620" spans="1:11" ht="15.75" hidden="1" customHeight="1" x14ac:dyDescent="0.3">
      <c r="A620" s="283" t="s">
        <v>628</v>
      </c>
      <c r="B620" s="284">
        <v>137</v>
      </c>
      <c r="C620" s="283" t="s">
        <v>200</v>
      </c>
      <c r="D620" s="284" t="s">
        <v>222</v>
      </c>
      <c r="E620" s="283" t="s">
        <v>835</v>
      </c>
      <c r="F620" s="283" t="s">
        <v>836</v>
      </c>
      <c r="G620" s="285">
        <v>433800</v>
      </c>
      <c r="H620" s="285">
        <v>0</v>
      </c>
      <c r="I620" s="286">
        <v>433800</v>
      </c>
      <c r="J620" s="287"/>
      <c r="K620" s="7"/>
    </row>
    <row r="621" spans="1:11" ht="15.75" hidden="1" customHeight="1" x14ac:dyDescent="0.3">
      <c r="A621" s="278" t="s">
        <v>628</v>
      </c>
      <c r="B621" s="279">
        <v>137</v>
      </c>
      <c r="C621" s="278" t="s">
        <v>200</v>
      </c>
      <c r="D621" s="279" t="s">
        <v>222</v>
      </c>
      <c r="E621" s="278" t="s">
        <v>837</v>
      </c>
      <c r="F621" s="278" t="s">
        <v>838</v>
      </c>
      <c r="G621" s="280">
        <v>14500</v>
      </c>
      <c r="H621" s="280">
        <v>0</v>
      </c>
      <c r="I621" s="281">
        <v>14500</v>
      </c>
      <c r="J621" s="282"/>
      <c r="K621" s="7"/>
    </row>
    <row r="622" spans="1:11" ht="15.75" hidden="1" customHeight="1" x14ac:dyDescent="0.3">
      <c r="A622" s="283" t="s">
        <v>628</v>
      </c>
      <c r="B622" s="284">
        <v>137</v>
      </c>
      <c r="C622" s="283" t="s">
        <v>200</v>
      </c>
      <c r="D622" s="284" t="s">
        <v>222</v>
      </c>
      <c r="E622" s="283" t="s">
        <v>438</v>
      </c>
      <c r="F622" s="283" t="s">
        <v>839</v>
      </c>
      <c r="G622" s="285">
        <v>152059.1</v>
      </c>
      <c r="H622" s="285">
        <v>0</v>
      </c>
      <c r="I622" s="286">
        <v>152059.1</v>
      </c>
      <c r="J622" s="287"/>
      <c r="K622" s="7"/>
    </row>
    <row r="623" spans="1:11" ht="15.75" hidden="1" customHeight="1" x14ac:dyDescent="0.3">
      <c r="A623" s="278" t="s">
        <v>628</v>
      </c>
      <c r="B623" s="279">
        <v>137</v>
      </c>
      <c r="C623" s="278" t="s">
        <v>200</v>
      </c>
      <c r="D623" s="279" t="s">
        <v>222</v>
      </c>
      <c r="E623" s="278" t="s">
        <v>438</v>
      </c>
      <c r="F623" s="278" t="s">
        <v>840</v>
      </c>
      <c r="G623" s="280">
        <v>26125.99</v>
      </c>
      <c r="H623" s="280">
        <v>0</v>
      </c>
      <c r="I623" s="281">
        <v>26125.99</v>
      </c>
      <c r="J623" s="282"/>
      <c r="K623" s="7"/>
    </row>
    <row r="624" spans="1:11" ht="15.75" hidden="1" customHeight="1" x14ac:dyDescent="0.3">
      <c r="A624" s="283" t="s">
        <v>628</v>
      </c>
      <c r="B624" s="284">
        <v>137</v>
      </c>
      <c r="C624" s="283" t="s">
        <v>200</v>
      </c>
      <c r="D624" s="284" t="s">
        <v>222</v>
      </c>
      <c r="E624" s="283" t="s">
        <v>438</v>
      </c>
      <c r="F624" s="283" t="s">
        <v>840</v>
      </c>
      <c r="G624" s="285">
        <v>27022.07</v>
      </c>
      <c r="H624" s="285">
        <v>0</v>
      </c>
      <c r="I624" s="286">
        <v>27022.07</v>
      </c>
      <c r="J624" s="287"/>
      <c r="K624" s="7"/>
    </row>
    <row r="625" spans="1:11" ht="15.75" hidden="1" customHeight="1" x14ac:dyDescent="0.3">
      <c r="A625" s="278" t="s">
        <v>628</v>
      </c>
      <c r="B625" s="279">
        <v>137</v>
      </c>
      <c r="C625" s="278" t="s">
        <v>200</v>
      </c>
      <c r="D625" s="279" t="s">
        <v>582</v>
      </c>
      <c r="E625" s="278" t="s">
        <v>438</v>
      </c>
      <c r="F625" s="278" t="s">
        <v>841</v>
      </c>
      <c r="G625" s="280">
        <v>104988.9</v>
      </c>
      <c r="H625" s="280">
        <v>0</v>
      </c>
      <c r="I625" s="281">
        <v>104988.9</v>
      </c>
      <c r="J625" s="282"/>
      <c r="K625" s="7"/>
    </row>
    <row r="626" spans="1:11" ht="15.75" hidden="1" customHeight="1" x14ac:dyDescent="0.3">
      <c r="A626" s="283" t="s">
        <v>628</v>
      </c>
      <c r="B626" s="284">
        <v>137</v>
      </c>
      <c r="C626" s="283" t="s">
        <v>200</v>
      </c>
      <c r="D626" s="284" t="s">
        <v>582</v>
      </c>
      <c r="E626" s="283" t="s">
        <v>438</v>
      </c>
      <c r="F626" s="283" t="s">
        <v>841</v>
      </c>
      <c r="G626" s="285">
        <v>366117.8</v>
      </c>
      <c r="H626" s="285">
        <v>0</v>
      </c>
      <c r="I626" s="286">
        <v>366117.8</v>
      </c>
      <c r="J626" s="287"/>
      <c r="K626" s="7"/>
    </row>
    <row r="627" spans="1:11" ht="15.75" hidden="1" customHeight="1" x14ac:dyDescent="0.3">
      <c r="A627" s="288" t="s">
        <v>628</v>
      </c>
      <c r="B627" s="288">
        <v>137</v>
      </c>
      <c r="C627" s="289" t="s">
        <v>200</v>
      </c>
      <c r="D627" s="288" t="s">
        <v>320</v>
      </c>
      <c r="E627" s="290"/>
      <c r="F627" s="289" t="s">
        <v>321</v>
      </c>
      <c r="G627" s="291">
        <v>2635170.0099999998</v>
      </c>
      <c r="H627" s="291">
        <v>54368</v>
      </c>
      <c r="I627" s="292">
        <v>2580802.0099999998</v>
      </c>
      <c r="J627" s="292">
        <v>2132502.0099999998</v>
      </c>
      <c r="K627" s="294">
        <v>448300</v>
      </c>
    </row>
    <row r="628" spans="1:11" ht="15.75" hidden="1" customHeight="1" x14ac:dyDescent="0.3">
      <c r="A628" s="278" t="s">
        <v>628</v>
      </c>
      <c r="B628" s="279">
        <v>138</v>
      </c>
      <c r="C628" s="278" t="s">
        <v>202</v>
      </c>
      <c r="D628" s="279" t="s">
        <v>222</v>
      </c>
      <c r="E628" s="278" t="s">
        <v>586</v>
      </c>
      <c r="F628" s="278" t="s">
        <v>842</v>
      </c>
      <c r="G628" s="280">
        <v>30263</v>
      </c>
      <c r="H628" s="280">
        <v>0</v>
      </c>
      <c r="I628" s="281">
        <v>30263</v>
      </c>
      <c r="J628" s="282"/>
      <c r="K628" s="7"/>
    </row>
    <row r="629" spans="1:11" ht="15.75" hidden="1" customHeight="1" x14ac:dyDescent="0.3">
      <c r="A629" s="288" t="s">
        <v>628</v>
      </c>
      <c r="B629" s="288">
        <v>138</v>
      </c>
      <c r="C629" s="289" t="s">
        <v>202</v>
      </c>
      <c r="D629" s="288" t="s">
        <v>320</v>
      </c>
      <c r="E629" s="290"/>
      <c r="F629" s="289" t="s">
        <v>321</v>
      </c>
      <c r="G629" s="291">
        <v>30263</v>
      </c>
      <c r="H629" s="291">
        <v>0</v>
      </c>
      <c r="I629" s="292">
        <v>30263</v>
      </c>
      <c r="J629" s="292">
        <v>30263</v>
      </c>
      <c r="K629" s="293">
        <v>0</v>
      </c>
    </row>
    <row r="630" spans="1:11" ht="15.75" hidden="1" customHeight="1" x14ac:dyDescent="0.3">
      <c r="A630" s="278" t="s">
        <v>628</v>
      </c>
      <c r="B630" s="279">
        <v>139</v>
      </c>
      <c r="C630" s="278" t="s">
        <v>204</v>
      </c>
      <c r="D630" s="279" t="s">
        <v>588</v>
      </c>
      <c r="E630" s="278"/>
      <c r="F630" s="278" t="s">
        <v>843</v>
      </c>
      <c r="G630" s="280">
        <v>108223.17</v>
      </c>
      <c r="H630" s="280">
        <v>0</v>
      </c>
      <c r="I630" s="281">
        <v>108223.17</v>
      </c>
      <c r="J630" s="282"/>
      <c r="K630" s="7"/>
    </row>
    <row r="631" spans="1:11" ht="15.75" hidden="1" customHeight="1" x14ac:dyDescent="0.3">
      <c r="A631" s="283" t="s">
        <v>628</v>
      </c>
      <c r="B631" s="284">
        <v>139</v>
      </c>
      <c r="C631" s="283" t="s">
        <v>204</v>
      </c>
      <c r="D631" s="284" t="s">
        <v>588</v>
      </c>
      <c r="E631" s="283"/>
      <c r="F631" s="283" t="s">
        <v>844</v>
      </c>
      <c r="G631" s="285">
        <v>44676.47</v>
      </c>
      <c r="H631" s="285">
        <v>0</v>
      </c>
      <c r="I631" s="286">
        <v>44676.47</v>
      </c>
      <c r="J631" s="287"/>
      <c r="K631" s="7"/>
    </row>
    <row r="632" spans="1:11" ht="15.75" hidden="1" customHeight="1" x14ac:dyDescent="0.3">
      <c r="A632" s="278" t="s">
        <v>628</v>
      </c>
      <c r="B632" s="279">
        <v>139</v>
      </c>
      <c r="C632" s="278" t="s">
        <v>204</v>
      </c>
      <c r="D632" s="279" t="s">
        <v>588</v>
      </c>
      <c r="E632" s="278"/>
      <c r="F632" s="278" t="s">
        <v>845</v>
      </c>
      <c r="G632" s="280">
        <v>96029.57</v>
      </c>
      <c r="H632" s="280">
        <v>0</v>
      </c>
      <c r="I632" s="281">
        <v>96029.57</v>
      </c>
      <c r="J632" s="282"/>
      <c r="K632" s="7"/>
    </row>
    <row r="633" spans="1:11" ht="15.75" hidden="1" customHeight="1" x14ac:dyDescent="0.3">
      <c r="A633" s="283" t="s">
        <v>628</v>
      </c>
      <c r="B633" s="284">
        <v>139</v>
      </c>
      <c r="C633" s="283" t="s">
        <v>204</v>
      </c>
      <c r="D633" s="284" t="s">
        <v>588</v>
      </c>
      <c r="E633" s="283"/>
      <c r="F633" s="283" t="s">
        <v>846</v>
      </c>
      <c r="G633" s="285">
        <v>118150.72</v>
      </c>
      <c r="H633" s="285">
        <v>0</v>
      </c>
      <c r="I633" s="286">
        <v>118150.72</v>
      </c>
      <c r="J633" s="287"/>
      <c r="K633" s="7"/>
    </row>
    <row r="634" spans="1:11" ht="15.75" hidden="1" customHeight="1" x14ac:dyDescent="0.3">
      <c r="A634" s="278" t="s">
        <v>628</v>
      </c>
      <c r="B634" s="279">
        <v>139</v>
      </c>
      <c r="C634" s="278" t="s">
        <v>204</v>
      </c>
      <c r="D634" s="279" t="s">
        <v>588</v>
      </c>
      <c r="E634" s="278"/>
      <c r="F634" s="278" t="s">
        <v>847</v>
      </c>
      <c r="G634" s="280">
        <v>84273.2</v>
      </c>
      <c r="H634" s="280">
        <v>0</v>
      </c>
      <c r="I634" s="281">
        <v>84273.2</v>
      </c>
      <c r="J634" s="282"/>
      <c r="K634" s="7"/>
    </row>
    <row r="635" spans="1:11" ht="15.75" hidden="1" customHeight="1" x14ac:dyDescent="0.3">
      <c r="A635" s="283" t="s">
        <v>628</v>
      </c>
      <c r="B635" s="284">
        <v>139</v>
      </c>
      <c r="C635" s="283" t="s">
        <v>204</v>
      </c>
      <c r="D635" s="284" t="s">
        <v>588</v>
      </c>
      <c r="E635" s="283"/>
      <c r="F635" s="283" t="s">
        <v>848</v>
      </c>
      <c r="G635" s="285">
        <v>44260.69</v>
      </c>
      <c r="H635" s="285">
        <v>0</v>
      </c>
      <c r="I635" s="286">
        <v>44260.69</v>
      </c>
      <c r="J635" s="287"/>
      <c r="K635" s="7"/>
    </row>
    <row r="636" spans="1:11" ht="15.75" hidden="1" customHeight="1" x14ac:dyDescent="0.3">
      <c r="A636" s="278" t="s">
        <v>628</v>
      </c>
      <c r="B636" s="279">
        <v>139</v>
      </c>
      <c r="C636" s="278" t="s">
        <v>204</v>
      </c>
      <c r="D636" s="279" t="s">
        <v>588</v>
      </c>
      <c r="E636" s="278"/>
      <c r="F636" s="278" t="s">
        <v>849</v>
      </c>
      <c r="G636" s="280">
        <v>144680</v>
      </c>
      <c r="H636" s="280">
        <v>0</v>
      </c>
      <c r="I636" s="281">
        <v>144680</v>
      </c>
      <c r="J636" s="282"/>
      <c r="K636" s="7"/>
    </row>
    <row r="637" spans="1:11" ht="15.75" hidden="1" customHeight="1" x14ac:dyDescent="0.3">
      <c r="A637" s="288" t="s">
        <v>628</v>
      </c>
      <c r="B637" s="288">
        <v>139</v>
      </c>
      <c r="C637" s="289" t="s">
        <v>204</v>
      </c>
      <c r="D637" s="288" t="s">
        <v>320</v>
      </c>
      <c r="E637" s="290"/>
      <c r="F637" s="289" t="s">
        <v>321</v>
      </c>
      <c r="G637" s="291">
        <v>640293.82000000007</v>
      </c>
      <c r="H637" s="291">
        <v>0</v>
      </c>
      <c r="I637" s="292">
        <v>640293.82000000007</v>
      </c>
      <c r="J637" s="292">
        <v>640293.81999999995</v>
      </c>
      <c r="K637" s="293">
        <v>1.164153218269348E-10</v>
      </c>
    </row>
    <row r="638" spans="1:11" ht="15.75" hidden="1" customHeight="1" x14ac:dyDescent="0.3">
      <c r="A638" s="278" t="s">
        <v>628</v>
      </c>
      <c r="B638" s="279">
        <v>150</v>
      </c>
      <c r="C638" s="278" t="s">
        <v>224</v>
      </c>
      <c r="D638" s="279" t="s">
        <v>596</v>
      </c>
      <c r="E638" s="278" t="s">
        <v>850</v>
      </c>
      <c r="F638" s="278" t="s">
        <v>851</v>
      </c>
      <c r="G638" s="280">
        <v>227900</v>
      </c>
      <c r="H638" s="280">
        <v>0</v>
      </c>
      <c r="I638" s="281">
        <v>227900</v>
      </c>
      <c r="J638" s="282"/>
      <c r="K638" s="7"/>
    </row>
    <row r="639" spans="1:11" ht="15.75" hidden="1" customHeight="1" x14ac:dyDescent="0.3">
      <c r="A639" s="283" t="s">
        <v>628</v>
      </c>
      <c r="B639" s="284">
        <v>150</v>
      </c>
      <c r="C639" s="283" t="s">
        <v>224</v>
      </c>
      <c r="D639" s="284" t="s">
        <v>596</v>
      </c>
      <c r="E639" s="283" t="s">
        <v>852</v>
      </c>
      <c r="F639" s="283" t="s">
        <v>853</v>
      </c>
      <c r="G639" s="285">
        <v>296600</v>
      </c>
      <c r="H639" s="285">
        <v>0</v>
      </c>
      <c r="I639" s="286">
        <v>296600</v>
      </c>
      <c r="J639" s="287"/>
      <c r="K639" s="7"/>
    </row>
    <row r="640" spans="1:11" ht="15.75" hidden="1" customHeight="1" x14ac:dyDescent="0.3">
      <c r="A640" s="288" t="s">
        <v>628</v>
      </c>
      <c r="B640" s="288">
        <v>150</v>
      </c>
      <c r="C640" s="289" t="s">
        <v>224</v>
      </c>
      <c r="D640" s="288" t="s">
        <v>320</v>
      </c>
      <c r="E640" s="290"/>
      <c r="F640" s="289" t="s">
        <v>321</v>
      </c>
      <c r="G640" s="291">
        <v>524500</v>
      </c>
      <c r="H640" s="291">
        <v>0</v>
      </c>
      <c r="I640" s="292">
        <v>524500</v>
      </c>
      <c r="J640" s="292">
        <v>524800</v>
      </c>
      <c r="K640" s="294">
        <v>-300</v>
      </c>
    </row>
    <row r="641" spans="1:11" ht="15.75" hidden="1" customHeight="1" x14ac:dyDescent="0.3">
      <c r="A641" s="278" t="s">
        <v>628</v>
      </c>
      <c r="B641" s="279">
        <v>152</v>
      </c>
      <c r="C641" s="278" t="s">
        <v>226</v>
      </c>
      <c r="D641" s="279" t="s">
        <v>600</v>
      </c>
      <c r="E641" s="278"/>
      <c r="F641" s="278" t="s">
        <v>854</v>
      </c>
      <c r="G641" s="280">
        <v>13847239.65</v>
      </c>
      <c r="H641" s="280">
        <v>0</v>
      </c>
      <c r="I641" s="281">
        <v>13847239.65</v>
      </c>
      <c r="J641" s="282"/>
      <c r="K641" s="7"/>
    </row>
    <row r="642" spans="1:11" ht="15.75" hidden="1" customHeight="1" x14ac:dyDescent="0.3">
      <c r="A642" s="288" t="s">
        <v>628</v>
      </c>
      <c r="B642" s="288">
        <v>152</v>
      </c>
      <c r="C642" s="289" t="s">
        <v>226</v>
      </c>
      <c r="D642" s="288" t="s">
        <v>320</v>
      </c>
      <c r="E642" s="290"/>
      <c r="F642" s="289" t="s">
        <v>321</v>
      </c>
      <c r="G642" s="291">
        <v>13847239.65</v>
      </c>
      <c r="H642" s="291">
        <v>0</v>
      </c>
      <c r="I642" s="292">
        <v>13847239.65</v>
      </c>
      <c r="J642" s="292">
        <v>13847239.65</v>
      </c>
      <c r="K642" s="293">
        <v>0</v>
      </c>
    </row>
    <row r="643" spans="1:11" ht="15.75" customHeight="1" x14ac:dyDescent="0.3">
      <c r="A643" s="278" t="s">
        <v>628</v>
      </c>
      <c r="B643" s="279">
        <v>158</v>
      </c>
      <c r="C643" s="278" t="s">
        <v>229</v>
      </c>
      <c r="D643" s="279" t="s">
        <v>602</v>
      </c>
      <c r="E643" s="278"/>
      <c r="F643" s="278" t="s">
        <v>855</v>
      </c>
      <c r="G643" s="280">
        <v>0</v>
      </c>
      <c r="H643" s="280">
        <v>215000000</v>
      </c>
      <c r="I643" s="281">
        <v>-215000000</v>
      </c>
      <c r="J643" s="282"/>
      <c r="K643" s="7"/>
    </row>
    <row r="644" spans="1:11" ht="15.75" customHeight="1" x14ac:dyDescent="0.3">
      <c r="A644" s="283" t="s">
        <v>628</v>
      </c>
      <c r="B644" s="284">
        <v>158</v>
      </c>
      <c r="C644" s="283" t="s">
        <v>229</v>
      </c>
      <c r="D644" s="284" t="s">
        <v>602</v>
      </c>
      <c r="E644" s="283" t="s">
        <v>604</v>
      </c>
      <c r="F644" s="283" t="s">
        <v>856</v>
      </c>
      <c r="G644" s="285">
        <v>192468808.09</v>
      </c>
      <c r="H644" s="285">
        <v>0</v>
      </c>
      <c r="I644" s="286">
        <v>192468808.09</v>
      </c>
      <c r="J644" s="287"/>
      <c r="K644" s="7"/>
    </row>
    <row r="645" spans="1:11" ht="15.75" customHeight="1" x14ac:dyDescent="0.3">
      <c r="A645" s="278" t="s">
        <v>628</v>
      </c>
      <c r="B645" s="279">
        <v>158</v>
      </c>
      <c r="C645" s="278" t="s">
        <v>229</v>
      </c>
      <c r="D645" s="279" t="s">
        <v>602</v>
      </c>
      <c r="E645" s="278"/>
      <c r="F645" s="278" t="s">
        <v>857</v>
      </c>
      <c r="G645" s="280">
        <v>226278054</v>
      </c>
      <c r="H645" s="280">
        <v>0</v>
      </c>
      <c r="I645" s="281">
        <v>226278054</v>
      </c>
      <c r="J645" s="282"/>
      <c r="K645" s="7"/>
    </row>
    <row r="646" spans="1:11" ht="15.75" customHeight="1" x14ac:dyDescent="0.3">
      <c r="A646" s="288" t="s">
        <v>628</v>
      </c>
      <c r="B646" s="288">
        <v>158</v>
      </c>
      <c r="C646" s="289" t="s">
        <v>229</v>
      </c>
      <c r="D646" s="288" t="s">
        <v>320</v>
      </c>
      <c r="E646" s="290"/>
      <c r="F646" s="289" t="s">
        <v>321</v>
      </c>
      <c r="G646" s="291">
        <v>418746862.08999997</v>
      </c>
      <c r="H646" s="291">
        <v>215000000</v>
      </c>
      <c r="I646" s="292">
        <v>203746862.09</v>
      </c>
      <c r="J646" s="292">
        <v>323122579.06220901</v>
      </c>
      <c r="K646" s="294">
        <v>-119375716.97220901</v>
      </c>
    </row>
    <row r="647" spans="1:11" ht="15.75" customHeight="1" x14ac:dyDescent="0.3">
      <c r="A647" s="278" t="s">
        <v>628</v>
      </c>
      <c r="B647" s="279">
        <v>164</v>
      </c>
      <c r="C647" s="278" t="s">
        <v>238</v>
      </c>
      <c r="D647" s="279" t="s">
        <v>607</v>
      </c>
      <c r="E647" s="278"/>
      <c r="F647" s="278" t="s">
        <v>858</v>
      </c>
      <c r="G647" s="280">
        <v>150000000</v>
      </c>
      <c r="H647" s="280">
        <v>0</v>
      </c>
      <c r="I647" s="281">
        <v>150000000</v>
      </c>
      <c r="J647" s="282"/>
      <c r="K647" s="7"/>
    </row>
    <row r="648" spans="1:11" ht="15.75" customHeight="1" x14ac:dyDescent="0.3">
      <c r="A648" s="288" t="s">
        <v>628</v>
      </c>
      <c r="B648" s="288">
        <v>164</v>
      </c>
      <c r="C648" s="289" t="s">
        <v>238</v>
      </c>
      <c r="D648" s="288" t="s">
        <v>320</v>
      </c>
      <c r="E648" s="290"/>
      <c r="F648" s="289" t="s">
        <v>321</v>
      </c>
      <c r="G648" s="291">
        <v>150000000</v>
      </c>
      <c r="H648" s="291">
        <v>0</v>
      </c>
      <c r="I648" s="292">
        <v>150000000</v>
      </c>
      <c r="J648" s="292">
        <v>20287100.585161399</v>
      </c>
      <c r="K648" s="294">
        <v>129712899.4148386</v>
      </c>
    </row>
    <row r="649" spans="1:11" ht="15.75" hidden="1" customHeight="1" x14ac:dyDescent="0.3">
      <c r="A649" s="278" t="s">
        <v>628</v>
      </c>
      <c r="B649" s="279">
        <v>174</v>
      </c>
      <c r="C649" s="278" t="s">
        <v>248</v>
      </c>
      <c r="D649" s="279" t="s">
        <v>534</v>
      </c>
      <c r="E649" s="278" t="s">
        <v>611</v>
      </c>
      <c r="F649" s="278" t="s">
        <v>859</v>
      </c>
      <c r="G649" s="280">
        <v>49000</v>
      </c>
      <c r="H649" s="280">
        <v>0</v>
      </c>
      <c r="I649" s="281">
        <v>49000</v>
      </c>
      <c r="J649" s="282"/>
      <c r="K649" s="7"/>
    </row>
    <row r="650" spans="1:11" ht="15.75" hidden="1" customHeight="1" x14ac:dyDescent="0.3">
      <c r="A650" s="288" t="s">
        <v>628</v>
      </c>
      <c r="B650" s="288">
        <v>174</v>
      </c>
      <c r="C650" s="289" t="s">
        <v>248</v>
      </c>
      <c r="D650" s="288" t="s">
        <v>320</v>
      </c>
      <c r="E650" s="290"/>
      <c r="F650" s="289" t="s">
        <v>321</v>
      </c>
      <c r="G650" s="291">
        <v>49000</v>
      </c>
      <c r="H650" s="291">
        <v>0</v>
      </c>
      <c r="I650" s="292">
        <v>49000</v>
      </c>
      <c r="J650" s="292">
        <v>49000</v>
      </c>
      <c r="K650" s="293">
        <v>0</v>
      </c>
    </row>
    <row r="651" spans="1:11" ht="15.75" hidden="1" customHeight="1" x14ac:dyDescent="0.3">
      <c r="A651" s="278" t="s">
        <v>628</v>
      </c>
      <c r="B651" s="279">
        <v>176</v>
      </c>
      <c r="C651" s="278" t="s">
        <v>250</v>
      </c>
      <c r="D651" s="279" t="s">
        <v>613</v>
      </c>
      <c r="E651" s="278" t="s">
        <v>433</v>
      </c>
      <c r="F651" s="278" t="s">
        <v>860</v>
      </c>
      <c r="G651" s="280">
        <v>0</v>
      </c>
      <c r="H651" s="280">
        <v>10538.6</v>
      </c>
      <c r="I651" s="281">
        <v>-10538.6</v>
      </c>
      <c r="J651" s="282"/>
      <c r="K651" s="7"/>
    </row>
    <row r="652" spans="1:11" ht="15.75" hidden="1" customHeight="1" x14ac:dyDescent="0.3">
      <c r="A652" s="283" t="s">
        <v>628</v>
      </c>
      <c r="B652" s="284">
        <v>176</v>
      </c>
      <c r="C652" s="283" t="s">
        <v>250</v>
      </c>
      <c r="D652" s="284" t="s">
        <v>613</v>
      </c>
      <c r="E652" s="283" t="s">
        <v>535</v>
      </c>
      <c r="F652" s="283" t="s">
        <v>861</v>
      </c>
      <c r="G652" s="285">
        <v>0</v>
      </c>
      <c r="H652" s="285">
        <v>14520</v>
      </c>
      <c r="I652" s="286">
        <v>-14520</v>
      </c>
      <c r="J652" s="287"/>
      <c r="K652" s="7"/>
    </row>
    <row r="653" spans="1:11" ht="15.75" hidden="1" customHeight="1" x14ac:dyDescent="0.3">
      <c r="A653" s="278" t="s">
        <v>628</v>
      </c>
      <c r="B653" s="279">
        <v>176</v>
      </c>
      <c r="C653" s="278" t="s">
        <v>250</v>
      </c>
      <c r="D653" s="279" t="s">
        <v>613</v>
      </c>
      <c r="E653" s="278" t="s">
        <v>433</v>
      </c>
      <c r="F653" s="278" t="s">
        <v>862</v>
      </c>
      <c r="G653" s="280">
        <v>20550.27</v>
      </c>
      <c r="H653" s="280">
        <v>0</v>
      </c>
      <c r="I653" s="281">
        <v>20550.27</v>
      </c>
      <c r="J653" s="282"/>
      <c r="K653" s="7"/>
    </row>
    <row r="654" spans="1:11" ht="15.75" hidden="1" customHeight="1" x14ac:dyDescent="0.3">
      <c r="A654" s="288" t="s">
        <v>628</v>
      </c>
      <c r="B654" s="288">
        <v>176</v>
      </c>
      <c r="C654" s="289" t="s">
        <v>250</v>
      </c>
      <c r="D654" s="288" t="s">
        <v>320</v>
      </c>
      <c r="E654" s="290"/>
      <c r="F654" s="289" t="s">
        <v>321</v>
      </c>
      <c r="G654" s="291">
        <v>20550.27</v>
      </c>
      <c r="H654" s="291">
        <v>25058.6</v>
      </c>
      <c r="I654" s="292">
        <v>-4508.33</v>
      </c>
      <c r="J654" s="292">
        <v>-4508</v>
      </c>
      <c r="K654" s="293">
        <v>-0.32999999999992718</v>
      </c>
    </row>
    <row r="655" spans="1:11" ht="15.75" hidden="1" customHeight="1" x14ac:dyDescent="0.3">
      <c r="A655" s="278" t="s">
        <v>628</v>
      </c>
      <c r="B655" s="279">
        <v>178</v>
      </c>
      <c r="C655" s="278" t="s">
        <v>251</v>
      </c>
      <c r="D655" s="279" t="s">
        <v>618</v>
      </c>
      <c r="E655" s="278"/>
      <c r="F655" s="278" t="s">
        <v>863</v>
      </c>
      <c r="G655" s="280">
        <v>0</v>
      </c>
      <c r="H655" s="280">
        <v>58071566.009999998</v>
      </c>
      <c r="I655" s="281">
        <v>-58071566.009999998</v>
      </c>
      <c r="J655" s="282"/>
      <c r="K655" s="7"/>
    </row>
    <row r="656" spans="1:11" ht="15.75" hidden="1" customHeight="1" x14ac:dyDescent="0.3">
      <c r="A656" s="283" t="s">
        <v>628</v>
      </c>
      <c r="B656" s="284">
        <v>178</v>
      </c>
      <c r="C656" s="283" t="s">
        <v>251</v>
      </c>
      <c r="D656" s="284" t="s">
        <v>620</v>
      </c>
      <c r="E656" s="283"/>
      <c r="F656" s="283" t="s">
        <v>864</v>
      </c>
      <c r="G656" s="285">
        <v>13370669.550000001</v>
      </c>
      <c r="H656" s="285">
        <v>0</v>
      </c>
      <c r="I656" s="286">
        <v>13370669.550000001</v>
      </c>
      <c r="J656" s="287"/>
      <c r="K656" s="7"/>
    </row>
    <row r="657" spans="1:11" ht="15.75" hidden="1" customHeight="1" x14ac:dyDescent="0.3">
      <c r="A657" s="278" t="s">
        <v>628</v>
      </c>
      <c r="B657" s="279">
        <v>178</v>
      </c>
      <c r="C657" s="278" t="s">
        <v>251</v>
      </c>
      <c r="D657" s="279" t="s">
        <v>622</v>
      </c>
      <c r="E657" s="278"/>
      <c r="F657" s="278" t="s">
        <v>865</v>
      </c>
      <c r="G657" s="280">
        <v>0</v>
      </c>
      <c r="H657" s="280">
        <v>173600000</v>
      </c>
      <c r="I657" s="281">
        <v>-173600000</v>
      </c>
      <c r="J657" s="282"/>
      <c r="K657" s="7"/>
    </row>
    <row r="658" spans="1:11" ht="15.75" hidden="1" customHeight="1" x14ac:dyDescent="0.3">
      <c r="A658" s="288" t="s">
        <v>628</v>
      </c>
      <c r="B658" s="288">
        <v>178</v>
      </c>
      <c r="C658" s="289" t="s">
        <v>251</v>
      </c>
      <c r="D658" s="288" t="s">
        <v>320</v>
      </c>
      <c r="E658" s="290"/>
      <c r="F658" s="289" t="s">
        <v>321</v>
      </c>
      <c r="G658" s="291">
        <v>13370669.550000001</v>
      </c>
      <c r="H658" s="291">
        <v>231671566.00999999</v>
      </c>
      <c r="I658" s="292">
        <v>-218300896.46000001</v>
      </c>
      <c r="J658" s="292">
        <v>-218300896</v>
      </c>
      <c r="K658" s="293">
        <v>-0.46000000834465032</v>
      </c>
    </row>
    <row r="659" spans="1:11" ht="15.75" hidden="1" customHeight="1" x14ac:dyDescent="0.3">
      <c r="A659" s="278" t="s">
        <v>628</v>
      </c>
      <c r="B659" s="279">
        <v>180</v>
      </c>
      <c r="C659" s="278" t="s">
        <v>253</v>
      </c>
      <c r="D659" s="279" t="s">
        <v>866</v>
      </c>
      <c r="E659" s="278"/>
      <c r="F659" s="278" t="s">
        <v>867</v>
      </c>
      <c r="G659" s="280">
        <v>3024427.04</v>
      </c>
      <c r="H659" s="280">
        <v>0</v>
      </c>
      <c r="I659" s="281">
        <v>3024427.04</v>
      </c>
      <c r="J659" s="282"/>
      <c r="K659" s="7"/>
    </row>
    <row r="660" spans="1:11" ht="15.75" hidden="1" customHeight="1" x14ac:dyDescent="0.3">
      <c r="A660" s="288" t="s">
        <v>628</v>
      </c>
      <c r="B660" s="288">
        <v>180</v>
      </c>
      <c r="C660" s="289" t="s">
        <v>253</v>
      </c>
      <c r="D660" s="288" t="s">
        <v>320</v>
      </c>
      <c r="E660" s="290"/>
      <c r="F660" s="289" t="s">
        <v>321</v>
      </c>
      <c r="G660" s="291">
        <v>3024427.04</v>
      </c>
      <c r="H660" s="291">
        <v>0</v>
      </c>
      <c r="I660" s="292">
        <v>3024427.04</v>
      </c>
      <c r="J660" s="292">
        <v>3024427.04</v>
      </c>
      <c r="K660" s="293">
        <v>0</v>
      </c>
    </row>
    <row r="661" spans="1:11" ht="15.75" hidden="1" customHeight="1" x14ac:dyDescent="0.3">
      <c r="A661" s="278" t="s">
        <v>628</v>
      </c>
      <c r="B661" s="279">
        <v>182</v>
      </c>
      <c r="C661" s="278" t="s">
        <v>255</v>
      </c>
      <c r="D661" s="279" t="s">
        <v>624</v>
      </c>
      <c r="E661" s="278"/>
      <c r="F661" s="278" t="s">
        <v>868</v>
      </c>
      <c r="G661" s="280">
        <v>0</v>
      </c>
      <c r="H661" s="280">
        <v>12622308</v>
      </c>
      <c r="I661" s="281">
        <v>-12622308</v>
      </c>
      <c r="J661" s="282"/>
      <c r="K661" s="7"/>
    </row>
    <row r="662" spans="1:11" ht="15.75" hidden="1" customHeight="1" x14ac:dyDescent="0.3">
      <c r="A662" s="283" t="s">
        <v>628</v>
      </c>
      <c r="B662" s="284">
        <v>182</v>
      </c>
      <c r="C662" s="283" t="s">
        <v>255</v>
      </c>
      <c r="D662" s="284" t="s">
        <v>624</v>
      </c>
      <c r="E662" s="283" t="s">
        <v>438</v>
      </c>
      <c r="F662" s="283" t="s">
        <v>869</v>
      </c>
      <c r="G662" s="285">
        <v>12622308</v>
      </c>
      <c r="H662" s="285">
        <v>0</v>
      </c>
      <c r="I662" s="286">
        <v>12622308</v>
      </c>
      <c r="J662" s="287"/>
      <c r="K662" s="7"/>
    </row>
    <row r="663" spans="1:11" ht="15.75" hidden="1" customHeight="1" x14ac:dyDescent="0.3">
      <c r="A663" s="278" t="s">
        <v>628</v>
      </c>
      <c r="B663" s="279">
        <v>182</v>
      </c>
      <c r="C663" s="278" t="s">
        <v>255</v>
      </c>
      <c r="D663" s="279" t="s">
        <v>624</v>
      </c>
      <c r="E663" s="278"/>
      <c r="F663" s="278" t="s">
        <v>870</v>
      </c>
      <c r="G663" s="280">
        <v>13158189.449999999</v>
      </c>
      <c r="H663" s="280">
        <v>0</v>
      </c>
      <c r="I663" s="281">
        <v>13158189.449999999</v>
      </c>
      <c r="J663" s="282"/>
      <c r="K663" s="7"/>
    </row>
    <row r="664" spans="1:11" ht="15.75" hidden="1" customHeight="1" x14ac:dyDescent="0.3">
      <c r="A664" s="288" t="s">
        <v>628</v>
      </c>
      <c r="B664" s="288">
        <v>182</v>
      </c>
      <c r="C664" s="289" t="s">
        <v>255</v>
      </c>
      <c r="D664" s="288" t="s">
        <v>320</v>
      </c>
      <c r="E664" s="290"/>
      <c r="F664" s="289" t="s">
        <v>321</v>
      </c>
      <c r="G664" s="291">
        <v>25780497.449999999</v>
      </c>
      <c r="H664" s="291">
        <v>12622308</v>
      </c>
      <c r="I664" s="292">
        <v>13158189.449999999</v>
      </c>
      <c r="J664" s="292">
        <v>12257412.449999999</v>
      </c>
      <c r="K664" s="294">
        <v>900777</v>
      </c>
    </row>
    <row r="665" spans="1:11" ht="15.75" hidden="1" customHeight="1" x14ac:dyDescent="0.3">
      <c r="A665" s="278" t="s">
        <v>628</v>
      </c>
      <c r="B665" s="279">
        <v>184</v>
      </c>
      <c r="C665" s="278" t="s">
        <v>256</v>
      </c>
      <c r="D665" s="279" t="s">
        <v>626</v>
      </c>
      <c r="E665" s="278"/>
      <c r="F665" s="278" t="s">
        <v>871</v>
      </c>
      <c r="G665" s="280">
        <v>462332863.76999998</v>
      </c>
      <c r="H665" s="280">
        <v>0</v>
      </c>
      <c r="I665" s="281">
        <v>462332863.76999998</v>
      </c>
      <c r="J665" s="282"/>
      <c r="K665" s="7"/>
    </row>
    <row r="666" spans="1:11" ht="15.75" hidden="1" customHeight="1" x14ac:dyDescent="0.3">
      <c r="A666" s="288" t="s">
        <v>628</v>
      </c>
      <c r="B666" s="288">
        <v>184</v>
      </c>
      <c r="C666" s="289" t="s">
        <v>256</v>
      </c>
      <c r="D666" s="288" t="s">
        <v>320</v>
      </c>
      <c r="E666" s="290"/>
      <c r="F666" s="289" t="s">
        <v>321</v>
      </c>
      <c r="G666" s="291">
        <v>462332863.76999998</v>
      </c>
      <c r="H666" s="291">
        <v>0</v>
      </c>
      <c r="I666" s="292">
        <v>462332863.76999998</v>
      </c>
      <c r="J666" s="292">
        <v>462332863.76999998</v>
      </c>
      <c r="K666" s="293">
        <v>0</v>
      </c>
    </row>
    <row r="667" spans="1:11" ht="15.75" hidden="1" customHeight="1" x14ac:dyDescent="0.3">
      <c r="A667" s="278" t="s">
        <v>872</v>
      </c>
      <c r="B667" s="279">
        <v>8</v>
      </c>
      <c r="C667" s="278" t="s">
        <v>10</v>
      </c>
      <c r="D667" s="279" t="s">
        <v>313</v>
      </c>
      <c r="E667" s="278" t="s">
        <v>314</v>
      </c>
      <c r="F667" s="278" t="s">
        <v>873</v>
      </c>
      <c r="G667" s="280">
        <v>0</v>
      </c>
      <c r="H667" s="280">
        <v>250407868.94</v>
      </c>
      <c r="I667" s="281">
        <v>-250407868.94</v>
      </c>
      <c r="J667" s="282"/>
      <c r="K667" s="7"/>
    </row>
    <row r="668" spans="1:11" ht="15.75" hidden="1" customHeight="1" x14ac:dyDescent="0.3">
      <c r="A668" s="283" t="s">
        <v>872</v>
      </c>
      <c r="B668" s="284">
        <v>8</v>
      </c>
      <c r="C668" s="283" t="s">
        <v>10</v>
      </c>
      <c r="D668" s="284" t="s">
        <v>313</v>
      </c>
      <c r="E668" s="283"/>
      <c r="F668" s="283" t="s">
        <v>630</v>
      </c>
      <c r="G668" s="285">
        <v>250407868.94</v>
      </c>
      <c r="H668" s="285">
        <v>0</v>
      </c>
      <c r="I668" s="286">
        <v>250407868.94</v>
      </c>
      <c r="J668" s="287"/>
      <c r="K668" s="7"/>
    </row>
    <row r="669" spans="1:11" ht="15.75" hidden="1" customHeight="1" x14ac:dyDescent="0.3">
      <c r="A669" s="278" t="s">
        <v>872</v>
      </c>
      <c r="B669" s="279">
        <v>8</v>
      </c>
      <c r="C669" s="278" t="s">
        <v>10</v>
      </c>
      <c r="D669" s="279" t="s">
        <v>313</v>
      </c>
      <c r="E669" s="278"/>
      <c r="F669" s="278" t="s">
        <v>874</v>
      </c>
      <c r="G669" s="280">
        <v>224132650</v>
      </c>
      <c r="H669" s="280">
        <v>0</v>
      </c>
      <c r="I669" s="281">
        <v>224132650</v>
      </c>
      <c r="J669" s="282"/>
      <c r="K669" s="7"/>
    </row>
    <row r="670" spans="1:11" ht="15.75" hidden="1" customHeight="1" x14ac:dyDescent="0.3">
      <c r="A670" s="283" t="s">
        <v>872</v>
      </c>
      <c r="B670" s="284">
        <v>8</v>
      </c>
      <c r="C670" s="283" t="s">
        <v>10</v>
      </c>
      <c r="D670" s="284" t="s">
        <v>313</v>
      </c>
      <c r="E670" s="283"/>
      <c r="F670" s="283" t="s">
        <v>631</v>
      </c>
      <c r="G670" s="285">
        <v>0</v>
      </c>
      <c r="H670" s="285">
        <v>225867048.40000001</v>
      </c>
      <c r="I670" s="286">
        <v>-225867048.40000001</v>
      </c>
      <c r="J670" s="287"/>
      <c r="K670" s="7"/>
    </row>
    <row r="671" spans="1:11" ht="15.75" hidden="1" customHeight="1" x14ac:dyDescent="0.3">
      <c r="A671" s="278" t="s">
        <v>872</v>
      </c>
      <c r="B671" s="279">
        <v>8</v>
      </c>
      <c r="C671" s="278" t="s">
        <v>10</v>
      </c>
      <c r="D671" s="279" t="s">
        <v>313</v>
      </c>
      <c r="E671" s="278"/>
      <c r="F671" s="278" t="s">
        <v>875</v>
      </c>
      <c r="G671" s="280">
        <v>0</v>
      </c>
      <c r="H671" s="280">
        <v>280874272</v>
      </c>
      <c r="I671" s="281">
        <v>-280874272</v>
      </c>
      <c r="J671" s="282"/>
      <c r="K671" s="7"/>
    </row>
    <row r="672" spans="1:11" ht="15.75" hidden="1" customHeight="1" x14ac:dyDescent="0.3">
      <c r="A672" s="288" t="s">
        <v>872</v>
      </c>
      <c r="B672" s="288">
        <v>8</v>
      </c>
      <c r="C672" s="289" t="s">
        <v>10</v>
      </c>
      <c r="D672" s="288" t="s">
        <v>320</v>
      </c>
      <c r="E672" s="290"/>
      <c r="F672" s="289" t="s">
        <v>321</v>
      </c>
      <c r="G672" s="291">
        <v>474540518.94</v>
      </c>
      <c r="H672" s="291">
        <v>757149189.34000003</v>
      </c>
      <c r="I672" s="292">
        <v>-282608670.39999998</v>
      </c>
      <c r="J672" s="292">
        <v>282608670.39999998</v>
      </c>
      <c r="K672" s="293">
        <v>0</v>
      </c>
    </row>
    <row r="673" spans="1:11" ht="15.75" hidden="1" customHeight="1" x14ac:dyDescent="0.3">
      <c r="A673" s="278" t="s">
        <v>872</v>
      </c>
      <c r="B673" s="279">
        <v>9</v>
      </c>
      <c r="C673" s="278" t="s">
        <v>11</v>
      </c>
      <c r="D673" s="279" t="s">
        <v>313</v>
      </c>
      <c r="E673" s="278" t="s">
        <v>314</v>
      </c>
      <c r="F673" s="278" t="s">
        <v>876</v>
      </c>
      <c r="G673" s="280">
        <v>0</v>
      </c>
      <c r="H673" s="280">
        <v>34113457.899999999</v>
      </c>
      <c r="I673" s="281">
        <v>-34113457.899999999</v>
      </c>
      <c r="J673" s="282"/>
      <c r="K673" s="7"/>
    </row>
    <row r="674" spans="1:11" ht="15.75" hidden="1" customHeight="1" x14ac:dyDescent="0.3">
      <c r="A674" s="283" t="s">
        <v>872</v>
      </c>
      <c r="B674" s="284">
        <v>9</v>
      </c>
      <c r="C674" s="283" t="s">
        <v>11</v>
      </c>
      <c r="D674" s="284" t="s">
        <v>313</v>
      </c>
      <c r="E674" s="283"/>
      <c r="F674" s="283" t="s">
        <v>633</v>
      </c>
      <c r="G674" s="285">
        <v>34113457.899999999</v>
      </c>
      <c r="H674" s="285">
        <v>0</v>
      </c>
      <c r="I674" s="286">
        <v>34113457.899999999</v>
      </c>
      <c r="J674" s="287"/>
      <c r="K674" s="7"/>
    </row>
    <row r="675" spans="1:11" ht="15.75" hidden="1" customHeight="1" x14ac:dyDescent="0.3">
      <c r="A675" s="278" t="s">
        <v>872</v>
      </c>
      <c r="B675" s="279">
        <v>9</v>
      </c>
      <c r="C675" s="278" t="s">
        <v>11</v>
      </c>
      <c r="D675" s="279" t="s">
        <v>313</v>
      </c>
      <c r="E675" s="278"/>
      <c r="F675" s="278" t="s">
        <v>877</v>
      </c>
      <c r="G675" s="280">
        <v>30420403.920000002</v>
      </c>
      <c r="H675" s="280">
        <v>0</v>
      </c>
      <c r="I675" s="281">
        <v>30420403.920000002</v>
      </c>
      <c r="J675" s="282"/>
      <c r="K675" s="7"/>
    </row>
    <row r="676" spans="1:11" ht="15.75" hidden="1" customHeight="1" x14ac:dyDescent="0.3">
      <c r="A676" s="283" t="s">
        <v>872</v>
      </c>
      <c r="B676" s="284">
        <v>9</v>
      </c>
      <c r="C676" s="283" t="s">
        <v>11</v>
      </c>
      <c r="D676" s="284" t="s">
        <v>313</v>
      </c>
      <c r="E676" s="283"/>
      <c r="F676" s="283" t="s">
        <v>634</v>
      </c>
      <c r="G676" s="285">
        <v>0</v>
      </c>
      <c r="H676" s="285">
        <v>31135160.559999999</v>
      </c>
      <c r="I676" s="286">
        <v>-31135160.559999999</v>
      </c>
      <c r="J676" s="287"/>
      <c r="K676" s="7"/>
    </row>
    <row r="677" spans="1:11" ht="15.75" hidden="1" customHeight="1" x14ac:dyDescent="0.3">
      <c r="A677" s="278" t="s">
        <v>872</v>
      </c>
      <c r="B677" s="279">
        <v>9</v>
      </c>
      <c r="C677" s="278" t="s">
        <v>11</v>
      </c>
      <c r="D677" s="279" t="s">
        <v>313</v>
      </c>
      <c r="E677" s="278"/>
      <c r="F677" s="278" t="s">
        <v>878</v>
      </c>
      <c r="G677" s="280">
        <v>0</v>
      </c>
      <c r="H677" s="280">
        <v>33044032</v>
      </c>
      <c r="I677" s="281">
        <v>-33044032</v>
      </c>
      <c r="J677" s="282"/>
      <c r="K677" s="7"/>
    </row>
    <row r="678" spans="1:11" ht="15.75" hidden="1" customHeight="1" x14ac:dyDescent="0.3">
      <c r="A678" s="288" t="s">
        <v>872</v>
      </c>
      <c r="B678" s="288">
        <v>9</v>
      </c>
      <c r="C678" s="289" t="s">
        <v>11</v>
      </c>
      <c r="D678" s="288" t="s">
        <v>320</v>
      </c>
      <c r="E678" s="290"/>
      <c r="F678" s="289" t="s">
        <v>321</v>
      </c>
      <c r="G678" s="291">
        <v>64533861.82</v>
      </c>
      <c r="H678" s="291">
        <v>98292650.459999993</v>
      </c>
      <c r="I678" s="292">
        <v>-33758788.640000001</v>
      </c>
      <c r="J678" s="292">
        <v>33758788.638750002</v>
      </c>
      <c r="K678" s="293">
        <v>1.2499988079071041E-3</v>
      </c>
    </row>
    <row r="679" spans="1:11" ht="15.75" hidden="1" customHeight="1" x14ac:dyDescent="0.3">
      <c r="A679" s="278" t="s">
        <v>872</v>
      </c>
      <c r="B679" s="279">
        <v>10</v>
      </c>
      <c r="C679" s="278" t="s">
        <v>12</v>
      </c>
      <c r="D679" s="279" t="s">
        <v>313</v>
      </c>
      <c r="E679" s="278" t="s">
        <v>314</v>
      </c>
      <c r="F679" s="278" t="s">
        <v>879</v>
      </c>
      <c r="G679" s="280">
        <v>0</v>
      </c>
      <c r="H679" s="280">
        <v>139695053.16</v>
      </c>
      <c r="I679" s="281">
        <v>-139695053.16</v>
      </c>
      <c r="J679" s="282"/>
      <c r="K679" s="7"/>
    </row>
    <row r="680" spans="1:11" ht="15.75" hidden="1" customHeight="1" x14ac:dyDescent="0.3">
      <c r="A680" s="283" t="s">
        <v>872</v>
      </c>
      <c r="B680" s="284">
        <v>10</v>
      </c>
      <c r="C680" s="283" t="s">
        <v>12</v>
      </c>
      <c r="D680" s="284" t="s">
        <v>313</v>
      </c>
      <c r="E680" s="283"/>
      <c r="F680" s="283" t="s">
        <v>636</v>
      </c>
      <c r="G680" s="285">
        <v>139695053.16</v>
      </c>
      <c r="H680" s="285">
        <v>0</v>
      </c>
      <c r="I680" s="286">
        <v>139695053.16</v>
      </c>
      <c r="J680" s="287"/>
      <c r="K680" s="7"/>
    </row>
    <row r="681" spans="1:11" ht="15.75" hidden="1" customHeight="1" x14ac:dyDescent="0.3">
      <c r="A681" s="278" t="s">
        <v>872</v>
      </c>
      <c r="B681" s="279">
        <v>10</v>
      </c>
      <c r="C681" s="278" t="s">
        <v>12</v>
      </c>
      <c r="D681" s="279" t="s">
        <v>313</v>
      </c>
      <c r="E681" s="278"/>
      <c r="F681" s="278" t="s">
        <v>880</v>
      </c>
      <c r="G681" s="280">
        <v>128701357.5</v>
      </c>
      <c r="H681" s="280">
        <v>0</v>
      </c>
      <c r="I681" s="281">
        <v>128701357.5</v>
      </c>
      <c r="J681" s="282"/>
      <c r="K681" s="7"/>
    </row>
    <row r="682" spans="1:11" ht="15.75" hidden="1" customHeight="1" x14ac:dyDescent="0.3">
      <c r="A682" s="283" t="s">
        <v>872</v>
      </c>
      <c r="B682" s="284">
        <v>10</v>
      </c>
      <c r="C682" s="283" t="s">
        <v>12</v>
      </c>
      <c r="D682" s="284" t="s">
        <v>313</v>
      </c>
      <c r="E682" s="283"/>
      <c r="F682" s="283" t="s">
        <v>637</v>
      </c>
      <c r="G682" s="285">
        <v>0</v>
      </c>
      <c r="H682" s="285">
        <v>130395253.23</v>
      </c>
      <c r="I682" s="286">
        <v>-130395253.23</v>
      </c>
      <c r="J682" s="287"/>
      <c r="K682" s="7"/>
    </row>
    <row r="683" spans="1:11" ht="15.75" hidden="1" customHeight="1" x14ac:dyDescent="0.3">
      <c r="A683" s="278" t="s">
        <v>872</v>
      </c>
      <c r="B683" s="279">
        <v>10</v>
      </c>
      <c r="C683" s="278" t="s">
        <v>12</v>
      </c>
      <c r="D683" s="279" t="s">
        <v>313</v>
      </c>
      <c r="E683" s="278"/>
      <c r="F683" s="278" t="s">
        <v>881</v>
      </c>
      <c r="G683" s="280">
        <v>0</v>
      </c>
      <c r="H683" s="280">
        <v>149760273.59999999</v>
      </c>
      <c r="I683" s="281">
        <v>-149760273.59999999</v>
      </c>
      <c r="J683" s="282"/>
      <c r="K683" s="7"/>
    </row>
    <row r="684" spans="1:11" ht="15.75" hidden="1" customHeight="1" x14ac:dyDescent="0.3">
      <c r="A684" s="288" t="s">
        <v>872</v>
      </c>
      <c r="B684" s="288">
        <v>10</v>
      </c>
      <c r="C684" s="289" t="s">
        <v>12</v>
      </c>
      <c r="D684" s="288" t="s">
        <v>320</v>
      </c>
      <c r="E684" s="290"/>
      <c r="F684" s="289" t="s">
        <v>321</v>
      </c>
      <c r="G684" s="291">
        <v>268396410.66</v>
      </c>
      <c r="H684" s="291">
        <v>419850579.99000001</v>
      </c>
      <c r="I684" s="292">
        <v>-151454169.33000001</v>
      </c>
      <c r="J684" s="292">
        <v>151454169.33000001</v>
      </c>
      <c r="K684" s="293">
        <v>-2.9802322387695309E-8</v>
      </c>
    </row>
    <row r="685" spans="1:11" ht="15.75" hidden="1" customHeight="1" x14ac:dyDescent="0.3">
      <c r="A685" s="278" t="s">
        <v>872</v>
      </c>
      <c r="B685" s="279">
        <v>11</v>
      </c>
      <c r="C685" s="278" t="s">
        <v>13</v>
      </c>
      <c r="D685" s="279" t="s">
        <v>313</v>
      </c>
      <c r="E685" s="278" t="s">
        <v>314</v>
      </c>
      <c r="F685" s="278" t="s">
        <v>882</v>
      </c>
      <c r="G685" s="280">
        <v>0</v>
      </c>
      <c r="H685" s="280">
        <v>14236650</v>
      </c>
      <c r="I685" s="281">
        <v>-14236650</v>
      </c>
      <c r="J685" s="282"/>
      <c r="K685" s="7"/>
    </row>
    <row r="686" spans="1:11" ht="15.75" hidden="1" customHeight="1" x14ac:dyDescent="0.3">
      <c r="A686" s="283" t="s">
        <v>872</v>
      </c>
      <c r="B686" s="284">
        <v>11</v>
      </c>
      <c r="C686" s="283" t="s">
        <v>13</v>
      </c>
      <c r="D686" s="284" t="s">
        <v>313</v>
      </c>
      <c r="E686" s="283"/>
      <c r="F686" s="283" t="s">
        <v>639</v>
      </c>
      <c r="G686" s="285">
        <v>14236650</v>
      </c>
      <c r="H686" s="285">
        <v>0</v>
      </c>
      <c r="I686" s="286">
        <v>14236650</v>
      </c>
      <c r="J686" s="287"/>
      <c r="K686" s="7"/>
    </row>
    <row r="687" spans="1:11" ht="15.75" hidden="1" customHeight="1" x14ac:dyDescent="0.3">
      <c r="A687" s="278" t="s">
        <v>872</v>
      </c>
      <c r="B687" s="279">
        <v>11</v>
      </c>
      <c r="C687" s="278" t="s">
        <v>13</v>
      </c>
      <c r="D687" s="279" t="s">
        <v>313</v>
      </c>
      <c r="E687" s="278"/>
      <c r="F687" s="278" t="s">
        <v>883</v>
      </c>
      <c r="G687" s="280">
        <v>10214099.369999999</v>
      </c>
      <c r="H687" s="280">
        <v>0</v>
      </c>
      <c r="I687" s="281">
        <v>10214099.369999999</v>
      </c>
      <c r="J687" s="282"/>
      <c r="K687" s="7"/>
    </row>
    <row r="688" spans="1:11" ht="15.75" hidden="1" customHeight="1" x14ac:dyDescent="0.3">
      <c r="A688" s="283" t="s">
        <v>872</v>
      </c>
      <c r="B688" s="284">
        <v>11</v>
      </c>
      <c r="C688" s="283" t="s">
        <v>13</v>
      </c>
      <c r="D688" s="284" t="s">
        <v>313</v>
      </c>
      <c r="E688" s="283"/>
      <c r="F688" s="283" t="s">
        <v>640</v>
      </c>
      <c r="G688" s="285">
        <v>0</v>
      </c>
      <c r="H688" s="285">
        <v>12904341.279999999</v>
      </c>
      <c r="I688" s="286">
        <v>-12904341.279999999</v>
      </c>
      <c r="J688" s="287"/>
      <c r="K688" s="7"/>
    </row>
    <row r="689" spans="1:11" ht="15.75" hidden="1" customHeight="1" x14ac:dyDescent="0.3">
      <c r="A689" s="278" t="s">
        <v>872</v>
      </c>
      <c r="B689" s="279">
        <v>11</v>
      </c>
      <c r="C689" s="278" t="s">
        <v>13</v>
      </c>
      <c r="D689" s="279" t="s">
        <v>313</v>
      </c>
      <c r="E689" s="278"/>
      <c r="F689" s="278" t="s">
        <v>884</v>
      </c>
      <c r="G689" s="280">
        <v>0</v>
      </c>
      <c r="H689" s="280">
        <v>13265662.83</v>
      </c>
      <c r="I689" s="281">
        <v>-13265662.83</v>
      </c>
      <c r="J689" s="282"/>
      <c r="K689" s="7"/>
    </row>
    <row r="690" spans="1:11" ht="15.75" hidden="1" customHeight="1" x14ac:dyDescent="0.3">
      <c r="A690" s="288" t="s">
        <v>872</v>
      </c>
      <c r="B690" s="288">
        <v>11</v>
      </c>
      <c r="C690" s="289" t="s">
        <v>13</v>
      </c>
      <c r="D690" s="288" t="s">
        <v>320</v>
      </c>
      <c r="E690" s="290"/>
      <c r="F690" s="289" t="s">
        <v>321</v>
      </c>
      <c r="G690" s="291">
        <v>24450749.370000001</v>
      </c>
      <c r="H690" s="291">
        <v>40406654.109999999</v>
      </c>
      <c r="I690" s="292">
        <v>-15955904.74</v>
      </c>
      <c r="J690" s="292">
        <v>15955904.740839999</v>
      </c>
      <c r="K690" s="293">
        <v>-8.3999894559383392E-4</v>
      </c>
    </row>
    <row r="691" spans="1:11" ht="15.75" hidden="1" customHeight="1" x14ac:dyDescent="0.3">
      <c r="A691" s="278" t="s">
        <v>872</v>
      </c>
      <c r="B691" s="279">
        <v>12</v>
      </c>
      <c r="C691" s="278" t="s">
        <v>14</v>
      </c>
      <c r="D691" s="279" t="s">
        <v>313</v>
      </c>
      <c r="E691" s="278" t="s">
        <v>314</v>
      </c>
      <c r="F691" s="278" t="s">
        <v>885</v>
      </c>
      <c r="G691" s="280">
        <v>0</v>
      </c>
      <c r="H691" s="280">
        <v>2730587.5</v>
      </c>
      <c r="I691" s="281">
        <v>-2730587.5</v>
      </c>
      <c r="J691" s="282"/>
      <c r="K691" s="7"/>
    </row>
    <row r="692" spans="1:11" ht="15.75" hidden="1" customHeight="1" x14ac:dyDescent="0.3">
      <c r="A692" s="283" t="s">
        <v>872</v>
      </c>
      <c r="B692" s="284">
        <v>12</v>
      </c>
      <c r="C692" s="283" t="s">
        <v>14</v>
      </c>
      <c r="D692" s="284" t="s">
        <v>313</v>
      </c>
      <c r="E692" s="283"/>
      <c r="F692" s="283" t="s">
        <v>642</v>
      </c>
      <c r="G692" s="285">
        <v>2730587.5</v>
      </c>
      <c r="H692" s="285">
        <v>0</v>
      </c>
      <c r="I692" s="286">
        <v>2730587.5</v>
      </c>
      <c r="J692" s="287"/>
      <c r="K692" s="7"/>
    </row>
    <row r="693" spans="1:11" ht="15.75" hidden="1" customHeight="1" x14ac:dyDescent="0.3">
      <c r="A693" s="278" t="s">
        <v>872</v>
      </c>
      <c r="B693" s="279">
        <v>12</v>
      </c>
      <c r="C693" s="278" t="s">
        <v>14</v>
      </c>
      <c r="D693" s="279" t="s">
        <v>313</v>
      </c>
      <c r="E693" s="278"/>
      <c r="F693" s="278" t="s">
        <v>886</v>
      </c>
      <c r="G693" s="280">
        <v>2434375</v>
      </c>
      <c r="H693" s="280">
        <v>0</v>
      </c>
      <c r="I693" s="281">
        <v>2434375</v>
      </c>
      <c r="J693" s="282"/>
      <c r="K693" s="7"/>
    </row>
    <row r="694" spans="1:11" ht="15.75" hidden="1" customHeight="1" x14ac:dyDescent="0.3">
      <c r="A694" s="283" t="s">
        <v>872</v>
      </c>
      <c r="B694" s="284">
        <v>12</v>
      </c>
      <c r="C694" s="283" t="s">
        <v>14</v>
      </c>
      <c r="D694" s="284" t="s">
        <v>313</v>
      </c>
      <c r="E694" s="283"/>
      <c r="F694" s="283" t="s">
        <v>643</v>
      </c>
      <c r="G694" s="285">
        <v>0</v>
      </c>
      <c r="H694" s="285">
        <v>2491856.48</v>
      </c>
      <c r="I694" s="286">
        <v>-2491856.48</v>
      </c>
      <c r="J694" s="287"/>
      <c r="K694" s="7"/>
    </row>
    <row r="695" spans="1:11" ht="15.75" hidden="1" customHeight="1" x14ac:dyDescent="0.3">
      <c r="A695" s="278" t="s">
        <v>872</v>
      </c>
      <c r="B695" s="279">
        <v>12</v>
      </c>
      <c r="C695" s="278" t="s">
        <v>14</v>
      </c>
      <c r="D695" s="279" t="s">
        <v>313</v>
      </c>
      <c r="E695" s="278"/>
      <c r="F695" s="278" t="s">
        <v>887</v>
      </c>
      <c r="G695" s="280">
        <v>0</v>
      </c>
      <c r="H695" s="280">
        <v>2561628.46</v>
      </c>
      <c r="I695" s="281">
        <v>-2561628.46</v>
      </c>
      <c r="J695" s="282"/>
      <c r="K695" s="7"/>
    </row>
    <row r="696" spans="1:11" ht="15.75" hidden="1" customHeight="1" x14ac:dyDescent="0.3">
      <c r="A696" s="288" t="s">
        <v>872</v>
      </c>
      <c r="B696" s="288">
        <v>12</v>
      </c>
      <c r="C696" s="289" t="s">
        <v>14</v>
      </c>
      <c r="D696" s="288" t="s">
        <v>320</v>
      </c>
      <c r="E696" s="290"/>
      <c r="F696" s="289" t="s">
        <v>321</v>
      </c>
      <c r="G696" s="291">
        <v>5164962.5</v>
      </c>
      <c r="H696" s="291">
        <v>7784072.4399999985</v>
      </c>
      <c r="I696" s="292">
        <v>-2619109.94</v>
      </c>
      <c r="J696" s="292">
        <v>2619109.9414400002</v>
      </c>
      <c r="K696" s="293">
        <v>-1.440000254660845E-3</v>
      </c>
    </row>
    <row r="697" spans="1:11" ht="15.75" hidden="1" customHeight="1" x14ac:dyDescent="0.3">
      <c r="A697" s="278" t="s">
        <v>872</v>
      </c>
      <c r="B697" s="279">
        <v>13</v>
      </c>
      <c r="C697" s="278" t="s">
        <v>15</v>
      </c>
      <c r="D697" s="279" t="s">
        <v>313</v>
      </c>
      <c r="E697" s="278" t="s">
        <v>314</v>
      </c>
      <c r="F697" s="278" t="s">
        <v>888</v>
      </c>
      <c r="G697" s="280">
        <v>0</v>
      </c>
      <c r="H697" s="280">
        <v>4671696.2</v>
      </c>
      <c r="I697" s="281">
        <v>-4671696.2</v>
      </c>
      <c r="J697" s="282"/>
      <c r="K697" s="7"/>
    </row>
    <row r="698" spans="1:11" ht="15.75" hidden="1" customHeight="1" x14ac:dyDescent="0.3">
      <c r="A698" s="283" t="s">
        <v>872</v>
      </c>
      <c r="B698" s="284">
        <v>13</v>
      </c>
      <c r="C698" s="283" t="s">
        <v>15</v>
      </c>
      <c r="D698" s="284" t="s">
        <v>313</v>
      </c>
      <c r="E698" s="283"/>
      <c r="F698" s="283" t="s">
        <v>645</v>
      </c>
      <c r="G698" s="285">
        <v>4671696.2</v>
      </c>
      <c r="H698" s="285">
        <v>0</v>
      </c>
      <c r="I698" s="286">
        <v>4671696.2</v>
      </c>
      <c r="J698" s="287"/>
      <c r="K698" s="7"/>
    </row>
    <row r="699" spans="1:11" ht="15.75" hidden="1" customHeight="1" x14ac:dyDescent="0.3">
      <c r="A699" s="278" t="s">
        <v>872</v>
      </c>
      <c r="B699" s="279">
        <v>13</v>
      </c>
      <c r="C699" s="278" t="s">
        <v>15</v>
      </c>
      <c r="D699" s="279" t="s">
        <v>313</v>
      </c>
      <c r="E699" s="278"/>
      <c r="F699" s="278" t="s">
        <v>889</v>
      </c>
      <c r="G699" s="280">
        <v>3177191.51</v>
      </c>
      <c r="H699" s="280">
        <v>0</v>
      </c>
      <c r="I699" s="281">
        <v>3177191.51</v>
      </c>
      <c r="J699" s="282"/>
      <c r="K699" s="7"/>
    </row>
    <row r="700" spans="1:11" ht="15.75" hidden="1" customHeight="1" x14ac:dyDescent="0.3">
      <c r="A700" s="283" t="s">
        <v>872</v>
      </c>
      <c r="B700" s="284">
        <v>13</v>
      </c>
      <c r="C700" s="283" t="s">
        <v>15</v>
      </c>
      <c r="D700" s="284" t="s">
        <v>313</v>
      </c>
      <c r="E700" s="283"/>
      <c r="F700" s="283" t="s">
        <v>646</v>
      </c>
      <c r="G700" s="285">
        <v>0</v>
      </c>
      <c r="H700" s="285">
        <v>4443823.17</v>
      </c>
      <c r="I700" s="286">
        <v>-4443823.17</v>
      </c>
      <c r="J700" s="287"/>
      <c r="K700" s="7"/>
    </row>
    <row r="701" spans="1:11" ht="15.75" hidden="1" customHeight="1" x14ac:dyDescent="0.3">
      <c r="A701" s="278" t="s">
        <v>872</v>
      </c>
      <c r="B701" s="279">
        <v>13</v>
      </c>
      <c r="C701" s="278" t="s">
        <v>15</v>
      </c>
      <c r="D701" s="279" t="s">
        <v>313</v>
      </c>
      <c r="E701" s="278"/>
      <c r="F701" s="278" t="s">
        <v>890</v>
      </c>
      <c r="G701" s="280">
        <v>0</v>
      </c>
      <c r="H701" s="280">
        <v>4568250.21</v>
      </c>
      <c r="I701" s="281">
        <v>-4568250.21</v>
      </c>
      <c r="J701" s="282"/>
      <c r="K701" s="7"/>
    </row>
    <row r="702" spans="1:11" ht="15.75" hidden="1" customHeight="1" x14ac:dyDescent="0.3">
      <c r="A702" s="288" t="s">
        <v>872</v>
      </c>
      <c r="B702" s="288">
        <v>13</v>
      </c>
      <c r="C702" s="289" t="s">
        <v>15</v>
      </c>
      <c r="D702" s="288" t="s">
        <v>320</v>
      </c>
      <c r="E702" s="290"/>
      <c r="F702" s="289" t="s">
        <v>321</v>
      </c>
      <c r="G702" s="291">
        <v>7848887.71</v>
      </c>
      <c r="H702" s="291">
        <v>13683769.58</v>
      </c>
      <c r="I702" s="292">
        <v>-5834881.8700000001</v>
      </c>
      <c r="J702" s="292">
        <v>5834881.8727599997</v>
      </c>
      <c r="K702" s="293">
        <v>-2.7599995955824852E-3</v>
      </c>
    </row>
    <row r="703" spans="1:11" ht="15.75" hidden="1" customHeight="1" x14ac:dyDescent="0.3">
      <c r="A703" s="278" t="s">
        <v>872</v>
      </c>
      <c r="B703" s="279">
        <v>14</v>
      </c>
      <c r="C703" s="278" t="s">
        <v>16</v>
      </c>
      <c r="D703" s="279" t="s">
        <v>313</v>
      </c>
      <c r="E703" s="278" t="s">
        <v>314</v>
      </c>
      <c r="F703" s="278" t="s">
        <v>891</v>
      </c>
      <c r="G703" s="280">
        <v>0</v>
      </c>
      <c r="H703" s="280">
        <v>1411584515.1099999</v>
      </c>
      <c r="I703" s="281">
        <v>-1411584515.1099999</v>
      </c>
      <c r="J703" s="282"/>
      <c r="K703" s="7"/>
    </row>
    <row r="704" spans="1:11" ht="15.75" hidden="1" customHeight="1" x14ac:dyDescent="0.3">
      <c r="A704" s="283" t="s">
        <v>872</v>
      </c>
      <c r="B704" s="284">
        <v>14</v>
      </c>
      <c r="C704" s="283" t="s">
        <v>16</v>
      </c>
      <c r="D704" s="284" t="s">
        <v>313</v>
      </c>
      <c r="E704" s="283"/>
      <c r="F704" s="283" t="s">
        <v>648</v>
      </c>
      <c r="G704" s="285">
        <v>1411584515.1099999</v>
      </c>
      <c r="H704" s="285">
        <v>0</v>
      </c>
      <c r="I704" s="286">
        <v>1411584515.1099999</v>
      </c>
      <c r="J704" s="287"/>
      <c r="K704" s="7"/>
    </row>
    <row r="705" spans="1:11" ht="15.75" hidden="1" customHeight="1" x14ac:dyDescent="0.3">
      <c r="A705" s="278" t="s">
        <v>872</v>
      </c>
      <c r="B705" s="279">
        <v>14</v>
      </c>
      <c r="C705" s="278" t="s">
        <v>16</v>
      </c>
      <c r="D705" s="279" t="s">
        <v>313</v>
      </c>
      <c r="E705" s="278"/>
      <c r="F705" s="278" t="s">
        <v>892</v>
      </c>
      <c r="G705" s="280">
        <v>1313825012.5</v>
      </c>
      <c r="H705" s="280">
        <v>0</v>
      </c>
      <c r="I705" s="281">
        <v>1313825012.5</v>
      </c>
      <c r="J705" s="282"/>
      <c r="K705" s="7"/>
    </row>
    <row r="706" spans="1:11" ht="15.75" hidden="1" customHeight="1" x14ac:dyDescent="0.3">
      <c r="A706" s="283" t="s">
        <v>872</v>
      </c>
      <c r="B706" s="284">
        <v>14</v>
      </c>
      <c r="C706" s="283" t="s">
        <v>16</v>
      </c>
      <c r="D706" s="284" t="s">
        <v>313</v>
      </c>
      <c r="E706" s="283"/>
      <c r="F706" s="283" t="s">
        <v>649</v>
      </c>
      <c r="G706" s="285">
        <v>0</v>
      </c>
      <c r="H706" s="285">
        <v>1323365203.71</v>
      </c>
      <c r="I706" s="286">
        <v>-1323365203.71</v>
      </c>
      <c r="J706" s="287"/>
      <c r="K706" s="7"/>
    </row>
    <row r="707" spans="1:11" ht="15.75" hidden="1" customHeight="1" x14ac:dyDescent="0.3">
      <c r="A707" s="278" t="s">
        <v>872</v>
      </c>
      <c r="B707" s="279">
        <v>14</v>
      </c>
      <c r="C707" s="278" t="s">
        <v>16</v>
      </c>
      <c r="D707" s="279" t="s">
        <v>313</v>
      </c>
      <c r="E707" s="278"/>
      <c r="F707" s="278" t="s">
        <v>893</v>
      </c>
      <c r="G707" s="280">
        <v>0</v>
      </c>
      <c r="H707" s="280">
        <v>1492282836</v>
      </c>
      <c r="I707" s="281">
        <v>-1492282836</v>
      </c>
      <c r="J707" s="282"/>
      <c r="K707" s="7"/>
    </row>
    <row r="708" spans="1:11" ht="15.75" hidden="1" customHeight="1" x14ac:dyDescent="0.3">
      <c r="A708" s="288" t="s">
        <v>872</v>
      </c>
      <c r="B708" s="288">
        <v>14</v>
      </c>
      <c r="C708" s="289" t="s">
        <v>16</v>
      </c>
      <c r="D708" s="288" t="s">
        <v>320</v>
      </c>
      <c r="E708" s="290"/>
      <c r="F708" s="289" t="s">
        <v>321</v>
      </c>
      <c r="G708" s="291">
        <v>2725409527.6100001</v>
      </c>
      <c r="H708" s="291">
        <v>4227232554.8200002</v>
      </c>
      <c r="I708" s="292">
        <v>-1501823027.21</v>
      </c>
      <c r="J708" s="292">
        <v>1501823027.21</v>
      </c>
      <c r="K708" s="293">
        <v>0</v>
      </c>
    </row>
    <row r="709" spans="1:11" ht="15.75" hidden="1" customHeight="1" x14ac:dyDescent="0.3">
      <c r="A709" s="278" t="s">
        <v>872</v>
      </c>
      <c r="B709" s="279">
        <v>15</v>
      </c>
      <c r="C709" s="278" t="s">
        <v>17</v>
      </c>
      <c r="D709" s="279" t="s">
        <v>313</v>
      </c>
      <c r="E709" s="278" t="s">
        <v>314</v>
      </c>
      <c r="F709" s="278" t="s">
        <v>894</v>
      </c>
      <c r="G709" s="280">
        <v>0</v>
      </c>
      <c r="H709" s="280">
        <v>41734687.68</v>
      </c>
      <c r="I709" s="281">
        <v>-41734687.68</v>
      </c>
      <c r="J709" s="282"/>
      <c r="K709" s="7"/>
    </row>
    <row r="710" spans="1:11" ht="15.75" hidden="1" customHeight="1" x14ac:dyDescent="0.3">
      <c r="A710" s="283" t="s">
        <v>872</v>
      </c>
      <c r="B710" s="284">
        <v>15</v>
      </c>
      <c r="C710" s="283" t="s">
        <v>17</v>
      </c>
      <c r="D710" s="284" t="s">
        <v>313</v>
      </c>
      <c r="E710" s="283"/>
      <c r="F710" s="283" t="s">
        <v>651</v>
      </c>
      <c r="G710" s="285">
        <v>41734687.68</v>
      </c>
      <c r="H710" s="285">
        <v>0</v>
      </c>
      <c r="I710" s="286">
        <v>41734687.68</v>
      </c>
      <c r="J710" s="287"/>
      <c r="K710" s="7"/>
    </row>
    <row r="711" spans="1:11" ht="15.75" hidden="1" customHeight="1" x14ac:dyDescent="0.3">
      <c r="A711" s="278" t="s">
        <v>872</v>
      </c>
      <c r="B711" s="279">
        <v>15</v>
      </c>
      <c r="C711" s="278" t="s">
        <v>17</v>
      </c>
      <c r="D711" s="279" t="s">
        <v>313</v>
      </c>
      <c r="E711" s="278"/>
      <c r="F711" s="278" t="s">
        <v>895</v>
      </c>
      <c r="G711" s="280">
        <v>39741073.68</v>
      </c>
      <c r="H711" s="280">
        <v>0</v>
      </c>
      <c r="I711" s="281">
        <v>39741073.68</v>
      </c>
      <c r="J711" s="282"/>
      <c r="K711" s="7"/>
    </row>
    <row r="712" spans="1:11" ht="15.75" hidden="1" customHeight="1" x14ac:dyDescent="0.3">
      <c r="A712" s="283" t="s">
        <v>872</v>
      </c>
      <c r="B712" s="284">
        <v>15</v>
      </c>
      <c r="C712" s="283" t="s">
        <v>17</v>
      </c>
      <c r="D712" s="284" t="s">
        <v>313</v>
      </c>
      <c r="E712" s="283"/>
      <c r="F712" s="283" t="s">
        <v>652</v>
      </c>
      <c r="G712" s="285">
        <v>0</v>
      </c>
      <c r="H712" s="285">
        <v>39843978.719999999</v>
      </c>
      <c r="I712" s="286">
        <v>-39843978.719999999</v>
      </c>
      <c r="J712" s="287"/>
      <c r="K712" s="7"/>
    </row>
    <row r="713" spans="1:11" ht="15.75" hidden="1" customHeight="1" x14ac:dyDescent="0.3">
      <c r="A713" s="278" t="s">
        <v>872</v>
      </c>
      <c r="B713" s="279">
        <v>15</v>
      </c>
      <c r="C713" s="278" t="s">
        <v>17</v>
      </c>
      <c r="D713" s="279" t="s">
        <v>313</v>
      </c>
      <c r="E713" s="278"/>
      <c r="F713" s="278" t="s">
        <v>896</v>
      </c>
      <c r="G713" s="280">
        <v>0</v>
      </c>
      <c r="H713" s="280">
        <v>40959610.119999997</v>
      </c>
      <c r="I713" s="281">
        <v>-40959610.119999997</v>
      </c>
      <c r="J713" s="282"/>
      <c r="K713" s="7"/>
    </row>
    <row r="714" spans="1:11" ht="15.75" hidden="1" customHeight="1" x14ac:dyDescent="0.3">
      <c r="A714" s="288" t="s">
        <v>872</v>
      </c>
      <c r="B714" s="288">
        <v>15</v>
      </c>
      <c r="C714" s="289" t="s">
        <v>17</v>
      </c>
      <c r="D714" s="288" t="s">
        <v>320</v>
      </c>
      <c r="E714" s="290"/>
      <c r="F714" s="289" t="s">
        <v>321</v>
      </c>
      <c r="G714" s="291">
        <v>81475761.359999999</v>
      </c>
      <c r="H714" s="291">
        <v>122538276.52</v>
      </c>
      <c r="I714" s="292">
        <v>-41062515.159999996</v>
      </c>
      <c r="J714" s="292">
        <v>41062515.164159998</v>
      </c>
      <c r="K714" s="293">
        <v>-4.1600018739700317E-3</v>
      </c>
    </row>
    <row r="715" spans="1:11" ht="15.75" hidden="1" customHeight="1" x14ac:dyDescent="0.3">
      <c r="A715" s="278" t="s">
        <v>872</v>
      </c>
      <c r="B715" s="279">
        <v>17</v>
      </c>
      <c r="C715" s="278" t="s">
        <v>19</v>
      </c>
      <c r="D715" s="279" t="s">
        <v>313</v>
      </c>
      <c r="E715" s="278" t="s">
        <v>19</v>
      </c>
      <c r="F715" s="278" t="s">
        <v>897</v>
      </c>
      <c r="G715" s="280">
        <v>0</v>
      </c>
      <c r="H715" s="280">
        <v>1178548.3799999999</v>
      </c>
      <c r="I715" s="281">
        <v>-1178548.3799999999</v>
      </c>
      <c r="J715" s="282"/>
      <c r="K715" s="7"/>
    </row>
    <row r="716" spans="1:11" ht="15.75" hidden="1" customHeight="1" x14ac:dyDescent="0.3">
      <c r="A716" s="283" t="s">
        <v>872</v>
      </c>
      <c r="B716" s="284">
        <v>17</v>
      </c>
      <c r="C716" s="283" t="s">
        <v>19</v>
      </c>
      <c r="D716" s="284" t="s">
        <v>313</v>
      </c>
      <c r="E716" s="283"/>
      <c r="F716" s="283" t="s">
        <v>898</v>
      </c>
      <c r="G716" s="285">
        <v>1000000</v>
      </c>
      <c r="H716" s="285">
        <v>0</v>
      </c>
      <c r="I716" s="286">
        <v>1000000</v>
      </c>
      <c r="J716" s="287"/>
      <c r="K716" s="7"/>
    </row>
    <row r="717" spans="1:11" ht="15.75" hidden="1" customHeight="1" x14ac:dyDescent="0.3">
      <c r="A717" s="278" t="s">
        <v>872</v>
      </c>
      <c r="B717" s="279">
        <v>17</v>
      </c>
      <c r="C717" s="278" t="s">
        <v>19</v>
      </c>
      <c r="D717" s="279" t="s">
        <v>313</v>
      </c>
      <c r="E717" s="278"/>
      <c r="F717" s="278" t="s">
        <v>899</v>
      </c>
      <c r="G717" s="280">
        <v>0</v>
      </c>
      <c r="H717" s="280">
        <v>1250000</v>
      </c>
      <c r="I717" s="281">
        <v>-1250000</v>
      </c>
      <c r="J717" s="282"/>
      <c r="K717" s="7"/>
    </row>
    <row r="718" spans="1:11" ht="15.75" hidden="1" customHeight="1" x14ac:dyDescent="0.3">
      <c r="A718" s="288" t="s">
        <v>872</v>
      </c>
      <c r="B718" s="288">
        <v>17</v>
      </c>
      <c r="C718" s="289" t="s">
        <v>19</v>
      </c>
      <c r="D718" s="288" t="s">
        <v>320</v>
      </c>
      <c r="E718" s="290"/>
      <c r="F718" s="289" t="s">
        <v>321</v>
      </c>
      <c r="G718" s="291">
        <v>1000000</v>
      </c>
      <c r="H718" s="291">
        <v>2428548.38</v>
      </c>
      <c r="I718" s="292">
        <v>-1428548.38</v>
      </c>
      <c r="J718" s="292">
        <v>1428548.38</v>
      </c>
      <c r="K718" s="293">
        <v>0</v>
      </c>
    </row>
    <row r="719" spans="1:11" ht="15.75" hidden="1" customHeight="1" x14ac:dyDescent="0.3">
      <c r="A719" s="278" t="s">
        <v>872</v>
      </c>
      <c r="B719" s="279">
        <v>21</v>
      </c>
      <c r="C719" s="278" t="s">
        <v>21</v>
      </c>
      <c r="D719" s="279" t="s">
        <v>313</v>
      </c>
      <c r="E719" s="278" t="s">
        <v>21</v>
      </c>
      <c r="F719" s="278" t="s">
        <v>900</v>
      </c>
      <c r="G719" s="280">
        <v>0</v>
      </c>
      <c r="H719" s="280">
        <v>19689476.25</v>
      </c>
      <c r="I719" s="281">
        <v>-19689476.25</v>
      </c>
      <c r="J719" s="282"/>
      <c r="K719" s="7"/>
    </row>
    <row r="720" spans="1:11" ht="15.75" hidden="1" customHeight="1" x14ac:dyDescent="0.3">
      <c r="A720" s="283" t="s">
        <v>872</v>
      </c>
      <c r="B720" s="284">
        <v>21</v>
      </c>
      <c r="C720" s="283" t="s">
        <v>21</v>
      </c>
      <c r="D720" s="284" t="s">
        <v>313</v>
      </c>
      <c r="E720" s="283"/>
      <c r="F720" s="283" t="s">
        <v>901</v>
      </c>
      <c r="G720" s="285">
        <v>21000000</v>
      </c>
      <c r="H720" s="285">
        <v>0</v>
      </c>
      <c r="I720" s="286">
        <v>21000000</v>
      </c>
      <c r="J720" s="287"/>
      <c r="K720" s="7"/>
    </row>
    <row r="721" spans="1:11" ht="15.75" hidden="1" customHeight="1" x14ac:dyDescent="0.3">
      <c r="A721" s="278" t="s">
        <v>872</v>
      </c>
      <c r="B721" s="279">
        <v>21</v>
      </c>
      <c r="C721" s="278" t="s">
        <v>21</v>
      </c>
      <c r="D721" s="279" t="s">
        <v>313</v>
      </c>
      <c r="E721" s="278"/>
      <c r="F721" s="278" t="s">
        <v>902</v>
      </c>
      <c r="G721" s="280">
        <v>0</v>
      </c>
      <c r="H721" s="280">
        <v>21000000</v>
      </c>
      <c r="I721" s="281">
        <v>-21000000</v>
      </c>
      <c r="J721" s="282"/>
      <c r="K721" s="7"/>
    </row>
    <row r="722" spans="1:11" ht="15.75" hidden="1" customHeight="1" x14ac:dyDescent="0.3">
      <c r="A722" s="288" t="s">
        <v>872</v>
      </c>
      <c r="B722" s="288">
        <v>21</v>
      </c>
      <c r="C722" s="289" t="s">
        <v>21</v>
      </c>
      <c r="D722" s="288" t="s">
        <v>320</v>
      </c>
      <c r="E722" s="290"/>
      <c r="F722" s="289" t="s">
        <v>321</v>
      </c>
      <c r="G722" s="291">
        <v>21000000</v>
      </c>
      <c r="H722" s="291">
        <v>40689476.25</v>
      </c>
      <c r="I722" s="292">
        <v>-19689476.25</v>
      </c>
      <c r="J722" s="292">
        <v>19689476.25</v>
      </c>
      <c r="K722" s="293">
        <v>0</v>
      </c>
    </row>
    <row r="723" spans="1:11" ht="15.75" hidden="1" customHeight="1" x14ac:dyDescent="0.3">
      <c r="A723" s="278" t="s">
        <v>872</v>
      </c>
      <c r="B723" s="279">
        <v>22</v>
      </c>
      <c r="C723" s="278" t="s">
        <v>22</v>
      </c>
      <c r="D723" s="279" t="s">
        <v>313</v>
      </c>
      <c r="E723" s="278" t="s">
        <v>22</v>
      </c>
      <c r="F723" s="278" t="s">
        <v>903</v>
      </c>
      <c r="G723" s="280">
        <v>0</v>
      </c>
      <c r="H723" s="280">
        <v>43454206</v>
      </c>
      <c r="I723" s="281">
        <v>-43454206</v>
      </c>
      <c r="J723" s="282"/>
      <c r="K723" s="7"/>
    </row>
    <row r="724" spans="1:11" ht="15.75" hidden="1" customHeight="1" x14ac:dyDescent="0.3">
      <c r="A724" s="283" t="s">
        <v>872</v>
      </c>
      <c r="B724" s="284">
        <v>22</v>
      </c>
      <c r="C724" s="283" t="s">
        <v>22</v>
      </c>
      <c r="D724" s="284" t="s">
        <v>313</v>
      </c>
      <c r="E724" s="283"/>
      <c r="F724" s="283" t="s">
        <v>904</v>
      </c>
      <c r="G724" s="285">
        <v>43000000</v>
      </c>
      <c r="H724" s="285">
        <v>0</v>
      </c>
      <c r="I724" s="286">
        <v>43000000</v>
      </c>
      <c r="J724" s="287"/>
      <c r="K724" s="7"/>
    </row>
    <row r="725" spans="1:11" ht="15.75" hidden="1" customHeight="1" x14ac:dyDescent="0.3">
      <c r="A725" s="278" t="s">
        <v>872</v>
      </c>
      <c r="B725" s="279">
        <v>22</v>
      </c>
      <c r="C725" s="278" t="s">
        <v>22</v>
      </c>
      <c r="D725" s="279" t="s">
        <v>313</v>
      </c>
      <c r="E725" s="278"/>
      <c r="F725" s="278" t="s">
        <v>905</v>
      </c>
      <c r="G725" s="280">
        <v>0</v>
      </c>
      <c r="H725" s="280">
        <v>39000000</v>
      </c>
      <c r="I725" s="281">
        <v>-39000000</v>
      </c>
      <c r="J725" s="282"/>
      <c r="K725" s="7"/>
    </row>
    <row r="726" spans="1:11" ht="15.75" hidden="1" customHeight="1" x14ac:dyDescent="0.3">
      <c r="A726" s="288" t="s">
        <v>872</v>
      </c>
      <c r="B726" s="288">
        <v>22</v>
      </c>
      <c r="C726" s="289" t="s">
        <v>22</v>
      </c>
      <c r="D726" s="288" t="s">
        <v>320</v>
      </c>
      <c r="E726" s="290"/>
      <c r="F726" s="289" t="s">
        <v>321</v>
      </c>
      <c r="G726" s="291">
        <v>43000000</v>
      </c>
      <c r="H726" s="291">
        <v>82454206</v>
      </c>
      <c r="I726" s="292">
        <v>-39454206</v>
      </c>
      <c r="J726" s="292">
        <v>39454206</v>
      </c>
      <c r="K726" s="293">
        <v>0</v>
      </c>
    </row>
    <row r="727" spans="1:11" ht="15.75" hidden="1" customHeight="1" x14ac:dyDescent="0.3">
      <c r="A727" s="278" t="s">
        <v>872</v>
      </c>
      <c r="B727" s="279">
        <v>24</v>
      </c>
      <c r="C727" s="278" t="s">
        <v>25</v>
      </c>
      <c r="D727" s="279" t="s">
        <v>313</v>
      </c>
      <c r="E727" s="278" t="s">
        <v>25</v>
      </c>
      <c r="F727" s="278" t="s">
        <v>906</v>
      </c>
      <c r="G727" s="280">
        <v>0</v>
      </c>
      <c r="H727" s="280">
        <v>941267.72</v>
      </c>
      <c r="I727" s="281">
        <v>-941267.72</v>
      </c>
      <c r="J727" s="282"/>
      <c r="K727" s="7"/>
    </row>
    <row r="728" spans="1:11" ht="15.75" hidden="1" customHeight="1" x14ac:dyDescent="0.3">
      <c r="A728" s="283" t="s">
        <v>872</v>
      </c>
      <c r="B728" s="284">
        <v>24</v>
      </c>
      <c r="C728" s="283" t="s">
        <v>25</v>
      </c>
      <c r="D728" s="284" t="s">
        <v>313</v>
      </c>
      <c r="E728" s="283"/>
      <c r="F728" s="283" t="s">
        <v>907</v>
      </c>
      <c r="G728" s="285">
        <v>987000</v>
      </c>
      <c r="H728" s="285">
        <v>0</v>
      </c>
      <c r="I728" s="286">
        <v>987000</v>
      </c>
      <c r="J728" s="287"/>
      <c r="K728" s="7"/>
    </row>
    <row r="729" spans="1:11" ht="15.75" hidden="1" customHeight="1" x14ac:dyDescent="0.3">
      <c r="A729" s="278" t="s">
        <v>872</v>
      </c>
      <c r="B729" s="279">
        <v>24</v>
      </c>
      <c r="C729" s="278" t="s">
        <v>25</v>
      </c>
      <c r="D729" s="279" t="s">
        <v>313</v>
      </c>
      <c r="E729" s="278"/>
      <c r="F729" s="278" t="s">
        <v>908</v>
      </c>
      <c r="G729" s="280">
        <v>0</v>
      </c>
      <c r="H729" s="280">
        <v>1000000</v>
      </c>
      <c r="I729" s="281">
        <v>-1000000</v>
      </c>
      <c r="J729" s="282"/>
      <c r="K729" s="7"/>
    </row>
    <row r="730" spans="1:11" ht="15.75" hidden="1" customHeight="1" x14ac:dyDescent="0.3">
      <c r="A730" s="288" t="s">
        <v>872</v>
      </c>
      <c r="B730" s="288">
        <v>24</v>
      </c>
      <c r="C730" s="289" t="s">
        <v>25</v>
      </c>
      <c r="D730" s="288" t="s">
        <v>320</v>
      </c>
      <c r="E730" s="290"/>
      <c r="F730" s="289" t="s">
        <v>321</v>
      </c>
      <c r="G730" s="291">
        <v>987000</v>
      </c>
      <c r="H730" s="291">
        <v>1941267.72</v>
      </c>
      <c r="I730" s="292">
        <v>-954267.72</v>
      </c>
      <c r="J730" s="292">
        <v>954267.72</v>
      </c>
      <c r="K730" s="293">
        <v>0</v>
      </c>
    </row>
    <row r="731" spans="1:11" ht="15.75" hidden="1" customHeight="1" x14ac:dyDescent="0.3">
      <c r="A731" s="278" t="s">
        <v>872</v>
      </c>
      <c r="B731" s="279">
        <v>26</v>
      </c>
      <c r="C731" s="278" t="s">
        <v>27</v>
      </c>
      <c r="D731" s="279" t="s">
        <v>668</v>
      </c>
      <c r="E731" s="278"/>
      <c r="F731" s="278" t="s">
        <v>909</v>
      </c>
      <c r="G731" s="280">
        <v>0</v>
      </c>
      <c r="H731" s="280">
        <v>20168419.300000001</v>
      </c>
      <c r="I731" s="281">
        <v>-20168419.300000001</v>
      </c>
      <c r="J731" s="282"/>
      <c r="K731" s="7"/>
    </row>
    <row r="732" spans="1:11" ht="15.75" hidden="1" customHeight="1" x14ac:dyDescent="0.3">
      <c r="A732" s="288" t="s">
        <v>872</v>
      </c>
      <c r="B732" s="288">
        <v>26</v>
      </c>
      <c r="C732" s="289" t="s">
        <v>27</v>
      </c>
      <c r="D732" s="288" t="s">
        <v>320</v>
      </c>
      <c r="E732" s="290"/>
      <c r="F732" s="289" t="s">
        <v>321</v>
      </c>
      <c r="G732" s="291">
        <v>0</v>
      </c>
      <c r="H732" s="291">
        <v>20168419.300000001</v>
      </c>
      <c r="I732" s="292">
        <v>-20168419.300000001</v>
      </c>
      <c r="J732" s="292">
        <v>20168419.333333299</v>
      </c>
      <c r="K732" s="293">
        <v>-3.3333297818899148E-2</v>
      </c>
    </row>
    <row r="733" spans="1:11" ht="15.75" hidden="1" customHeight="1" x14ac:dyDescent="0.3">
      <c r="A733" s="278" t="s">
        <v>872</v>
      </c>
      <c r="B733" s="279">
        <v>27</v>
      </c>
      <c r="C733" s="278" t="s">
        <v>28</v>
      </c>
      <c r="D733" s="279" t="s">
        <v>313</v>
      </c>
      <c r="E733" s="278" t="s">
        <v>374</v>
      </c>
      <c r="F733" s="278" t="s">
        <v>910</v>
      </c>
      <c r="G733" s="280">
        <v>0</v>
      </c>
      <c r="H733" s="280">
        <v>1188814.8500000001</v>
      </c>
      <c r="I733" s="281">
        <v>-1188814.8500000001</v>
      </c>
      <c r="J733" s="282"/>
      <c r="K733" s="7"/>
    </row>
    <row r="734" spans="1:11" ht="15.75" hidden="1" customHeight="1" x14ac:dyDescent="0.3">
      <c r="A734" s="283" t="s">
        <v>872</v>
      </c>
      <c r="B734" s="284">
        <v>27</v>
      </c>
      <c r="C734" s="283" t="s">
        <v>28</v>
      </c>
      <c r="D734" s="284" t="s">
        <v>313</v>
      </c>
      <c r="E734" s="283"/>
      <c r="F734" s="283" t="s">
        <v>911</v>
      </c>
      <c r="G734" s="285">
        <v>1000000</v>
      </c>
      <c r="H734" s="285">
        <v>0</v>
      </c>
      <c r="I734" s="286">
        <v>1000000</v>
      </c>
      <c r="J734" s="287"/>
      <c r="K734" s="7"/>
    </row>
    <row r="735" spans="1:11" ht="15.75" hidden="1" customHeight="1" x14ac:dyDescent="0.3">
      <c r="A735" s="278" t="s">
        <v>872</v>
      </c>
      <c r="B735" s="279">
        <v>27</v>
      </c>
      <c r="C735" s="278" t="s">
        <v>28</v>
      </c>
      <c r="D735" s="279" t="s">
        <v>313</v>
      </c>
      <c r="E735" s="278"/>
      <c r="F735" s="278" t="s">
        <v>912</v>
      </c>
      <c r="G735" s="280">
        <v>0</v>
      </c>
      <c r="H735" s="280">
        <v>1300000</v>
      </c>
      <c r="I735" s="281">
        <v>-1300000</v>
      </c>
      <c r="J735" s="282"/>
      <c r="K735" s="7"/>
    </row>
    <row r="736" spans="1:11" ht="15.75" hidden="1" customHeight="1" x14ac:dyDescent="0.3">
      <c r="A736" s="288" t="s">
        <v>872</v>
      </c>
      <c r="B736" s="288">
        <v>27</v>
      </c>
      <c r="C736" s="289" t="s">
        <v>28</v>
      </c>
      <c r="D736" s="288" t="s">
        <v>320</v>
      </c>
      <c r="E736" s="290"/>
      <c r="F736" s="289" t="s">
        <v>321</v>
      </c>
      <c r="G736" s="291">
        <v>1000000</v>
      </c>
      <c r="H736" s="291">
        <v>2488814.85</v>
      </c>
      <c r="I736" s="292">
        <v>-1488814.85</v>
      </c>
      <c r="J736" s="292">
        <v>1488814.85</v>
      </c>
      <c r="K736" s="293">
        <v>0</v>
      </c>
    </row>
    <row r="737" spans="1:11" ht="15.75" hidden="1" customHeight="1" x14ac:dyDescent="0.3">
      <c r="A737" s="278" t="s">
        <v>872</v>
      </c>
      <c r="B737" s="279">
        <v>28</v>
      </c>
      <c r="C737" s="278" t="s">
        <v>29</v>
      </c>
      <c r="D737" s="279" t="s">
        <v>313</v>
      </c>
      <c r="E737" s="278" t="s">
        <v>29</v>
      </c>
      <c r="F737" s="278" t="s">
        <v>913</v>
      </c>
      <c r="G737" s="280">
        <v>0</v>
      </c>
      <c r="H737" s="280">
        <v>8320434.7699999996</v>
      </c>
      <c r="I737" s="281">
        <v>-8320434.7699999996</v>
      </c>
      <c r="J737" s="282"/>
      <c r="K737" s="7"/>
    </row>
    <row r="738" spans="1:11" ht="15.75" hidden="1" customHeight="1" x14ac:dyDescent="0.3">
      <c r="A738" s="288" t="s">
        <v>872</v>
      </c>
      <c r="B738" s="288">
        <v>28</v>
      </c>
      <c r="C738" s="289" t="s">
        <v>29</v>
      </c>
      <c r="D738" s="288" t="s">
        <v>320</v>
      </c>
      <c r="E738" s="290"/>
      <c r="F738" s="289" t="s">
        <v>321</v>
      </c>
      <c r="G738" s="291">
        <v>0</v>
      </c>
      <c r="H738" s="291">
        <v>8320434.7699999996</v>
      </c>
      <c r="I738" s="292">
        <v>-8320434.7699999996</v>
      </c>
      <c r="J738" s="292">
        <v>9320434.7699999996</v>
      </c>
      <c r="K738" s="294">
        <v>-1000000</v>
      </c>
    </row>
    <row r="739" spans="1:11" ht="15.75" hidden="1" customHeight="1" x14ac:dyDescent="0.3">
      <c r="A739" s="278" t="s">
        <v>872</v>
      </c>
      <c r="B739" s="279">
        <v>29</v>
      </c>
      <c r="C739" s="278" t="s">
        <v>29</v>
      </c>
      <c r="D739" s="279" t="s">
        <v>313</v>
      </c>
      <c r="E739" s="278" t="s">
        <v>29</v>
      </c>
      <c r="F739" s="278" t="s">
        <v>914</v>
      </c>
      <c r="G739" s="280">
        <v>0</v>
      </c>
      <c r="H739" s="280">
        <v>25514692.390000001</v>
      </c>
      <c r="I739" s="281">
        <v>-25514692.390000001</v>
      </c>
      <c r="J739" s="282"/>
      <c r="K739" s="7"/>
    </row>
    <row r="740" spans="1:11" ht="15.75" hidden="1" customHeight="1" x14ac:dyDescent="0.3">
      <c r="A740" s="283" t="s">
        <v>872</v>
      </c>
      <c r="B740" s="284">
        <v>29</v>
      </c>
      <c r="C740" s="283" t="s">
        <v>29</v>
      </c>
      <c r="D740" s="284" t="s">
        <v>313</v>
      </c>
      <c r="E740" s="283"/>
      <c r="F740" s="283" t="s">
        <v>915</v>
      </c>
      <c r="G740" s="285">
        <v>33000000</v>
      </c>
      <c r="H740" s="285">
        <v>0</v>
      </c>
      <c r="I740" s="286">
        <v>33000000</v>
      </c>
      <c r="J740" s="287"/>
      <c r="K740" s="7"/>
    </row>
    <row r="741" spans="1:11" ht="15.75" hidden="1" customHeight="1" x14ac:dyDescent="0.3">
      <c r="A741" s="278" t="s">
        <v>872</v>
      </c>
      <c r="B741" s="279">
        <v>29</v>
      </c>
      <c r="C741" s="278" t="s">
        <v>29</v>
      </c>
      <c r="D741" s="279" t="s">
        <v>313</v>
      </c>
      <c r="E741" s="278"/>
      <c r="F741" s="278" t="s">
        <v>916</v>
      </c>
      <c r="G741" s="280">
        <v>0</v>
      </c>
      <c r="H741" s="280">
        <v>39000000</v>
      </c>
      <c r="I741" s="281">
        <v>-39000000</v>
      </c>
      <c r="J741" s="282"/>
      <c r="K741" s="7"/>
    </row>
    <row r="742" spans="1:11" ht="15.75" hidden="1" customHeight="1" x14ac:dyDescent="0.3">
      <c r="A742" s="288" t="s">
        <v>872</v>
      </c>
      <c r="B742" s="288">
        <v>29</v>
      </c>
      <c r="C742" s="289" t="s">
        <v>29</v>
      </c>
      <c r="D742" s="288" t="s">
        <v>320</v>
      </c>
      <c r="E742" s="290"/>
      <c r="F742" s="289" t="s">
        <v>321</v>
      </c>
      <c r="G742" s="291">
        <v>33000000</v>
      </c>
      <c r="H742" s="291">
        <v>64514692.390000001</v>
      </c>
      <c r="I742" s="292">
        <v>-31514692.390000001</v>
      </c>
      <c r="J742" s="292">
        <v>30514692.390000001</v>
      </c>
      <c r="K742" s="294">
        <v>1000000</v>
      </c>
    </row>
    <row r="743" spans="1:11" ht="15.75" hidden="1" customHeight="1" x14ac:dyDescent="0.3">
      <c r="A743" s="278" t="s">
        <v>872</v>
      </c>
      <c r="B743" s="279">
        <v>30</v>
      </c>
      <c r="C743" s="278" t="s">
        <v>32</v>
      </c>
      <c r="D743" s="279" t="s">
        <v>313</v>
      </c>
      <c r="E743" s="278" t="s">
        <v>32</v>
      </c>
      <c r="F743" s="278" t="s">
        <v>917</v>
      </c>
      <c r="G743" s="280">
        <v>3909271.78</v>
      </c>
      <c r="H743" s="280">
        <v>0</v>
      </c>
      <c r="I743" s="281">
        <v>3909271.78</v>
      </c>
      <c r="J743" s="282"/>
      <c r="K743" s="7"/>
    </row>
    <row r="744" spans="1:11" ht="15.75" hidden="1" customHeight="1" x14ac:dyDescent="0.3">
      <c r="A744" s="283" t="s">
        <v>872</v>
      </c>
      <c r="B744" s="284">
        <v>30</v>
      </c>
      <c r="C744" s="283" t="s">
        <v>32</v>
      </c>
      <c r="D744" s="284" t="s">
        <v>313</v>
      </c>
      <c r="E744" s="283" t="s">
        <v>32</v>
      </c>
      <c r="F744" s="283" t="s">
        <v>917</v>
      </c>
      <c r="G744" s="285">
        <v>3604695.07</v>
      </c>
      <c r="H744" s="285">
        <v>0</v>
      </c>
      <c r="I744" s="286">
        <v>3604695.07</v>
      </c>
      <c r="J744" s="287"/>
      <c r="K744" s="7"/>
    </row>
    <row r="745" spans="1:11" ht="15.75" hidden="1" customHeight="1" x14ac:dyDescent="0.3">
      <c r="A745" s="278" t="s">
        <v>872</v>
      </c>
      <c r="B745" s="279">
        <v>30</v>
      </c>
      <c r="C745" s="278" t="s">
        <v>32</v>
      </c>
      <c r="D745" s="279" t="s">
        <v>313</v>
      </c>
      <c r="E745" s="278" t="s">
        <v>32</v>
      </c>
      <c r="F745" s="278" t="s">
        <v>918</v>
      </c>
      <c r="G745" s="280">
        <v>0</v>
      </c>
      <c r="H745" s="280">
        <v>2849364.65</v>
      </c>
      <c r="I745" s="281">
        <v>-2849364.65</v>
      </c>
      <c r="J745" s="282"/>
      <c r="K745" s="7"/>
    </row>
    <row r="746" spans="1:11" ht="15.75" hidden="1" customHeight="1" x14ac:dyDescent="0.3">
      <c r="A746" s="283" t="s">
        <v>872</v>
      </c>
      <c r="B746" s="284">
        <v>30</v>
      </c>
      <c r="C746" s="283" t="s">
        <v>32</v>
      </c>
      <c r="D746" s="284" t="s">
        <v>313</v>
      </c>
      <c r="E746" s="283" t="s">
        <v>32</v>
      </c>
      <c r="F746" s="283" t="s">
        <v>919</v>
      </c>
      <c r="G746" s="285">
        <v>0</v>
      </c>
      <c r="H746" s="285">
        <v>2775627.75</v>
      </c>
      <c r="I746" s="286">
        <v>-2775627.75</v>
      </c>
      <c r="J746" s="287"/>
      <c r="K746" s="7"/>
    </row>
    <row r="747" spans="1:11" ht="15.75" hidden="1" customHeight="1" x14ac:dyDescent="0.3">
      <c r="A747" s="278" t="s">
        <v>872</v>
      </c>
      <c r="B747" s="279">
        <v>30</v>
      </c>
      <c r="C747" s="278" t="s">
        <v>32</v>
      </c>
      <c r="D747" s="279" t="s">
        <v>313</v>
      </c>
      <c r="E747" s="278"/>
      <c r="F747" s="278" t="s">
        <v>920</v>
      </c>
      <c r="G747" s="280">
        <v>5275325</v>
      </c>
      <c r="H747" s="280">
        <v>0</v>
      </c>
      <c r="I747" s="281">
        <v>5275325</v>
      </c>
      <c r="J747" s="282"/>
      <c r="K747" s="7"/>
    </row>
    <row r="748" spans="1:11" ht="15.75" hidden="1" customHeight="1" x14ac:dyDescent="0.3">
      <c r="A748" s="283" t="s">
        <v>872</v>
      </c>
      <c r="B748" s="284">
        <v>30</v>
      </c>
      <c r="C748" s="283" t="s">
        <v>32</v>
      </c>
      <c r="D748" s="284" t="s">
        <v>313</v>
      </c>
      <c r="E748" s="283"/>
      <c r="F748" s="283" t="s">
        <v>921</v>
      </c>
      <c r="G748" s="285">
        <v>0</v>
      </c>
      <c r="H748" s="285">
        <v>2500000</v>
      </c>
      <c r="I748" s="286">
        <v>-2500000</v>
      </c>
      <c r="J748" s="287"/>
      <c r="K748" s="7"/>
    </row>
    <row r="749" spans="1:11" ht="15.75" hidden="1" customHeight="1" x14ac:dyDescent="0.3">
      <c r="A749" s="288" t="s">
        <v>872</v>
      </c>
      <c r="B749" s="288">
        <v>30</v>
      </c>
      <c r="C749" s="289" t="s">
        <v>32</v>
      </c>
      <c r="D749" s="288" t="s">
        <v>320</v>
      </c>
      <c r="E749" s="290"/>
      <c r="F749" s="289" t="s">
        <v>321</v>
      </c>
      <c r="G749" s="291">
        <v>12789291.85</v>
      </c>
      <c r="H749" s="291">
        <v>8124992.4000000004</v>
      </c>
      <c r="I749" s="292">
        <v>4664299.4499999993</v>
      </c>
      <c r="J749" s="292">
        <v>-4664299.45</v>
      </c>
      <c r="K749" s="293">
        <v>-9.3132257461547852E-10</v>
      </c>
    </row>
    <row r="750" spans="1:11" ht="15.75" hidden="1" customHeight="1" x14ac:dyDescent="0.3">
      <c r="A750" s="278" t="s">
        <v>872</v>
      </c>
      <c r="B750" s="279">
        <v>31</v>
      </c>
      <c r="C750" s="278" t="s">
        <v>33</v>
      </c>
      <c r="D750" s="279" t="s">
        <v>313</v>
      </c>
      <c r="E750" s="278" t="s">
        <v>33</v>
      </c>
      <c r="F750" s="278" t="s">
        <v>917</v>
      </c>
      <c r="G750" s="280">
        <v>634780.68000000005</v>
      </c>
      <c r="H750" s="280">
        <v>0</v>
      </c>
      <c r="I750" s="281">
        <v>634780.68000000005</v>
      </c>
      <c r="J750" s="282"/>
      <c r="K750" s="7"/>
    </row>
    <row r="751" spans="1:11" ht="15.75" hidden="1" customHeight="1" x14ac:dyDescent="0.3">
      <c r="A751" s="283" t="s">
        <v>872</v>
      </c>
      <c r="B751" s="284">
        <v>31</v>
      </c>
      <c r="C751" s="283" t="s">
        <v>33</v>
      </c>
      <c r="D751" s="284" t="s">
        <v>313</v>
      </c>
      <c r="E751" s="283" t="s">
        <v>33</v>
      </c>
      <c r="F751" s="283" t="s">
        <v>922</v>
      </c>
      <c r="G751" s="285">
        <v>0</v>
      </c>
      <c r="H751" s="285">
        <v>766721.67</v>
      </c>
      <c r="I751" s="286">
        <v>-766721.67</v>
      </c>
      <c r="J751" s="287"/>
      <c r="K751" s="7"/>
    </row>
    <row r="752" spans="1:11" ht="15.75" hidden="1" customHeight="1" x14ac:dyDescent="0.3">
      <c r="A752" s="278" t="s">
        <v>872</v>
      </c>
      <c r="B752" s="279">
        <v>31</v>
      </c>
      <c r="C752" s="278" t="s">
        <v>33</v>
      </c>
      <c r="D752" s="279" t="s">
        <v>313</v>
      </c>
      <c r="E752" s="278"/>
      <c r="F752" s="278" t="s">
        <v>923</v>
      </c>
      <c r="G752" s="280">
        <v>766722</v>
      </c>
      <c r="H752" s="280">
        <v>0</v>
      </c>
      <c r="I752" s="281">
        <v>766722</v>
      </c>
      <c r="J752" s="282"/>
      <c r="K752" s="7"/>
    </row>
    <row r="753" spans="1:11" ht="15.75" hidden="1" customHeight="1" x14ac:dyDescent="0.3">
      <c r="A753" s="283" t="s">
        <v>872</v>
      </c>
      <c r="B753" s="284">
        <v>31</v>
      </c>
      <c r="C753" s="283" t="s">
        <v>33</v>
      </c>
      <c r="D753" s="284" t="s">
        <v>313</v>
      </c>
      <c r="E753" s="283"/>
      <c r="F753" s="283" t="s">
        <v>924</v>
      </c>
      <c r="G753" s="285">
        <v>0</v>
      </c>
      <c r="H753" s="285">
        <v>766722</v>
      </c>
      <c r="I753" s="286">
        <v>-766722</v>
      </c>
      <c r="J753" s="287"/>
      <c r="K753" s="7"/>
    </row>
    <row r="754" spans="1:11" ht="15.75" hidden="1" customHeight="1" x14ac:dyDescent="0.3">
      <c r="A754" s="288" t="s">
        <v>872</v>
      </c>
      <c r="B754" s="288">
        <v>31</v>
      </c>
      <c r="C754" s="289" t="s">
        <v>33</v>
      </c>
      <c r="D754" s="288" t="s">
        <v>320</v>
      </c>
      <c r="E754" s="290"/>
      <c r="F754" s="289" t="s">
        <v>321</v>
      </c>
      <c r="G754" s="291">
        <v>1401502.68</v>
      </c>
      <c r="H754" s="291">
        <v>1533443.67</v>
      </c>
      <c r="I754" s="292">
        <v>-131940.99</v>
      </c>
      <c r="J754" s="292">
        <v>131940.99</v>
      </c>
      <c r="K754" s="293">
        <v>0</v>
      </c>
    </row>
    <row r="755" spans="1:11" ht="15.75" hidden="1" customHeight="1" x14ac:dyDescent="0.3">
      <c r="A755" s="278" t="s">
        <v>872</v>
      </c>
      <c r="B755" s="279">
        <v>32</v>
      </c>
      <c r="C755" s="278" t="s">
        <v>34</v>
      </c>
      <c r="D755" s="279" t="s">
        <v>313</v>
      </c>
      <c r="E755" s="278" t="s">
        <v>388</v>
      </c>
      <c r="F755" s="278" t="s">
        <v>925</v>
      </c>
      <c r="G755" s="280">
        <v>0</v>
      </c>
      <c r="H755" s="280">
        <v>7296.03</v>
      </c>
      <c r="I755" s="281">
        <v>-7296.03</v>
      </c>
      <c r="J755" s="282"/>
      <c r="K755" s="7"/>
    </row>
    <row r="756" spans="1:11" ht="15.75" hidden="1" customHeight="1" x14ac:dyDescent="0.3">
      <c r="A756" s="283" t="s">
        <v>872</v>
      </c>
      <c r="B756" s="284">
        <v>32</v>
      </c>
      <c r="C756" s="283" t="s">
        <v>34</v>
      </c>
      <c r="D756" s="284" t="s">
        <v>313</v>
      </c>
      <c r="E756" s="283"/>
      <c r="F756" s="283" t="s">
        <v>926</v>
      </c>
      <c r="G756" s="285">
        <v>9000</v>
      </c>
      <c r="H756" s="285">
        <v>0</v>
      </c>
      <c r="I756" s="286">
        <v>9000</v>
      </c>
      <c r="J756" s="287"/>
      <c r="K756" s="7"/>
    </row>
    <row r="757" spans="1:11" ht="15.75" hidden="1" customHeight="1" x14ac:dyDescent="0.3">
      <c r="A757" s="278" t="s">
        <v>872</v>
      </c>
      <c r="B757" s="279">
        <v>32</v>
      </c>
      <c r="C757" s="278" t="s">
        <v>34</v>
      </c>
      <c r="D757" s="279" t="s">
        <v>313</v>
      </c>
      <c r="E757" s="278"/>
      <c r="F757" s="278" t="s">
        <v>927</v>
      </c>
      <c r="G757" s="280">
        <v>0</v>
      </c>
      <c r="H757" s="280">
        <v>9000</v>
      </c>
      <c r="I757" s="281">
        <v>-9000</v>
      </c>
      <c r="J757" s="282"/>
      <c r="K757" s="7"/>
    </row>
    <row r="758" spans="1:11" ht="15.75" hidden="1" customHeight="1" x14ac:dyDescent="0.3">
      <c r="A758" s="288" t="s">
        <v>872</v>
      </c>
      <c r="B758" s="288">
        <v>32</v>
      </c>
      <c r="C758" s="289" t="s">
        <v>34</v>
      </c>
      <c r="D758" s="288" t="s">
        <v>320</v>
      </c>
      <c r="E758" s="290"/>
      <c r="F758" s="289" t="s">
        <v>321</v>
      </c>
      <c r="G758" s="291">
        <v>9000</v>
      </c>
      <c r="H758" s="291">
        <v>16296.03</v>
      </c>
      <c r="I758" s="292">
        <v>-7296.03</v>
      </c>
      <c r="J758" s="292">
        <v>7296.03</v>
      </c>
      <c r="K758" s="293">
        <v>0</v>
      </c>
    </row>
    <row r="759" spans="1:11" ht="15.75" hidden="1" customHeight="1" x14ac:dyDescent="0.3">
      <c r="A759" s="278" t="s">
        <v>872</v>
      </c>
      <c r="B759" s="279">
        <v>33</v>
      </c>
      <c r="C759" s="278" t="s">
        <v>35</v>
      </c>
      <c r="D759" s="279" t="s">
        <v>313</v>
      </c>
      <c r="E759" s="278" t="s">
        <v>35</v>
      </c>
      <c r="F759" s="278" t="s">
        <v>928</v>
      </c>
      <c r="G759" s="280">
        <v>0</v>
      </c>
      <c r="H759" s="280">
        <v>871875.5</v>
      </c>
      <c r="I759" s="281">
        <v>-871875.5</v>
      </c>
      <c r="J759" s="282"/>
      <c r="K759" s="7"/>
    </row>
    <row r="760" spans="1:11" ht="15.75" hidden="1" customHeight="1" x14ac:dyDescent="0.3">
      <c r="A760" s="283" t="s">
        <v>872</v>
      </c>
      <c r="B760" s="284">
        <v>33</v>
      </c>
      <c r="C760" s="283" t="s">
        <v>35</v>
      </c>
      <c r="D760" s="284" t="s">
        <v>313</v>
      </c>
      <c r="E760" s="283"/>
      <c r="F760" s="283" t="s">
        <v>929</v>
      </c>
      <c r="G760" s="285">
        <v>370000</v>
      </c>
      <c r="H760" s="285">
        <v>0</v>
      </c>
      <c r="I760" s="286">
        <v>370000</v>
      </c>
      <c r="J760" s="287"/>
      <c r="K760" s="7"/>
    </row>
    <row r="761" spans="1:11" ht="15.75" hidden="1" customHeight="1" x14ac:dyDescent="0.3">
      <c r="A761" s="278" t="s">
        <v>872</v>
      </c>
      <c r="B761" s="279">
        <v>33</v>
      </c>
      <c r="C761" s="278" t="s">
        <v>35</v>
      </c>
      <c r="D761" s="279" t="s">
        <v>313</v>
      </c>
      <c r="E761" s="278"/>
      <c r="F761" s="278" t="s">
        <v>930</v>
      </c>
      <c r="G761" s="280">
        <v>0</v>
      </c>
      <c r="H761" s="280">
        <v>850000</v>
      </c>
      <c r="I761" s="281">
        <v>-850000</v>
      </c>
      <c r="J761" s="282"/>
      <c r="K761" s="7"/>
    </row>
    <row r="762" spans="1:11" ht="15.75" hidden="1" customHeight="1" x14ac:dyDescent="0.3">
      <c r="A762" s="288" t="s">
        <v>872</v>
      </c>
      <c r="B762" s="288">
        <v>33</v>
      </c>
      <c r="C762" s="289" t="s">
        <v>35</v>
      </c>
      <c r="D762" s="288" t="s">
        <v>320</v>
      </c>
      <c r="E762" s="290"/>
      <c r="F762" s="289" t="s">
        <v>321</v>
      </c>
      <c r="G762" s="291">
        <v>370000</v>
      </c>
      <c r="H762" s="291">
        <v>1721875.5</v>
      </c>
      <c r="I762" s="292">
        <v>-1351875.5</v>
      </c>
      <c r="J762" s="292">
        <v>1351875.5</v>
      </c>
      <c r="K762" s="293">
        <v>0</v>
      </c>
    </row>
    <row r="763" spans="1:11" ht="15.75" hidden="1" customHeight="1" x14ac:dyDescent="0.3">
      <c r="A763" s="278" t="s">
        <v>872</v>
      </c>
      <c r="B763" s="279">
        <v>34</v>
      </c>
      <c r="C763" s="278" t="s">
        <v>36</v>
      </c>
      <c r="D763" s="279" t="s">
        <v>313</v>
      </c>
      <c r="E763" s="278" t="s">
        <v>395</v>
      </c>
      <c r="F763" s="278" t="s">
        <v>917</v>
      </c>
      <c r="G763" s="280">
        <v>1730226.41</v>
      </c>
      <c r="H763" s="280">
        <v>0</v>
      </c>
      <c r="I763" s="281">
        <v>1730226.41</v>
      </c>
      <c r="J763" s="282"/>
      <c r="K763" s="7"/>
    </row>
    <row r="764" spans="1:11" ht="15.75" hidden="1" customHeight="1" x14ac:dyDescent="0.3">
      <c r="A764" s="283" t="s">
        <v>872</v>
      </c>
      <c r="B764" s="284">
        <v>34</v>
      </c>
      <c r="C764" s="283" t="s">
        <v>36</v>
      </c>
      <c r="D764" s="284" t="s">
        <v>313</v>
      </c>
      <c r="E764" s="283" t="s">
        <v>395</v>
      </c>
      <c r="F764" s="283" t="s">
        <v>688</v>
      </c>
      <c r="G764" s="285">
        <v>0</v>
      </c>
      <c r="H764" s="285">
        <v>1730226.41</v>
      </c>
      <c r="I764" s="286">
        <v>-1730226.41</v>
      </c>
      <c r="J764" s="287"/>
      <c r="K764" s="7"/>
    </row>
    <row r="765" spans="1:11" ht="15.75" hidden="1" customHeight="1" x14ac:dyDescent="0.3">
      <c r="A765" s="278" t="s">
        <v>872</v>
      </c>
      <c r="B765" s="279">
        <v>34</v>
      </c>
      <c r="C765" s="278" t="s">
        <v>36</v>
      </c>
      <c r="D765" s="279" t="s">
        <v>313</v>
      </c>
      <c r="E765" s="278" t="s">
        <v>395</v>
      </c>
      <c r="F765" s="278" t="s">
        <v>931</v>
      </c>
      <c r="G765" s="280">
        <v>0</v>
      </c>
      <c r="H765" s="280">
        <v>1740459.71</v>
      </c>
      <c r="I765" s="281">
        <v>-1740459.71</v>
      </c>
      <c r="J765" s="282"/>
      <c r="K765" s="7"/>
    </row>
    <row r="766" spans="1:11" ht="15.75" hidden="1" customHeight="1" x14ac:dyDescent="0.3">
      <c r="A766" s="283" t="s">
        <v>872</v>
      </c>
      <c r="B766" s="284">
        <v>34</v>
      </c>
      <c r="C766" s="283" t="s">
        <v>36</v>
      </c>
      <c r="D766" s="284" t="s">
        <v>313</v>
      </c>
      <c r="E766" s="283"/>
      <c r="F766" s="283" t="s">
        <v>932</v>
      </c>
      <c r="G766" s="285">
        <v>1500000</v>
      </c>
      <c r="H766" s="285">
        <v>0</v>
      </c>
      <c r="I766" s="286">
        <v>1500000</v>
      </c>
      <c r="J766" s="287"/>
      <c r="K766" s="7"/>
    </row>
    <row r="767" spans="1:11" ht="15.75" hidden="1" customHeight="1" x14ac:dyDescent="0.3">
      <c r="A767" s="278" t="s">
        <v>872</v>
      </c>
      <c r="B767" s="279">
        <v>34</v>
      </c>
      <c r="C767" s="278" t="s">
        <v>36</v>
      </c>
      <c r="D767" s="279" t="s">
        <v>313</v>
      </c>
      <c r="E767" s="278"/>
      <c r="F767" s="278" t="s">
        <v>933</v>
      </c>
      <c r="G767" s="280">
        <v>0</v>
      </c>
      <c r="H767" s="280">
        <v>2300000</v>
      </c>
      <c r="I767" s="281">
        <v>-2300000</v>
      </c>
      <c r="J767" s="282"/>
      <c r="K767" s="7"/>
    </row>
    <row r="768" spans="1:11" ht="15.75" hidden="1" customHeight="1" x14ac:dyDescent="0.3">
      <c r="A768" s="288" t="s">
        <v>872</v>
      </c>
      <c r="B768" s="288">
        <v>34</v>
      </c>
      <c r="C768" s="289" t="s">
        <v>36</v>
      </c>
      <c r="D768" s="288" t="s">
        <v>320</v>
      </c>
      <c r="E768" s="290"/>
      <c r="F768" s="289" t="s">
        <v>321</v>
      </c>
      <c r="G768" s="291">
        <v>3230226.41</v>
      </c>
      <c r="H768" s="291">
        <v>5770686.1200000001</v>
      </c>
      <c r="I768" s="292">
        <v>-2540459.71</v>
      </c>
      <c r="J768" s="292">
        <v>2540459.71</v>
      </c>
      <c r="K768" s="293">
        <v>0</v>
      </c>
    </row>
    <row r="769" spans="1:11" ht="15.75" hidden="1" customHeight="1" x14ac:dyDescent="0.3">
      <c r="A769" s="278" t="s">
        <v>872</v>
      </c>
      <c r="B769" s="279">
        <v>35</v>
      </c>
      <c r="C769" s="278" t="s">
        <v>37</v>
      </c>
      <c r="D769" s="279" t="s">
        <v>313</v>
      </c>
      <c r="E769" s="278" t="s">
        <v>691</v>
      </c>
      <c r="F769" s="278" t="s">
        <v>934</v>
      </c>
      <c r="G769" s="280">
        <v>0</v>
      </c>
      <c r="H769" s="280">
        <v>500000</v>
      </c>
      <c r="I769" s="281">
        <v>-500000</v>
      </c>
      <c r="J769" s="282"/>
      <c r="K769" s="7"/>
    </row>
    <row r="770" spans="1:11" ht="15.75" hidden="1" customHeight="1" x14ac:dyDescent="0.3">
      <c r="A770" s="283" t="s">
        <v>872</v>
      </c>
      <c r="B770" s="284">
        <v>35</v>
      </c>
      <c r="C770" s="283" t="s">
        <v>37</v>
      </c>
      <c r="D770" s="284" t="s">
        <v>313</v>
      </c>
      <c r="E770" s="283"/>
      <c r="F770" s="283" t="s">
        <v>935</v>
      </c>
      <c r="G770" s="285">
        <v>500000</v>
      </c>
      <c r="H770" s="285">
        <v>0</v>
      </c>
      <c r="I770" s="286">
        <v>500000</v>
      </c>
      <c r="J770" s="287"/>
      <c r="K770" s="7"/>
    </row>
    <row r="771" spans="1:11" ht="15.75" hidden="1" customHeight="1" x14ac:dyDescent="0.3">
      <c r="A771" s="278" t="s">
        <v>872</v>
      </c>
      <c r="B771" s="279">
        <v>35</v>
      </c>
      <c r="C771" s="278" t="s">
        <v>37</v>
      </c>
      <c r="D771" s="279" t="s">
        <v>313</v>
      </c>
      <c r="E771" s="278"/>
      <c r="F771" s="278" t="s">
        <v>936</v>
      </c>
      <c r="G771" s="280">
        <v>0</v>
      </c>
      <c r="H771" s="280">
        <v>500000</v>
      </c>
      <c r="I771" s="281">
        <v>-500000</v>
      </c>
      <c r="J771" s="282"/>
      <c r="K771" s="7"/>
    </row>
    <row r="772" spans="1:11" ht="15.75" hidden="1" customHeight="1" x14ac:dyDescent="0.3">
      <c r="A772" s="288" t="s">
        <v>872</v>
      </c>
      <c r="B772" s="288">
        <v>35</v>
      </c>
      <c r="C772" s="289" t="s">
        <v>37</v>
      </c>
      <c r="D772" s="288" t="s">
        <v>320</v>
      </c>
      <c r="E772" s="290"/>
      <c r="F772" s="289" t="s">
        <v>321</v>
      </c>
      <c r="G772" s="291">
        <v>500000</v>
      </c>
      <c r="H772" s="291">
        <v>1000000</v>
      </c>
      <c r="I772" s="292">
        <v>-500000</v>
      </c>
      <c r="J772" s="292">
        <v>500000</v>
      </c>
      <c r="K772" s="293">
        <v>0</v>
      </c>
    </row>
    <row r="773" spans="1:11" ht="15.75" hidden="1" customHeight="1" x14ac:dyDescent="0.3">
      <c r="A773" s="278" t="s">
        <v>872</v>
      </c>
      <c r="B773" s="279">
        <v>38</v>
      </c>
      <c r="C773" s="278" t="s">
        <v>39</v>
      </c>
      <c r="D773" s="279" t="s">
        <v>313</v>
      </c>
      <c r="E773" s="278" t="s">
        <v>399</v>
      </c>
      <c r="F773" s="278" t="s">
        <v>695</v>
      </c>
      <c r="G773" s="280">
        <v>0</v>
      </c>
      <c r="H773" s="280">
        <v>12034640.49</v>
      </c>
      <c r="I773" s="281">
        <v>-12034640.49</v>
      </c>
      <c r="J773" s="282"/>
      <c r="K773" s="7"/>
    </row>
    <row r="774" spans="1:11" ht="15.75" hidden="1" customHeight="1" x14ac:dyDescent="0.3">
      <c r="A774" s="283" t="s">
        <v>872</v>
      </c>
      <c r="B774" s="284">
        <v>38</v>
      </c>
      <c r="C774" s="283" t="s">
        <v>39</v>
      </c>
      <c r="D774" s="284" t="s">
        <v>313</v>
      </c>
      <c r="E774" s="283"/>
      <c r="F774" s="283" t="s">
        <v>937</v>
      </c>
      <c r="G774" s="285">
        <v>12034640.49</v>
      </c>
      <c r="H774" s="285">
        <v>0</v>
      </c>
      <c r="I774" s="286">
        <v>12034640.49</v>
      </c>
      <c r="J774" s="287"/>
      <c r="K774" s="7"/>
    </row>
    <row r="775" spans="1:11" ht="15.75" hidden="1" customHeight="1" x14ac:dyDescent="0.3">
      <c r="A775" s="278" t="s">
        <v>872</v>
      </c>
      <c r="B775" s="279">
        <v>38</v>
      </c>
      <c r="C775" s="278" t="s">
        <v>39</v>
      </c>
      <c r="D775" s="279" t="s">
        <v>313</v>
      </c>
      <c r="E775" s="278"/>
      <c r="F775" s="278" t="s">
        <v>938</v>
      </c>
      <c r="G775" s="280">
        <v>12034640.49</v>
      </c>
      <c r="H775" s="280">
        <v>0</v>
      </c>
      <c r="I775" s="281">
        <v>12034640.49</v>
      </c>
      <c r="J775" s="282"/>
      <c r="K775" s="7"/>
    </row>
    <row r="776" spans="1:11" ht="15.75" hidden="1" customHeight="1" x14ac:dyDescent="0.3">
      <c r="A776" s="283" t="s">
        <v>872</v>
      </c>
      <c r="B776" s="284">
        <v>38</v>
      </c>
      <c r="C776" s="283" t="s">
        <v>39</v>
      </c>
      <c r="D776" s="284" t="s">
        <v>313</v>
      </c>
      <c r="E776" s="283"/>
      <c r="F776" s="283" t="s">
        <v>939</v>
      </c>
      <c r="G776" s="285">
        <v>12034640</v>
      </c>
      <c r="H776" s="285">
        <v>0</v>
      </c>
      <c r="I776" s="286">
        <v>12034640</v>
      </c>
      <c r="J776" s="287"/>
      <c r="K776" s="7"/>
    </row>
    <row r="777" spans="1:11" ht="15.75" hidden="1" customHeight="1" x14ac:dyDescent="0.3">
      <c r="A777" s="278" t="s">
        <v>872</v>
      </c>
      <c r="B777" s="279">
        <v>38</v>
      </c>
      <c r="C777" s="278" t="s">
        <v>39</v>
      </c>
      <c r="D777" s="279" t="s">
        <v>313</v>
      </c>
      <c r="E777" s="278"/>
      <c r="F777" s="278" t="s">
        <v>940</v>
      </c>
      <c r="G777" s="280">
        <v>0</v>
      </c>
      <c r="H777" s="280">
        <v>12034640</v>
      </c>
      <c r="I777" s="281">
        <v>-12034640</v>
      </c>
      <c r="J777" s="282"/>
      <c r="K777" s="7"/>
    </row>
    <row r="778" spans="1:11" ht="15.75" hidden="1" customHeight="1" x14ac:dyDescent="0.3">
      <c r="A778" s="288" t="s">
        <v>872</v>
      </c>
      <c r="B778" s="288">
        <v>38</v>
      </c>
      <c r="C778" s="289" t="s">
        <v>39</v>
      </c>
      <c r="D778" s="288" t="s">
        <v>320</v>
      </c>
      <c r="E778" s="290"/>
      <c r="F778" s="289" t="s">
        <v>321</v>
      </c>
      <c r="G778" s="291">
        <v>36103920.979999997</v>
      </c>
      <c r="H778" s="291">
        <v>24069280.489999998</v>
      </c>
      <c r="I778" s="292">
        <v>12034640.49</v>
      </c>
      <c r="J778" s="292">
        <v>-12034640</v>
      </c>
      <c r="K778" s="293">
        <v>0.49000000022351742</v>
      </c>
    </row>
    <row r="779" spans="1:11" ht="15.75" hidden="1" customHeight="1" x14ac:dyDescent="0.3">
      <c r="A779" s="278" t="s">
        <v>872</v>
      </c>
      <c r="B779" s="279">
        <v>41</v>
      </c>
      <c r="C779" s="278" t="s">
        <v>41</v>
      </c>
      <c r="D779" s="279" t="s">
        <v>403</v>
      </c>
      <c r="E779" s="278"/>
      <c r="F779" s="278" t="s">
        <v>941</v>
      </c>
      <c r="G779" s="280">
        <v>0</v>
      </c>
      <c r="H779" s="280">
        <v>124410617.45999999</v>
      </c>
      <c r="I779" s="281">
        <v>-124410617.45999999</v>
      </c>
      <c r="J779" s="282"/>
      <c r="K779" s="7"/>
    </row>
    <row r="780" spans="1:11" ht="15.75" hidden="1" customHeight="1" x14ac:dyDescent="0.3">
      <c r="A780" s="283" t="s">
        <v>872</v>
      </c>
      <c r="B780" s="284">
        <v>41</v>
      </c>
      <c r="C780" s="283" t="s">
        <v>41</v>
      </c>
      <c r="D780" s="284" t="s">
        <v>403</v>
      </c>
      <c r="E780" s="283"/>
      <c r="F780" s="283" t="s">
        <v>942</v>
      </c>
      <c r="G780" s="285">
        <v>124410617.45999999</v>
      </c>
      <c r="H780" s="285">
        <v>0</v>
      </c>
      <c r="I780" s="286">
        <v>124410617.45999999</v>
      </c>
      <c r="J780" s="287"/>
      <c r="K780" s="7"/>
    </row>
    <row r="781" spans="1:11" ht="15.75" hidden="1" customHeight="1" x14ac:dyDescent="0.3">
      <c r="A781" s="278" t="s">
        <v>872</v>
      </c>
      <c r="B781" s="279">
        <v>41</v>
      </c>
      <c r="C781" s="278" t="s">
        <v>41</v>
      </c>
      <c r="D781" s="279" t="s">
        <v>403</v>
      </c>
      <c r="E781" s="278"/>
      <c r="F781" s="278" t="s">
        <v>943</v>
      </c>
      <c r="G781" s="280">
        <v>125984748.11</v>
      </c>
      <c r="H781" s="280">
        <v>0</v>
      </c>
      <c r="I781" s="281">
        <v>125984748.11</v>
      </c>
      <c r="J781" s="282"/>
      <c r="K781" s="7"/>
    </row>
    <row r="782" spans="1:11" ht="15.75" hidden="1" customHeight="1" x14ac:dyDescent="0.3">
      <c r="A782" s="288" t="s">
        <v>872</v>
      </c>
      <c r="B782" s="288">
        <v>41</v>
      </c>
      <c r="C782" s="289" t="s">
        <v>41</v>
      </c>
      <c r="D782" s="288" t="s">
        <v>320</v>
      </c>
      <c r="E782" s="290"/>
      <c r="F782" s="289" t="s">
        <v>321</v>
      </c>
      <c r="G782" s="291">
        <v>250395365.56999999</v>
      </c>
      <c r="H782" s="291">
        <v>124410617.45999999</v>
      </c>
      <c r="I782" s="292">
        <v>125984748.11</v>
      </c>
      <c r="J782" s="292">
        <v>-125984748.11</v>
      </c>
      <c r="K782" s="293">
        <v>0</v>
      </c>
    </row>
    <row r="783" spans="1:11" ht="15.75" hidden="1" customHeight="1" x14ac:dyDescent="0.3">
      <c r="A783" s="278" t="s">
        <v>872</v>
      </c>
      <c r="B783" s="279">
        <v>47</v>
      </c>
      <c r="C783" s="278" t="s">
        <v>50</v>
      </c>
      <c r="D783" s="279" t="s">
        <v>405</v>
      </c>
      <c r="E783" s="278" t="s">
        <v>406</v>
      </c>
      <c r="F783" s="278" t="s">
        <v>944</v>
      </c>
      <c r="G783" s="280">
        <v>6496050</v>
      </c>
      <c r="H783" s="280">
        <v>0</v>
      </c>
      <c r="I783" s="281">
        <v>6496050</v>
      </c>
      <c r="J783" s="282"/>
      <c r="K783" s="7"/>
    </row>
    <row r="784" spans="1:11" ht="15.75" hidden="1" customHeight="1" x14ac:dyDescent="0.3">
      <c r="A784" s="283" t="s">
        <v>872</v>
      </c>
      <c r="B784" s="284">
        <v>47</v>
      </c>
      <c r="C784" s="283" t="s">
        <v>50</v>
      </c>
      <c r="D784" s="284" t="s">
        <v>405</v>
      </c>
      <c r="E784" s="283" t="s">
        <v>406</v>
      </c>
      <c r="F784" s="283" t="s">
        <v>945</v>
      </c>
      <c r="G784" s="285">
        <v>0</v>
      </c>
      <c r="H784" s="285">
        <v>941720.33</v>
      </c>
      <c r="I784" s="286">
        <v>-941720.33</v>
      </c>
      <c r="J784" s="287"/>
      <c r="K784" s="7"/>
    </row>
    <row r="785" spans="1:11" ht="15.75" hidden="1" customHeight="1" x14ac:dyDescent="0.3">
      <c r="A785" s="288" t="s">
        <v>872</v>
      </c>
      <c r="B785" s="288">
        <v>47</v>
      </c>
      <c r="C785" s="289" t="s">
        <v>50</v>
      </c>
      <c r="D785" s="288" t="s">
        <v>320</v>
      </c>
      <c r="E785" s="290"/>
      <c r="F785" s="289" t="s">
        <v>321</v>
      </c>
      <c r="G785" s="291">
        <v>6496050</v>
      </c>
      <c r="H785" s="291">
        <v>941720.33</v>
      </c>
      <c r="I785" s="292">
        <v>5554329.6699999999</v>
      </c>
      <c r="J785" s="292">
        <v>5554330</v>
      </c>
      <c r="K785" s="293">
        <v>-0.33000000007450581</v>
      </c>
    </row>
    <row r="786" spans="1:11" ht="15.75" hidden="1" customHeight="1" x14ac:dyDescent="0.3">
      <c r="A786" s="278" t="s">
        <v>872</v>
      </c>
      <c r="B786" s="279">
        <v>48</v>
      </c>
      <c r="C786" s="278" t="s">
        <v>50</v>
      </c>
      <c r="D786" s="279" t="s">
        <v>409</v>
      </c>
      <c r="E786" s="278" t="s">
        <v>406</v>
      </c>
      <c r="F786" s="278" t="s">
        <v>946</v>
      </c>
      <c r="G786" s="280">
        <v>5700000</v>
      </c>
      <c r="H786" s="280">
        <v>0</v>
      </c>
      <c r="I786" s="281">
        <v>5700000</v>
      </c>
      <c r="J786" s="282"/>
      <c r="K786" s="7"/>
    </row>
    <row r="787" spans="1:11" ht="15.75" hidden="1" customHeight="1" x14ac:dyDescent="0.3">
      <c r="A787" s="283" t="s">
        <v>872</v>
      </c>
      <c r="B787" s="284">
        <v>48</v>
      </c>
      <c r="C787" s="283" t="s">
        <v>50</v>
      </c>
      <c r="D787" s="284" t="s">
        <v>409</v>
      </c>
      <c r="E787" s="283" t="s">
        <v>406</v>
      </c>
      <c r="F787" s="283" t="s">
        <v>947</v>
      </c>
      <c r="G787" s="285">
        <v>0</v>
      </c>
      <c r="H787" s="285">
        <v>570000</v>
      </c>
      <c r="I787" s="286">
        <v>-570000</v>
      </c>
      <c r="J787" s="287"/>
      <c r="K787" s="7"/>
    </row>
    <row r="788" spans="1:11" ht="15.75" hidden="1" customHeight="1" x14ac:dyDescent="0.3">
      <c r="A788" s="288" t="s">
        <v>872</v>
      </c>
      <c r="B788" s="288">
        <v>48</v>
      </c>
      <c r="C788" s="289" t="s">
        <v>50</v>
      </c>
      <c r="D788" s="288" t="s">
        <v>320</v>
      </c>
      <c r="E788" s="290"/>
      <c r="F788" s="289" t="s">
        <v>321</v>
      </c>
      <c r="G788" s="291">
        <v>5700000</v>
      </c>
      <c r="H788" s="291">
        <v>570000</v>
      </c>
      <c r="I788" s="292">
        <v>5130000</v>
      </c>
      <c r="J788" s="292">
        <v>5130000</v>
      </c>
      <c r="K788" s="293">
        <v>0</v>
      </c>
    </row>
    <row r="789" spans="1:11" ht="15.75" hidden="1" customHeight="1" x14ac:dyDescent="0.3">
      <c r="A789" s="278" t="s">
        <v>872</v>
      </c>
      <c r="B789" s="279">
        <v>53</v>
      </c>
      <c r="C789" s="278" t="s">
        <v>60</v>
      </c>
      <c r="D789" s="279" t="s">
        <v>409</v>
      </c>
      <c r="E789" s="278"/>
      <c r="F789" s="278" t="s">
        <v>948</v>
      </c>
      <c r="G789" s="280">
        <v>0</v>
      </c>
      <c r="H789" s="280">
        <v>24913963</v>
      </c>
      <c r="I789" s="281">
        <v>-24913963</v>
      </c>
      <c r="J789" s="282"/>
      <c r="K789" s="7"/>
    </row>
    <row r="790" spans="1:11" ht="15.75" hidden="1" customHeight="1" x14ac:dyDescent="0.3">
      <c r="A790" s="283" t="s">
        <v>872</v>
      </c>
      <c r="B790" s="284">
        <v>53</v>
      </c>
      <c r="C790" s="283" t="s">
        <v>60</v>
      </c>
      <c r="D790" s="284" t="s">
        <v>409</v>
      </c>
      <c r="E790" s="283" t="s">
        <v>949</v>
      </c>
      <c r="F790" s="283" t="s">
        <v>950</v>
      </c>
      <c r="G790" s="285">
        <v>800000</v>
      </c>
      <c r="H790" s="285">
        <v>0</v>
      </c>
      <c r="I790" s="286">
        <v>800000</v>
      </c>
      <c r="J790" s="287"/>
      <c r="K790" s="7"/>
    </row>
    <row r="791" spans="1:11" ht="15.75" hidden="1" customHeight="1" x14ac:dyDescent="0.3">
      <c r="A791" s="278" t="s">
        <v>872</v>
      </c>
      <c r="B791" s="279">
        <v>53</v>
      </c>
      <c r="C791" s="278" t="s">
        <v>60</v>
      </c>
      <c r="D791" s="279" t="s">
        <v>409</v>
      </c>
      <c r="E791" s="278" t="s">
        <v>413</v>
      </c>
      <c r="F791" s="278" t="s">
        <v>951</v>
      </c>
      <c r="G791" s="280">
        <v>22732990.609999999</v>
      </c>
      <c r="H791" s="280">
        <v>0</v>
      </c>
      <c r="I791" s="281">
        <v>22732990.609999999</v>
      </c>
      <c r="J791" s="282"/>
      <c r="K791" s="7"/>
    </row>
    <row r="792" spans="1:11" ht="15.75" hidden="1" customHeight="1" x14ac:dyDescent="0.3">
      <c r="A792" s="283" t="s">
        <v>872</v>
      </c>
      <c r="B792" s="284">
        <v>53</v>
      </c>
      <c r="C792" s="283" t="s">
        <v>60</v>
      </c>
      <c r="D792" s="284" t="s">
        <v>409</v>
      </c>
      <c r="E792" s="283" t="s">
        <v>413</v>
      </c>
      <c r="F792" s="283" t="s">
        <v>952</v>
      </c>
      <c r="G792" s="285">
        <v>2180956.04</v>
      </c>
      <c r="H792" s="285">
        <v>0</v>
      </c>
      <c r="I792" s="286">
        <v>2180956.04</v>
      </c>
      <c r="J792" s="287"/>
      <c r="K792" s="7"/>
    </row>
    <row r="793" spans="1:11" ht="15.75" hidden="1" customHeight="1" x14ac:dyDescent="0.3">
      <c r="A793" s="278" t="s">
        <v>872</v>
      </c>
      <c r="B793" s="279">
        <v>53</v>
      </c>
      <c r="C793" s="278" t="s">
        <v>60</v>
      </c>
      <c r="D793" s="279" t="s">
        <v>409</v>
      </c>
      <c r="E793" s="278"/>
      <c r="F793" s="278" t="s">
        <v>953</v>
      </c>
      <c r="G793" s="280">
        <v>24110437</v>
      </c>
      <c r="H793" s="280">
        <v>0</v>
      </c>
      <c r="I793" s="281">
        <v>24110437</v>
      </c>
      <c r="J793" s="282"/>
      <c r="K793" s="7"/>
    </row>
    <row r="794" spans="1:11" ht="15.75" hidden="1" customHeight="1" x14ac:dyDescent="0.3">
      <c r="A794" s="288" t="s">
        <v>872</v>
      </c>
      <c r="B794" s="288">
        <v>53</v>
      </c>
      <c r="C794" s="289" t="s">
        <v>60</v>
      </c>
      <c r="D794" s="288" t="s">
        <v>320</v>
      </c>
      <c r="E794" s="290"/>
      <c r="F794" s="289" t="s">
        <v>321</v>
      </c>
      <c r="G794" s="291">
        <v>49824383.649999999</v>
      </c>
      <c r="H794" s="291">
        <v>24913963</v>
      </c>
      <c r="I794" s="292">
        <v>24910420.649999999</v>
      </c>
      <c r="J794" s="292">
        <v>1380430</v>
      </c>
      <c r="K794" s="294">
        <v>23529990.649999999</v>
      </c>
    </row>
    <row r="795" spans="1:11" ht="15.75" hidden="1" customHeight="1" x14ac:dyDescent="0.3">
      <c r="A795" s="278" t="s">
        <v>872</v>
      </c>
      <c r="B795" s="279">
        <v>54</v>
      </c>
      <c r="C795" s="278" t="s">
        <v>50</v>
      </c>
      <c r="D795" s="279" t="s">
        <v>418</v>
      </c>
      <c r="E795" s="278"/>
      <c r="F795" s="278" t="s">
        <v>954</v>
      </c>
      <c r="G795" s="280">
        <v>343167.67</v>
      </c>
      <c r="H795" s="280">
        <v>0</v>
      </c>
      <c r="I795" s="281">
        <v>343167.67</v>
      </c>
      <c r="J795" s="282"/>
      <c r="K795" s="7"/>
    </row>
    <row r="796" spans="1:11" ht="15.75" hidden="1" customHeight="1" x14ac:dyDescent="0.3">
      <c r="A796" s="283" t="s">
        <v>872</v>
      </c>
      <c r="B796" s="284">
        <v>54</v>
      </c>
      <c r="C796" s="283" t="s">
        <v>50</v>
      </c>
      <c r="D796" s="284" t="s">
        <v>418</v>
      </c>
      <c r="E796" s="283"/>
      <c r="F796" s="283" t="s">
        <v>955</v>
      </c>
      <c r="G796" s="285">
        <v>365230.46</v>
      </c>
      <c r="H796" s="285">
        <v>0</v>
      </c>
      <c r="I796" s="286">
        <v>365230.46</v>
      </c>
      <c r="J796" s="287"/>
      <c r="K796" s="7"/>
    </row>
    <row r="797" spans="1:11" ht="15.75" hidden="1" customHeight="1" x14ac:dyDescent="0.3">
      <c r="A797" s="278" t="s">
        <v>872</v>
      </c>
      <c r="B797" s="279">
        <v>54</v>
      </c>
      <c r="C797" s="278" t="s">
        <v>50</v>
      </c>
      <c r="D797" s="279" t="s">
        <v>418</v>
      </c>
      <c r="E797" s="278"/>
      <c r="F797" s="278" t="s">
        <v>956</v>
      </c>
      <c r="G797" s="280">
        <v>354986.14</v>
      </c>
      <c r="H797" s="280">
        <v>0</v>
      </c>
      <c r="I797" s="281">
        <v>354986.14</v>
      </c>
      <c r="J797" s="282"/>
      <c r="K797" s="7"/>
    </row>
    <row r="798" spans="1:11" ht="15.75" hidden="1" customHeight="1" x14ac:dyDescent="0.3">
      <c r="A798" s="288" t="s">
        <v>872</v>
      </c>
      <c r="B798" s="288">
        <v>54</v>
      </c>
      <c r="C798" s="289" t="s">
        <v>50</v>
      </c>
      <c r="D798" s="288" t="s">
        <v>320</v>
      </c>
      <c r="E798" s="290"/>
      <c r="F798" s="289" t="s">
        <v>321</v>
      </c>
      <c r="G798" s="291">
        <v>1063384.27</v>
      </c>
      <c r="H798" s="291">
        <v>0</v>
      </c>
      <c r="I798" s="292">
        <v>1063384.27</v>
      </c>
      <c r="J798" s="292">
        <v>1063384.27</v>
      </c>
      <c r="K798" s="293">
        <v>0</v>
      </c>
    </row>
    <row r="799" spans="1:11" ht="15.75" hidden="1" customHeight="1" x14ac:dyDescent="0.3">
      <c r="A799" s="278" t="s">
        <v>872</v>
      </c>
      <c r="B799" s="279">
        <v>59</v>
      </c>
      <c r="C799" s="278" t="s">
        <v>66</v>
      </c>
      <c r="D799" s="279" t="s">
        <v>425</v>
      </c>
      <c r="E799" s="278" t="s">
        <v>423</v>
      </c>
      <c r="F799" s="278" t="s">
        <v>957</v>
      </c>
      <c r="G799" s="280">
        <v>477797</v>
      </c>
      <c r="H799" s="280">
        <v>0</v>
      </c>
      <c r="I799" s="281">
        <v>477797</v>
      </c>
      <c r="J799" s="282"/>
      <c r="K799" s="7"/>
    </row>
    <row r="800" spans="1:11" ht="15.75" hidden="1" customHeight="1" x14ac:dyDescent="0.3">
      <c r="A800" s="283" t="s">
        <v>872</v>
      </c>
      <c r="B800" s="284">
        <v>59</v>
      </c>
      <c r="C800" s="283" t="s">
        <v>66</v>
      </c>
      <c r="D800" s="284" t="s">
        <v>425</v>
      </c>
      <c r="E800" s="283" t="s">
        <v>423</v>
      </c>
      <c r="F800" s="283" t="s">
        <v>958</v>
      </c>
      <c r="G800" s="285">
        <v>30085</v>
      </c>
      <c r="H800" s="285">
        <v>0</v>
      </c>
      <c r="I800" s="286">
        <v>30085</v>
      </c>
      <c r="J800" s="287"/>
      <c r="K800" s="7"/>
    </row>
    <row r="801" spans="1:11" ht="15.75" hidden="1" customHeight="1" x14ac:dyDescent="0.3">
      <c r="A801" s="278" t="s">
        <v>872</v>
      </c>
      <c r="B801" s="279">
        <v>59</v>
      </c>
      <c r="C801" s="278" t="s">
        <v>66</v>
      </c>
      <c r="D801" s="279" t="s">
        <v>425</v>
      </c>
      <c r="E801" s="278" t="s">
        <v>423</v>
      </c>
      <c r="F801" s="278" t="s">
        <v>959</v>
      </c>
      <c r="G801" s="280">
        <v>23497.5</v>
      </c>
      <c r="H801" s="280">
        <v>0</v>
      </c>
      <c r="I801" s="281">
        <v>23497.5</v>
      </c>
      <c r="J801" s="282"/>
      <c r="K801" s="7"/>
    </row>
    <row r="802" spans="1:11" ht="15.75" hidden="1" customHeight="1" x14ac:dyDescent="0.3">
      <c r="A802" s="288" t="s">
        <v>872</v>
      </c>
      <c r="B802" s="288">
        <v>59</v>
      </c>
      <c r="C802" s="289" t="s">
        <v>66</v>
      </c>
      <c r="D802" s="288" t="s">
        <v>320</v>
      </c>
      <c r="E802" s="290"/>
      <c r="F802" s="289" t="s">
        <v>321</v>
      </c>
      <c r="G802" s="291">
        <v>531379.5</v>
      </c>
      <c r="H802" s="291">
        <v>0</v>
      </c>
      <c r="I802" s="292">
        <v>531379.5</v>
      </c>
      <c r="J802" s="292">
        <v>477797</v>
      </c>
      <c r="K802" s="294">
        <v>53582.5</v>
      </c>
    </row>
    <row r="803" spans="1:11" ht="15.75" hidden="1" customHeight="1" x14ac:dyDescent="0.3">
      <c r="A803" s="278" t="s">
        <v>872</v>
      </c>
      <c r="B803" s="279">
        <v>60</v>
      </c>
      <c r="C803" s="278" t="s">
        <v>68</v>
      </c>
      <c r="D803" s="279" t="s">
        <v>422</v>
      </c>
      <c r="E803" s="278" t="s">
        <v>428</v>
      </c>
      <c r="F803" s="278" t="s">
        <v>960</v>
      </c>
      <c r="G803" s="280">
        <v>849000</v>
      </c>
      <c r="H803" s="280">
        <v>0</v>
      </c>
      <c r="I803" s="281">
        <v>849000</v>
      </c>
      <c r="J803" s="282"/>
      <c r="K803" s="7"/>
    </row>
    <row r="804" spans="1:11" ht="15.75" hidden="1" customHeight="1" x14ac:dyDescent="0.3">
      <c r="A804" s="288" t="s">
        <v>872</v>
      </c>
      <c r="B804" s="288">
        <v>60</v>
      </c>
      <c r="C804" s="289" t="s">
        <v>68</v>
      </c>
      <c r="D804" s="288" t="s">
        <v>320</v>
      </c>
      <c r="E804" s="290"/>
      <c r="F804" s="289" t="s">
        <v>321</v>
      </c>
      <c r="G804" s="291">
        <v>849000</v>
      </c>
      <c r="H804" s="291">
        <v>0</v>
      </c>
      <c r="I804" s="292">
        <v>849000</v>
      </c>
      <c r="J804" s="292">
        <v>849000</v>
      </c>
      <c r="K804" s="293">
        <v>0</v>
      </c>
    </row>
    <row r="805" spans="1:11" ht="15.75" hidden="1" customHeight="1" x14ac:dyDescent="0.3">
      <c r="A805" s="278" t="s">
        <v>872</v>
      </c>
      <c r="B805" s="279">
        <v>61</v>
      </c>
      <c r="C805" s="278" t="s">
        <v>70</v>
      </c>
      <c r="D805" s="279" t="s">
        <v>405</v>
      </c>
      <c r="E805" s="278"/>
      <c r="F805" s="278" t="s">
        <v>961</v>
      </c>
      <c r="G805" s="280">
        <v>0</v>
      </c>
      <c r="H805" s="280">
        <v>579360</v>
      </c>
      <c r="I805" s="281">
        <v>-579360</v>
      </c>
      <c r="J805" s="282"/>
      <c r="K805" s="7"/>
    </row>
    <row r="806" spans="1:11" ht="15.75" hidden="1" customHeight="1" x14ac:dyDescent="0.3">
      <c r="A806" s="283" t="s">
        <v>872</v>
      </c>
      <c r="B806" s="284">
        <v>61</v>
      </c>
      <c r="C806" s="283" t="s">
        <v>70</v>
      </c>
      <c r="D806" s="284" t="s">
        <v>405</v>
      </c>
      <c r="E806" s="283" t="s">
        <v>614</v>
      </c>
      <c r="F806" s="283" t="s">
        <v>962</v>
      </c>
      <c r="G806" s="285">
        <v>569568</v>
      </c>
      <c r="H806" s="285">
        <v>0</v>
      </c>
      <c r="I806" s="286">
        <v>569568</v>
      </c>
      <c r="J806" s="287"/>
      <c r="K806" s="7"/>
    </row>
    <row r="807" spans="1:11" ht="15.75" hidden="1" customHeight="1" x14ac:dyDescent="0.3">
      <c r="A807" s="278" t="s">
        <v>872</v>
      </c>
      <c r="B807" s="279">
        <v>61</v>
      </c>
      <c r="C807" s="278" t="s">
        <v>70</v>
      </c>
      <c r="D807" s="279" t="s">
        <v>405</v>
      </c>
      <c r="E807" s="278"/>
      <c r="F807" s="278" t="s">
        <v>963</v>
      </c>
      <c r="G807" s="280">
        <v>708120</v>
      </c>
      <c r="H807" s="280">
        <v>0</v>
      </c>
      <c r="I807" s="281">
        <v>708120</v>
      </c>
      <c r="J807" s="282"/>
      <c r="K807" s="7"/>
    </row>
    <row r="808" spans="1:11" ht="15.75" hidden="1" customHeight="1" x14ac:dyDescent="0.3">
      <c r="A808" s="288" t="s">
        <v>872</v>
      </c>
      <c r="B808" s="288">
        <v>61</v>
      </c>
      <c r="C808" s="289" t="s">
        <v>70</v>
      </c>
      <c r="D808" s="288" t="s">
        <v>320</v>
      </c>
      <c r="E808" s="290"/>
      <c r="F808" s="289" t="s">
        <v>321</v>
      </c>
      <c r="G808" s="291">
        <v>1277688</v>
      </c>
      <c r="H808" s="291">
        <v>579360</v>
      </c>
      <c r="I808" s="292">
        <v>698328</v>
      </c>
      <c r="J808" s="292">
        <v>698328</v>
      </c>
      <c r="K808" s="293">
        <v>0</v>
      </c>
    </row>
    <row r="809" spans="1:11" ht="15.75" hidden="1" customHeight="1" x14ac:dyDescent="0.3">
      <c r="A809" s="278" t="s">
        <v>872</v>
      </c>
      <c r="B809" s="279">
        <v>64</v>
      </c>
      <c r="C809" s="278" t="s">
        <v>76</v>
      </c>
      <c r="D809" s="279" t="s">
        <v>405</v>
      </c>
      <c r="E809" s="278"/>
      <c r="F809" s="278" t="s">
        <v>964</v>
      </c>
      <c r="G809" s="280">
        <v>0</v>
      </c>
      <c r="H809" s="280">
        <v>618382</v>
      </c>
      <c r="I809" s="281">
        <v>-618382</v>
      </c>
      <c r="J809" s="282"/>
      <c r="K809" s="7"/>
    </row>
    <row r="810" spans="1:11" ht="15.75" hidden="1" customHeight="1" x14ac:dyDescent="0.3">
      <c r="A810" s="283" t="s">
        <v>872</v>
      </c>
      <c r="B810" s="284">
        <v>64</v>
      </c>
      <c r="C810" s="283" t="s">
        <v>76</v>
      </c>
      <c r="D810" s="284" t="s">
        <v>405</v>
      </c>
      <c r="E810" s="283" t="s">
        <v>433</v>
      </c>
      <c r="F810" s="283" t="s">
        <v>965</v>
      </c>
      <c r="G810" s="285">
        <v>605534.93999999994</v>
      </c>
      <c r="H810" s="285">
        <v>0</v>
      </c>
      <c r="I810" s="286">
        <v>605534.93999999994</v>
      </c>
      <c r="J810" s="287"/>
      <c r="K810" s="7"/>
    </row>
    <row r="811" spans="1:11" ht="15.75" hidden="1" customHeight="1" x14ac:dyDescent="0.3">
      <c r="A811" s="278" t="s">
        <v>872</v>
      </c>
      <c r="B811" s="279">
        <v>64</v>
      </c>
      <c r="C811" s="278" t="s">
        <v>76</v>
      </c>
      <c r="D811" s="279" t="s">
        <v>405</v>
      </c>
      <c r="E811" s="278"/>
      <c r="F811" s="278" t="s">
        <v>966</v>
      </c>
      <c r="G811" s="280">
        <v>611849</v>
      </c>
      <c r="H811" s="280">
        <v>0</v>
      </c>
      <c r="I811" s="281">
        <v>611849</v>
      </c>
      <c r="J811" s="282"/>
      <c r="K811" s="7"/>
    </row>
    <row r="812" spans="1:11" ht="15.75" hidden="1" customHeight="1" x14ac:dyDescent="0.3">
      <c r="A812" s="288" t="s">
        <v>872</v>
      </c>
      <c r="B812" s="288">
        <v>64</v>
      </c>
      <c r="C812" s="289" t="s">
        <v>76</v>
      </c>
      <c r="D812" s="288" t="s">
        <v>320</v>
      </c>
      <c r="E812" s="290"/>
      <c r="F812" s="289" t="s">
        <v>321</v>
      </c>
      <c r="G812" s="291">
        <v>1217383.94</v>
      </c>
      <c r="H812" s="291">
        <v>618382</v>
      </c>
      <c r="I812" s="292">
        <v>599001.93999999994</v>
      </c>
      <c r="J812" s="292">
        <v>599002</v>
      </c>
      <c r="K812" s="293">
        <v>-6.0000000055879348E-2</v>
      </c>
    </row>
    <row r="813" spans="1:11" ht="15.75" hidden="1" customHeight="1" x14ac:dyDescent="0.3">
      <c r="A813" s="278" t="s">
        <v>872</v>
      </c>
      <c r="B813" s="279">
        <v>66</v>
      </c>
      <c r="C813" s="278" t="s">
        <v>80</v>
      </c>
      <c r="D813" s="279" t="s">
        <v>405</v>
      </c>
      <c r="E813" s="278" t="s">
        <v>438</v>
      </c>
      <c r="F813" s="278" t="s">
        <v>967</v>
      </c>
      <c r="G813" s="280">
        <v>10182.25</v>
      </c>
      <c r="H813" s="280">
        <v>0</v>
      </c>
      <c r="I813" s="281">
        <v>10182.25</v>
      </c>
      <c r="J813" s="282"/>
      <c r="K813" s="7"/>
    </row>
    <row r="814" spans="1:11" ht="15.75" hidden="1" customHeight="1" x14ac:dyDescent="0.3">
      <c r="A814" s="283" t="s">
        <v>872</v>
      </c>
      <c r="B814" s="284">
        <v>66</v>
      </c>
      <c r="C814" s="283" t="s">
        <v>80</v>
      </c>
      <c r="D814" s="284" t="s">
        <v>405</v>
      </c>
      <c r="E814" s="283" t="s">
        <v>438</v>
      </c>
      <c r="F814" s="283" t="s">
        <v>968</v>
      </c>
      <c r="G814" s="285">
        <v>9298.73</v>
      </c>
      <c r="H814" s="285">
        <v>0</v>
      </c>
      <c r="I814" s="286">
        <v>9298.73</v>
      </c>
      <c r="J814" s="287"/>
      <c r="K814" s="7"/>
    </row>
    <row r="815" spans="1:11" ht="15.75" hidden="1" customHeight="1" x14ac:dyDescent="0.3">
      <c r="A815" s="278" t="s">
        <v>872</v>
      </c>
      <c r="B815" s="279">
        <v>66</v>
      </c>
      <c r="C815" s="278" t="s">
        <v>80</v>
      </c>
      <c r="D815" s="279" t="s">
        <v>405</v>
      </c>
      <c r="E815" s="278" t="s">
        <v>438</v>
      </c>
      <c r="F815" s="278" t="s">
        <v>969</v>
      </c>
      <c r="G815" s="280">
        <v>3997.58</v>
      </c>
      <c r="H815" s="280">
        <v>0</v>
      </c>
      <c r="I815" s="281">
        <v>3997.58</v>
      </c>
      <c r="J815" s="282"/>
      <c r="K815" s="7"/>
    </row>
    <row r="816" spans="1:11" ht="15.75" hidden="1" customHeight="1" x14ac:dyDescent="0.3">
      <c r="A816" s="283" t="s">
        <v>872</v>
      </c>
      <c r="B816" s="284">
        <v>66</v>
      </c>
      <c r="C816" s="283" t="s">
        <v>80</v>
      </c>
      <c r="D816" s="284" t="s">
        <v>405</v>
      </c>
      <c r="E816" s="283" t="s">
        <v>438</v>
      </c>
      <c r="F816" s="283" t="s">
        <v>970</v>
      </c>
      <c r="G816" s="285">
        <v>615570</v>
      </c>
      <c r="H816" s="285">
        <v>0</v>
      </c>
      <c r="I816" s="286">
        <v>615570</v>
      </c>
      <c r="J816" s="287"/>
      <c r="K816" s="7"/>
    </row>
    <row r="817" spans="1:11" ht="15.75" hidden="1" customHeight="1" x14ac:dyDescent="0.3">
      <c r="A817" s="288" t="s">
        <v>872</v>
      </c>
      <c r="B817" s="288">
        <v>66</v>
      </c>
      <c r="C817" s="289" t="s">
        <v>80</v>
      </c>
      <c r="D817" s="288" t="s">
        <v>320</v>
      </c>
      <c r="E817" s="290"/>
      <c r="F817" s="289" t="s">
        <v>321</v>
      </c>
      <c r="G817" s="291">
        <v>639048.56000000006</v>
      </c>
      <c r="H817" s="291">
        <v>0</v>
      </c>
      <c r="I817" s="292">
        <v>639048.56000000006</v>
      </c>
      <c r="J817" s="292">
        <v>639049</v>
      </c>
      <c r="K817" s="293">
        <v>-0.43999999994412059</v>
      </c>
    </row>
    <row r="818" spans="1:11" ht="15.75" hidden="1" customHeight="1" x14ac:dyDescent="0.3">
      <c r="A818" s="278" t="s">
        <v>872</v>
      </c>
      <c r="B818" s="279">
        <v>69</v>
      </c>
      <c r="C818" s="278" t="s">
        <v>86</v>
      </c>
      <c r="D818" s="279" t="s">
        <v>405</v>
      </c>
      <c r="E818" s="278" t="s">
        <v>438</v>
      </c>
      <c r="F818" s="278" t="s">
        <v>971</v>
      </c>
      <c r="G818" s="280">
        <v>11727.32</v>
      </c>
      <c r="H818" s="280">
        <v>0</v>
      </c>
      <c r="I818" s="281">
        <v>11727.32</v>
      </c>
      <c r="J818" s="282"/>
      <c r="K818" s="7"/>
    </row>
    <row r="819" spans="1:11" ht="15.75" hidden="1" customHeight="1" x14ac:dyDescent="0.3">
      <c r="A819" s="288" t="s">
        <v>872</v>
      </c>
      <c r="B819" s="288">
        <v>69</v>
      </c>
      <c r="C819" s="289" t="s">
        <v>86</v>
      </c>
      <c r="D819" s="288" t="s">
        <v>320</v>
      </c>
      <c r="E819" s="290"/>
      <c r="F819" s="289" t="s">
        <v>321</v>
      </c>
      <c r="G819" s="291">
        <v>11727.32</v>
      </c>
      <c r="H819" s="291">
        <v>0</v>
      </c>
      <c r="I819" s="292">
        <v>11727.32</v>
      </c>
      <c r="J819" s="292">
        <v>11727.32</v>
      </c>
      <c r="K819" s="293">
        <v>0</v>
      </c>
    </row>
    <row r="820" spans="1:11" ht="15.75" hidden="1" customHeight="1" x14ac:dyDescent="0.3">
      <c r="A820" s="278" t="s">
        <v>872</v>
      </c>
      <c r="B820" s="279">
        <v>71</v>
      </c>
      <c r="C820" s="278" t="s">
        <v>89</v>
      </c>
      <c r="D820" s="279" t="s">
        <v>444</v>
      </c>
      <c r="E820" s="278"/>
      <c r="F820" s="278" t="s">
        <v>972</v>
      </c>
      <c r="G820" s="280">
        <v>3464932.49</v>
      </c>
      <c r="H820" s="280">
        <v>0</v>
      </c>
      <c r="I820" s="281">
        <v>3464932.49</v>
      </c>
      <c r="J820" s="282"/>
      <c r="K820" s="7"/>
    </row>
    <row r="821" spans="1:11" ht="15.75" hidden="1" customHeight="1" x14ac:dyDescent="0.3">
      <c r="A821" s="283" t="s">
        <v>872</v>
      </c>
      <c r="B821" s="284">
        <v>71</v>
      </c>
      <c r="C821" s="283" t="s">
        <v>89</v>
      </c>
      <c r="D821" s="284" t="s">
        <v>444</v>
      </c>
      <c r="E821" s="283"/>
      <c r="F821" s="283" t="s">
        <v>973</v>
      </c>
      <c r="G821" s="285">
        <v>1817356.27</v>
      </c>
      <c r="H821" s="285">
        <v>0</v>
      </c>
      <c r="I821" s="286">
        <v>1817356.27</v>
      </c>
      <c r="J821" s="287"/>
      <c r="K821" s="7"/>
    </row>
    <row r="822" spans="1:11" ht="15.75" hidden="1" customHeight="1" x14ac:dyDescent="0.3">
      <c r="A822" s="278" t="s">
        <v>872</v>
      </c>
      <c r="B822" s="279">
        <v>71</v>
      </c>
      <c r="C822" s="278" t="s">
        <v>89</v>
      </c>
      <c r="D822" s="279" t="s">
        <v>444</v>
      </c>
      <c r="E822" s="278"/>
      <c r="F822" s="278" t="s">
        <v>974</v>
      </c>
      <c r="G822" s="280">
        <v>40831.879999999997</v>
      </c>
      <c r="H822" s="280">
        <v>0</v>
      </c>
      <c r="I822" s="281">
        <v>40831.879999999997</v>
      </c>
      <c r="J822" s="282"/>
      <c r="K822" s="7"/>
    </row>
    <row r="823" spans="1:11" ht="15.75" hidden="1" customHeight="1" x14ac:dyDescent="0.3">
      <c r="A823" s="288" t="s">
        <v>872</v>
      </c>
      <c r="B823" s="288">
        <v>71</v>
      </c>
      <c r="C823" s="289" t="s">
        <v>89</v>
      </c>
      <c r="D823" s="288" t="s">
        <v>320</v>
      </c>
      <c r="E823" s="290"/>
      <c r="F823" s="289" t="s">
        <v>321</v>
      </c>
      <c r="G823" s="291">
        <v>5323120.6400000006</v>
      </c>
      <c r="H823" s="291">
        <v>0</v>
      </c>
      <c r="I823" s="292">
        <v>5323120.6400000006</v>
      </c>
      <c r="J823" s="292">
        <v>5323120.6399999997</v>
      </c>
      <c r="K823" s="293">
        <v>9.3132257461547852E-10</v>
      </c>
    </row>
    <row r="824" spans="1:11" ht="15.75" hidden="1" customHeight="1" x14ac:dyDescent="0.3">
      <c r="A824" s="278" t="s">
        <v>872</v>
      </c>
      <c r="B824" s="279">
        <v>76</v>
      </c>
      <c r="C824" s="278" t="s">
        <v>96</v>
      </c>
      <c r="D824" s="279" t="s">
        <v>448</v>
      </c>
      <c r="E824" s="278" t="s">
        <v>449</v>
      </c>
      <c r="F824" s="278" t="s">
        <v>975</v>
      </c>
      <c r="G824" s="280">
        <v>10612377.9</v>
      </c>
      <c r="H824" s="280">
        <v>0</v>
      </c>
      <c r="I824" s="281">
        <v>10612377.9</v>
      </c>
      <c r="J824" s="282"/>
      <c r="K824" s="7"/>
    </row>
    <row r="825" spans="1:11" ht="15.75" hidden="1" customHeight="1" x14ac:dyDescent="0.3">
      <c r="A825" s="288" t="s">
        <v>872</v>
      </c>
      <c r="B825" s="288">
        <v>76</v>
      </c>
      <c r="C825" s="289" t="s">
        <v>96</v>
      </c>
      <c r="D825" s="288" t="s">
        <v>320</v>
      </c>
      <c r="E825" s="290"/>
      <c r="F825" s="289" t="s">
        <v>321</v>
      </c>
      <c r="G825" s="291">
        <v>10612377.9</v>
      </c>
      <c r="H825" s="291">
        <v>0</v>
      </c>
      <c r="I825" s="292">
        <v>10612377.9</v>
      </c>
      <c r="J825" s="292">
        <v>10612000</v>
      </c>
      <c r="K825" s="294">
        <v>377.90000000037247</v>
      </c>
    </row>
    <row r="826" spans="1:11" ht="15.75" hidden="1" customHeight="1" x14ac:dyDescent="0.3">
      <c r="A826" s="278" t="s">
        <v>872</v>
      </c>
      <c r="B826" s="279">
        <v>78</v>
      </c>
      <c r="C826" s="278" t="s">
        <v>100</v>
      </c>
      <c r="D826" s="279" t="s">
        <v>451</v>
      </c>
      <c r="E826" s="278" t="s">
        <v>452</v>
      </c>
      <c r="F826" s="278" t="s">
        <v>976</v>
      </c>
      <c r="G826" s="280">
        <v>2180494</v>
      </c>
      <c r="H826" s="280">
        <v>0</v>
      </c>
      <c r="I826" s="281">
        <v>2180494</v>
      </c>
      <c r="J826" s="282"/>
      <c r="K826" s="7"/>
    </row>
    <row r="827" spans="1:11" ht="15.75" hidden="1" customHeight="1" x14ac:dyDescent="0.3">
      <c r="A827" s="288" t="s">
        <v>872</v>
      </c>
      <c r="B827" s="288">
        <v>78</v>
      </c>
      <c r="C827" s="289" t="s">
        <v>100</v>
      </c>
      <c r="D827" s="288" t="s">
        <v>320</v>
      </c>
      <c r="E827" s="290"/>
      <c r="F827" s="289" t="s">
        <v>321</v>
      </c>
      <c r="G827" s="291">
        <v>2180494</v>
      </c>
      <c r="H827" s="291">
        <v>0</v>
      </c>
      <c r="I827" s="292">
        <v>2180494</v>
      </c>
      <c r="J827" s="292">
        <v>2180494</v>
      </c>
      <c r="K827" s="293">
        <v>0</v>
      </c>
    </row>
    <row r="828" spans="1:11" ht="15.75" hidden="1" customHeight="1" x14ac:dyDescent="0.3">
      <c r="A828" s="278" t="s">
        <v>872</v>
      </c>
      <c r="B828" s="279">
        <v>82</v>
      </c>
      <c r="C828" s="278" t="s">
        <v>104</v>
      </c>
      <c r="D828" s="279" t="s">
        <v>451</v>
      </c>
      <c r="E828" s="278"/>
      <c r="F828" s="278" t="s">
        <v>977</v>
      </c>
      <c r="G828" s="280">
        <v>0</v>
      </c>
      <c r="H828" s="280">
        <v>11700000</v>
      </c>
      <c r="I828" s="281">
        <v>-11700000</v>
      </c>
      <c r="J828" s="282"/>
      <c r="K828" s="7"/>
    </row>
    <row r="829" spans="1:11" ht="15.75" hidden="1" customHeight="1" x14ac:dyDescent="0.3">
      <c r="A829" s="283" t="s">
        <v>872</v>
      </c>
      <c r="B829" s="284">
        <v>82</v>
      </c>
      <c r="C829" s="283" t="s">
        <v>104</v>
      </c>
      <c r="D829" s="284" t="s">
        <v>451</v>
      </c>
      <c r="E829" s="283" t="s">
        <v>455</v>
      </c>
      <c r="F829" s="283" t="s">
        <v>978</v>
      </c>
      <c r="G829" s="285">
        <v>2976652</v>
      </c>
      <c r="H829" s="285">
        <v>0</v>
      </c>
      <c r="I829" s="286">
        <v>2976652</v>
      </c>
      <c r="J829" s="287"/>
      <c r="K829" s="7"/>
    </row>
    <row r="830" spans="1:11" ht="15.75" hidden="1" customHeight="1" x14ac:dyDescent="0.3">
      <c r="A830" s="278" t="s">
        <v>872</v>
      </c>
      <c r="B830" s="279">
        <v>82</v>
      </c>
      <c r="C830" s="278" t="s">
        <v>104</v>
      </c>
      <c r="D830" s="279" t="s">
        <v>451</v>
      </c>
      <c r="E830" s="278" t="s">
        <v>455</v>
      </c>
      <c r="F830" s="278" t="s">
        <v>979</v>
      </c>
      <c r="G830" s="280">
        <v>8093364</v>
      </c>
      <c r="H830" s="280">
        <v>0</v>
      </c>
      <c r="I830" s="281">
        <v>8093364</v>
      </c>
      <c r="J830" s="282"/>
      <c r="K830" s="7"/>
    </row>
    <row r="831" spans="1:11" ht="15.75" hidden="1" customHeight="1" x14ac:dyDescent="0.3">
      <c r="A831" s="283" t="s">
        <v>872</v>
      </c>
      <c r="B831" s="284">
        <v>82</v>
      </c>
      <c r="C831" s="283" t="s">
        <v>104</v>
      </c>
      <c r="D831" s="284" t="s">
        <v>451</v>
      </c>
      <c r="E831" s="283"/>
      <c r="F831" s="283" t="s">
        <v>980</v>
      </c>
      <c r="G831" s="285">
        <v>13000000</v>
      </c>
      <c r="H831" s="285">
        <v>0</v>
      </c>
      <c r="I831" s="286">
        <v>13000000</v>
      </c>
      <c r="J831" s="287"/>
      <c r="K831" s="7"/>
    </row>
    <row r="832" spans="1:11" ht="15.75" hidden="1" customHeight="1" x14ac:dyDescent="0.3">
      <c r="A832" s="288" t="s">
        <v>872</v>
      </c>
      <c r="B832" s="288">
        <v>82</v>
      </c>
      <c r="C832" s="289" t="s">
        <v>104</v>
      </c>
      <c r="D832" s="288" t="s">
        <v>320</v>
      </c>
      <c r="E832" s="290"/>
      <c r="F832" s="289" t="s">
        <v>321</v>
      </c>
      <c r="G832" s="291">
        <v>24070016</v>
      </c>
      <c r="H832" s="291">
        <v>11700000</v>
      </c>
      <c r="I832" s="292">
        <v>12370016</v>
      </c>
      <c r="J832" s="292">
        <v>12370016</v>
      </c>
      <c r="K832" s="293">
        <v>0</v>
      </c>
    </row>
    <row r="833" spans="1:11" ht="15.75" hidden="1" customHeight="1" x14ac:dyDescent="0.3">
      <c r="A833" s="278" t="s">
        <v>872</v>
      </c>
      <c r="B833" s="279">
        <v>83</v>
      </c>
      <c r="C833" s="278" t="s">
        <v>107</v>
      </c>
      <c r="D833" s="279" t="s">
        <v>448</v>
      </c>
      <c r="E833" s="278" t="s">
        <v>459</v>
      </c>
      <c r="F833" s="278" t="s">
        <v>981</v>
      </c>
      <c r="G833" s="280">
        <v>6282207.7999999998</v>
      </c>
      <c r="H833" s="280">
        <v>0</v>
      </c>
      <c r="I833" s="281">
        <v>6282207.7999999998</v>
      </c>
      <c r="J833" s="282"/>
      <c r="K833" s="7"/>
    </row>
    <row r="834" spans="1:11" ht="15.75" hidden="1" customHeight="1" x14ac:dyDescent="0.3">
      <c r="A834" s="283" t="s">
        <v>872</v>
      </c>
      <c r="B834" s="284">
        <v>83</v>
      </c>
      <c r="C834" s="283" t="s">
        <v>107</v>
      </c>
      <c r="D834" s="284" t="s">
        <v>448</v>
      </c>
      <c r="E834" s="283" t="s">
        <v>459</v>
      </c>
      <c r="F834" s="283" t="s">
        <v>981</v>
      </c>
      <c r="G834" s="285">
        <v>0.22</v>
      </c>
      <c r="H834" s="285">
        <v>0</v>
      </c>
      <c r="I834" s="286">
        <v>0.22</v>
      </c>
      <c r="J834" s="287"/>
      <c r="K834" s="7"/>
    </row>
    <row r="835" spans="1:11" ht="15.75" hidden="1" customHeight="1" x14ac:dyDescent="0.3">
      <c r="A835" s="288" t="s">
        <v>872</v>
      </c>
      <c r="B835" s="288">
        <v>83</v>
      </c>
      <c r="C835" s="289" t="s">
        <v>107</v>
      </c>
      <c r="D835" s="288" t="s">
        <v>320</v>
      </c>
      <c r="E835" s="290"/>
      <c r="F835" s="289" t="s">
        <v>321</v>
      </c>
      <c r="G835" s="291">
        <v>6282208.0199999996</v>
      </c>
      <c r="H835" s="291">
        <v>0</v>
      </c>
      <c r="I835" s="292">
        <v>6282208.0199999996</v>
      </c>
      <c r="J835" s="292">
        <v>6282208</v>
      </c>
      <c r="K835" s="293">
        <v>1.9999999552965161E-2</v>
      </c>
    </row>
    <row r="836" spans="1:11" ht="15.75" hidden="1" customHeight="1" x14ac:dyDescent="0.3">
      <c r="A836" s="278" t="s">
        <v>872</v>
      </c>
      <c r="B836" s="279">
        <v>84</v>
      </c>
      <c r="C836" s="278" t="s">
        <v>110</v>
      </c>
      <c r="D836" s="279" t="s">
        <v>425</v>
      </c>
      <c r="E836" s="278"/>
      <c r="F836" s="278" t="s">
        <v>982</v>
      </c>
      <c r="G836" s="280">
        <v>0</v>
      </c>
      <c r="H836" s="280">
        <v>681119</v>
      </c>
      <c r="I836" s="281">
        <v>-681119</v>
      </c>
      <c r="J836" s="282"/>
      <c r="K836" s="7"/>
    </row>
    <row r="837" spans="1:11" ht="15.75" hidden="1" customHeight="1" x14ac:dyDescent="0.3">
      <c r="A837" s="283" t="s">
        <v>872</v>
      </c>
      <c r="B837" s="284">
        <v>84</v>
      </c>
      <c r="C837" s="283" t="s">
        <v>110</v>
      </c>
      <c r="D837" s="284" t="s">
        <v>425</v>
      </c>
      <c r="E837" s="283"/>
      <c r="F837" s="283" t="s">
        <v>983</v>
      </c>
      <c r="G837" s="285">
        <v>0</v>
      </c>
      <c r="H837" s="285">
        <v>7909191</v>
      </c>
      <c r="I837" s="286">
        <v>-7909191</v>
      </c>
      <c r="J837" s="287"/>
      <c r="K837" s="7"/>
    </row>
    <row r="838" spans="1:11" ht="15.75" hidden="1" customHeight="1" x14ac:dyDescent="0.3">
      <c r="A838" s="278" t="s">
        <v>872</v>
      </c>
      <c r="B838" s="279">
        <v>84</v>
      </c>
      <c r="C838" s="278" t="s">
        <v>110</v>
      </c>
      <c r="D838" s="279" t="s">
        <v>425</v>
      </c>
      <c r="E838" s="278" t="s">
        <v>984</v>
      </c>
      <c r="F838" s="278" t="s">
        <v>740</v>
      </c>
      <c r="G838" s="280">
        <v>27807</v>
      </c>
      <c r="H838" s="280">
        <v>0</v>
      </c>
      <c r="I838" s="281">
        <v>27807</v>
      </c>
      <c r="J838" s="282"/>
      <c r="K838" s="7"/>
    </row>
    <row r="839" spans="1:11" ht="15.75" hidden="1" customHeight="1" x14ac:dyDescent="0.3">
      <c r="A839" s="283" t="s">
        <v>872</v>
      </c>
      <c r="B839" s="284">
        <v>84</v>
      </c>
      <c r="C839" s="283" t="s">
        <v>110</v>
      </c>
      <c r="D839" s="284" t="s">
        <v>425</v>
      </c>
      <c r="E839" s="283" t="s">
        <v>467</v>
      </c>
      <c r="F839" s="283" t="s">
        <v>985</v>
      </c>
      <c r="G839" s="285">
        <v>147522.5</v>
      </c>
      <c r="H839" s="285">
        <v>0</v>
      </c>
      <c r="I839" s="286">
        <v>147522.5</v>
      </c>
      <c r="J839" s="287"/>
      <c r="K839" s="7"/>
    </row>
    <row r="840" spans="1:11" ht="15.75" hidden="1" customHeight="1" x14ac:dyDescent="0.3">
      <c r="A840" s="278" t="s">
        <v>872</v>
      </c>
      <c r="B840" s="279">
        <v>84</v>
      </c>
      <c r="C840" s="278" t="s">
        <v>110</v>
      </c>
      <c r="D840" s="279" t="s">
        <v>425</v>
      </c>
      <c r="E840" s="278" t="s">
        <v>737</v>
      </c>
      <c r="F840" s="278" t="s">
        <v>986</v>
      </c>
      <c r="G840" s="280">
        <v>166542.49</v>
      </c>
      <c r="H840" s="280">
        <v>0</v>
      </c>
      <c r="I840" s="281">
        <v>166542.49</v>
      </c>
      <c r="J840" s="282"/>
      <c r="K840" s="7"/>
    </row>
    <row r="841" spans="1:11" ht="15.75" hidden="1" customHeight="1" x14ac:dyDescent="0.3">
      <c r="A841" s="283" t="s">
        <v>872</v>
      </c>
      <c r="B841" s="284">
        <v>84</v>
      </c>
      <c r="C841" s="283" t="s">
        <v>110</v>
      </c>
      <c r="D841" s="284" t="s">
        <v>425</v>
      </c>
      <c r="E841" s="283" t="s">
        <v>466</v>
      </c>
      <c r="F841" s="283" t="s">
        <v>986</v>
      </c>
      <c r="G841" s="285">
        <v>9632.5</v>
      </c>
      <c r="H841" s="285">
        <v>0</v>
      </c>
      <c r="I841" s="286">
        <v>9632.5</v>
      </c>
      <c r="J841" s="287"/>
      <c r="K841" s="7"/>
    </row>
    <row r="842" spans="1:11" ht="15.75" hidden="1" customHeight="1" x14ac:dyDescent="0.3">
      <c r="A842" s="278" t="s">
        <v>872</v>
      </c>
      <c r="B842" s="279">
        <v>84</v>
      </c>
      <c r="C842" s="278" t="s">
        <v>110</v>
      </c>
      <c r="D842" s="279" t="s">
        <v>425</v>
      </c>
      <c r="E842" s="278" t="s">
        <v>464</v>
      </c>
      <c r="F842" s="278" t="s">
        <v>987</v>
      </c>
      <c r="G842" s="280">
        <v>200</v>
      </c>
      <c r="H842" s="280">
        <v>0</v>
      </c>
      <c r="I842" s="281">
        <v>200</v>
      </c>
      <c r="J842" s="282"/>
      <c r="K842" s="7"/>
    </row>
    <row r="843" spans="1:11" ht="15.75" hidden="1" customHeight="1" x14ac:dyDescent="0.3">
      <c r="A843" s="283" t="s">
        <v>872</v>
      </c>
      <c r="B843" s="284">
        <v>84</v>
      </c>
      <c r="C843" s="283" t="s">
        <v>110</v>
      </c>
      <c r="D843" s="284" t="s">
        <v>425</v>
      </c>
      <c r="E843" s="283"/>
      <c r="F843" s="283" t="s">
        <v>987</v>
      </c>
      <c r="G843" s="285">
        <v>0</v>
      </c>
      <c r="H843" s="285">
        <v>200</v>
      </c>
      <c r="I843" s="286">
        <v>-200</v>
      </c>
      <c r="J843" s="287"/>
      <c r="K843" s="7"/>
    </row>
    <row r="844" spans="1:11" ht="15.75" hidden="1" customHeight="1" x14ac:dyDescent="0.3">
      <c r="A844" s="278" t="s">
        <v>872</v>
      </c>
      <c r="B844" s="279">
        <v>84</v>
      </c>
      <c r="C844" s="278" t="s">
        <v>110</v>
      </c>
      <c r="D844" s="279" t="s">
        <v>425</v>
      </c>
      <c r="E844" s="278" t="s">
        <v>988</v>
      </c>
      <c r="F844" s="278" t="s">
        <v>989</v>
      </c>
      <c r="G844" s="280">
        <v>12721</v>
      </c>
      <c r="H844" s="280">
        <v>0</v>
      </c>
      <c r="I844" s="281">
        <v>12721</v>
      </c>
      <c r="J844" s="282"/>
      <c r="K844" s="7"/>
    </row>
    <row r="845" spans="1:11" ht="15.75" hidden="1" customHeight="1" x14ac:dyDescent="0.3">
      <c r="A845" s="283" t="s">
        <v>872</v>
      </c>
      <c r="B845" s="284">
        <v>84</v>
      </c>
      <c r="C845" s="283" t="s">
        <v>110</v>
      </c>
      <c r="D845" s="284" t="s">
        <v>425</v>
      </c>
      <c r="E845" s="283" t="s">
        <v>469</v>
      </c>
      <c r="F845" s="283" t="s">
        <v>985</v>
      </c>
      <c r="G845" s="285">
        <v>1121878.75</v>
      </c>
      <c r="H845" s="285">
        <v>0</v>
      </c>
      <c r="I845" s="286">
        <v>1121878.75</v>
      </c>
      <c r="J845" s="287"/>
      <c r="K845" s="7"/>
    </row>
    <row r="846" spans="1:11" ht="15.75" hidden="1" customHeight="1" x14ac:dyDescent="0.3">
      <c r="A846" s="278" t="s">
        <v>872</v>
      </c>
      <c r="B846" s="279">
        <v>84</v>
      </c>
      <c r="C846" s="278" t="s">
        <v>110</v>
      </c>
      <c r="D846" s="279" t="s">
        <v>425</v>
      </c>
      <c r="E846" s="278" t="s">
        <v>462</v>
      </c>
      <c r="F846" s="278" t="s">
        <v>986</v>
      </c>
      <c r="G846" s="280">
        <v>77640</v>
      </c>
      <c r="H846" s="280">
        <v>0</v>
      </c>
      <c r="I846" s="281">
        <v>77640</v>
      </c>
      <c r="J846" s="282"/>
      <c r="K846" s="7"/>
    </row>
    <row r="847" spans="1:11" ht="15.75" hidden="1" customHeight="1" x14ac:dyDescent="0.3">
      <c r="A847" s="283" t="s">
        <v>872</v>
      </c>
      <c r="B847" s="284">
        <v>84</v>
      </c>
      <c r="C847" s="283" t="s">
        <v>110</v>
      </c>
      <c r="D847" s="284" t="s">
        <v>425</v>
      </c>
      <c r="E847" s="283" t="s">
        <v>743</v>
      </c>
      <c r="F847" s="283" t="s">
        <v>986</v>
      </c>
      <c r="G847" s="285">
        <v>1023431.24</v>
      </c>
      <c r="H847" s="285">
        <v>0</v>
      </c>
      <c r="I847" s="286">
        <v>1023431.24</v>
      </c>
      <c r="J847" s="287"/>
      <c r="K847" s="7"/>
    </row>
    <row r="848" spans="1:11" ht="15.75" hidden="1" customHeight="1" x14ac:dyDescent="0.3">
      <c r="A848" s="278" t="s">
        <v>872</v>
      </c>
      <c r="B848" s="279">
        <v>84</v>
      </c>
      <c r="C848" s="278" t="s">
        <v>110</v>
      </c>
      <c r="D848" s="279" t="s">
        <v>425</v>
      </c>
      <c r="E848" s="278" t="s">
        <v>464</v>
      </c>
      <c r="F848" s="278" t="s">
        <v>986</v>
      </c>
      <c r="G848" s="280">
        <v>3829950.41</v>
      </c>
      <c r="H848" s="280">
        <v>0</v>
      </c>
      <c r="I848" s="281">
        <v>3829950.41</v>
      </c>
      <c r="J848" s="282"/>
      <c r="K848" s="7"/>
    </row>
    <row r="849" spans="1:11" ht="15.75" hidden="1" customHeight="1" x14ac:dyDescent="0.3">
      <c r="A849" s="283" t="s">
        <v>872</v>
      </c>
      <c r="B849" s="284">
        <v>84</v>
      </c>
      <c r="C849" s="283" t="s">
        <v>110</v>
      </c>
      <c r="D849" s="284" t="s">
        <v>425</v>
      </c>
      <c r="E849" s="283" t="s">
        <v>465</v>
      </c>
      <c r="F849" s="283" t="s">
        <v>986</v>
      </c>
      <c r="G849" s="285">
        <v>177411.26</v>
      </c>
      <c r="H849" s="285">
        <v>0</v>
      </c>
      <c r="I849" s="286">
        <v>177411.26</v>
      </c>
      <c r="J849" s="287"/>
      <c r="K849" s="7"/>
    </row>
    <row r="850" spans="1:11" ht="15.75" hidden="1" customHeight="1" x14ac:dyDescent="0.3">
      <c r="A850" s="278" t="s">
        <v>872</v>
      </c>
      <c r="B850" s="279">
        <v>84</v>
      </c>
      <c r="C850" s="278" t="s">
        <v>110</v>
      </c>
      <c r="D850" s="279" t="s">
        <v>425</v>
      </c>
      <c r="E850" s="278" t="s">
        <v>470</v>
      </c>
      <c r="F850" s="278" t="s">
        <v>986</v>
      </c>
      <c r="G850" s="280">
        <v>34087.49</v>
      </c>
      <c r="H850" s="280">
        <v>0</v>
      </c>
      <c r="I850" s="281">
        <v>34087.49</v>
      </c>
      <c r="J850" s="282"/>
      <c r="K850" s="7"/>
    </row>
    <row r="851" spans="1:11" ht="15.75" hidden="1" customHeight="1" x14ac:dyDescent="0.3">
      <c r="A851" s="283" t="s">
        <v>872</v>
      </c>
      <c r="B851" s="284">
        <v>84</v>
      </c>
      <c r="C851" s="283" t="s">
        <v>110</v>
      </c>
      <c r="D851" s="284" t="s">
        <v>425</v>
      </c>
      <c r="E851" s="283" t="s">
        <v>470</v>
      </c>
      <c r="F851" s="283" t="s">
        <v>986</v>
      </c>
      <c r="G851" s="285">
        <v>0.01</v>
      </c>
      <c r="H851" s="285">
        <v>0</v>
      </c>
      <c r="I851" s="286">
        <v>0.01</v>
      </c>
      <c r="J851" s="287"/>
      <c r="K851" s="7"/>
    </row>
    <row r="852" spans="1:11" ht="15.75" hidden="1" customHeight="1" x14ac:dyDescent="0.3">
      <c r="A852" s="278" t="s">
        <v>872</v>
      </c>
      <c r="B852" s="279">
        <v>84</v>
      </c>
      <c r="C852" s="278" t="s">
        <v>110</v>
      </c>
      <c r="D852" s="279" t="s">
        <v>425</v>
      </c>
      <c r="E852" s="278"/>
      <c r="F852" s="278" t="s">
        <v>990</v>
      </c>
      <c r="G852" s="280">
        <v>5860542</v>
      </c>
      <c r="H852" s="280">
        <v>0</v>
      </c>
      <c r="I852" s="281">
        <v>5860542</v>
      </c>
      <c r="J852" s="282"/>
      <c r="K852" s="7"/>
    </row>
    <row r="853" spans="1:11" ht="15.75" hidden="1" customHeight="1" x14ac:dyDescent="0.3">
      <c r="A853" s="288" t="s">
        <v>872</v>
      </c>
      <c r="B853" s="288">
        <v>84</v>
      </c>
      <c r="C853" s="289" t="s">
        <v>110</v>
      </c>
      <c r="D853" s="288" t="s">
        <v>320</v>
      </c>
      <c r="E853" s="290"/>
      <c r="F853" s="289" t="s">
        <v>321</v>
      </c>
      <c r="G853" s="291">
        <v>12489366.65</v>
      </c>
      <c r="H853" s="291">
        <v>8590510</v>
      </c>
      <c r="I853" s="292">
        <v>3898856.65</v>
      </c>
      <c r="J853" s="292">
        <v>3952439</v>
      </c>
      <c r="K853" s="294">
        <v>-53582.350000000093</v>
      </c>
    </row>
    <row r="854" spans="1:11" ht="15.75" hidden="1" customHeight="1" x14ac:dyDescent="0.3">
      <c r="A854" s="278" t="s">
        <v>872</v>
      </c>
      <c r="B854" s="279">
        <v>85</v>
      </c>
      <c r="C854" s="278" t="s">
        <v>113</v>
      </c>
      <c r="D854" s="279" t="s">
        <v>472</v>
      </c>
      <c r="E854" s="278"/>
      <c r="F854" s="278" t="s">
        <v>991</v>
      </c>
      <c r="G854" s="280">
        <v>0</v>
      </c>
      <c r="H854" s="280">
        <v>3660000</v>
      </c>
      <c r="I854" s="281">
        <v>-3660000</v>
      </c>
      <c r="J854" s="282"/>
      <c r="K854" s="7"/>
    </row>
    <row r="855" spans="1:11" ht="15.75" hidden="1" customHeight="1" x14ac:dyDescent="0.3">
      <c r="A855" s="283" t="s">
        <v>872</v>
      </c>
      <c r="B855" s="284">
        <v>85</v>
      </c>
      <c r="C855" s="283" t="s">
        <v>113</v>
      </c>
      <c r="D855" s="284" t="s">
        <v>472</v>
      </c>
      <c r="E855" s="283" t="s">
        <v>474</v>
      </c>
      <c r="F855" s="283" t="s">
        <v>992</v>
      </c>
      <c r="G855" s="285">
        <v>4544586.5199999996</v>
      </c>
      <c r="H855" s="285">
        <v>0</v>
      </c>
      <c r="I855" s="286">
        <v>4544586.5199999996</v>
      </c>
      <c r="J855" s="287"/>
      <c r="K855" s="7"/>
    </row>
    <row r="856" spans="1:11" ht="15.75" hidden="1" customHeight="1" x14ac:dyDescent="0.3">
      <c r="A856" s="278" t="s">
        <v>872</v>
      </c>
      <c r="B856" s="279">
        <v>85</v>
      </c>
      <c r="C856" s="278" t="s">
        <v>113</v>
      </c>
      <c r="D856" s="279" t="s">
        <v>472</v>
      </c>
      <c r="E856" s="278"/>
      <c r="F856" s="278" t="s">
        <v>993</v>
      </c>
      <c r="G856" s="280">
        <v>0</v>
      </c>
      <c r="H856" s="280">
        <v>0.06</v>
      </c>
      <c r="I856" s="281">
        <v>-0.06</v>
      </c>
      <c r="J856" s="282"/>
      <c r="K856" s="7"/>
    </row>
    <row r="857" spans="1:11" ht="15.75" hidden="1" customHeight="1" x14ac:dyDescent="0.3">
      <c r="A857" s="283" t="s">
        <v>872</v>
      </c>
      <c r="B857" s="284">
        <v>85</v>
      </c>
      <c r="C857" s="283" t="s">
        <v>113</v>
      </c>
      <c r="D857" s="284" t="s">
        <v>472</v>
      </c>
      <c r="E857" s="283"/>
      <c r="F857" s="283" t="s">
        <v>994</v>
      </c>
      <c r="G857" s="285">
        <v>5037950</v>
      </c>
      <c r="H857" s="285">
        <v>0</v>
      </c>
      <c r="I857" s="286">
        <v>5037950</v>
      </c>
      <c r="J857" s="287"/>
      <c r="K857" s="7"/>
    </row>
    <row r="858" spans="1:11" ht="15.75" hidden="1" customHeight="1" x14ac:dyDescent="0.3">
      <c r="A858" s="288" t="s">
        <v>872</v>
      </c>
      <c r="B858" s="288">
        <v>85</v>
      </c>
      <c r="C858" s="289" t="s">
        <v>113</v>
      </c>
      <c r="D858" s="288" t="s">
        <v>320</v>
      </c>
      <c r="E858" s="290"/>
      <c r="F858" s="289" t="s">
        <v>321</v>
      </c>
      <c r="G858" s="291">
        <v>9582536.5199999996</v>
      </c>
      <c r="H858" s="291">
        <v>3660000.06</v>
      </c>
      <c r="I858" s="292">
        <v>5922536.46</v>
      </c>
      <c r="J858" s="292">
        <v>5922537</v>
      </c>
      <c r="K858" s="293">
        <v>-0.5400000000372529</v>
      </c>
    </row>
    <row r="859" spans="1:11" ht="15.75" hidden="1" customHeight="1" x14ac:dyDescent="0.3">
      <c r="A859" s="278" t="s">
        <v>872</v>
      </c>
      <c r="B859" s="279">
        <v>86</v>
      </c>
      <c r="C859" s="278" t="s">
        <v>116</v>
      </c>
      <c r="D859" s="279" t="s">
        <v>479</v>
      </c>
      <c r="E859" s="278"/>
      <c r="F859" s="278" t="s">
        <v>995</v>
      </c>
      <c r="G859" s="280">
        <v>0</v>
      </c>
      <c r="H859" s="280">
        <v>400000</v>
      </c>
      <c r="I859" s="281">
        <v>-400000</v>
      </c>
      <c r="J859" s="282"/>
      <c r="K859" s="7"/>
    </row>
    <row r="860" spans="1:11" ht="15.75" hidden="1" customHeight="1" x14ac:dyDescent="0.3">
      <c r="A860" s="283" t="s">
        <v>872</v>
      </c>
      <c r="B860" s="284">
        <v>86</v>
      </c>
      <c r="C860" s="283" t="s">
        <v>116</v>
      </c>
      <c r="D860" s="284" t="s">
        <v>479</v>
      </c>
      <c r="E860" s="283"/>
      <c r="F860" s="283" t="s">
        <v>996</v>
      </c>
      <c r="G860" s="285">
        <v>400000</v>
      </c>
      <c r="H860" s="285">
        <v>0</v>
      </c>
      <c r="I860" s="286">
        <v>400000</v>
      </c>
      <c r="J860" s="287"/>
      <c r="K860" s="7"/>
    </row>
    <row r="861" spans="1:11" ht="15.75" hidden="1" customHeight="1" x14ac:dyDescent="0.3">
      <c r="A861" s="288" t="s">
        <v>872</v>
      </c>
      <c r="B861" s="288">
        <v>86</v>
      </c>
      <c r="C861" s="289" t="s">
        <v>116</v>
      </c>
      <c r="D861" s="288" t="s">
        <v>320</v>
      </c>
      <c r="E861" s="290"/>
      <c r="F861" s="289" t="s">
        <v>321</v>
      </c>
      <c r="G861" s="291">
        <v>400000</v>
      </c>
      <c r="H861" s="291">
        <v>400000</v>
      </c>
      <c r="I861" s="292">
        <v>0</v>
      </c>
      <c r="J861" s="292">
        <v>800000</v>
      </c>
      <c r="K861" s="294">
        <v>-800000</v>
      </c>
    </row>
    <row r="862" spans="1:11" ht="15.75" hidden="1" customHeight="1" x14ac:dyDescent="0.3">
      <c r="A862" s="278" t="s">
        <v>872</v>
      </c>
      <c r="B862" s="279">
        <v>88</v>
      </c>
      <c r="C862" s="278" t="s">
        <v>119</v>
      </c>
      <c r="D862" s="279" t="s">
        <v>422</v>
      </c>
      <c r="E862" s="278"/>
      <c r="F862" s="278" t="s">
        <v>997</v>
      </c>
      <c r="G862" s="280">
        <v>0</v>
      </c>
      <c r="H862" s="280">
        <v>105616454</v>
      </c>
      <c r="I862" s="281">
        <v>-105616454</v>
      </c>
      <c r="J862" s="282"/>
      <c r="K862" s="7"/>
    </row>
    <row r="863" spans="1:11" ht="15.75" hidden="1" customHeight="1" x14ac:dyDescent="0.3">
      <c r="A863" s="283" t="s">
        <v>872</v>
      </c>
      <c r="B863" s="284">
        <v>88</v>
      </c>
      <c r="C863" s="283" t="s">
        <v>119</v>
      </c>
      <c r="D863" s="284" t="s">
        <v>422</v>
      </c>
      <c r="E863" s="283" t="s">
        <v>483</v>
      </c>
      <c r="F863" s="283" t="s">
        <v>998</v>
      </c>
      <c r="G863" s="285">
        <v>72308951.349999994</v>
      </c>
      <c r="H863" s="285">
        <v>0</v>
      </c>
      <c r="I863" s="286">
        <v>72308951.349999994</v>
      </c>
      <c r="J863" s="287"/>
      <c r="K863" s="7"/>
    </row>
    <row r="864" spans="1:11" ht="15.75" hidden="1" customHeight="1" x14ac:dyDescent="0.3">
      <c r="A864" s="278" t="s">
        <v>872</v>
      </c>
      <c r="B864" s="279">
        <v>88</v>
      </c>
      <c r="C864" s="278" t="s">
        <v>119</v>
      </c>
      <c r="D864" s="279" t="s">
        <v>422</v>
      </c>
      <c r="E864" s="278" t="s">
        <v>483</v>
      </c>
      <c r="F864" s="278" t="s">
        <v>999</v>
      </c>
      <c r="G864" s="280">
        <v>3289305.41</v>
      </c>
      <c r="H864" s="280">
        <v>0</v>
      </c>
      <c r="I864" s="281">
        <v>3289305.41</v>
      </c>
      <c r="J864" s="282"/>
      <c r="K864" s="7"/>
    </row>
    <row r="865" spans="1:11" ht="15.75" hidden="1" customHeight="1" x14ac:dyDescent="0.3">
      <c r="A865" s="283" t="s">
        <v>872</v>
      </c>
      <c r="B865" s="284">
        <v>88</v>
      </c>
      <c r="C865" s="283" t="s">
        <v>119</v>
      </c>
      <c r="D865" s="284" t="s">
        <v>422</v>
      </c>
      <c r="E865" s="283" t="s">
        <v>483</v>
      </c>
      <c r="F865" s="283" t="s">
        <v>1000</v>
      </c>
      <c r="G865" s="285">
        <v>30018197.260000002</v>
      </c>
      <c r="H865" s="285">
        <v>0</v>
      </c>
      <c r="I865" s="286">
        <v>30018197.260000002</v>
      </c>
      <c r="J865" s="287"/>
      <c r="K865" s="7"/>
    </row>
    <row r="866" spans="1:11" ht="15.75" hidden="1" customHeight="1" x14ac:dyDescent="0.3">
      <c r="A866" s="278" t="s">
        <v>872</v>
      </c>
      <c r="B866" s="279">
        <v>88</v>
      </c>
      <c r="C866" s="278" t="s">
        <v>119</v>
      </c>
      <c r="D866" s="279" t="s">
        <v>422</v>
      </c>
      <c r="E866" s="278"/>
      <c r="F866" s="278" t="s">
        <v>1001</v>
      </c>
      <c r="G866" s="280">
        <v>105201517</v>
      </c>
      <c r="H866" s="280">
        <v>0</v>
      </c>
      <c r="I866" s="281">
        <v>105201517</v>
      </c>
      <c r="J866" s="282"/>
      <c r="K866" s="7"/>
    </row>
    <row r="867" spans="1:11" ht="15.75" hidden="1" customHeight="1" x14ac:dyDescent="0.3">
      <c r="A867" s="288" t="s">
        <v>872</v>
      </c>
      <c r="B867" s="288">
        <v>88</v>
      </c>
      <c r="C867" s="289" t="s">
        <v>119</v>
      </c>
      <c r="D867" s="288" t="s">
        <v>320</v>
      </c>
      <c r="E867" s="290"/>
      <c r="F867" s="289" t="s">
        <v>321</v>
      </c>
      <c r="G867" s="291">
        <v>210817971.02000001</v>
      </c>
      <c r="H867" s="291">
        <v>105616454</v>
      </c>
      <c r="I867" s="292">
        <v>105201517.02</v>
      </c>
      <c r="J867" s="292">
        <v>105201617</v>
      </c>
      <c r="K867" s="294">
        <v>-99.980000004172325</v>
      </c>
    </row>
    <row r="868" spans="1:11" ht="15.75" hidden="1" customHeight="1" x14ac:dyDescent="0.3">
      <c r="A868" s="278" t="s">
        <v>872</v>
      </c>
      <c r="B868" s="279">
        <v>89</v>
      </c>
      <c r="C868" s="278" t="s">
        <v>121</v>
      </c>
      <c r="D868" s="279" t="s">
        <v>422</v>
      </c>
      <c r="E868" s="278"/>
      <c r="F868" s="278" t="s">
        <v>1002</v>
      </c>
      <c r="G868" s="280">
        <v>171376</v>
      </c>
      <c r="H868" s="280">
        <v>0</v>
      </c>
      <c r="I868" s="281">
        <v>171376</v>
      </c>
      <c r="J868" s="282"/>
      <c r="K868" s="7"/>
    </row>
    <row r="869" spans="1:11" ht="15.75" hidden="1" customHeight="1" x14ac:dyDescent="0.3">
      <c r="A869" s="283" t="s">
        <v>872</v>
      </c>
      <c r="B869" s="284">
        <v>89</v>
      </c>
      <c r="C869" s="283" t="s">
        <v>121</v>
      </c>
      <c r="D869" s="284" t="s">
        <v>422</v>
      </c>
      <c r="E869" s="283"/>
      <c r="F869" s="283" t="s">
        <v>1003</v>
      </c>
      <c r="G869" s="285">
        <v>1178845</v>
      </c>
      <c r="H869" s="285">
        <v>0</v>
      </c>
      <c r="I869" s="286">
        <v>1178845</v>
      </c>
      <c r="J869" s="287"/>
      <c r="K869" s="7"/>
    </row>
    <row r="870" spans="1:11" ht="15.75" hidden="1" customHeight="1" x14ac:dyDescent="0.3">
      <c r="A870" s="278" t="s">
        <v>872</v>
      </c>
      <c r="B870" s="279">
        <v>89</v>
      </c>
      <c r="C870" s="278" t="s">
        <v>121</v>
      </c>
      <c r="D870" s="279" t="s">
        <v>422</v>
      </c>
      <c r="E870" s="278"/>
      <c r="F870" s="278" t="s">
        <v>1004</v>
      </c>
      <c r="G870" s="280">
        <v>1812431</v>
      </c>
      <c r="H870" s="280">
        <v>0</v>
      </c>
      <c r="I870" s="281">
        <v>1812431</v>
      </c>
      <c r="J870" s="282"/>
      <c r="K870" s="7"/>
    </row>
    <row r="871" spans="1:11" ht="15.75" hidden="1" customHeight="1" x14ac:dyDescent="0.3">
      <c r="A871" s="283" t="s">
        <v>872</v>
      </c>
      <c r="B871" s="284">
        <v>89</v>
      </c>
      <c r="C871" s="283" t="s">
        <v>121</v>
      </c>
      <c r="D871" s="284" t="s">
        <v>422</v>
      </c>
      <c r="E871" s="283"/>
      <c r="F871" s="283" t="s">
        <v>1005</v>
      </c>
      <c r="G871" s="285">
        <v>994850</v>
      </c>
      <c r="H871" s="285">
        <v>0</v>
      </c>
      <c r="I871" s="286">
        <v>994850</v>
      </c>
      <c r="J871" s="287"/>
      <c r="K871" s="7"/>
    </row>
    <row r="872" spans="1:11" ht="15.75" hidden="1" customHeight="1" x14ac:dyDescent="0.3">
      <c r="A872" s="278" t="s">
        <v>872</v>
      </c>
      <c r="B872" s="279">
        <v>89</v>
      </c>
      <c r="C872" s="278" t="s">
        <v>121</v>
      </c>
      <c r="D872" s="279" t="s">
        <v>422</v>
      </c>
      <c r="E872" s="278"/>
      <c r="F872" s="278" t="s">
        <v>1006</v>
      </c>
      <c r="G872" s="280">
        <v>352871</v>
      </c>
      <c r="H872" s="280">
        <v>0</v>
      </c>
      <c r="I872" s="281">
        <v>352871</v>
      </c>
      <c r="J872" s="282"/>
      <c r="K872" s="7"/>
    </row>
    <row r="873" spans="1:11" ht="15.75" hidden="1" customHeight="1" x14ac:dyDescent="0.3">
      <c r="A873" s="283" t="s">
        <v>872</v>
      </c>
      <c r="B873" s="284">
        <v>89</v>
      </c>
      <c r="C873" s="283" t="s">
        <v>121</v>
      </c>
      <c r="D873" s="284" t="s">
        <v>422</v>
      </c>
      <c r="E873" s="283"/>
      <c r="F873" s="283" t="s">
        <v>1007</v>
      </c>
      <c r="G873" s="285">
        <v>170243</v>
      </c>
      <c r="H873" s="285">
        <v>0</v>
      </c>
      <c r="I873" s="286">
        <v>170243</v>
      </c>
      <c r="J873" s="287"/>
      <c r="K873" s="7"/>
    </row>
    <row r="874" spans="1:11" ht="15.75" hidden="1" customHeight="1" x14ac:dyDescent="0.3">
      <c r="A874" s="278" t="s">
        <v>872</v>
      </c>
      <c r="B874" s="279">
        <v>89</v>
      </c>
      <c r="C874" s="278" t="s">
        <v>121</v>
      </c>
      <c r="D874" s="279" t="s">
        <v>422</v>
      </c>
      <c r="E874" s="278"/>
      <c r="F874" s="278" t="s">
        <v>1008</v>
      </c>
      <c r="G874" s="280">
        <v>844391</v>
      </c>
      <c r="H874" s="280">
        <v>0</v>
      </c>
      <c r="I874" s="281">
        <v>844391</v>
      </c>
      <c r="J874" s="282"/>
      <c r="K874" s="7"/>
    </row>
    <row r="875" spans="1:11" ht="15.75" hidden="1" customHeight="1" x14ac:dyDescent="0.3">
      <c r="A875" s="283" t="s">
        <v>872</v>
      </c>
      <c r="B875" s="284">
        <v>89</v>
      </c>
      <c r="C875" s="283" t="s">
        <v>121</v>
      </c>
      <c r="D875" s="284" t="s">
        <v>422</v>
      </c>
      <c r="E875" s="283"/>
      <c r="F875" s="283" t="s">
        <v>1009</v>
      </c>
      <c r="G875" s="285">
        <v>247538</v>
      </c>
      <c r="H875" s="285">
        <v>0</v>
      </c>
      <c r="I875" s="286">
        <v>247538</v>
      </c>
      <c r="J875" s="287"/>
      <c r="K875" s="7"/>
    </row>
    <row r="876" spans="1:11" ht="15.75" hidden="1" customHeight="1" x14ac:dyDescent="0.3">
      <c r="A876" s="278" t="s">
        <v>872</v>
      </c>
      <c r="B876" s="279">
        <v>89</v>
      </c>
      <c r="C876" s="278" t="s">
        <v>121</v>
      </c>
      <c r="D876" s="279" t="s">
        <v>422</v>
      </c>
      <c r="E876" s="278"/>
      <c r="F876" s="278" t="s">
        <v>1010</v>
      </c>
      <c r="G876" s="280">
        <v>538986</v>
      </c>
      <c r="H876" s="280">
        <v>0</v>
      </c>
      <c r="I876" s="281">
        <v>538986</v>
      </c>
      <c r="J876" s="282"/>
      <c r="K876" s="7"/>
    </row>
    <row r="877" spans="1:11" ht="15.75" hidden="1" customHeight="1" x14ac:dyDescent="0.3">
      <c r="A877" s="283" t="s">
        <v>872</v>
      </c>
      <c r="B877" s="284">
        <v>89</v>
      </c>
      <c r="C877" s="283" t="s">
        <v>121</v>
      </c>
      <c r="D877" s="284" t="s">
        <v>422</v>
      </c>
      <c r="E877" s="283"/>
      <c r="F877" s="283" t="s">
        <v>1011</v>
      </c>
      <c r="G877" s="285">
        <v>1339004</v>
      </c>
      <c r="H877" s="285">
        <v>0</v>
      </c>
      <c r="I877" s="286">
        <v>1339004</v>
      </c>
      <c r="J877" s="287"/>
      <c r="K877" s="7"/>
    </row>
    <row r="878" spans="1:11" ht="15.75" hidden="1" customHeight="1" x14ac:dyDescent="0.3">
      <c r="A878" s="278" t="s">
        <v>872</v>
      </c>
      <c r="B878" s="279">
        <v>89</v>
      </c>
      <c r="C878" s="278" t="s">
        <v>121</v>
      </c>
      <c r="D878" s="279" t="s">
        <v>422</v>
      </c>
      <c r="E878" s="278"/>
      <c r="F878" s="278" t="s">
        <v>1012</v>
      </c>
      <c r="G878" s="280">
        <v>1339333</v>
      </c>
      <c r="H878" s="280">
        <v>0</v>
      </c>
      <c r="I878" s="281">
        <v>1339333</v>
      </c>
      <c r="J878" s="282"/>
      <c r="K878" s="7"/>
    </row>
    <row r="879" spans="1:11" ht="15.75" hidden="1" customHeight="1" x14ac:dyDescent="0.3">
      <c r="A879" s="283" t="s">
        <v>872</v>
      </c>
      <c r="B879" s="284">
        <v>89</v>
      </c>
      <c r="C879" s="283" t="s">
        <v>121</v>
      </c>
      <c r="D879" s="284" t="s">
        <v>422</v>
      </c>
      <c r="E879" s="283"/>
      <c r="F879" s="283" t="s">
        <v>1013</v>
      </c>
      <c r="G879" s="285">
        <v>4229602</v>
      </c>
      <c r="H879" s="285">
        <v>0</v>
      </c>
      <c r="I879" s="286">
        <v>4229602</v>
      </c>
      <c r="J879" s="287"/>
      <c r="K879" s="7"/>
    </row>
    <row r="880" spans="1:11" ht="15.75" hidden="1" customHeight="1" x14ac:dyDescent="0.3">
      <c r="A880" s="278" t="s">
        <v>872</v>
      </c>
      <c r="B880" s="279">
        <v>89</v>
      </c>
      <c r="C880" s="278" t="s">
        <v>121</v>
      </c>
      <c r="D880" s="279" t="s">
        <v>422</v>
      </c>
      <c r="E880" s="278"/>
      <c r="F880" s="278" t="s">
        <v>1014</v>
      </c>
      <c r="G880" s="280">
        <v>610756</v>
      </c>
      <c r="H880" s="280">
        <v>0</v>
      </c>
      <c r="I880" s="281">
        <v>610756</v>
      </c>
      <c r="J880" s="282"/>
      <c r="K880" s="7"/>
    </row>
    <row r="881" spans="1:11" ht="15.75" hidden="1" customHeight="1" x14ac:dyDescent="0.3">
      <c r="A881" s="288" t="s">
        <v>872</v>
      </c>
      <c r="B881" s="288">
        <v>89</v>
      </c>
      <c r="C881" s="289" t="s">
        <v>121</v>
      </c>
      <c r="D881" s="288" t="s">
        <v>320</v>
      </c>
      <c r="E881" s="290"/>
      <c r="F881" s="289" t="s">
        <v>321</v>
      </c>
      <c r="G881" s="291">
        <v>13830226</v>
      </c>
      <c r="H881" s="291">
        <v>0</v>
      </c>
      <c r="I881" s="292">
        <v>13830226</v>
      </c>
      <c r="J881" s="292">
        <v>13830226</v>
      </c>
      <c r="K881" s="293">
        <v>0</v>
      </c>
    </row>
    <row r="882" spans="1:11" ht="15.75" hidden="1" customHeight="1" x14ac:dyDescent="0.3">
      <c r="A882" s="278" t="s">
        <v>872</v>
      </c>
      <c r="B882" s="279">
        <v>94</v>
      </c>
      <c r="C882" s="278" t="s">
        <v>126</v>
      </c>
      <c r="D882" s="279" t="s">
        <v>549</v>
      </c>
      <c r="E882" s="278" t="s">
        <v>1015</v>
      </c>
      <c r="F882" s="278" t="s">
        <v>1016</v>
      </c>
      <c r="G882" s="280">
        <v>188902.39999999999</v>
      </c>
      <c r="H882" s="280">
        <v>0</v>
      </c>
      <c r="I882" s="281">
        <v>188902.39999999999</v>
      </c>
      <c r="J882" s="282"/>
      <c r="K882" s="7"/>
    </row>
    <row r="883" spans="1:11" ht="15.75" hidden="1" customHeight="1" x14ac:dyDescent="0.3">
      <c r="A883" s="288" t="s">
        <v>872</v>
      </c>
      <c r="B883" s="288">
        <v>94</v>
      </c>
      <c r="C883" s="289" t="s">
        <v>126</v>
      </c>
      <c r="D883" s="288" t="s">
        <v>320</v>
      </c>
      <c r="E883" s="290"/>
      <c r="F883" s="289" t="s">
        <v>321</v>
      </c>
      <c r="G883" s="291">
        <v>188902.39999999999</v>
      </c>
      <c r="H883" s="291">
        <v>0</v>
      </c>
      <c r="I883" s="292">
        <v>188902.39999999999</v>
      </c>
      <c r="J883" s="292">
        <v>188902</v>
      </c>
      <c r="K883" s="293">
        <v>0.39999999999417918</v>
      </c>
    </row>
    <row r="884" spans="1:11" ht="15.75" hidden="1" customHeight="1" x14ac:dyDescent="0.3">
      <c r="A884" s="278" t="s">
        <v>872</v>
      </c>
      <c r="B884" s="279">
        <v>95</v>
      </c>
      <c r="C884" s="278" t="s">
        <v>129</v>
      </c>
      <c r="D884" s="279" t="s">
        <v>503</v>
      </c>
      <c r="E884" s="278" t="s">
        <v>504</v>
      </c>
      <c r="F884" s="278" t="s">
        <v>1017</v>
      </c>
      <c r="G884" s="280">
        <v>6048000</v>
      </c>
      <c r="H884" s="280">
        <v>0</v>
      </c>
      <c r="I884" s="281">
        <v>6048000</v>
      </c>
      <c r="J884" s="282"/>
      <c r="K884" s="7"/>
    </row>
    <row r="885" spans="1:11" ht="15.75" hidden="1" customHeight="1" x14ac:dyDescent="0.3">
      <c r="A885" s="283" t="s">
        <v>872</v>
      </c>
      <c r="B885" s="284">
        <v>95</v>
      </c>
      <c r="C885" s="283" t="s">
        <v>129</v>
      </c>
      <c r="D885" s="284" t="s">
        <v>503</v>
      </c>
      <c r="E885" s="283" t="s">
        <v>504</v>
      </c>
      <c r="F885" s="283" t="s">
        <v>1018</v>
      </c>
      <c r="G885" s="285">
        <v>980000</v>
      </c>
      <c r="H885" s="285">
        <v>0</v>
      </c>
      <c r="I885" s="286">
        <v>980000</v>
      </c>
      <c r="J885" s="287"/>
      <c r="K885" s="7"/>
    </row>
    <row r="886" spans="1:11" ht="15.75" hidden="1" customHeight="1" x14ac:dyDescent="0.3">
      <c r="A886" s="288" t="s">
        <v>872</v>
      </c>
      <c r="B886" s="288">
        <v>95</v>
      </c>
      <c r="C886" s="289" t="s">
        <v>129</v>
      </c>
      <c r="D886" s="288" t="s">
        <v>320</v>
      </c>
      <c r="E886" s="290"/>
      <c r="F886" s="289" t="s">
        <v>321</v>
      </c>
      <c r="G886" s="291">
        <v>7028000</v>
      </c>
      <c r="H886" s="291">
        <v>0</v>
      </c>
      <c r="I886" s="292">
        <v>7028000</v>
      </c>
      <c r="J886" s="292">
        <v>7028000</v>
      </c>
      <c r="K886" s="293">
        <v>0</v>
      </c>
    </row>
    <row r="887" spans="1:11" ht="15.75" hidden="1" customHeight="1" x14ac:dyDescent="0.3">
      <c r="A887" s="278" t="s">
        <v>872</v>
      </c>
      <c r="B887" s="279">
        <v>96</v>
      </c>
      <c r="C887" s="278" t="s">
        <v>132</v>
      </c>
      <c r="D887" s="279" t="s">
        <v>503</v>
      </c>
      <c r="E887" s="278"/>
      <c r="F887" s="278" t="s">
        <v>1019</v>
      </c>
      <c r="G887" s="280">
        <v>0</v>
      </c>
      <c r="H887" s="280">
        <v>1500000</v>
      </c>
      <c r="I887" s="281">
        <v>-1500000</v>
      </c>
      <c r="J887" s="282"/>
      <c r="K887" s="7"/>
    </row>
    <row r="888" spans="1:11" ht="15.75" hidden="1" customHeight="1" x14ac:dyDescent="0.3">
      <c r="A888" s="283" t="s">
        <v>872</v>
      </c>
      <c r="B888" s="284">
        <v>96</v>
      </c>
      <c r="C888" s="283" t="s">
        <v>132</v>
      </c>
      <c r="D888" s="284" t="s">
        <v>509</v>
      </c>
      <c r="E888" s="283" t="s">
        <v>510</v>
      </c>
      <c r="F888" s="283" t="s">
        <v>1020</v>
      </c>
      <c r="G888" s="285">
        <v>200000</v>
      </c>
      <c r="H888" s="285">
        <v>0</v>
      </c>
      <c r="I888" s="286">
        <v>200000</v>
      </c>
      <c r="J888" s="287"/>
      <c r="K888" s="7"/>
    </row>
    <row r="889" spans="1:11" ht="15.75" hidden="1" customHeight="1" x14ac:dyDescent="0.3">
      <c r="A889" s="288" t="s">
        <v>872</v>
      </c>
      <c r="B889" s="288">
        <v>96</v>
      </c>
      <c r="C889" s="289" t="s">
        <v>132</v>
      </c>
      <c r="D889" s="288" t="s">
        <v>320</v>
      </c>
      <c r="E889" s="290"/>
      <c r="F889" s="289" t="s">
        <v>321</v>
      </c>
      <c r="G889" s="291">
        <v>200000</v>
      </c>
      <c r="H889" s="291">
        <v>1500000</v>
      </c>
      <c r="I889" s="292">
        <v>-1300000</v>
      </c>
      <c r="J889" s="292">
        <v>200000</v>
      </c>
      <c r="K889" s="294">
        <v>-1500000</v>
      </c>
    </row>
    <row r="890" spans="1:11" ht="15.75" hidden="1" customHeight="1" x14ac:dyDescent="0.3">
      <c r="A890" s="278" t="s">
        <v>872</v>
      </c>
      <c r="B890" s="279">
        <v>97</v>
      </c>
      <c r="C890" s="278" t="s">
        <v>133</v>
      </c>
      <c r="D890" s="279" t="s">
        <v>222</v>
      </c>
      <c r="E890" s="278" t="s">
        <v>514</v>
      </c>
      <c r="F890" s="278" t="s">
        <v>1021</v>
      </c>
      <c r="G890" s="280">
        <v>257900</v>
      </c>
      <c r="H890" s="280">
        <v>0</v>
      </c>
      <c r="I890" s="281">
        <v>257900</v>
      </c>
      <c r="J890" s="282"/>
      <c r="K890" s="7"/>
    </row>
    <row r="891" spans="1:11" ht="15.75" hidden="1" customHeight="1" x14ac:dyDescent="0.3">
      <c r="A891" s="288" t="s">
        <v>872</v>
      </c>
      <c r="B891" s="288">
        <v>97</v>
      </c>
      <c r="C891" s="289" t="s">
        <v>133</v>
      </c>
      <c r="D891" s="288" t="s">
        <v>320</v>
      </c>
      <c r="E891" s="290"/>
      <c r="F891" s="289" t="s">
        <v>321</v>
      </c>
      <c r="G891" s="291">
        <v>257900</v>
      </c>
      <c r="H891" s="291">
        <v>0</v>
      </c>
      <c r="I891" s="292">
        <v>257900</v>
      </c>
      <c r="J891" s="292">
        <v>257900</v>
      </c>
      <c r="K891" s="293">
        <v>0</v>
      </c>
    </row>
    <row r="892" spans="1:11" ht="15.75" hidden="1" customHeight="1" x14ac:dyDescent="0.3">
      <c r="A892" s="278" t="s">
        <v>872</v>
      </c>
      <c r="B892" s="279">
        <v>101</v>
      </c>
      <c r="C892" s="278" t="s">
        <v>139</v>
      </c>
      <c r="D892" s="279" t="s">
        <v>222</v>
      </c>
      <c r="E892" s="278" t="s">
        <v>438</v>
      </c>
      <c r="F892" s="278" t="s">
        <v>1022</v>
      </c>
      <c r="G892" s="280">
        <v>11400</v>
      </c>
      <c r="H892" s="280">
        <v>0</v>
      </c>
      <c r="I892" s="281">
        <v>11400</v>
      </c>
      <c r="J892" s="282"/>
      <c r="K892" s="7"/>
    </row>
    <row r="893" spans="1:11" ht="15.75" hidden="1" customHeight="1" x14ac:dyDescent="0.3">
      <c r="A893" s="288" t="s">
        <v>872</v>
      </c>
      <c r="B893" s="288">
        <v>101</v>
      </c>
      <c r="C893" s="289" t="s">
        <v>139</v>
      </c>
      <c r="D893" s="288" t="s">
        <v>320</v>
      </c>
      <c r="E893" s="290"/>
      <c r="F893" s="289" t="s">
        <v>321</v>
      </c>
      <c r="G893" s="291">
        <v>11400</v>
      </c>
      <c r="H893" s="291">
        <v>0</v>
      </c>
      <c r="I893" s="292">
        <v>11400</v>
      </c>
      <c r="J893" s="292">
        <v>11400</v>
      </c>
      <c r="K893" s="293">
        <v>0</v>
      </c>
    </row>
    <row r="894" spans="1:11" ht="15.75" hidden="1" customHeight="1" x14ac:dyDescent="0.3">
      <c r="A894" s="278" t="s">
        <v>872</v>
      </c>
      <c r="B894" s="279">
        <v>107</v>
      </c>
      <c r="C894" s="278" t="s">
        <v>149</v>
      </c>
      <c r="D894" s="279" t="s">
        <v>516</v>
      </c>
      <c r="E894" s="278"/>
      <c r="F894" s="278" t="s">
        <v>1023</v>
      </c>
      <c r="G894" s="280">
        <v>93257494.310000002</v>
      </c>
      <c r="H894" s="280">
        <v>0</v>
      </c>
      <c r="I894" s="281">
        <v>93257494.310000002</v>
      </c>
      <c r="J894" s="282"/>
      <c r="K894" s="7"/>
    </row>
    <row r="895" spans="1:11" ht="15.75" hidden="1" customHeight="1" x14ac:dyDescent="0.3">
      <c r="A895" s="283" t="s">
        <v>872</v>
      </c>
      <c r="B895" s="284">
        <v>107</v>
      </c>
      <c r="C895" s="283" t="s">
        <v>149</v>
      </c>
      <c r="D895" s="284" t="s">
        <v>516</v>
      </c>
      <c r="E895" s="283"/>
      <c r="F895" s="283" t="s">
        <v>1023</v>
      </c>
      <c r="G895" s="285">
        <v>184262268.41</v>
      </c>
      <c r="H895" s="285">
        <v>0</v>
      </c>
      <c r="I895" s="286">
        <v>184262268.41</v>
      </c>
      <c r="J895" s="287"/>
      <c r="K895" s="7"/>
    </row>
    <row r="896" spans="1:11" ht="15.75" hidden="1" customHeight="1" x14ac:dyDescent="0.3">
      <c r="A896" s="278" t="s">
        <v>872</v>
      </c>
      <c r="B896" s="279">
        <v>107</v>
      </c>
      <c r="C896" s="278" t="s">
        <v>149</v>
      </c>
      <c r="D896" s="279" t="s">
        <v>518</v>
      </c>
      <c r="E896" s="278"/>
      <c r="F896" s="278" t="s">
        <v>1023</v>
      </c>
      <c r="G896" s="280">
        <v>23192392.75</v>
      </c>
      <c r="H896" s="280">
        <v>0</v>
      </c>
      <c r="I896" s="281">
        <v>23192392.75</v>
      </c>
      <c r="J896" s="282"/>
      <c r="K896" s="7"/>
    </row>
    <row r="897" spans="1:11" ht="15.75" hidden="1" customHeight="1" x14ac:dyDescent="0.3">
      <c r="A897" s="288" t="s">
        <v>872</v>
      </c>
      <c r="B897" s="288">
        <v>107</v>
      </c>
      <c r="C897" s="289" t="s">
        <v>149</v>
      </c>
      <c r="D897" s="288" t="s">
        <v>320</v>
      </c>
      <c r="E897" s="290"/>
      <c r="F897" s="289" t="s">
        <v>321</v>
      </c>
      <c r="G897" s="291">
        <v>300712155.47000003</v>
      </c>
      <c r="H897" s="291">
        <v>0</v>
      </c>
      <c r="I897" s="292">
        <v>300712155.47000003</v>
      </c>
      <c r="J897" s="292">
        <v>116449887.06</v>
      </c>
      <c r="K897" s="294">
        <v>184262268.41</v>
      </c>
    </row>
    <row r="898" spans="1:11" ht="15.75" hidden="1" customHeight="1" x14ac:dyDescent="0.3">
      <c r="A898" s="278" t="s">
        <v>872</v>
      </c>
      <c r="B898" s="279">
        <v>108</v>
      </c>
      <c r="C898" s="278" t="s">
        <v>153</v>
      </c>
      <c r="D898" s="279" t="s">
        <v>516</v>
      </c>
      <c r="E898" s="278"/>
      <c r="F898" s="278" t="s">
        <v>1024</v>
      </c>
      <c r="G898" s="280">
        <v>4776934.03</v>
      </c>
      <c r="H898" s="280">
        <v>0</v>
      </c>
      <c r="I898" s="281">
        <v>4776934.03</v>
      </c>
      <c r="J898" s="282"/>
      <c r="K898" s="7"/>
    </row>
    <row r="899" spans="1:11" ht="15.75" hidden="1" customHeight="1" x14ac:dyDescent="0.3">
      <c r="A899" s="283" t="s">
        <v>872</v>
      </c>
      <c r="B899" s="284">
        <v>108</v>
      </c>
      <c r="C899" s="283" t="s">
        <v>153</v>
      </c>
      <c r="D899" s="284" t="s">
        <v>518</v>
      </c>
      <c r="E899" s="283"/>
      <c r="F899" s="283" t="s">
        <v>1024</v>
      </c>
      <c r="G899" s="285">
        <v>1146464.17</v>
      </c>
      <c r="H899" s="285">
        <v>0</v>
      </c>
      <c r="I899" s="286">
        <v>1146464.17</v>
      </c>
      <c r="J899" s="287"/>
      <c r="K899" s="7"/>
    </row>
    <row r="900" spans="1:11" ht="15.75" hidden="1" customHeight="1" x14ac:dyDescent="0.3">
      <c r="A900" s="288" t="s">
        <v>872</v>
      </c>
      <c r="B900" s="288">
        <v>108</v>
      </c>
      <c r="C900" s="289" t="s">
        <v>153</v>
      </c>
      <c r="D900" s="288" t="s">
        <v>320</v>
      </c>
      <c r="E900" s="290"/>
      <c r="F900" s="289" t="s">
        <v>321</v>
      </c>
      <c r="G900" s="291">
        <v>5923398.2000000002</v>
      </c>
      <c r="H900" s="291">
        <v>0</v>
      </c>
      <c r="I900" s="292">
        <v>5923398.2000000002</v>
      </c>
      <c r="J900" s="292">
        <v>5923398.2000000002</v>
      </c>
      <c r="K900" s="293">
        <v>0</v>
      </c>
    </row>
    <row r="901" spans="1:11" ht="15.75" hidden="1" customHeight="1" x14ac:dyDescent="0.3">
      <c r="A901" s="278" t="s">
        <v>872</v>
      </c>
      <c r="B901" s="279">
        <v>109</v>
      </c>
      <c r="C901" s="278" t="s">
        <v>154</v>
      </c>
      <c r="D901" s="279" t="s">
        <v>516</v>
      </c>
      <c r="E901" s="278"/>
      <c r="F901" s="278" t="s">
        <v>1025</v>
      </c>
      <c r="G901" s="280">
        <v>5868783.4500000002</v>
      </c>
      <c r="H901" s="280">
        <v>0</v>
      </c>
      <c r="I901" s="281">
        <v>5868783.4500000002</v>
      </c>
      <c r="J901" s="282"/>
      <c r="K901" s="7"/>
    </row>
    <row r="902" spans="1:11" ht="15.75" hidden="1" customHeight="1" x14ac:dyDescent="0.3">
      <c r="A902" s="283" t="s">
        <v>872</v>
      </c>
      <c r="B902" s="284">
        <v>109</v>
      </c>
      <c r="C902" s="283" t="s">
        <v>154</v>
      </c>
      <c r="D902" s="284" t="s">
        <v>518</v>
      </c>
      <c r="E902" s="283"/>
      <c r="F902" s="283" t="s">
        <v>1025</v>
      </c>
      <c r="G902" s="285">
        <v>1408508.03</v>
      </c>
      <c r="H902" s="285">
        <v>0</v>
      </c>
      <c r="I902" s="286">
        <v>1408508.03</v>
      </c>
      <c r="J902" s="287"/>
      <c r="K902" s="7"/>
    </row>
    <row r="903" spans="1:11" ht="15.75" hidden="1" customHeight="1" x14ac:dyDescent="0.3">
      <c r="A903" s="288" t="s">
        <v>872</v>
      </c>
      <c r="B903" s="288">
        <v>109</v>
      </c>
      <c r="C903" s="289" t="s">
        <v>154</v>
      </c>
      <c r="D903" s="288" t="s">
        <v>320</v>
      </c>
      <c r="E903" s="290"/>
      <c r="F903" s="289" t="s">
        <v>321</v>
      </c>
      <c r="G903" s="291">
        <v>7277291.4800000004</v>
      </c>
      <c r="H903" s="291">
        <v>0</v>
      </c>
      <c r="I903" s="292">
        <v>7277291.4800000004</v>
      </c>
      <c r="J903" s="292">
        <v>7277291.4800000004</v>
      </c>
      <c r="K903" s="293">
        <v>0</v>
      </c>
    </row>
    <row r="904" spans="1:11" ht="15.75" hidden="1" customHeight="1" x14ac:dyDescent="0.3">
      <c r="A904" s="278" t="s">
        <v>872</v>
      </c>
      <c r="B904" s="279">
        <v>110</v>
      </c>
      <c r="C904" s="278" t="s">
        <v>155</v>
      </c>
      <c r="D904" s="279" t="s">
        <v>516</v>
      </c>
      <c r="E904" s="278"/>
      <c r="F904" s="278" t="s">
        <v>1026</v>
      </c>
      <c r="G904" s="280">
        <v>0</v>
      </c>
      <c r="H904" s="280">
        <v>6772481.2300000004</v>
      </c>
      <c r="I904" s="281">
        <v>-6772481.2300000004</v>
      </c>
      <c r="J904" s="282"/>
      <c r="K904" s="7"/>
    </row>
    <row r="905" spans="1:11" ht="15.75" hidden="1" customHeight="1" x14ac:dyDescent="0.3">
      <c r="A905" s="283" t="s">
        <v>872</v>
      </c>
      <c r="B905" s="284">
        <v>110</v>
      </c>
      <c r="C905" s="283" t="s">
        <v>155</v>
      </c>
      <c r="D905" s="284" t="s">
        <v>518</v>
      </c>
      <c r="E905" s="283"/>
      <c r="F905" s="283" t="s">
        <v>1026</v>
      </c>
      <c r="G905" s="285">
        <v>0</v>
      </c>
      <c r="H905" s="285">
        <v>1625395.5</v>
      </c>
      <c r="I905" s="286">
        <v>-1625395.5</v>
      </c>
      <c r="J905" s="287"/>
      <c r="K905" s="7"/>
    </row>
    <row r="906" spans="1:11" ht="15.75" hidden="1" customHeight="1" x14ac:dyDescent="0.3">
      <c r="A906" s="288" t="s">
        <v>872</v>
      </c>
      <c r="B906" s="288">
        <v>110</v>
      </c>
      <c r="C906" s="289" t="s">
        <v>155</v>
      </c>
      <c r="D906" s="288" t="s">
        <v>320</v>
      </c>
      <c r="E906" s="290"/>
      <c r="F906" s="289" t="s">
        <v>321</v>
      </c>
      <c r="G906" s="291">
        <v>0</v>
      </c>
      <c r="H906" s="291">
        <v>8397876.7300000004</v>
      </c>
      <c r="I906" s="292">
        <v>-8397876.7300000004</v>
      </c>
      <c r="J906" s="292">
        <v>-8397876.7300000004</v>
      </c>
      <c r="K906" s="293">
        <v>0</v>
      </c>
    </row>
    <row r="907" spans="1:11" ht="15.75" hidden="1" customHeight="1" x14ac:dyDescent="0.3">
      <c r="A907" s="278" t="s">
        <v>872</v>
      </c>
      <c r="B907" s="279">
        <v>111</v>
      </c>
      <c r="C907" s="278" t="s">
        <v>156</v>
      </c>
      <c r="D907" s="279" t="s">
        <v>522</v>
      </c>
      <c r="E907" s="278" t="s">
        <v>523</v>
      </c>
      <c r="F907" s="278" t="s">
        <v>1027</v>
      </c>
      <c r="G907" s="280">
        <v>8211062.4900000002</v>
      </c>
      <c r="H907" s="280">
        <v>0</v>
      </c>
      <c r="I907" s="281">
        <v>8211062.4900000002</v>
      </c>
      <c r="J907" s="282"/>
      <c r="K907" s="7"/>
    </row>
    <row r="908" spans="1:11" ht="15.75" hidden="1" customHeight="1" x14ac:dyDescent="0.3">
      <c r="A908" s="283" t="s">
        <v>872</v>
      </c>
      <c r="B908" s="284">
        <v>111</v>
      </c>
      <c r="C908" s="283" t="s">
        <v>156</v>
      </c>
      <c r="D908" s="284" t="s">
        <v>522</v>
      </c>
      <c r="E908" s="283" t="s">
        <v>523</v>
      </c>
      <c r="F908" s="283" t="s">
        <v>1027</v>
      </c>
      <c r="G908" s="285">
        <v>175198.37</v>
      </c>
      <c r="H908" s="285">
        <v>0</v>
      </c>
      <c r="I908" s="286">
        <v>175198.37</v>
      </c>
      <c r="J908" s="287"/>
      <c r="K908" s="7"/>
    </row>
    <row r="909" spans="1:11" ht="15.75" hidden="1" customHeight="1" x14ac:dyDescent="0.3">
      <c r="A909" s="278" t="s">
        <v>872</v>
      </c>
      <c r="B909" s="279">
        <v>111</v>
      </c>
      <c r="C909" s="278" t="s">
        <v>156</v>
      </c>
      <c r="D909" s="279" t="s">
        <v>522</v>
      </c>
      <c r="E909" s="278" t="s">
        <v>523</v>
      </c>
      <c r="F909" s="278" t="s">
        <v>1028</v>
      </c>
      <c r="G909" s="280">
        <v>0</v>
      </c>
      <c r="H909" s="280">
        <v>2362713.77</v>
      </c>
      <c r="I909" s="281">
        <v>-2362713.77</v>
      </c>
      <c r="J909" s="282"/>
      <c r="K909" s="7"/>
    </row>
    <row r="910" spans="1:11" ht="15.75" hidden="1" customHeight="1" x14ac:dyDescent="0.3">
      <c r="A910" s="283" t="s">
        <v>872</v>
      </c>
      <c r="B910" s="284">
        <v>111</v>
      </c>
      <c r="C910" s="283" t="s">
        <v>156</v>
      </c>
      <c r="D910" s="284" t="s">
        <v>522</v>
      </c>
      <c r="E910" s="283" t="s">
        <v>523</v>
      </c>
      <c r="F910" s="283" t="s">
        <v>1029</v>
      </c>
      <c r="G910" s="285">
        <v>238120.69</v>
      </c>
      <c r="H910" s="285">
        <v>0</v>
      </c>
      <c r="I910" s="286">
        <v>238120.69</v>
      </c>
      <c r="J910" s="287"/>
      <c r="K910" s="7"/>
    </row>
    <row r="911" spans="1:11" ht="15.75" hidden="1" customHeight="1" x14ac:dyDescent="0.3">
      <c r="A911" s="278" t="s">
        <v>872</v>
      </c>
      <c r="B911" s="279">
        <v>111</v>
      </c>
      <c r="C911" s="278" t="s">
        <v>156</v>
      </c>
      <c r="D911" s="279" t="s">
        <v>522</v>
      </c>
      <c r="E911" s="278" t="s">
        <v>523</v>
      </c>
      <c r="F911" s="278" t="s">
        <v>1029</v>
      </c>
      <c r="G911" s="280">
        <v>5080.75</v>
      </c>
      <c r="H911" s="280">
        <v>0</v>
      </c>
      <c r="I911" s="281">
        <v>5080.75</v>
      </c>
      <c r="J911" s="282"/>
      <c r="K911" s="7"/>
    </row>
    <row r="912" spans="1:11" ht="15.75" hidden="1" customHeight="1" x14ac:dyDescent="0.3">
      <c r="A912" s="288" t="s">
        <v>872</v>
      </c>
      <c r="B912" s="288">
        <v>111</v>
      </c>
      <c r="C912" s="289" t="s">
        <v>156</v>
      </c>
      <c r="D912" s="288" t="s">
        <v>320</v>
      </c>
      <c r="E912" s="290"/>
      <c r="F912" s="289" t="s">
        <v>321</v>
      </c>
      <c r="G912" s="291">
        <v>8629462.3000000007</v>
      </c>
      <c r="H912" s="291">
        <v>2362713.77</v>
      </c>
      <c r="I912" s="292">
        <v>6266748.5300000003</v>
      </c>
      <c r="J912" s="292">
        <v>6266749</v>
      </c>
      <c r="K912" s="293">
        <v>-0.46999999973922968</v>
      </c>
    </row>
    <row r="913" spans="1:11" ht="15.75" hidden="1" customHeight="1" x14ac:dyDescent="0.3">
      <c r="A913" s="278" t="s">
        <v>872</v>
      </c>
      <c r="B913" s="279">
        <v>112</v>
      </c>
      <c r="C913" s="278" t="s">
        <v>157</v>
      </c>
      <c r="D913" s="279" t="s">
        <v>522</v>
      </c>
      <c r="E913" s="278" t="s">
        <v>791</v>
      </c>
      <c r="F913" s="278" t="s">
        <v>1030</v>
      </c>
      <c r="G913" s="280">
        <v>1126441.3799999999</v>
      </c>
      <c r="H913" s="280">
        <v>0</v>
      </c>
      <c r="I913" s="281">
        <v>1126441.3799999999</v>
      </c>
      <c r="J913" s="282"/>
      <c r="K913" s="7"/>
    </row>
    <row r="914" spans="1:11" ht="15.75" hidden="1" customHeight="1" x14ac:dyDescent="0.3">
      <c r="A914" s="283" t="s">
        <v>872</v>
      </c>
      <c r="B914" s="284">
        <v>112</v>
      </c>
      <c r="C914" s="283" t="s">
        <v>157</v>
      </c>
      <c r="D914" s="284" t="s">
        <v>522</v>
      </c>
      <c r="E914" s="283"/>
      <c r="F914" s="283" t="s">
        <v>1031</v>
      </c>
      <c r="G914" s="285">
        <v>0</v>
      </c>
      <c r="H914" s="285">
        <v>1300000</v>
      </c>
      <c r="I914" s="286">
        <v>-1300000</v>
      </c>
      <c r="J914" s="287"/>
      <c r="K914" s="7"/>
    </row>
    <row r="915" spans="1:11" ht="15.75" hidden="1" customHeight="1" x14ac:dyDescent="0.3">
      <c r="A915" s="278" t="s">
        <v>872</v>
      </c>
      <c r="B915" s="279">
        <v>112</v>
      </c>
      <c r="C915" s="278" t="s">
        <v>157</v>
      </c>
      <c r="D915" s="279" t="s">
        <v>522</v>
      </c>
      <c r="E915" s="278"/>
      <c r="F915" s="278" t="s">
        <v>1032</v>
      </c>
      <c r="G915" s="280">
        <v>1300000</v>
      </c>
      <c r="H915" s="280">
        <v>0</v>
      </c>
      <c r="I915" s="281">
        <v>1300000</v>
      </c>
      <c r="J915" s="282"/>
      <c r="K915" s="7"/>
    </row>
    <row r="916" spans="1:11" ht="15.75" hidden="1" customHeight="1" x14ac:dyDescent="0.3">
      <c r="A916" s="288" t="s">
        <v>872</v>
      </c>
      <c r="B916" s="288">
        <v>112</v>
      </c>
      <c r="C916" s="289" t="s">
        <v>157</v>
      </c>
      <c r="D916" s="288" t="s">
        <v>320</v>
      </c>
      <c r="E916" s="290"/>
      <c r="F916" s="289" t="s">
        <v>321</v>
      </c>
      <c r="G916" s="291">
        <v>2426441.38</v>
      </c>
      <c r="H916" s="291">
        <v>1300000</v>
      </c>
      <c r="I916" s="292">
        <v>1126441.3799999999</v>
      </c>
      <c r="J916" s="292">
        <v>1126442</v>
      </c>
      <c r="K916" s="293">
        <v>-0.62000000011175871</v>
      </c>
    </row>
    <row r="917" spans="1:11" ht="15.75" hidden="1" customHeight="1" x14ac:dyDescent="0.3">
      <c r="A917" s="278" t="s">
        <v>872</v>
      </c>
      <c r="B917" s="279">
        <v>114</v>
      </c>
      <c r="C917" s="278" t="s">
        <v>160</v>
      </c>
      <c r="D917" s="279" t="s">
        <v>527</v>
      </c>
      <c r="E917" s="278" t="s">
        <v>1033</v>
      </c>
      <c r="F917" s="278" t="s">
        <v>1034</v>
      </c>
      <c r="G917" s="280">
        <v>1430000</v>
      </c>
      <c r="H917" s="280">
        <v>0</v>
      </c>
      <c r="I917" s="281">
        <v>1430000</v>
      </c>
      <c r="J917" s="282"/>
      <c r="K917" s="7"/>
    </row>
    <row r="918" spans="1:11" ht="15.75" hidden="1" customHeight="1" x14ac:dyDescent="0.3">
      <c r="A918" s="283" t="s">
        <v>872</v>
      </c>
      <c r="B918" s="284">
        <v>114</v>
      </c>
      <c r="C918" s="283" t="s">
        <v>160</v>
      </c>
      <c r="D918" s="284" t="s">
        <v>527</v>
      </c>
      <c r="E918" s="283" t="s">
        <v>507</v>
      </c>
      <c r="F918" s="283" t="s">
        <v>1035</v>
      </c>
      <c r="G918" s="285">
        <v>125000</v>
      </c>
      <c r="H918" s="285">
        <v>0</v>
      </c>
      <c r="I918" s="286">
        <v>125000</v>
      </c>
      <c r="J918" s="287"/>
      <c r="K918" s="7"/>
    </row>
    <row r="919" spans="1:11" ht="15.75" hidden="1" customHeight="1" x14ac:dyDescent="0.3">
      <c r="A919" s="278" t="s">
        <v>872</v>
      </c>
      <c r="B919" s="279">
        <v>114</v>
      </c>
      <c r="C919" s="278" t="s">
        <v>160</v>
      </c>
      <c r="D919" s="279" t="s">
        <v>527</v>
      </c>
      <c r="E919" s="278" t="s">
        <v>1033</v>
      </c>
      <c r="F919" s="278" t="s">
        <v>1036</v>
      </c>
      <c r="G919" s="280">
        <v>1430000</v>
      </c>
      <c r="H919" s="280">
        <v>0</v>
      </c>
      <c r="I919" s="281">
        <v>1430000</v>
      </c>
      <c r="J919" s="282"/>
      <c r="K919" s="7"/>
    </row>
    <row r="920" spans="1:11" ht="15.75" hidden="1" customHeight="1" x14ac:dyDescent="0.3">
      <c r="A920" s="288" t="s">
        <v>872</v>
      </c>
      <c r="B920" s="288">
        <v>114</v>
      </c>
      <c r="C920" s="289" t="s">
        <v>160</v>
      </c>
      <c r="D920" s="288" t="s">
        <v>320</v>
      </c>
      <c r="E920" s="290"/>
      <c r="F920" s="289" t="s">
        <v>321</v>
      </c>
      <c r="G920" s="291">
        <v>2985000</v>
      </c>
      <c r="H920" s="291">
        <v>0</v>
      </c>
      <c r="I920" s="292">
        <v>2985000</v>
      </c>
      <c r="J920" s="292">
        <v>1485000</v>
      </c>
      <c r="K920" s="294">
        <v>1500000</v>
      </c>
    </row>
    <row r="921" spans="1:11" ht="15.75" hidden="1" customHeight="1" x14ac:dyDescent="0.3">
      <c r="A921" s="278" t="s">
        <v>872</v>
      </c>
      <c r="B921" s="279">
        <v>115</v>
      </c>
      <c r="C921" s="278" t="s">
        <v>162</v>
      </c>
      <c r="D921" s="279" t="s">
        <v>529</v>
      </c>
      <c r="E921" s="278" t="s">
        <v>530</v>
      </c>
      <c r="F921" s="278" t="s">
        <v>1037</v>
      </c>
      <c r="G921" s="280">
        <v>33138</v>
      </c>
      <c r="H921" s="280">
        <v>0</v>
      </c>
      <c r="I921" s="281">
        <v>33138</v>
      </c>
      <c r="J921" s="282"/>
      <c r="K921" s="7"/>
    </row>
    <row r="922" spans="1:11" ht="15.75" hidden="1" customHeight="1" x14ac:dyDescent="0.3">
      <c r="A922" s="283" t="s">
        <v>872</v>
      </c>
      <c r="B922" s="284">
        <v>115</v>
      </c>
      <c r="C922" s="283" t="s">
        <v>162</v>
      </c>
      <c r="D922" s="284" t="s">
        <v>529</v>
      </c>
      <c r="E922" s="283" t="s">
        <v>530</v>
      </c>
      <c r="F922" s="283" t="s">
        <v>1038</v>
      </c>
      <c r="G922" s="285">
        <v>785596.33</v>
      </c>
      <c r="H922" s="285">
        <v>0</v>
      </c>
      <c r="I922" s="286">
        <v>785596.33</v>
      </c>
      <c r="J922" s="287"/>
      <c r="K922" s="7"/>
    </row>
    <row r="923" spans="1:11" ht="15.75" hidden="1" customHeight="1" x14ac:dyDescent="0.3">
      <c r="A923" s="278" t="s">
        <v>872</v>
      </c>
      <c r="B923" s="279">
        <v>115</v>
      </c>
      <c r="C923" s="278" t="s">
        <v>162</v>
      </c>
      <c r="D923" s="279" t="s">
        <v>529</v>
      </c>
      <c r="E923" s="278" t="s">
        <v>530</v>
      </c>
      <c r="F923" s="278" t="s">
        <v>1038</v>
      </c>
      <c r="G923" s="280">
        <v>185819.9</v>
      </c>
      <c r="H923" s="280">
        <v>0</v>
      </c>
      <c r="I923" s="281">
        <v>185819.9</v>
      </c>
      <c r="J923" s="282"/>
      <c r="K923" s="7"/>
    </row>
    <row r="924" spans="1:11" ht="15.75" hidden="1" customHeight="1" x14ac:dyDescent="0.3">
      <c r="A924" s="288" t="s">
        <v>872</v>
      </c>
      <c r="B924" s="288">
        <v>115</v>
      </c>
      <c r="C924" s="289" t="s">
        <v>162</v>
      </c>
      <c r="D924" s="288" t="s">
        <v>320</v>
      </c>
      <c r="E924" s="290"/>
      <c r="F924" s="289" t="s">
        <v>321</v>
      </c>
      <c r="G924" s="291">
        <v>1004554.23</v>
      </c>
      <c r="H924" s="291">
        <v>0</v>
      </c>
      <c r="I924" s="292">
        <v>1004554.23</v>
      </c>
      <c r="J924" s="292">
        <v>1004554</v>
      </c>
      <c r="K924" s="293">
        <v>0.22999999998137349</v>
      </c>
    </row>
    <row r="925" spans="1:11" ht="15.75" hidden="1" customHeight="1" x14ac:dyDescent="0.3">
      <c r="A925" s="278" t="s">
        <v>872</v>
      </c>
      <c r="B925" s="279">
        <v>117</v>
      </c>
      <c r="C925" s="278" t="s">
        <v>165</v>
      </c>
      <c r="D925" s="279" t="s">
        <v>534</v>
      </c>
      <c r="E925" s="278" t="s">
        <v>535</v>
      </c>
      <c r="F925" s="278" t="s">
        <v>1039</v>
      </c>
      <c r="G925" s="280">
        <v>340800</v>
      </c>
      <c r="H925" s="280">
        <v>0</v>
      </c>
      <c r="I925" s="281">
        <v>340800</v>
      </c>
      <c r="J925" s="282"/>
      <c r="K925" s="7"/>
    </row>
    <row r="926" spans="1:11" ht="15.75" hidden="1" customHeight="1" x14ac:dyDescent="0.3">
      <c r="A926" s="283" t="s">
        <v>872</v>
      </c>
      <c r="B926" s="284">
        <v>117</v>
      </c>
      <c r="C926" s="283" t="s">
        <v>165</v>
      </c>
      <c r="D926" s="284" t="s">
        <v>534</v>
      </c>
      <c r="E926" s="283" t="s">
        <v>535</v>
      </c>
      <c r="F926" s="283" t="s">
        <v>1040</v>
      </c>
      <c r="G926" s="285">
        <v>0</v>
      </c>
      <c r="H926" s="285">
        <v>56800</v>
      </c>
      <c r="I926" s="286">
        <v>-56800</v>
      </c>
      <c r="J926" s="287"/>
      <c r="K926" s="7"/>
    </row>
    <row r="927" spans="1:11" ht="15.75" hidden="1" customHeight="1" x14ac:dyDescent="0.3">
      <c r="A927" s="288" t="s">
        <v>872</v>
      </c>
      <c r="B927" s="288">
        <v>117</v>
      </c>
      <c r="C927" s="289" t="s">
        <v>165</v>
      </c>
      <c r="D927" s="288" t="s">
        <v>320</v>
      </c>
      <c r="E927" s="290"/>
      <c r="F927" s="289" t="s">
        <v>321</v>
      </c>
      <c r="G927" s="291">
        <v>340800</v>
      </c>
      <c r="H927" s="291">
        <v>56800</v>
      </c>
      <c r="I927" s="292">
        <v>284000</v>
      </c>
      <c r="J927" s="292">
        <v>284000</v>
      </c>
      <c r="K927" s="293">
        <v>0</v>
      </c>
    </row>
    <row r="928" spans="1:11" ht="15.75" hidden="1" customHeight="1" x14ac:dyDescent="0.3">
      <c r="A928" s="278" t="s">
        <v>872</v>
      </c>
      <c r="B928" s="279">
        <v>118</v>
      </c>
      <c r="C928" s="278" t="s">
        <v>167</v>
      </c>
      <c r="D928" s="279" t="s">
        <v>537</v>
      </c>
      <c r="E928" s="278" t="s">
        <v>438</v>
      </c>
      <c r="F928" s="278" t="s">
        <v>1041</v>
      </c>
      <c r="G928" s="280">
        <v>276790</v>
      </c>
      <c r="H928" s="280">
        <v>0</v>
      </c>
      <c r="I928" s="281">
        <v>276790</v>
      </c>
      <c r="J928" s="282"/>
      <c r="K928" s="7"/>
    </row>
    <row r="929" spans="1:11" ht="15.75" hidden="1" customHeight="1" x14ac:dyDescent="0.3">
      <c r="A929" s="283" t="s">
        <v>872</v>
      </c>
      <c r="B929" s="284">
        <v>118</v>
      </c>
      <c r="C929" s="283" t="s">
        <v>167</v>
      </c>
      <c r="D929" s="284" t="s">
        <v>537</v>
      </c>
      <c r="E929" s="283" t="s">
        <v>438</v>
      </c>
      <c r="F929" s="283" t="s">
        <v>1042</v>
      </c>
      <c r="G929" s="285">
        <v>59647.4</v>
      </c>
      <c r="H929" s="285">
        <v>0</v>
      </c>
      <c r="I929" s="286">
        <v>59647.4</v>
      </c>
      <c r="J929" s="287"/>
      <c r="K929" s="7"/>
    </row>
    <row r="930" spans="1:11" ht="15.75" hidden="1" customHeight="1" x14ac:dyDescent="0.3">
      <c r="A930" s="278" t="s">
        <v>872</v>
      </c>
      <c r="B930" s="279">
        <v>118</v>
      </c>
      <c r="C930" s="278" t="s">
        <v>167</v>
      </c>
      <c r="D930" s="279" t="s">
        <v>537</v>
      </c>
      <c r="E930" s="278" t="s">
        <v>438</v>
      </c>
      <c r="F930" s="278" t="s">
        <v>1043</v>
      </c>
      <c r="G930" s="280">
        <v>131898.29999999999</v>
      </c>
      <c r="H930" s="280">
        <v>0</v>
      </c>
      <c r="I930" s="281">
        <v>131898.29999999999</v>
      </c>
      <c r="J930" s="282"/>
      <c r="K930" s="7"/>
    </row>
    <row r="931" spans="1:11" ht="15.75" hidden="1" customHeight="1" x14ac:dyDescent="0.3">
      <c r="A931" s="283" t="s">
        <v>872</v>
      </c>
      <c r="B931" s="284">
        <v>118</v>
      </c>
      <c r="C931" s="283" t="s">
        <v>167</v>
      </c>
      <c r="D931" s="284" t="s">
        <v>537</v>
      </c>
      <c r="E931" s="283" t="s">
        <v>438</v>
      </c>
      <c r="F931" s="283" t="s">
        <v>1044</v>
      </c>
      <c r="G931" s="285">
        <v>1207930.99</v>
      </c>
      <c r="H931" s="285">
        <v>0</v>
      </c>
      <c r="I931" s="286">
        <v>1207930.99</v>
      </c>
      <c r="J931" s="287"/>
      <c r="K931" s="7"/>
    </row>
    <row r="932" spans="1:11" ht="15.75" hidden="1" customHeight="1" x14ac:dyDescent="0.3">
      <c r="A932" s="278" t="s">
        <v>872</v>
      </c>
      <c r="B932" s="279">
        <v>118</v>
      </c>
      <c r="C932" s="278" t="s">
        <v>167</v>
      </c>
      <c r="D932" s="279" t="s">
        <v>540</v>
      </c>
      <c r="E932" s="278" t="s">
        <v>438</v>
      </c>
      <c r="F932" s="278" t="s">
        <v>1041</v>
      </c>
      <c r="G932" s="280">
        <v>32500</v>
      </c>
      <c r="H932" s="280">
        <v>0</v>
      </c>
      <c r="I932" s="281">
        <v>32500</v>
      </c>
      <c r="J932" s="282"/>
      <c r="K932" s="7"/>
    </row>
    <row r="933" spans="1:11" ht="15.75" hidden="1" customHeight="1" x14ac:dyDescent="0.3">
      <c r="A933" s="283" t="s">
        <v>872</v>
      </c>
      <c r="B933" s="284">
        <v>118</v>
      </c>
      <c r="C933" s="283" t="s">
        <v>167</v>
      </c>
      <c r="D933" s="284" t="s">
        <v>540</v>
      </c>
      <c r="E933" s="283" t="s">
        <v>438</v>
      </c>
      <c r="F933" s="283" t="s">
        <v>1042</v>
      </c>
      <c r="G933" s="285">
        <v>98980</v>
      </c>
      <c r="H933" s="285">
        <v>0</v>
      </c>
      <c r="I933" s="286">
        <v>98980</v>
      </c>
      <c r="J933" s="287"/>
      <c r="K933" s="7"/>
    </row>
    <row r="934" spans="1:11" ht="15.75" hidden="1" customHeight="1" x14ac:dyDescent="0.3">
      <c r="A934" s="278" t="s">
        <v>872</v>
      </c>
      <c r="B934" s="279">
        <v>118</v>
      </c>
      <c r="C934" s="278" t="s">
        <v>167</v>
      </c>
      <c r="D934" s="279" t="s">
        <v>540</v>
      </c>
      <c r="E934" s="278" t="s">
        <v>438</v>
      </c>
      <c r="F934" s="278" t="s">
        <v>1043</v>
      </c>
      <c r="G934" s="280">
        <v>43900</v>
      </c>
      <c r="H934" s="280">
        <v>0</v>
      </c>
      <c r="I934" s="281">
        <v>43900</v>
      </c>
      <c r="J934" s="282"/>
      <c r="K934" s="7"/>
    </row>
    <row r="935" spans="1:11" ht="15.75" hidden="1" customHeight="1" x14ac:dyDescent="0.3">
      <c r="A935" s="283" t="s">
        <v>872</v>
      </c>
      <c r="B935" s="284">
        <v>118</v>
      </c>
      <c r="C935" s="283" t="s">
        <v>167</v>
      </c>
      <c r="D935" s="284" t="s">
        <v>540</v>
      </c>
      <c r="E935" s="283" t="s">
        <v>438</v>
      </c>
      <c r="F935" s="283" t="s">
        <v>1045</v>
      </c>
      <c r="G935" s="285">
        <v>157600</v>
      </c>
      <c r="H935" s="285">
        <v>0</v>
      </c>
      <c r="I935" s="286">
        <v>157600</v>
      </c>
      <c r="J935" s="287"/>
      <c r="K935" s="7"/>
    </row>
    <row r="936" spans="1:11" ht="15.75" hidden="1" customHeight="1" x14ac:dyDescent="0.3">
      <c r="A936" s="278" t="s">
        <v>872</v>
      </c>
      <c r="B936" s="279">
        <v>118</v>
      </c>
      <c r="C936" s="278" t="s">
        <v>167</v>
      </c>
      <c r="D936" s="279" t="s">
        <v>540</v>
      </c>
      <c r="E936" s="278" t="s">
        <v>438</v>
      </c>
      <c r="F936" s="278" t="s">
        <v>1046</v>
      </c>
      <c r="G936" s="280">
        <v>6250</v>
      </c>
      <c r="H936" s="280">
        <v>0</v>
      </c>
      <c r="I936" s="281">
        <v>6250</v>
      </c>
      <c r="J936" s="282"/>
      <c r="K936" s="7"/>
    </row>
    <row r="937" spans="1:11" ht="15.75" hidden="1" customHeight="1" x14ac:dyDescent="0.3">
      <c r="A937" s="288" t="s">
        <v>872</v>
      </c>
      <c r="B937" s="288">
        <v>118</v>
      </c>
      <c r="C937" s="289" t="s">
        <v>167</v>
      </c>
      <c r="D937" s="288" t="s">
        <v>320</v>
      </c>
      <c r="E937" s="290"/>
      <c r="F937" s="289" t="s">
        <v>321</v>
      </c>
      <c r="G937" s="291">
        <v>2015496.69</v>
      </c>
      <c r="H937" s="291">
        <v>0</v>
      </c>
      <c r="I937" s="292">
        <v>2015496.69</v>
      </c>
      <c r="J937" s="292">
        <v>2015497</v>
      </c>
      <c r="K937" s="293">
        <v>-0.31000000005587941</v>
      </c>
    </row>
    <row r="938" spans="1:11" ht="15.75" hidden="1" customHeight="1" x14ac:dyDescent="0.3">
      <c r="A938" s="278" t="s">
        <v>872</v>
      </c>
      <c r="B938" s="279">
        <v>119</v>
      </c>
      <c r="C938" s="278" t="s">
        <v>169</v>
      </c>
      <c r="D938" s="279" t="s">
        <v>542</v>
      </c>
      <c r="E938" s="278" t="s">
        <v>438</v>
      </c>
      <c r="F938" s="278" t="s">
        <v>1047</v>
      </c>
      <c r="G938" s="280">
        <v>81300</v>
      </c>
      <c r="H938" s="280">
        <v>0</v>
      </c>
      <c r="I938" s="281">
        <v>81300</v>
      </c>
      <c r="J938" s="282"/>
      <c r="K938" s="7"/>
    </row>
    <row r="939" spans="1:11" ht="15.75" hidden="1" customHeight="1" x14ac:dyDescent="0.3">
      <c r="A939" s="283" t="s">
        <v>872</v>
      </c>
      <c r="B939" s="284">
        <v>119</v>
      </c>
      <c r="C939" s="283" t="s">
        <v>169</v>
      </c>
      <c r="D939" s="284" t="s">
        <v>542</v>
      </c>
      <c r="E939" s="283" t="s">
        <v>438</v>
      </c>
      <c r="F939" s="283" t="s">
        <v>1048</v>
      </c>
      <c r="G939" s="285">
        <v>137400</v>
      </c>
      <c r="H939" s="285">
        <v>0</v>
      </c>
      <c r="I939" s="286">
        <v>137400</v>
      </c>
      <c r="J939" s="287"/>
      <c r="K939" s="7"/>
    </row>
    <row r="940" spans="1:11" ht="15.75" hidden="1" customHeight="1" x14ac:dyDescent="0.3">
      <c r="A940" s="278" t="s">
        <v>872</v>
      </c>
      <c r="B940" s="279">
        <v>119</v>
      </c>
      <c r="C940" s="278" t="s">
        <v>169</v>
      </c>
      <c r="D940" s="279" t="s">
        <v>542</v>
      </c>
      <c r="E940" s="278" t="s">
        <v>438</v>
      </c>
      <c r="F940" s="278" t="s">
        <v>803</v>
      </c>
      <c r="G940" s="280">
        <v>88500</v>
      </c>
      <c r="H940" s="280">
        <v>0</v>
      </c>
      <c r="I940" s="281">
        <v>88500</v>
      </c>
      <c r="J940" s="282"/>
      <c r="K940" s="7"/>
    </row>
    <row r="941" spans="1:11" ht="15.75" hidden="1" customHeight="1" x14ac:dyDescent="0.3">
      <c r="A941" s="283" t="s">
        <v>872</v>
      </c>
      <c r="B941" s="284">
        <v>119</v>
      </c>
      <c r="C941" s="283" t="s">
        <v>169</v>
      </c>
      <c r="D941" s="284" t="s">
        <v>542</v>
      </c>
      <c r="E941" s="283" t="s">
        <v>438</v>
      </c>
      <c r="F941" s="283" t="s">
        <v>548</v>
      </c>
      <c r="G941" s="285">
        <v>18800</v>
      </c>
      <c r="H941" s="285">
        <v>0</v>
      </c>
      <c r="I941" s="286">
        <v>18800</v>
      </c>
      <c r="J941" s="287"/>
      <c r="K941" s="7"/>
    </row>
    <row r="942" spans="1:11" ht="15.75" hidden="1" customHeight="1" x14ac:dyDescent="0.3">
      <c r="A942" s="288" t="s">
        <v>872</v>
      </c>
      <c r="B942" s="288">
        <v>119</v>
      </c>
      <c r="C942" s="289" t="s">
        <v>169</v>
      </c>
      <c r="D942" s="288" t="s">
        <v>320</v>
      </c>
      <c r="E942" s="290"/>
      <c r="F942" s="289" t="s">
        <v>321</v>
      </c>
      <c r="G942" s="291">
        <v>326000</v>
      </c>
      <c r="H942" s="291">
        <v>0</v>
      </c>
      <c r="I942" s="292">
        <v>326000</v>
      </c>
      <c r="J942" s="292">
        <v>326000</v>
      </c>
      <c r="K942" s="293">
        <v>0</v>
      </c>
    </row>
    <row r="943" spans="1:11" ht="15.75" hidden="1" customHeight="1" x14ac:dyDescent="0.3">
      <c r="A943" s="278" t="s">
        <v>872</v>
      </c>
      <c r="B943" s="279">
        <v>120</v>
      </c>
      <c r="C943" s="278" t="s">
        <v>171</v>
      </c>
      <c r="D943" s="279" t="s">
        <v>1049</v>
      </c>
      <c r="E943" s="278" t="s">
        <v>1050</v>
      </c>
      <c r="F943" s="278" t="s">
        <v>1051</v>
      </c>
      <c r="G943" s="280">
        <v>44953.42</v>
      </c>
      <c r="H943" s="280">
        <v>0</v>
      </c>
      <c r="I943" s="281">
        <v>44953.42</v>
      </c>
      <c r="J943" s="282"/>
      <c r="K943" s="7"/>
    </row>
    <row r="944" spans="1:11" ht="15.75" hidden="1" customHeight="1" x14ac:dyDescent="0.3">
      <c r="A944" s="283" t="s">
        <v>872</v>
      </c>
      <c r="B944" s="284">
        <v>120</v>
      </c>
      <c r="C944" s="283" t="s">
        <v>171</v>
      </c>
      <c r="D944" s="284" t="s">
        <v>1049</v>
      </c>
      <c r="E944" s="283" t="s">
        <v>1050</v>
      </c>
      <c r="F944" s="283" t="s">
        <v>1052</v>
      </c>
      <c r="G944" s="285">
        <v>44953.42</v>
      </c>
      <c r="H944" s="285">
        <v>0</v>
      </c>
      <c r="I944" s="286">
        <v>44953.42</v>
      </c>
      <c r="J944" s="287"/>
      <c r="K944" s="7"/>
    </row>
    <row r="945" spans="1:11" ht="15.75" hidden="1" customHeight="1" x14ac:dyDescent="0.3">
      <c r="A945" s="278" t="s">
        <v>872</v>
      </c>
      <c r="B945" s="279">
        <v>120</v>
      </c>
      <c r="C945" s="278" t="s">
        <v>171</v>
      </c>
      <c r="D945" s="279" t="s">
        <v>1049</v>
      </c>
      <c r="E945" s="278" t="s">
        <v>1050</v>
      </c>
      <c r="F945" s="278" t="s">
        <v>1053</v>
      </c>
      <c r="G945" s="280">
        <v>44953.42</v>
      </c>
      <c r="H945" s="280">
        <v>0</v>
      </c>
      <c r="I945" s="281">
        <v>44953.42</v>
      </c>
      <c r="J945" s="282"/>
      <c r="K945" s="7"/>
    </row>
    <row r="946" spans="1:11" ht="15.75" hidden="1" customHeight="1" x14ac:dyDescent="0.3">
      <c r="A946" s="288" t="s">
        <v>872</v>
      </c>
      <c r="B946" s="288">
        <v>120</v>
      </c>
      <c r="C946" s="289" t="s">
        <v>171</v>
      </c>
      <c r="D946" s="288" t="s">
        <v>320</v>
      </c>
      <c r="E946" s="290"/>
      <c r="F946" s="289" t="s">
        <v>321</v>
      </c>
      <c r="G946" s="291">
        <v>134860.26</v>
      </c>
      <c r="H946" s="291">
        <v>0</v>
      </c>
      <c r="I946" s="292">
        <v>134860.26</v>
      </c>
      <c r="J946" s="292">
        <v>134860</v>
      </c>
      <c r="K946" s="293">
        <v>0.26000000000931323</v>
      </c>
    </row>
    <row r="947" spans="1:11" ht="15.75" hidden="1" customHeight="1" x14ac:dyDescent="0.3">
      <c r="A947" s="278" t="s">
        <v>872</v>
      </c>
      <c r="B947" s="279">
        <v>121</v>
      </c>
      <c r="C947" s="278" t="s">
        <v>173</v>
      </c>
      <c r="D947" s="279" t="s">
        <v>1049</v>
      </c>
      <c r="E947" s="278" t="s">
        <v>173</v>
      </c>
      <c r="F947" s="278" t="s">
        <v>1054</v>
      </c>
      <c r="G947" s="280">
        <v>4500000</v>
      </c>
      <c r="H947" s="280">
        <v>0</v>
      </c>
      <c r="I947" s="281">
        <v>4500000</v>
      </c>
      <c r="J947" s="282"/>
      <c r="K947" s="7"/>
    </row>
    <row r="948" spans="1:11" ht="15.75" hidden="1" customHeight="1" x14ac:dyDescent="0.3">
      <c r="A948" s="283" t="s">
        <v>872</v>
      </c>
      <c r="B948" s="284">
        <v>121</v>
      </c>
      <c r="C948" s="283" t="s">
        <v>173</v>
      </c>
      <c r="D948" s="284" t="s">
        <v>1049</v>
      </c>
      <c r="E948" s="283" t="s">
        <v>173</v>
      </c>
      <c r="F948" s="283" t="s">
        <v>1055</v>
      </c>
      <c r="G948" s="285">
        <v>0</v>
      </c>
      <c r="H948" s="285">
        <v>4500000</v>
      </c>
      <c r="I948" s="286">
        <v>-4500000</v>
      </c>
      <c r="J948" s="287"/>
      <c r="K948" s="7"/>
    </row>
    <row r="949" spans="1:11" ht="15.75" hidden="1" customHeight="1" x14ac:dyDescent="0.3">
      <c r="A949" s="278" t="s">
        <v>872</v>
      </c>
      <c r="B949" s="279">
        <v>121</v>
      </c>
      <c r="C949" s="278" t="s">
        <v>173</v>
      </c>
      <c r="D949" s="279" t="s">
        <v>1049</v>
      </c>
      <c r="E949" s="278" t="s">
        <v>173</v>
      </c>
      <c r="F949" s="278" t="s">
        <v>1056</v>
      </c>
      <c r="G949" s="280">
        <v>4500000</v>
      </c>
      <c r="H949" s="280">
        <v>0</v>
      </c>
      <c r="I949" s="281">
        <v>4500000</v>
      </c>
      <c r="J949" s="282"/>
      <c r="K949" s="7"/>
    </row>
    <row r="950" spans="1:11" ht="15.75" hidden="1" customHeight="1" x14ac:dyDescent="0.3">
      <c r="A950" s="288" t="s">
        <v>872</v>
      </c>
      <c r="B950" s="288">
        <v>121</v>
      </c>
      <c r="C950" s="289" t="s">
        <v>173</v>
      </c>
      <c r="D950" s="288" t="s">
        <v>320</v>
      </c>
      <c r="E950" s="290"/>
      <c r="F950" s="289" t="s">
        <v>321</v>
      </c>
      <c r="G950" s="291">
        <v>9000000</v>
      </c>
      <c r="H950" s="291">
        <v>4500000</v>
      </c>
      <c r="I950" s="292">
        <v>4500000</v>
      </c>
      <c r="J950" s="292">
        <v>4500000</v>
      </c>
      <c r="K950" s="293">
        <v>0</v>
      </c>
    </row>
    <row r="951" spans="1:11" ht="15.75" hidden="1" customHeight="1" x14ac:dyDescent="0.3">
      <c r="A951" s="278" t="s">
        <v>872</v>
      </c>
      <c r="B951" s="279">
        <v>122</v>
      </c>
      <c r="C951" s="278" t="s">
        <v>175</v>
      </c>
      <c r="D951" s="279" t="s">
        <v>549</v>
      </c>
      <c r="E951" s="278"/>
      <c r="F951" s="278" t="s">
        <v>1057</v>
      </c>
      <c r="G951" s="280">
        <v>432412</v>
      </c>
      <c r="H951" s="280">
        <v>0</v>
      </c>
      <c r="I951" s="281">
        <v>432412</v>
      </c>
      <c r="J951" s="282"/>
      <c r="K951" s="7"/>
    </row>
    <row r="952" spans="1:11" ht="15.75" hidden="1" customHeight="1" x14ac:dyDescent="0.3">
      <c r="A952" s="288" t="s">
        <v>872</v>
      </c>
      <c r="B952" s="288">
        <v>122</v>
      </c>
      <c r="C952" s="289" t="s">
        <v>175</v>
      </c>
      <c r="D952" s="288" t="s">
        <v>320</v>
      </c>
      <c r="E952" s="290"/>
      <c r="F952" s="289" t="s">
        <v>321</v>
      </c>
      <c r="G952" s="291">
        <v>432412</v>
      </c>
      <c r="H952" s="291">
        <v>0</v>
      </c>
      <c r="I952" s="292">
        <v>432412</v>
      </c>
      <c r="J952" s="292">
        <v>432412</v>
      </c>
      <c r="K952" s="293">
        <v>0</v>
      </c>
    </row>
    <row r="953" spans="1:11" ht="15.75" hidden="1" customHeight="1" x14ac:dyDescent="0.3">
      <c r="A953" s="278" t="s">
        <v>872</v>
      </c>
      <c r="B953" s="279">
        <v>123</v>
      </c>
      <c r="C953" s="278" t="s">
        <v>177</v>
      </c>
      <c r="D953" s="279" t="s">
        <v>551</v>
      </c>
      <c r="E953" s="278" t="s">
        <v>552</v>
      </c>
      <c r="F953" s="278" t="s">
        <v>1058</v>
      </c>
      <c r="G953" s="280">
        <v>1934933</v>
      </c>
      <c r="H953" s="280">
        <v>0</v>
      </c>
      <c r="I953" s="281">
        <v>1934933</v>
      </c>
      <c r="J953" s="282"/>
      <c r="K953" s="7"/>
    </row>
    <row r="954" spans="1:11" ht="15.75" hidden="1" customHeight="1" x14ac:dyDescent="0.3">
      <c r="A954" s="283" t="s">
        <v>872</v>
      </c>
      <c r="B954" s="284">
        <v>123</v>
      </c>
      <c r="C954" s="283" t="s">
        <v>177</v>
      </c>
      <c r="D954" s="284" t="s">
        <v>551</v>
      </c>
      <c r="E954" s="283" t="s">
        <v>552</v>
      </c>
      <c r="F954" s="283" t="s">
        <v>1059</v>
      </c>
      <c r="G954" s="285">
        <v>252536</v>
      </c>
      <c r="H954" s="285">
        <v>0</v>
      </c>
      <c r="I954" s="286">
        <v>252536</v>
      </c>
      <c r="J954" s="287"/>
      <c r="K954" s="7"/>
    </row>
    <row r="955" spans="1:11" ht="15.75" hidden="1" customHeight="1" x14ac:dyDescent="0.3">
      <c r="A955" s="288" t="s">
        <v>872</v>
      </c>
      <c r="B955" s="288">
        <v>123</v>
      </c>
      <c r="C955" s="289" t="s">
        <v>177</v>
      </c>
      <c r="D955" s="288" t="s">
        <v>320</v>
      </c>
      <c r="E955" s="290"/>
      <c r="F955" s="289" t="s">
        <v>321</v>
      </c>
      <c r="G955" s="291">
        <v>2187469</v>
      </c>
      <c r="H955" s="291">
        <v>0</v>
      </c>
      <c r="I955" s="292">
        <v>2187469</v>
      </c>
      <c r="J955" s="292">
        <v>2187469</v>
      </c>
      <c r="K955" s="293">
        <v>0</v>
      </c>
    </row>
    <row r="956" spans="1:11" ht="15.75" hidden="1" customHeight="1" x14ac:dyDescent="0.3">
      <c r="A956" s="278" t="s">
        <v>872</v>
      </c>
      <c r="B956" s="279">
        <v>129</v>
      </c>
      <c r="C956" s="278" t="s">
        <v>183</v>
      </c>
      <c r="D956" s="279" t="s">
        <v>553</v>
      </c>
      <c r="E956" s="278" t="s">
        <v>554</v>
      </c>
      <c r="F956" s="278" t="s">
        <v>1060</v>
      </c>
      <c r="G956" s="280">
        <v>4376750</v>
      </c>
      <c r="H956" s="280">
        <v>0</v>
      </c>
      <c r="I956" s="281">
        <v>4376750</v>
      </c>
      <c r="J956" s="282"/>
      <c r="K956" s="7"/>
    </row>
    <row r="957" spans="1:11" ht="15.75" hidden="1" customHeight="1" x14ac:dyDescent="0.3">
      <c r="A957" s="288" t="s">
        <v>872</v>
      </c>
      <c r="B957" s="288">
        <v>129</v>
      </c>
      <c r="C957" s="289" t="s">
        <v>183</v>
      </c>
      <c r="D957" s="288" t="s">
        <v>320</v>
      </c>
      <c r="E957" s="290"/>
      <c r="F957" s="289" t="s">
        <v>321</v>
      </c>
      <c r="G957" s="291">
        <v>4376750</v>
      </c>
      <c r="H957" s="291">
        <v>0</v>
      </c>
      <c r="I957" s="292">
        <v>4376750</v>
      </c>
      <c r="J957" s="292">
        <v>4376750</v>
      </c>
      <c r="K957" s="293">
        <v>0</v>
      </c>
    </row>
    <row r="958" spans="1:11" ht="15.75" hidden="1" customHeight="1" x14ac:dyDescent="0.3">
      <c r="A958" s="278" t="s">
        <v>872</v>
      </c>
      <c r="B958" s="279">
        <v>130</v>
      </c>
      <c r="C958" s="278" t="s">
        <v>186</v>
      </c>
      <c r="D958" s="279" t="s">
        <v>553</v>
      </c>
      <c r="E958" s="278" t="s">
        <v>557</v>
      </c>
      <c r="F958" s="278" t="s">
        <v>1061</v>
      </c>
      <c r="G958" s="280">
        <v>1245219.0900000001</v>
      </c>
      <c r="H958" s="280">
        <v>0</v>
      </c>
      <c r="I958" s="281">
        <v>1245219.0900000001</v>
      </c>
      <c r="J958" s="282"/>
      <c r="K958" s="7"/>
    </row>
    <row r="959" spans="1:11" ht="15.75" hidden="1" customHeight="1" x14ac:dyDescent="0.3">
      <c r="A959" s="283" t="s">
        <v>872</v>
      </c>
      <c r="B959" s="284">
        <v>130</v>
      </c>
      <c r="C959" s="283" t="s">
        <v>186</v>
      </c>
      <c r="D959" s="284" t="s">
        <v>553</v>
      </c>
      <c r="E959" s="283"/>
      <c r="F959" s="283" t="s">
        <v>1062</v>
      </c>
      <c r="G959" s="285">
        <v>0</v>
      </c>
      <c r="H959" s="285">
        <v>1250000</v>
      </c>
      <c r="I959" s="286">
        <v>-1250000</v>
      </c>
      <c r="J959" s="287"/>
      <c r="K959" s="7"/>
    </row>
    <row r="960" spans="1:11" ht="15.75" hidden="1" customHeight="1" x14ac:dyDescent="0.3">
      <c r="A960" s="278" t="s">
        <v>872</v>
      </c>
      <c r="B960" s="279">
        <v>130</v>
      </c>
      <c r="C960" s="278" t="s">
        <v>186</v>
      </c>
      <c r="D960" s="279" t="s">
        <v>553</v>
      </c>
      <c r="E960" s="278"/>
      <c r="F960" s="278" t="s">
        <v>1063</v>
      </c>
      <c r="G960" s="280">
        <v>1300000</v>
      </c>
      <c r="H960" s="280">
        <v>0</v>
      </c>
      <c r="I960" s="281">
        <v>1300000</v>
      </c>
      <c r="J960" s="282"/>
      <c r="K960" s="7"/>
    </row>
    <row r="961" spans="1:11" ht="15.75" hidden="1" customHeight="1" x14ac:dyDescent="0.3">
      <c r="A961" s="288" t="s">
        <v>872</v>
      </c>
      <c r="B961" s="288">
        <v>130</v>
      </c>
      <c r="C961" s="289" t="s">
        <v>186</v>
      </c>
      <c r="D961" s="288" t="s">
        <v>320</v>
      </c>
      <c r="E961" s="290"/>
      <c r="F961" s="289" t="s">
        <v>321</v>
      </c>
      <c r="G961" s="291">
        <v>2545219.09</v>
      </c>
      <c r="H961" s="291">
        <v>1250000</v>
      </c>
      <c r="I961" s="292">
        <v>1295219.0900000001</v>
      </c>
      <c r="J961" s="292">
        <v>1295219</v>
      </c>
      <c r="K961" s="293">
        <v>9.0000000083819032E-2</v>
      </c>
    </row>
    <row r="962" spans="1:11" ht="15.75" hidden="1" customHeight="1" x14ac:dyDescent="0.3">
      <c r="A962" s="278" t="s">
        <v>872</v>
      </c>
      <c r="B962" s="279">
        <v>131</v>
      </c>
      <c r="C962" s="278" t="s">
        <v>188</v>
      </c>
      <c r="D962" s="279" t="s">
        <v>560</v>
      </c>
      <c r="E962" s="278" t="s">
        <v>438</v>
      </c>
      <c r="F962" s="278" t="s">
        <v>1064</v>
      </c>
      <c r="G962" s="280">
        <v>323560</v>
      </c>
      <c r="H962" s="280">
        <v>0</v>
      </c>
      <c r="I962" s="281">
        <v>323560</v>
      </c>
      <c r="J962" s="282"/>
      <c r="K962" s="7"/>
    </row>
    <row r="963" spans="1:11" ht="15.75" hidden="1" customHeight="1" x14ac:dyDescent="0.3">
      <c r="A963" s="283" t="s">
        <v>872</v>
      </c>
      <c r="B963" s="284">
        <v>131</v>
      </c>
      <c r="C963" s="283" t="s">
        <v>188</v>
      </c>
      <c r="D963" s="284" t="s">
        <v>560</v>
      </c>
      <c r="E963" s="283" t="s">
        <v>438</v>
      </c>
      <c r="F963" s="283" t="s">
        <v>1065</v>
      </c>
      <c r="G963" s="285">
        <v>6221</v>
      </c>
      <c r="H963" s="285">
        <v>0</v>
      </c>
      <c r="I963" s="286">
        <v>6221</v>
      </c>
      <c r="J963" s="287"/>
      <c r="K963" s="7"/>
    </row>
    <row r="964" spans="1:11" ht="15.75" hidden="1" customHeight="1" x14ac:dyDescent="0.3">
      <c r="A964" s="278" t="s">
        <v>872</v>
      </c>
      <c r="B964" s="279">
        <v>131</v>
      </c>
      <c r="C964" s="278" t="s">
        <v>188</v>
      </c>
      <c r="D964" s="279" t="s">
        <v>560</v>
      </c>
      <c r="E964" s="278" t="s">
        <v>438</v>
      </c>
      <c r="F964" s="278" t="s">
        <v>1066</v>
      </c>
      <c r="G964" s="280">
        <v>6221</v>
      </c>
      <c r="H964" s="280">
        <v>0</v>
      </c>
      <c r="I964" s="281">
        <v>6221</v>
      </c>
      <c r="J964" s="282"/>
      <c r="K964" s="7"/>
    </row>
    <row r="965" spans="1:11" ht="15.75" hidden="1" customHeight="1" x14ac:dyDescent="0.3">
      <c r="A965" s="283" t="s">
        <v>872</v>
      </c>
      <c r="B965" s="284">
        <v>131</v>
      </c>
      <c r="C965" s="283" t="s">
        <v>188</v>
      </c>
      <c r="D965" s="284" t="s">
        <v>560</v>
      </c>
      <c r="E965" s="283" t="s">
        <v>438</v>
      </c>
      <c r="F965" s="283" t="s">
        <v>1067</v>
      </c>
      <c r="G965" s="285">
        <v>6221</v>
      </c>
      <c r="H965" s="285">
        <v>0</v>
      </c>
      <c r="I965" s="286">
        <v>6221</v>
      </c>
      <c r="J965" s="287"/>
      <c r="K965" s="7"/>
    </row>
    <row r="966" spans="1:11" ht="15.75" hidden="1" customHeight="1" x14ac:dyDescent="0.3">
      <c r="A966" s="288" t="s">
        <v>872</v>
      </c>
      <c r="B966" s="288">
        <v>131</v>
      </c>
      <c r="C966" s="289" t="s">
        <v>188</v>
      </c>
      <c r="D966" s="288" t="s">
        <v>320</v>
      </c>
      <c r="E966" s="290"/>
      <c r="F966" s="289" t="s">
        <v>321</v>
      </c>
      <c r="G966" s="291">
        <v>342223</v>
      </c>
      <c r="H966" s="291">
        <v>0</v>
      </c>
      <c r="I966" s="292">
        <v>342223</v>
      </c>
      <c r="J966" s="292">
        <v>342223</v>
      </c>
      <c r="K966" s="293">
        <v>0</v>
      </c>
    </row>
    <row r="967" spans="1:11" ht="15.75" hidden="1" customHeight="1" x14ac:dyDescent="0.3">
      <c r="A967" s="278" t="s">
        <v>872</v>
      </c>
      <c r="B967" s="279">
        <v>132</v>
      </c>
      <c r="C967" s="278" t="s">
        <v>190</v>
      </c>
      <c r="D967" s="279" t="s">
        <v>565</v>
      </c>
      <c r="E967" s="278" t="s">
        <v>566</v>
      </c>
      <c r="F967" s="278" t="s">
        <v>1068</v>
      </c>
      <c r="G967" s="280">
        <v>848699.69</v>
      </c>
      <c r="H967" s="280">
        <v>0</v>
      </c>
      <c r="I967" s="281">
        <v>848699.69</v>
      </c>
      <c r="J967" s="282"/>
      <c r="K967" s="7"/>
    </row>
    <row r="968" spans="1:11" ht="15.75" hidden="1" customHeight="1" x14ac:dyDescent="0.3">
      <c r="A968" s="288" t="s">
        <v>872</v>
      </c>
      <c r="B968" s="288">
        <v>132</v>
      </c>
      <c r="C968" s="289" t="s">
        <v>190</v>
      </c>
      <c r="D968" s="288" t="s">
        <v>320</v>
      </c>
      <c r="E968" s="290"/>
      <c r="F968" s="289" t="s">
        <v>321</v>
      </c>
      <c r="G968" s="291">
        <v>848699.69</v>
      </c>
      <c r="H968" s="291">
        <v>0</v>
      </c>
      <c r="I968" s="292">
        <v>848699.69</v>
      </c>
      <c r="J968" s="292">
        <v>848700</v>
      </c>
      <c r="K968" s="293">
        <v>-0.31000000005587941</v>
      </c>
    </row>
    <row r="969" spans="1:11" ht="15.75" hidden="1" customHeight="1" x14ac:dyDescent="0.3">
      <c r="A969" s="278" t="s">
        <v>872</v>
      </c>
      <c r="B969" s="279">
        <v>134</v>
      </c>
      <c r="C969" s="278" t="s">
        <v>194</v>
      </c>
      <c r="D969" s="279" t="s">
        <v>549</v>
      </c>
      <c r="E969" s="278" t="s">
        <v>568</v>
      </c>
      <c r="F969" s="278" t="s">
        <v>1069</v>
      </c>
      <c r="G969" s="280">
        <v>8289.07</v>
      </c>
      <c r="H969" s="280">
        <v>0</v>
      </c>
      <c r="I969" s="281">
        <v>8289.07</v>
      </c>
      <c r="J969" s="282"/>
      <c r="K969" s="7"/>
    </row>
    <row r="970" spans="1:11" ht="15.75" hidden="1" customHeight="1" x14ac:dyDescent="0.3">
      <c r="A970" s="283" t="s">
        <v>872</v>
      </c>
      <c r="B970" s="284">
        <v>134</v>
      </c>
      <c r="C970" s="283" t="s">
        <v>194</v>
      </c>
      <c r="D970" s="284" t="s">
        <v>549</v>
      </c>
      <c r="E970" s="283" t="s">
        <v>568</v>
      </c>
      <c r="F970" s="283" t="s">
        <v>1069</v>
      </c>
      <c r="G970" s="285">
        <v>224</v>
      </c>
      <c r="H970" s="285">
        <v>0</v>
      </c>
      <c r="I970" s="286">
        <v>224</v>
      </c>
      <c r="J970" s="287"/>
      <c r="K970" s="7"/>
    </row>
    <row r="971" spans="1:11" ht="15.75" hidden="1" customHeight="1" x14ac:dyDescent="0.3">
      <c r="A971" s="288" t="s">
        <v>872</v>
      </c>
      <c r="B971" s="288">
        <v>134</v>
      </c>
      <c r="C971" s="289" t="s">
        <v>194</v>
      </c>
      <c r="D971" s="288" t="s">
        <v>320</v>
      </c>
      <c r="E971" s="290"/>
      <c r="F971" s="289" t="s">
        <v>321</v>
      </c>
      <c r="G971" s="291">
        <v>8513.07</v>
      </c>
      <c r="H971" s="291">
        <v>0</v>
      </c>
      <c r="I971" s="292">
        <v>8513.07</v>
      </c>
      <c r="J971" s="292">
        <v>8513</v>
      </c>
      <c r="K971" s="293">
        <v>6.9999999999708962E-2</v>
      </c>
    </row>
    <row r="972" spans="1:11" ht="15.75" hidden="1" customHeight="1" x14ac:dyDescent="0.3">
      <c r="A972" s="278" t="s">
        <v>872</v>
      </c>
      <c r="B972" s="279">
        <v>135</v>
      </c>
      <c r="C972" s="278" t="s">
        <v>196</v>
      </c>
      <c r="D972" s="279" t="s">
        <v>571</v>
      </c>
      <c r="E972" s="278" t="s">
        <v>572</v>
      </c>
      <c r="F972" s="278" t="s">
        <v>1070</v>
      </c>
      <c r="G972" s="280">
        <v>91890</v>
      </c>
      <c r="H972" s="280">
        <v>0</v>
      </c>
      <c r="I972" s="281">
        <v>91890</v>
      </c>
      <c r="J972" s="282"/>
      <c r="K972" s="7"/>
    </row>
    <row r="973" spans="1:11" ht="15.75" hidden="1" customHeight="1" x14ac:dyDescent="0.3">
      <c r="A973" s="283" t="s">
        <v>872</v>
      </c>
      <c r="B973" s="284">
        <v>135</v>
      </c>
      <c r="C973" s="283" t="s">
        <v>196</v>
      </c>
      <c r="D973" s="284" t="s">
        <v>571</v>
      </c>
      <c r="E973" s="283" t="s">
        <v>575</v>
      </c>
      <c r="F973" s="283" t="s">
        <v>1071</v>
      </c>
      <c r="G973" s="285">
        <v>29760</v>
      </c>
      <c r="H973" s="285">
        <v>0</v>
      </c>
      <c r="I973" s="286">
        <v>29760</v>
      </c>
      <c r="J973" s="287"/>
      <c r="K973" s="7"/>
    </row>
    <row r="974" spans="1:11" ht="15.75" hidden="1" customHeight="1" x14ac:dyDescent="0.3">
      <c r="A974" s="278" t="s">
        <v>872</v>
      </c>
      <c r="B974" s="279">
        <v>135</v>
      </c>
      <c r="C974" s="278" t="s">
        <v>196</v>
      </c>
      <c r="D974" s="279" t="s">
        <v>571</v>
      </c>
      <c r="E974" s="278" t="s">
        <v>575</v>
      </c>
      <c r="F974" s="278" t="s">
        <v>1071</v>
      </c>
      <c r="G974" s="280">
        <v>187.2</v>
      </c>
      <c r="H974" s="280">
        <v>0</v>
      </c>
      <c r="I974" s="281">
        <v>187.2</v>
      </c>
      <c r="J974" s="282"/>
      <c r="K974" s="7"/>
    </row>
    <row r="975" spans="1:11" ht="15.75" hidden="1" customHeight="1" x14ac:dyDescent="0.3">
      <c r="A975" s="288" t="s">
        <v>872</v>
      </c>
      <c r="B975" s="288">
        <v>135</v>
      </c>
      <c r="C975" s="289" t="s">
        <v>196</v>
      </c>
      <c r="D975" s="288" t="s">
        <v>320</v>
      </c>
      <c r="E975" s="290"/>
      <c r="F975" s="289" t="s">
        <v>321</v>
      </c>
      <c r="G975" s="291">
        <v>121837.2</v>
      </c>
      <c r="H975" s="291">
        <v>0</v>
      </c>
      <c r="I975" s="292">
        <v>121837.2</v>
      </c>
      <c r="J975" s="292">
        <v>29947</v>
      </c>
      <c r="K975" s="294">
        <v>91890.2</v>
      </c>
    </row>
    <row r="976" spans="1:11" ht="15.75" hidden="1" customHeight="1" x14ac:dyDescent="0.3">
      <c r="A976" s="278" t="s">
        <v>872</v>
      </c>
      <c r="B976" s="279">
        <v>136</v>
      </c>
      <c r="C976" s="278" t="s">
        <v>198</v>
      </c>
      <c r="D976" s="279" t="s">
        <v>222</v>
      </c>
      <c r="E976" s="278" t="s">
        <v>577</v>
      </c>
      <c r="F976" s="278" t="s">
        <v>1072</v>
      </c>
      <c r="G976" s="280">
        <v>79466.399999999994</v>
      </c>
      <c r="H976" s="280">
        <v>0</v>
      </c>
      <c r="I976" s="281">
        <v>79466.399999999994</v>
      </c>
      <c r="J976" s="282"/>
      <c r="K976" s="7"/>
    </row>
    <row r="977" spans="1:11" ht="15.75" hidden="1" customHeight="1" x14ac:dyDescent="0.3">
      <c r="A977" s="288" t="s">
        <v>872</v>
      </c>
      <c r="B977" s="288">
        <v>136</v>
      </c>
      <c r="C977" s="289" t="s">
        <v>198</v>
      </c>
      <c r="D977" s="288" t="s">
        <v>320</v>
      </c>
      <c r="E977" s="290"/>
      <c r="F977" s="289" t="s">
        <v>321</v>
      </c>
      <c r="G977" s="291">
        <v>79466.399999999994</v>
      </c>
      <c r="H977" s="291">
        <v>0</v>
      </c>
      <c r="I977" s="292">
        <v>79466.399999999994</v>
      </c>
      <c r="J977" s="292">
        <v>79466</v>
      </c>
      <c r="K977" s="293">
        <v>0.39999999999417918</v>
      </c>
    </row>
    <row r="978" spans="1:11" ht="15.75" hidden="1" customHeight="1" x14ac:dyDescent="0.3">
      <c r="A978" s="278" t="s">
        <v>872</v>
      </c>
      <c r="B978" s="279">
        <v>137</v>
      </c>
      <c r="C978" s="278" t="s">
        <v>200</v>
      </c>
      <c r="D978" s="279" t="s">
        <v>222</v>
      </c>
      <c r="E978" s="278" t="s">
        <v>1073</v>
      </c>
      <c r="F978" s="278" t="s">
        <v>1074</v>
      </c>
      <c r="G978" s="280">
        <v>0.19</v>
      </c>
      <c r="H978" s="280">
        <v>0</v>
      </c>
      <c r="I978" s="281">
        <v>0.19</v>
      </c>
      <c r="J978" s="282"/>
      <c r="K978" s="7"/>
    </row>
    <row r="979" spans="1:11" ht="15.75" hidden="1" customHeight="1" x14ac:dyDescent="0.3">
      <c r="A979" s="283" t="s">
        <v>872</v>
      </c>
      <c r="B979" s="284">
        <v>137</v>
      </c>
      <c r="C979" s="283" t="s">
        <v>200</v>
      </c>
      <c r="D979" s="284" t="s">
        <v>582</v>
      </c>
      <c r="E979" s="283" t="s">
        <v>438</v>
      </c>
      <c r="F979" s="283" t="s">
        <v>1075</v>
      </c>
      <c r="G979" s="285">
        <v>443907.63</v>
      </c>
      <c r="H979" s="285">
        <v>0</v>
      </c>
      <c r="I979" s="286">
        <v>443907.63</v>
      </c>
      <c r="J979" s="287"/>
      <c r="K979" s="7"/>
    </row>
    <row r="980" spans="1:11" ht="15.75" hidden="1" customHeight="1" x14ac:dyDescent="0.3">
      <c r="A980" s="278" t="s">
        <v>872</v>
      </c>
      <c r="B980" s="279">
        <v>137</v>
      </c>
      <c r="C980" s="278" t="s">
        <v>200</v>
      </c>
      <c r="D980" s="279" t="s">
        <v>582</v>
      </c>
      <c r="E980" s="278" t="s">
        <v>438</v>
      </c>
      <c r="F980" s="278" t="s">
        <v>585</v>
      </c>
      <c r="G980" s="280">
        <v>433754.54</v>
      </c>
      <c r="H980" s="280">
        <v>0</v>
      </c>
      <c r="I980" s="281">
        <v>433754.54</v>
      </c>
      <c r="J980" s="282"/>
      <c r="K980" s="7"/>
    </row>
    <row r="981" spans="1:11" ht="15.75" hidden="1" customHeight="1" x14ac:dyDescent="0.3">
      <c r="A981" s="288" t="s">
        <v>872</v>
      </c>
      <c r="B981" s="288">
        <v>137</v>
      </c>
      <c r="C981" s="289" t="s">
        <v>200</v>
      </c>
      <c r="D981" s="288" t="s">
        <v>320</v>
      </c>
      <c r="E981" s="290"/>
      <c r="F981" s="289" t="s">
        <v>321</v>
      </c>
      <c r="G981" s="291">
        <v>877662.36</v>
      </c>
      <c r="H981" s="291">
        <v>0</v>
      </c>
      <c r="I981" s="292">
        <v>877662.36</v>
      </c>
      <c r="J981" s="292">
        <v>877662</v>
      </c>
      <c r="K981" s="293">
        <v>0.35999999998603022</v>
      </c>
    </row>
    <row r="982" spans="1:11" ht="15.75" hidden="1" customHeight="1" x14ac:dyDescent="0.3">
      <c r="A982" s="278" t="s">
        <v>872</v>
      </c>
      <c r="B982" s="279">
        <v>138</v>
      </c>
      <c r="C982" s="278" t="s">
        <v>202</v>
      </c>
      <c r="D982" s="279" t="s">
        <v>222</v>
      </c>
      <c r="E982" s="278" t="s">
        <v>586</v>
      </c>
      <c r="F982" s="278" t="s">
        <v>1076</v>
      </c>
      <c r="G982" s="280">
        <v>30263</v>
      </c>
      <c r="H982" s="280">
        <v>0</v>
      </c>
      <c r="I982" s="281">
        <v>30263</v>
      </c>
      <c r="J982" s="282"/>
      <c r="K982" s="7"/>
    </row>
    <row r="983" spans="1:11" ht="15.75" hidden="1" customHeight="1" x14ac:dyDescent="0.3">
      <c r="A983" s="288" t="s">
        <v>872</v>
      </c>
      <c r="B983" s="288">
        <v>138</v>
      </c>
      <c r="C983" s="289" t="s">
        <v>202</v>
      </c>
      <c r="D983" s="288" t="s">
        <v>320</v>
      </c>
      <c r="E983" s="290"/>
      <c r="F983" s="289" t="s">
        <v>321</v>
      </c>
      <c r="G983" s="291">
        <v>30263</v>
      </c>
      <c r="H983" s="291">
        <v>0</v>
      </c>
      <c r="I983" s="292">
        <v>30263</v>
      </c>
      <c r="J983" s="292">
        <v>30263</v>
      </c>
      <c r="K983" s="293">
        <v>0</v>
      </c>
    </row>
    <row r="984" spans="1:11" ht="15.75" hidden="1" customHeight="1" x14ac:dyDescent="0.3">
      <c r="A984" s="278" t="s">
        <v>872</v>
      </c>
      <c r="B984" s="279">
        <v>139</v>
      </c>
      <c r="C984" s="278" t="s">
        <v>204</v>
      </c>
      <c r="D984" s="279" t="s">
        <v>588</v>
      </c>
      <c r="E984" s="278"/>
      <c r="F984" s="278" t="s">
        <v>1077</v>
      </c>
      <c r="G984" s="280">
        <v>108223.17</v>
      </c>
      <c r="H984" s="280">
        <v>0</v>
      </c>
      <c r="I984" s="281">
        <v>108223.17</v>
      </c>
      <c r="J984" s="282"/>
      <c r="K984" s="7"/>
    </row>
    <row r="985" spans="1:11" ht="15.75" hidden="1" customHeight="1" x14ac:dyDescent="0.3">
      <c r="A985" s="283" t="s">
        <v>872</v>
      </c>
      <c r="B985" s="284">
        <v>139</v>
      </c>
      <c r="C985" s="283" t="s">
        <v>204</v>
      </c>
      <c r="D985" s="284" t="s">
        <v>588</v>
      </c>
      <c r="E985" s="283"/>
      <c r="F985" s="283" t="s">
        <v>1078</v>
      </c>
      <c r="G985" s="285">
        <v>44676.47</v>
      </c>
      <c r="H985" s="285">
        <v>0</v>
      </c>
      <c r="I985" s="286">
        <v>44676.47</v>
      </c>
      <c r="J985" s="287"/>
      <c r="K985" s="7"/>
    </row>
    <row r="986" spans="1:11" ht="15.75" hidden="1" customHeight="1" x14ac:dyDescent="0.3">
      <c r="A986" s="278" t="s">
        <v>872</v>
      </c>
      <c r="B986" s="279">
        <v>139</v>
      </c>
      <c r="C986" s="278" t="s">
        <v>204</v>
      </c>
      <c r="D986" s="279" t="s">
        <v>588</v>
      </c>
      <c r="E986" s="278"/>
      <c r="F986" s="278" t="s">
        <v>1079</v>
      </c>
      <c r="G986" s="280">
        <v>96029.57</v>
      </c>
      <c r="H986" s="280">
        <v>0</v>
      </c>
      <c r="I986" s="281">
        <v>96029.57</v>
      </c>
      <c r="J986" s="282"/>
      <c r="K986" s="7"/>
    </row>
    <row r="987" spans="1:11" ht="15.75" hidden="1" customHeight="1" x14ac:dyDescent="0.3">
      <c r="A987" s="283" t="s">
        <v>872</v>
      </c>
      <c r="B987" s="284">
        <v>139</v>
      </c>
      <c r="C987" s="283" t="s">
        <v>204</v>
      </c>
      <c r="D987" s="284" t="s">
        <v>588</v>
      </c>
      <c r="E987" s="283"/>
      <c r="F987" s="283" t="s">
        <v>1080</v>
      </c>
      <c r="G987" s="285">
        <v>118150.72</v>
      </c>
      <c r="H987" s="285">
        <v>0</v>
      </c>
      <c r="I987" s="286">
        <v>118150.72</v>
      </c>
      <c r="J987" s="287"/>
      <c r="K987" s="7"/>
    </row>
    <row r="988" spans="1:11" ht="15.75" hidden="1" customHeight="1" x14ac:dyDescent="0.3">
      <c r="A988" s="278" t="s">
        <v>872</v>
      </c>
      <c r="B988" s="279">
        <v>139</v>
      </c>
      <c r="C988" s="278" t="s">
        <v>204</v>
      </c>
      <c r="D988" s="279" t="s">
        <v>588</v>
      </c>
      <c r="E988" s="278"/>
      <c r="F988" s="278" t="s">
        <v>1081</v>
      </c>
      <c r="G988" s="280">
        <v>84273.2</v>
      </c>
      <c r="H988" s="280">
        <v>0</v>
      </c>
      <c r="I988" s="281">
        <v>84273.2</v>
      </c>
      <c r="J988" s="282"/>
      <c r="K988" s="7"/>
    </row>
    <row r="989" spans="1:11" ht="15.75" hidden="1" customHeight="1" x14ac:dyDescent="0.3">
      <c r="A989" s="283" t="s">
        <v>872</v>
      </c>
      <c r="B989" s="284">
        <v>139</v>
      </c>
      <c r="C989" s="283" t="s">
        <v>204</v>
      </c>
      <c r="D989" s="284" t="s">
        <v>588</v>
      </c>
      <c r="E989" s="283"/>
      <c r="F989" s="283" t="s">
        <v>1082</v>
      </c>
      <c r="G989" s="285">
        <v>44260.69</v>
      </c>
      <c r="H989" s="285">
        <v>0</v>
      </c>
      <c r="I989" s="286">
        <v>44260.69</v>
      </c>
      <c r="J989" s="287"/>
      <c r="K989" s="7"/>
    </row>
    <row r="990" spans="1:11" ht="15.75" hidden="1" customHeight="1" x14ac:dyDescent="0.3">
      <c r="A990" s="278" t="s">
        <v>872</v>
      </c>
      <c r="B990" s="279">
        <v>139</v>
      </c>
      <c r="C990" s="278" t="s">
        <v>204</v>
      </c>
      <c r="D990" s="279" t="s">
        <v>588</v>
      </c>
      <c r="E990" s="278"/>
      <c r="F990" s="278" t="s">
        <v>1083</v>
      </c>
      <c r="G990" s="280">
        <v>144680</v>
      </c>
      <c r="H990" s="280">
        <v>0</v>
      </c>
      <c r="I990" s="281">
        <v>144680</v>
      </c>
      <c r="J990" s="282"/>
      <c r="K990" s="7"/>
    </row>
    <row r="991" spans="1:11" ht="15.75" hidden="1" customHeight="1" x14ac:dyDescent="0.3">
      <c r="A991" s="283" t="s">
        <v>872</v>
      </c>
      <c r="B991" s="284">
        <v>139</v>
      </c>
      <c r="C991" s="283" t="s">
        <v>204</v>
      </c>
      <c r="D991" s="284" t="s">
        <v>588</v>
      </c>
      <c r="E991" s="283"/>
      <c r="F991" s="283" t="s">
        <v>1084</v>
      </c>
      <c r="G991" s="285">
        <v>448884</v>
      </c>
      <c r="H991" s="285">
        <v>0</v>
      </c>
      <c r="I991" s="286">
        <v>448884</v>
      </c>
      <c r="J991" s="287"/>
      <c r="K991" s="7"/>
    </row>
    <row r="992" spans="1:11" ht="15.75" hidden="1" customHeight="1" x14ac:dyDescent="0.3">
      <c r="A992" s="288" t="s">
        <v>872</v>
      </c>
      <c r="B992" s="288">
        <v>139</v>
      </c>
      <c r="C992" s="289" t="s">
        <v>204</v>
      </c>
      <c r="D992" s="288" t="s">
        <v>320</v>
      </c>
      <c r="E992" s="290"/>
      <c r="F992" s="289" t="s">
        <v>321</v>
      </c>
      <c r="G992" s="291">
        <v>1089177.82</v>
      </c>
      <c r="H992" s="291">
        <v>0</v>
      </c>
      <c r="I992" s="292">
        <v>1089177.82</v>
      </c>
      <c r="J992" s="292">
        <v>1089178</v>
      </c>
      <c r="K992" s="293">
        <v>-0.17999999993480739</v>
      </c>
    </row>
    <row r="993" spans="1:11" ht="15.75" hidden="1" customHeight="1" x14ac:dyDescent="0.3">
      <c r="A993" s="278" t="s">
        <v>872</v>
      </c>
      <c r="B993" s="279">
        <v>146</v>
      </c>
      <c r="C993" s="278" t="s">
        <v>215</v>
      </c>
      <c r="D993" s="279" t="s">
        <v>222</v>
      </c>
      <c r="E993" s="278" t="s">
        <v>1085</v>
      </c>
      <c r="F993" s="278" t="s">
        <v>1086</v>
      </c>
      <c r="G993" s="280">
        <v>750000</v>
      </c>
      <c r="H993" s="280">
        <v>0</v>
      </c>
      <c r="I993" s="281">
        <v>750000</v>
      </c>
      <c r="J993" s="282"/>
      <c r="K993" s="7"/>
    </row>
    <row r="994" spans="1:11" ht="15.75" hidden="1" customHeight="1" x14ac:dyDescent="0.3">
      <c r="A994" s="283" t="s">
        <v>872</v>
      </c>
      <c r="B994" s="284">
        <v>146</v>
      </c>
      <c r="C994" s="283" t="s">
        <v>215</v>
      </c>
      <c r="D994" s="284" t="s">
        <v>222</v>
      </c>
      <c r="E994" s="283" t="s">
        <v>1085</v>
      </c>
      <c r="F994" s="283" t="s">
        <v>1087</v>
      </c>
      <c r="G994" s="285">
        <v>750000</v>
      </c>
      <c r="H994" s="285">
        <v>0</v>
      </c>
      <c r="I994" s="286">
        <v>750000</v>
      </c>
      <c r="J994" s="287"/>
      <c r="K994" s="7"/>
    </row>
    <row r="995" spans="1:11" ht="15.75" hidden="1" customHeight="1" x14ac:dyDescent="0.3">
      <c r="A995" s="288" t="s">
        <v>872</v>
      </c>
      <c r="B995" s="288">
        <v>146</v>
      </c>
      <c r="C995" s="289" t="s">
        <v>215</v>
      </c>
      <c r="D995" s="288" t="s">
        <v>320</v>
      </c>
      <c r="E995" s="290"/>
      <c r="F995" s="289" t="s">
        <v>321</v>
      </c>
      <c r="G995" s="291">
        <v>1500000</v>
      </c>
      <c r="H995" s="291">
        <v>0</v>
      </c>
      <c r="I995" s="292">
        <v>1500000</v>
      </c>
      <c r="J995" s="292">
        <v>1500000</v>
      </c>
      <c r="K995" s="293">
        <v>0</v>
      </c>
    </row>
    <row r="996" spans="1:11" ht="15.75" hidden="1" customHeight="1" x14ac:dyDescent="0.3">
      <c r="A996" s="278" t="s">
        <v>872</v>
      </c>
      <c r="B996" s="279">
        <v>147</v>
      </c>
      <c r="C996" s="278" t="s">
        <v>217</v>
      </c>
      <c r="D996" s="279" t="s">
        <v>549</v>
      </c>
      <c r="E996" s="278"/>
      <c r="F996" s="278" t="s">
        <v>1088</v>
      </c>
      <c r="G996" s="280">
        <v>128926</v>
      </c>
      <c r="H996" s="280">
        <v>0</v>
      </c>
      <c r="I996" s="281">
        <v>128926</v>
      </c>
      <c r="J996" s="282"/>
      <c r="K996" s="7"/>
    </row>
    <row r="997" spans="1:11" ht="15.75" hidden="1" customHeight="1" x14ac:dyDescent="0.3">
      <c r="A997" s="288" t="s">
        <v>872</v>
      </c>
      <c r="B997" s="288">
        <v>147</v>
      </c>
      <c r="C997" s="289" t="s">
        <v>217</v>
      </c>
      <c r="D997" s="288" t="s">
        <v>320</v>
      </c>
      <c r="E997" s="290"/>
      <c r="F997" s="289" t="s">
        <v>321</v>
      </c>
      <c r="G997" s="291">
        <v>128926</v>
      </c>
      <c r="H997" s="291">
        <v>0</v>
      </c>
      <c r="I997" s="292">
        <v>128926</v>
      </c>
      <c r="J997" s="292">
        <v>128926</v>
      </c>
      <c r="K997" s="293">
        <v>0</v>
      </c>
    </row>
    <row r="998" spans="1:11" ht="15.75" hidden="1" customHeight="1" x14ac:dyDescent="0.3">
      <c r="A998" s="278" t="s">
        <v>872</v>
      </c>
      <c r="B998" s="279">
        <v>150</v>
      </c>
      <c r="C998" s="278" t="s">
        <v>224</v>
      </c>
      <c r="D998" s="279" t="s">
        <v>596</v>
      </c>
      <c r="E998" s="278" t="s">
        <v>852</v>
      </c>
      <c r="F998" s="278" t="s">
        <v>1089</v>
      </c>
      <c r="G998" s="280">
        <v>296900</v>
      </c>
      <c r="H998" s="280">
        <v>0</v>
      </c>
      <c r="I998" s="281">
        <v>296900</v>
      </c>
      <c r="J998" s="282"/>
      <c r="K998" s="7"/>
    </row>
    <row r="999" spans="1:11" ht="15.75" hidden="1" customHeight="1" x14ac:dyDescent="0.3">
      <c r="A999" s="288" t="s">
        <v>872</v>
      </c>
      <c r="B999" s="288">
        <v>150</v>
      </c>
      <c r="C999" s="289" t="s">
        <v>224</v>
      </c>
      <c r="D999" s="288" t="s">
        <v>320</v>
      </c>
      <c r="E999" s="290"/>
      <c r="F999" s="289" t="s">
        <v>321</v>
      </c>
      <c r="G999" s="291">
        <v>296900</v>
      </c>
      <c r="H999" s="291">
        <v>0</v>
      </c>
      <c r="I999" s="292">
        <v>296900</v>
      </c>
      <c r="J999" s="292">
        <v>296900</v>
      </c>
      <c r="K999" s="293">
        <v>0</v>
      </c>
    </row>
    <row r="1000" spans="1:11" ht="15.75" hidden="1" customHeight="1" x14ac:dyDescent="0.3">
      <c r="A1000" s="278" t="s">
        <v>872</v>
      </c>
      <c r="B1000" s="279">
        <v>152</v>
      </c>
      <c r="C1000" s="278" t="s">
        <v>226</v>
      </c>
      <c r="D1000" s="279" t="s">
        <v>600</v>
      </c>
      <c r="E1000" s="278"/>
      <c r="F1000" s="278" t="s">
        <v>1090</v>
      </c>
      <c r="G1000" s="280">
        <v>13847239.65</v>
      </c>
      <c r="H1000" s="280">
        <v>0</v>
      </c>
      <c r="I1000" s="281">
        <v>13847239.65</v>
      </c>
      <c r="J1000" s="282"/>
      <c r="K1000" s="7"/>
    </row>
    <row r="1001" spans="1:11" ht="15.75" hidden="1" customHeight="1" x14ac:dyDescent="0.3">
      <c r="A1001" s="288" t="s">
        <v>872</v>
      </c>
      <c r="B1001" s="288">
        <v>152</v>
      </c>
      <c r="C1001" s="289" t="s">
        <v>226</v>
      </c>
      <c r="D1001" s="288" t="s">
        <v>320</v>
      </c>
      <c r="E1001" s="290"/>
      <c r="F1001" s="289" t="s">
        <v>321</v>
      </c>
      <c r="G1001" s="291">
        <v>13847239.65</v>
      </c>
      <c r="H1001" s="291">
        <v>0</v>
      </c>
      <c r="I1001" s="292">
        <v>13847239.65</v>
      </c>
      <c r="J1001" s="292">
        <v>13847239.65</v>
      </c>
      <c r="K1001" s="293">
        <v>0</v>
      </c>
    </row>
    <row r="1002" spans="1:11" ht="15.75" customHeight="1" x14ac:dyDescent="0.3">
      <c r="A1002" s="278" t="s">
        <v>872</v>
      </c>
      <c r="B1002" s="279">
        <v>158</v>
      </c>
      <c r="C1002" s="278" t="s">
        <v>229</v>
      </c>
      <c r="D1002" s="279" t="s">
        <v>602</v>
      </c>
      <c r="E1002" s="278"/>
      <c r="F1002" s="278" t="s">
        <v>1091</v>
      </c>
      <c r="G1002" s="280">
        <v>0</v>
      </c>
      <c r="H1002" s="280">
        <v>226278054</v>
      </c>
      <c r="I1002" s="281">
        <v>-226278054</v>
      </c>
      <c r="J1002" s="282"/>
      <c r="K1002" s="7"/>
    </row>
    <row r="1003" spans="1:11" ht="15.75" customHeight="1" x14ac:dyDescent="0.3">
      <c r="A1003" s="283" t="s">
        <v>872</v>
      </c>
      <c r="B1003" s="284">
        <v>158</v>
      </c>
      <c r="C1003" s="283" t="s">
        <v>229</v>
      </c>
      <c r="D1003" s="284" t="s">
        <v>602</v>
      </c>
      <c r="E1003" s="283" t="s">
        <v>604</v>
      </c>
      <c r="F1003" s="283" t="s">
        <v>1092</v>
      </c>
      <c r="G1003" s="285">
        <v>225993891.59999999</v>
      </c>
      <c r="H1003" s="285">
        <v>0</v>
      </c>
      <c r="I1003" s="286">
        <v>225993891.59999999</v>
      </c>
      <c r="J1003" s="287"/>
      <c r="K1003" s="7"/>
    </row>
    <row r="1004" spans="1:11" ht="15.75" customHeight="1" x14ac:dyDescent="0.3">
      <c r="A1004" s="278" t="s">
        <v>872</v>
      </c>
      <c r="B1004" s="279">
        <v>158</v>
      </c>
      <c r="C1004" s="278" t="s">
        <v>229</v>
      </c>
      <c r="D1004" s="279" t="s">
        <v>602</v>
      </c>
      <c r="E1004" s="278"/>
      <c r="F1004" s="278" t="s">
        <v>1093</v>
      </c>
      <c r="G1004" s="280">
        <v>235000000</v>
      </c>
      <c r="H1004" s="280">
        <v>0</v>
      </c>
      <c r="I1004" s="281">
        <v>235000000</v>
      </c>
      <c r="J1004" s="282"/>
      <c r="K1004" s="7"/>
    </row>
    <row r="1005" spans="1:11" ht="15.75" customHeight="1" x14ac:dyDescent="0.3">
      <c r="A1005" s="288" t="s">
        <v>872</v>
      </c>
      <c r="B1005" s="288">
        <v>158</v>
      </c>
      <c r="C1005" s="289" t="s">
        <v>229</v>
      </c>
      <c r="D1005" s="288" t="s">
        <v>320</v>
      </c>
      <c r="E1005" s="290"/>
      <c r="F1005" s="289" t="s">
        <v>321</v>
      </c>
      <c r="G1005" s="291">
        <v>460993891.60000002</v>
      </c>
      <c r="H1005" s="291">
        <v>226278054</v>
      </c>
      <c r="I1005" s="292">
        <v>234715837.59999999</v>
      </c>
      <c r="J1005" s="292">
        <v>350810804.68000001</v>
      </c>
      <c r="K1005" s="294">
        <v>-116094967.08</v>
      </c>
    </row>
    <row r="1006" spans="1:11" ht="15.75" customHeight="1" x14ac:dyDescent="0.3">
      <c r="A1006" s="278" t="s">
        <v>872</v>
      </c>
      <c r="B1006" s="279">
        <v>164</v>
      </c>
      <c r="C1006" s="278" t="s">
        <v>238</v>
      </c>
      <c r="D1006" s="279" t="s">
        <v>607</v>
      </c>
      <c r="E1006" s="278"/>
      <c r="F1006" s="278" t="s">
        <v>1094</v>
      </c>
      <c r="G1006" s="280">
        <v>0</v>
      </c>
      <c r="H1006" s="280">
        <v>150000000</v>
      </c>
      <c r="I1006" s="281">
        <v>-150000000</v>
      </c>
      <c r="J1006" s="282"/>
      <c r="K1006" s="7"/>
    </row>
    <row r="1007" spans="1:11" ht="15.75" customHeight="1" x14ac:dyDescent="0.3">
      <c r="A1007" s="283" t="s">
        <v>872</v>
      </c>
      <c r="B1007" s="284">
        <v>164</v>
      </c>
      <c r="C1007" s="283" t="s">
        <v>238</v>
      </c>
      <c r="D1007" s="284" t="s">
        <v>607</v>
      </c>
      <c r="E1007" s="283" t="s">
        <v>604</v>
      </c>
      <c r="F1007" s="283" t="s">
        <v>1095</v>
      </c>
      <c r="G1007" s="285">
        <v>150000000</v>
      </c>
      <c r="H1007" s="285">
        <v>0</v>
      </c>
      <c r="I1007" s="286">
        <v>150000000</v>
      </c>
      <c r="J1007" s="287"/>
      <c r="K1007" s="7"/>
    </row>
    <row r="1008" spans="1:11" ht="15.75" customHeight="1" x14ac:dyDescent="0.3">
      <c r="A1008" s="278" t="s">
        <v>872</v>
      </c>
      <c r="B1008" s="279">
        <v>164</v>
      </c>
      <c r="C1008" s="278" t="s">
        <v>238</v>
      </c>
      <c r="D1008" s="279" t="s">
        <v>607</v>
      </c>
      <c r="E1008" s="278"/>
      <c r="F1008" s="278" t="s">
        <v>1096</v>
      </c>
      <c r="G1008" s="280">
        <v>150000000</v>
      </c>
      <c r="H1008" s="280">
        <v>0</v>
      </c>
      <c r="I1008" s="281">
        <v>150000000</v>
      </c>
      <c r="J1008" s="282"/>
      <c r="K1008" s="7"/>
    </row>
    <row r="1009" spans="1:11" ht="15.75" customHeight="1" x14ac:dyDescent="0.3">
      <c r="A1009" s="288" t="s">
        <v>872</v>
      </c>
      <c r="B1009" s="288">
        <v>164</v>
      </c>
      <c r="C1009" s="289" t="s">
        <v>238</v>
      </c>
      <c r="D1009" s="288" t="s">
        <v>320</v>
      </c>
      <c r="E1009" s="290"/>
      <c r="F1009" s="289" t="s">
        <v>321</v>
      </c>
      <c r="G1009" s="291">
        <v>300000000</v>
      </c>
      <c r="H1009" s="291">
        <v>150000000</v>
      </c>
      <c r="I1009" s="292">
        <v>150000000</v>
      </c>
      <c r="J1009" s="292">
        <v>21339176.68</v>
      </c>
      <c r="K1009" s="294">
        <v>128660823.31999999</v>
      </c>
    </row>
    <row r="1010" spans="1:11" ht="15.75" hidden="1" customHeight="1" x14ac:dyDescent="0.3">
      <c r="A1010" s="278" t="s">
        <v>872</v>
      </c>
      <c r="B1010" s="279">
        <v>174</v>
      </c>
      <c r="C1010" s="278" t="s">
        <v>248</v>
      </c>
      <c r="D1010" s="279" t="s">
        <v>534</v>
      </c>
      <c r="E1010" s="278" t="s">
        <v>611</v>
      </c>
      <c r="F1010" s="278" t="s">
        <v>1097</v>
      </c>
      <c r="G1010" s="280">
        <v>49000</v>
      </c>
      <c r="H1010" s="280">
        <v>0</v>
      </c>
      <c r="I1010" s="281">
        <v>49000</v>
      </c>
      <c r="J1010" s="282"/>
      <c r="K1010" s="7"/>
    </row>
    <row r="1011" spans="1:11" ht="15.75" hidden="1" customHeight="1" x14ac:dyDescent="0.3">
      <c r="A1011" s="288" t="s">
        <v>872</v>
      </c>
      <c r="B1011" s="288">
        <v>174</v>
      </c>
      <c r="C1011" s="289" t="s">
        <v>248</v>
      </c>
      <c r="D1011" s="288" t="s">
        <v>320</v>
      </c>
      <c r="E1011" s="290"/>
      <c r="F1011" s="289" t="s">
        <v>321</v>
      </c>
      <c r="G1011" s="291">
        <v>49000</v>
      </c>
      <c r="H1011" s="291">
        <v>0</v>
      </c>
      <c r="I1011" s="292">
        <v>49000</v>
      </c>
      <c r="J1011" s="292">
        <v>49000</v>
      </c>
      <c r="K1011" s="293">
        <v>0</v>
      </c>
    </row>
    <row r="1012" spans="1:11" ht="15.75" hidden="1" customHeight="1" x14ac:dyDescent="0.3">
      <c r="A1012" s="278" t="s">
        <v>872</v>
      </c>
      <c r="B1012" s="279">
        <v>176</v>
      </c>
      <c r="C1012" s="278" t="s">
        <v>250</v>
      </c>
      <c r="D1012" s="279" t="s">
        <v>613</v>
      </c>
      <c r="E1012" s="278" t="s">
        <v>614</v>
      </c>
      <c r="F1012" s="278" t="s">
        <v>1098</v>
      </c>
      <c r="G1012" s="280">
        <v>8792.2800000000007</v>
      </c>
      <c r="H1012" s="280">
        <v>0</v>
      </c>
      <c r="I1012" s="281">
        <v>8792.2800000000007</v>
      </c>
      <c r="J1012" s="282"/>
      <c r="K1012" s="7"/>
    </row>
    <row r="1013" spans="1:11" ht="15.75" hidden="1" customHeight="1" x14ac:dyDescent="0.3">
      <c r="A1013" s="283" t="s">
        <v>872</v>
      </c>
      <c r="B1013" s="284">
        <v>176</v>
      </c>
      <c r="C1013" s="283" t="s">
        <v>250</v>
      </c>
      <c r="D1013" s="284" t="s">
        <v>613</v>
      </c>
      <c r="E1013" s="283" t="s">
        <v>428</v>
      </c>
      <c r="F1013" s="283" t="s">
        <v>1099</v>
      </c>
      <c r="G1013" s="285">
        <v>0</v>
      </c>
      <c r="H1013" s="285">
        <v>14520</v>
      </c>
      <c r="I1013" s="286">
        <v>-14520</v>
      </c>
      <c r="J1013" s="287"/>
      <c r="K1013" s="7"/>
    </row>
    <row r="1014" spans="1:11" ht="15.75" hidden="1" customHeight="1" x14ac:dyDescent="0.3">
      <c r="A1014" s="288" t="s">
        <v>872</v>
      </c>
      <c r="B1014" s="288">
        <v>176</v>
      </c>
      <c r="C1014" s="289" t="s">
        <v>250</v>
      </c>
      <c r="D1014" s="288" t="s">
        <v>320</v>
      </c>
      <c r="E1014" s="290"/>
      <c r="F1014" s="289" t="s">
        <v>321</v>
      </c>
      <c r="G1014" s="291">
        <v>8792.2800000000007</v>
      </c>
      <c r="H1014" s="291">
        <v>14520</v>
      </c>
      <c r="I1014" s="292">
        <v>-5727.7199999999993</v>
      </c>
      <c r="J1014" s="292">
        <v>-5728</v>
      </c>
      <c r="K1014" s="293">
        <v>0.28000000000065478</v>
      </c>
    </row>
    <row r="1015" spans="1:11" ht="15.75" hidden="1" customHeight="1" x14ac:dyDescent="0.3">
      <c r="A1015" s="278" t="s">
        <v>872</v>
      </c>
      <c r="B1015" s="279">
        <v>178</v>
      </c>
      <c r="C1015" s="278" t="s">
        <v>251</v>
      </c>
      <c r="D1015" s="279" t="s">
        <v>618</v>
      </c>
      <c r="E1015" s="278"/>
      <c r="F1015" s="278" t="s">
        <v>1100</v>
      </c>
      <c r="G1015" s="280">
        <v>0</v>
      </c>
      <c r="H1015" s="280">
        <v>75122642.310000002</v>
      </c>
      <c r="I1015" s="281">
        <v>-75122642.310000002</v>
      </c>
      <c r="J1015" s="282"/>
      <c r="K1015" s="7"/>
    </row>
    <row r="1016" spans="1:11" ht="15.75" hidden="1" customHeight="1" x14ac:dyDescent="0.3">
      <c r="A1016" s="283" t="s">
        <v>872</v>
      </c>
      <c r="B1016" s="284">
        <v>178</v>
      </c>
      <c r="C1016" s="283" t="s">
        <v>251</v>
      </c>
      <c r="D1016" s="284" t="s">
        <v>620</v>
      </c>
      <c r="E1016" s="283"/>
      <c r="F1016" s="283" t="s">
        <v>1101</v>
      </c>
      <c r="G1016" s="285">
        <v>4456889.8499999996</v>
      </c>
      <c r="H1016" s="285">
        <v>0</v>
      </c>
      <c r="I1016" s="286">
        <v>4456889.8499999996</v>
      </c>
      <c r="J1016" s="287"/>
      <c r="K1016" s="7"/>
    </row>
    <row r="1017" spans="1:11" ht="15.75" hidden="1" customHeight="1" x14ac:dyDescent="0.3">
      <c r="A1017" s="278" t="s">
        <v>872</v>
      </c>
      <c r="B1017" s="279">
        <v>178</v>
      </c>
      <c r="C1017" s="278" t="s">
        <v>251</v>
      </c>
      <c r="D1017" s="279" t="s">
        <v>622</v>
      </c>
      <c r="E1017" s="278"/>
      <c r="F1017" s="278" t="s">
        <v>1102</v>
      </c>
      <c r="G1017" s="280">
        <v>0</v>
      </c>
      <c r="H1017" s="280">
        <v>192200000</v>
      </c>
      <c r="I1017" s="281">
        <v>-192200000</v>
      </c>
      <c r="J1017" s="282"/>
      <c r="K1017" s="7"/>
    </row>
    <row r="1018" spans="1:11" ht="15.75" hidden="1" customHeight="1" x14ac:dyDescent="0.3">
      <c r="A1018" s="288" t="s">
        <v>872</v>
      </c>
      <c r="B1018" s="288">
        <v>178</v>
      </c>
      <c r="C1018" s="289" t="s">
        <v>251</v>
      </c>
      <c r="D1018" s="288" t="s">
        <v>320</v>
      </c>
      <c r="E1018" s="290"/>
      <c r="F1018" s="289" t="s">
        <v>321</v>
      </c>
      <c r="G1018" s="291">
        <v>4456889.8499999996</v>
      </c>
      <c r="H1018" s="291">
        <v>267322642.31</v>
      </c>
      <c r="I1018" s="292">
        <v>-262865752.46000001</v>
      </c>
      <c r="J1018" s="292">
        <v>-262865752</v>
      </c>
      <c r="K1018" s="293">
        <v>-0.46000000834465032</v>
      </c>
    </row>
    <row r="1019" spans="1:11" ht="15.75" hidden="1" customHeight="1" x14ac:dyDescent="0.3">
      <c r="A1019" s="278" t="s">
        <v>872</v>
      </c>
      <c r="B1019" s="279">
        <v>182</v>
      </c>
      <c r="C1019" s="278" t="s">
        <v>255</v>
      </c>
      <c r="D1019" s="279" t="s">
        <v>624</v>
      </c>
      <c r="E1019" s="278" t="s">
        <v>438</v>
      </c>
      <c r="F1019" s="278" t="s">
        <v>1103</v>
      </c>
      <c r="G1019" s="280">
        <v>13158188</v>
      </c>
      <c r="H1019" s="280">
        <v>0</v>
      </c>
      <c r="I1019" s="281">
        <v>13158188</v>
      </c>
      <c r="J1019" s="282"/>
      <c r="K1019" s="7"/>
    </row>
    <row r="1020" spans="1:11" ht="15.75" hidden="1" customHeight="1" x14ac:dyDescent="0.3">
      <c r="A1020" s="283" t="s">
        <v>872</v>
      </c>
      <c r="B1020" s="284">
        <v>182</v>
      </c>
      <c r="C1020" s="283" t="s">
        <v>255</v>
      </c>
      <c r="D1020" s="284" t="s">
        <v>624</v>
      </c>
      <c r="E1020" s="283"/>
      <c r="F1020" s="283" t="s">
        <v>1104</v>
      </c>
      <c r="G1020" s="285">
        <v>0</v>
      </c>
      <c r="H1020" s="285">
        <v>13158188</v>
      </c>
      <c r="I1020" s="286">
        <v>-13158188</v>
      </c>
      <c r="J1020" s="287"/>
      <c r="K1020" s="7"/>
    </row>
    <row r="1021" spans="1:11" ht="15.75" hidden="1" customHeight="1" x14ac:dyDescent="0.3">
      <c r="A1021" s="278" t="s">
        <v>872</v>
      </c>
      <c r="B1021" s="279">
        <v>182</v>
      </c>
      <c r="C1021" s="278" t="s">
        <v>255</v>
      </c>
      <c r="D1021" s="279" t="s">
        <v>624</v>
      </c>
      <c r="E1021" s="278"/>
      <c r="F1021" s="278" t="s">
        <v>1105</v>
      </c>
      <c r="G1021" s="280">
        <v>6619703.3099999996</v>
      </c>
      <c r="H1021" s="280">
        <v>0</v>
      </c>
      <c r="I1021" s="281">
        <v>6619703.3099999996</v>
      </c>
      <c r="J1021" s="282"/>
      <c r="K1021" s="7"/>
    </row>
    <row r="1022" spans="1:11" ht="15.75" hidden="1" customHeight="1" x14ac:dyDescent="0.3">
      <c r="A1022" s="288" t="s">
        <v>872</v>
      </c>
      <c r="B1022" s="288">
        <v>182</v>
      </c>
      <c r="C1022" s="289" t="s">
        <v>255</v>
      </c>
      <c r="D1022" s="288" t="s">
        <v>320</v>
      </c>
      <c r="E1022" s="290"/>
      <c r="F1022" s="289" t="s">
        <v>321</v>
      </c>
      <c r="G1022" s="291">
        <v>19777891.309999999</v>
      </c>
      <c r="H1022" s="291">
        <v>13158188</v>
      </c>
      <c r="I1022" s="292">
        <v>6619703.3099999996</v>
      </c>
      <c r="J1022" s="292">
        <v>6619713</v>
      </c>
      <c r="K1022" s="294">
        <v>-9.6900000004097819</v>
      </c>
    </row>
    <row r="1023" spans="1:11" ht="15.75" hidden="1" customHeight="1" x14ac:dyDescent="0.3">
      <c r="A1023" s="278" t="s">
        <v>872</v>
      </c>
      <c r="B1023" s="279">
        <v>184</v>
      </c>
      <c r="C1023" s="278" t="s">
        <v>256</v>
      </c>
      <c r="D1023" s="279" t="s">
        <v>626</v>
      </c>
      <c r="E1023" s="278"/>
      <c r="F1023" s="278" t="s">
        <v>1106</v>
      </c>
      <c r="G1023" s="280">
        <v>477732537.75999999</v>
      </c>
      <c r="H1023" s="280">
        <v>0</v>
      </c>
      <c r="I1023" s="281">
        <v>477732537.75999999</v>
      </c>
      <c r="J1023" s="282"/>
      <c r="K1023" s="7"/>
    </row>
    <row r="1024" spans="1:11" ht="15.75" hidden="1" customHeight="1" x14ac:dyDescent="0.3">
      <c r="A1024" s="288" t="s">
        <v>872</v>
      </c>
      <c r="B1024" s="288">
        <v>184</v>
      </c>
      <c r="C1024" s="289" t="s">
        <v>256</v>
      </c>
      <c r="D1024" s="288" t="s">
        <v>320</v>
      </c>
      <c r="E1024" s="290"/>
      <c r="F1024" s="289" t="s">
        <v>321</v>
      </c>
      <c r="G1024" s="291">
        <v>477732537.75999999</v>
      </c>
      <c r="H1024" s="291">
        <v>0</v>
      </c>
      <c r="I1024" s="292">
        <v>477732537.75999999</v>
      </c>
      <c r="J1024" s="292">
        <v>477732537.75999999</v>
      </c>
      <c r="K1024" s="293">
        <v>0</v>
      </c>
    </row>
    <row r="1025" spans="1:11" ht="15.75" hidden="1" customHeight="1" x14ac:dyDescent="0.3">
      <c r="A1025" s="278" t="s">
        <v>300</v>
      </c>
      <c r="B1025" s="279">
        <v>8</v>
      </c>
      <c r="C1025" s="278" t="s">
        <v>10</v>
      </c>
      <c r="D1025" s="279" t="s">
        <v>313</v>
      </c>
      <c r="E1025" s="278" t="s">
        <v>314</v>
      </c>
      <c r="F1025" s="278" t="s">
        <v>1107</v>
      </c>
      <c r="G1025" s="280">
        <v>0</v>
      </c>
      <c r="H1025" s="280">
        <v>225867048.40000001</v>
      </c>
      <c r="I1025" s="281">
        <v>-225867048.40000001</v>
      </c>
      <c r="J1025" s="282"/>
      <c r="K1025" s="7"/>
    </row>
    <row r="1026" spans="1:11" ht="15.75" hidden="1" customHeight="1" x14ac:dyDescent="0.3">
      <c r="A1026" s="283" t="s">
        <v>300</v>
      </c>
      <c r="B1026" s="284">
        <v>8</v>
      </c>
      <c r="C1026" s="283" t="s">
        <v>10</v>
      </c>
      <c r="D1026" s="284" t="s">
        <v>313</v>
      </c>
      <c r="E1026" s="283"/>
      <c r="F1026" s="283" t="s">
        <v>874</v>
      </c>
      <c r="G1026" s="285">
        <v>225867048.40000001</v>
      </c>
      <c r="H1026" s="285">
        <v>0</v>
      </c>
      <c r="I1026" s="286">
        <v>225867048.40000001</v>
      </c>
      <c r="J1026" s="287"/>
      <c r="K1026" s="7"/>
    </row>
    <row r="1027" spans="1:11" ht="15.75" hidden="1" customHeight="1" x14ac:dyDescent="0.3">
      <c r="A1027" s="278" t="s">
        <v>300</v>
      </c>
      <c r="B1027" s="279">
        <v>8</v>
      </c>
      <c r="C1027" s="278" t="s">
        <v>10</v>
      </c>
      <c r="D1027" s="279" t="s">
        <v>313</v>
      </c>
      <c r="E1027" s="278"/>
      <c r="F1027" s="278" t="s">
        <v>1108</v>
      </c>
      <c r="G1027" s="280">
        <v>280874272</v>
      </c>
      <c r="H1027" s="280">
        <v>0</v>
      </c>
      <c r="I1027" s="281">
        <v>280874272</v>
      </c>
      <c r="J1027" s="282"/>
      <c r="K1027" s="7"/>
    </row>
    <row r="1028" spans="1:11" ht="15.75" hidden="1" customHeight="1" x14ac:dyDescent="0.3">
      <c r="A1028" s="283" t="s">
        <v>300</v>
      </c>
      <c r="B1028" s="284">
        <v>8</v>
      </c>
      <c r="C1028" s="283" t="s">
        <v>10</v>
      </c>
      <c r="D1028" s="284" t="s">
        <v>313</v>
      </c>
      <c r="E1028" s="283"/>
      <c r="F1028" s="283" t="s">
        <v>875</v>
      </c>
      <c r="G1028" s="285">
        <v>0</v>
      </c>
      <c r="H1028" s="285">
        <v>279439314.27999997</v>
      </c>
      <c r="I1028" s="286">
        <v>-279439314.27999997</v>
      </c>
      <c r="J1028" s="287"/>
      <c r="K1028" s="7"/>
    </row>
    <row r="1029" spans="1:11" ht="15.75" hidden="1" customHeight="1" x14ac:dyDescent="0.3">
      <c r="A1029" s="278" t="s">
        <v>300</v>
      </c>
      <c r="B1029" s="279">
        <v>8</v>
      </c>
      <c r="C1029" s="278" t="s">
        <v>10</v>
      </c>
      <c r="D1029" s="279" t="s">
        <v>313</v>
      </c>
      <c r="E1029" s="278"/>
      <c r="F1029" s="278" t="s">
        <v>1109</v>
      </c>
      <c r="G1029" s="280">
        <v>0</v>
      </c>
      <c r="H1029" s="280">
        <v>290133662</v>
      </c>
      <c r="I1029" s="281">
        <v>-290133662</v>
      </c>
      <c r="J1029" s="282"/>
      <c r="K1029" s="7"/>
    </row>
    <row r="1030" spans="1:11" ht="15.75" hidden="1" customHeight="1" x14ac:dyDescent="0.3">
      <c r="A1030" s="288" t="s">
        <v>300</v>
      </c>
      <c r="B1030" s="288">
        <v>8</v>
      </c>
      <c r="C1030" s="289" t="s">
        <v>10</v>
      </c>
      <c r="D1030" s="288" t="s">
        <v>320</v>
      </c>
      <c r="E1030" s="290"/>
      <c r="F1030" s="289" t="s">
        <v>321</v>
      </c>
      <c r="G1030" s="291">
        <v>506741320.39999998</v>
      </c>
      <c r="H1030" s="291">
        <v>795440024.67999995</v>
      </c>
      <c r="I1030" s="292">
        <v>-288698704.27999997</v>
      </c>
      <c r="J1030" s="292">
        <v>288698704.27999997</v>
      </c>
      <c r="K1030" s="293">
        <v>0</v>
      </c>
    </row>
    <row r="1031" spans="1:11" ht="15.75" hidden="1" customHeight="1" x14ac:dyDescent="0.3">
      <c r="A1031" s="278" t="s">
        <v>300</v>
      </c>
      <c r="B1031" s="279">
        <v>9</v>
      </c>
      <c r="C1031" s="278" t="s">
        <v>11</v>
      </c>
      <c r="D1031" s="279" t="s">
        <v>313</v>
      </c>
      <c r="E1031" s="278" t="s">
        <v>314</v>
      </c>
      <c r="F1031" s="278" t="s">
        <v>1110</v>
      </c>
      <c r="G1031" s="280">
        <v>0</v>
      </c>
      <c r="H1031" s="280">
        <v>31135160.559999999</v>
      </c>
      <c r="I1031" s="281">
        <v>-31135160.559999999</v>
      </c>
      <c r="J1031" s="282"/>
      <c r="K1031" s="7"/>
    </row>
    <row r="1032" spans="1:11" ht="15.75" hidden="1" customHeight="1" x14ac:dyDescent="0.3">
      <c r="A1032" s="283" t="s">
        <v>300</v>
      </c>
      <c r="B1032" s="284">
        <v>9</v>
      </c>
      <c r="C1032" s="283" t="s">
        <v>11</v>
      </c>
      <c r="D1032" s="284" t="s">
        <v>313</v>
      </c>
      <c r="E1032" s="283"/>
      <c r="F1032" s="283" t="s">
        <v>877</v>
      </c>
      <c r="G1032" s="285">
        <v>31135160.559999999</v>
      </c>
      <c r="H1032" s="285">
        <v>0</v>
      </c>
      <c r="I1032" s="286">
        <v>31135160.559999999</v>
      </c>
      <c r="J1032" s="287"/>
      <c r="K1032" s="7"/>
    </row>
    <row r="1033" spans="1:11" ht="15.75" hidden="1" customHeight="1" x14ac:dyDescent="0.3">
      <c r="A1033" s="278" t="s">
        <v>300</v>
      </c>
      <c r="B1033" s="279">
        <v>9</v>
      </c>
      <c r="C1033" s="278" t="s">
        <v>11</v>
      </c>
      <c r="D1033" s="279" t="s">
        <v>313</v>
      </c>
      <c r="E1033" s="278"/>
      <c r="F1033" s="278" t="s">
        <v>1111</v>
      </c>
      <c r="G1033" s="280">
        <v>33044032</v>
      </c>
      <c r="H1033" s="280">
        <v>0</v>
      </c>
      <c r="I1033" s="281">
        <v>33044032</v>
      </c>
      <c r="J1033" s="282"/>
      <c r="K1033" s="7"/>
    </row>
    <row r="1034" spans="1:11" ht="15.75" hidden="1" customHeight="1" x14ac:dyDescent="0.3">
      <c r="A1034" s="283" t="s">
        <v>300</v>
      </c>
      <c r="B1034" s="284">
        <v>9</v>
      </c>
      <c r="C1034" s="283" t="s">
        <v>11</v>
      </c>
      <c r="D1034" s="284" t="s">
        <v>313</v>
      </c>
      <c r="E1034" s="283"/>
      <c r="F1034" s="283" t="s">
        <v>878</v>
      </c>
      <c r="G1034" s="285">
        <v>0</v>
      </c>
      <c r="H1034" s="285">
        <v>37588586.560000002</v>
      </c>
      <c r="I1034" s="286">
        <v>-37588586.560000002</v>
      </c>
      <c r="J1034" s="287"/>
      <c r="K1034" s="7"/>
    </row>
    <row r="1035" spans="1:11" ht="15.75" hidden="1" customHeight="1" x14ac:dyDescent="0.3">
      <c r="A1035" s="278" t="s">
        <v>300</v>
      </c>
      <c r="B1035" s="279">
        <v>9</v>
      </c>
      <c r="C1035" s="278" t="s">
        <v>11</v>
      </c>
      <c r="D1035" s="279" t="s">
        <v>313</v>
      </c>
      <c r="E1035" s="278"/>
      <c r="F1035" s="278" t="s">
        <v>1112</v>
      </c>
      <c r="G1035" s="280">
        <v>0</v>
      </c>
      <c r="H1035" s="280">
        <v>37546709.200000003</v>
      </c>
      <c r="I1035" s="281">
        <v>-37546709.200000003</v>
      </c>
      <c r="J1035" s="282"/>
      <c r="K1035" s="7"/>
    </row>
    <row r="1036" spans="1:11" ht="15.75" hidden="1" customHeight="1" x14ac:dyDescent="0.3">
      <c r="A1036" s="288" t="s">
        <v>300</v>
      </c>
      <c r="B1036" s="288">
        <v>9</v>
      </c>
      <c r="C1036" s="289" t="s">
        <v>11</v>
      </c>
      <c r="D1036" s="288" t="s">
        <v>320</v>
      </c>
      <c r="E1036" s="290"/>
      <c r="F1036" s="289" t="s">
        <v>321</v>
      </c>
      <c r="G1036" s="291">
        <v>64179192.560000002</v>
      </c>
      <c r="H1036" s="291">
        <v>106270456.31999999</v>
      </c>
      <c r="I1036" s="292">
        <v>-42091263.760000013</v>
      </c>
      <c r="J1036" s="292">
        <v>42091263.759999998</v>
      </c>
      <c r="K1036" s="293">
        <v>7.4505805969238281E-9</v>
      </c>
    </row>
    <row r="1037" spans="1:11" ht="15.75" hidden="1" customHeight="1" x14ac:dyDescent="0.3">
      <c r="A1037" s="278" t="s">
        <v>300</v>
      </c>
      <c r="B1037" s="279">
        <v>10</v>
      </c>
      <c r="C1037" s="278" t="s">
        <v>12</v>
      </c>
      <c r="D1037" s="279" t="s">
        <v>313</v>
      </c>
      <c r="E1037" s="278" t="s">
        <v>314</v>
      </c>
      <c r="F1037" s="278" t="s">
        <v>1113</v>
      </c>
      <c r="G1037" s="280">
        <v>0</v>
      </c>
      <c r="H1037" s="280">
        <v>130395253.23</v>
      </c>
      <c r="I1037" s="281">
        <v>-130395253.23</v>
      </c>
      <c r="J1037" s="282"/>
      <c r="K1037" s="7"/>
    </row>
    <row r="1038" spans="1:11" ht="15.75" hidden="1" customHeight="1" x14ac:dyDescent="0.3">
      <c r="A1038" s="283" t="s">
        <v>300</v>
      </c>
      <c r="B1038" s="284">
        <v>10</v>
      </c>
      <c r="C1038" s="283" t="s">
        <v>12</v>
      </c>
      <c r="D1038" s="284" t="s">
        <v>313</v>
      </c>
      <c r="E1038" s="283"/>
      <c r="F1038" s="283" t="s">
        <v>880</v>
      </c>
      <c r="G1038" s="285">
        <v>130395253.23</v>
      </c>
      <c r="H1038" s="285">
        <v>0</v>
      </c>
      <c r="I1038" s="286">
        <v>130395253.23</v>
      </c>
      <c r="J1038" s="287"/>
      <c r="K1038" s="7"/>
    </row>
    <row r="1039" spans="1:11" ht="15.75" hidden="1" customHeight="1" x14ac:dyDescent="0.3">
      <c r="A1039" s="278" t="s">
        <v>300</v>
      </c>
      <c r="B1039" s="279">
        <v>10</v>
      </c>
      <c r="C1039" s="278" t="s">
        <v>12</v>
      </c>
      <c r="D1039" s="279" t="s">
        <v>313</v>
      </c>
      <c r="E1039" s="278"/>
      <c r="F1039" s="278" t="s">
        <v>1114</v>
      </c>
      <c r="G1039" s="280">
        <v>149760273.59999999</v>
      </c>
      <c r="H1039" s="280">
        <v>0</v>
      </c>
      <c r="I1039" s="281">
        <v>149760273.59999999</v>
      </c>
      <c r="J1039" s="282"/>
      <c r="K1039" s="7"/>
    </row>
    <row r="1040" spans="1:11" ht="15.75" hidden="1" customHeight="1" x14ac:dyDescent="0.3">
      <c r="A1040" s="283" t="s">
        <v>300</v>
      </c>
      <c r="B1040" s="284">
        <v>10</v>
      </c>
      <c r="C1040" s="283" t="s">
        <v>12</v>
      </c>
      <c r="D1040" s="284" t="s">
        <v>313</v>
      </c>
      <c r="E1040" s="283"/>
      <c r="F1040" s="283" t="s">
        <v>881</v>
      </c>
      <c r="G1040" s="285">
        <v>0</v>
      </c>
      <c r="H1040" s="285">
        <v>151088573.61000001</v>
      </c>
      <c r="I1040" s="286">
        <v>-151088573.61000001</v>
      </c>
      <c r="J1040" s="287"/>
      <c r="K1040" s="7"/>
    </row>
    <row r="1041" spans="1:11" ht="15.75" hidden="1" customHeight="1" x14ac:dyDescent="0.3">
      <c r="A1041" s="278" t="s">
        <v>300</v>
      </c>
      <c r="B1041" s="279">
        <v>10</v>
      </c>
      <c r="C1041" s="278" t="s">
        <v>12</v>
      </c>
      <c r="D1041" s="279" t="s">
        <v>313</v>
      </c>
      <c r="E1041" s="278"/>
      <c r="F1041" s="278" t="s">
        <v>1115</v>
      </c>
      <c r="G1041" s="280">
        <v>0</v>
      </c>
      <c r="H1041" s="280">
        <v>155625263.94999999</v>
      </c>
      <c r="I1041" s="281">
        <v>-155625263.94999999</v>
      </c>
      <c r="J1041" s="282"/>
      <c r="K1041" s="7"/>
    </row>
    <row r="1042" spans="1:11" ht="15.75" hidden="1" customHeight="1" x14ac:dyDescent="0.3">
      <c r="A1042" s="288" t="s">
        <v>300</v>
      </c>
      <c r="B1042" s="288">
        <v>10</v>
      </c>
      <c r="C1042" s="289" t="s">
        <v>12</v>
      </c>
      <c r="D1042" s="288" t="s">
        <v>320</v>
      </c>
      <c r="E1042" s="290"/>
      <c r="F1042" s="289" t="s">
        <v>321</v>
      </c>
      <c r="G1042" s="291">
        <v>280155526.82999998</v>
      </c>
      <c r="H1042" s="291">
        <v>437109090.79000002</v>
      </c>
      <c r="I1042" s="292">
        <v>-156953563.96000001</v>
      </c>
      <c r="J1042" s="292">
        <v>156953563.96000001</v>
      </c>
      <c r="K1042" s="293">
        <v>0</v>
      </c>
    </row>
    <row r="1043" spans="1:11" ht="15.75" hidden="1" customHeight="1" x14ac:dyDescent="0.3">
      <c r="A1043" s="278" t="s">
        <v>300</v>
      </c>
      <c r="B1043" s="279">
        <v>11</v>
      </c>
      <c r="C1043" s="278" t="s">
        <v>13</v>
      </c>
      <c r="D1043" s="279" t="s">
        <v>313</v>
      </c>
      <c r="E1043" s="278" t="s">
        <v>314</v>
      </c>
      <c r="F1043" s="278" t="s">
        <v>1116</v>
      </c>
      <c r="G1043" s="280">
        <v>0</v>
      </c>
      <c r="H1043" s="280">
        <v>12904341.279999999</v>
      </c>
      <c r="I1043" s="281">
        <v>-12904341.279999999</v>
      </c>
      <c r="J1043" s="282"/>
      <c r="K1043" s="7"/>
    </row>
    <row r="1044" spans="1:11" ht="15.75" hidden="1" customHeight="1" x14ac:dyDescent="0.3">
      <c r="A1044" s="283" t="s">
        <v>300</v>
      </c>
      <c r="B1044" s="284">
        <v>11</v>
      </c>
      <c r="C1044" s="283" t="s">
        <v>13</v>
      </c>
      <c r="D1044" s="284" t="s">
        <v>313</v>
      </c>
      <c r="E1044" s="283"/>
      <c r="F1044" s="283" t="s">
        <v>883</v>
      </c>
      <c r="G1044" s="285">
        <v>12904341.279999999</v>
      </c>
      <c r="H1044" s="285">
        <v>0</v>
      </c>
      <c r="I1044" s="286">
        <v>12904341.279999999</v>
      </c>
      <c r="J1044" s="287"/>
      <c r="K1044" s="7"/>
    </row>
    <row r="1045" spans="1:11" ht="15.75" hidden="1" customHeight="1" x14ac:dyDescent="0.3">
      <c r="A1045" s="278" t="s">
        <v>300</v>
      </c>
      <c r="B1045" s="279">
        <v>11</v>
      </c>
      <c r="C1045" s="278" t="s">
        <v>13</v>
      </c>
      <c r="D1045" s="279" t="s">
        <v>313</v>
      </c>
      <c r="E1045" s="278"/>
      <c r="F1045" s="278" t="s">
        <v>1117</v>
      </c>
      <c r="G1045" s="280">
        <v>13265662.83</v>
      </c>
      <c r="H1045" s="280">
        <v>0</v>
      </c>
      <c r="I1045" s="281">
        <v>13265662.83</v>
      </c>
      <c r="J1045" s="282"/>
      <c r="K1045" s="7"/>
    </row>
    <row r="1046" spans="1:11" ht="15.75" hidden="1" customHeight="1" x14ac:dyDescent="0.3">
      <c r="A1046" s="283" t="s">
        <v>300</v>
      </c>
      <c r="B1046" s="284">
        <v>11</v>
      </c>
      <c r="C1046" s="283" t="s">
        <v>13</v>
      </c>
      <c r="D1046" s="284" t="s">
        <v>313</v>
      </c>
      <c r="E1046" s="283"/>
      <c r="F1046" s="283" t="s">
        <v>884</v>
      </c>
      <c r="G1046" s="285">
        <v>0</v>
      </c>
      <c r="H1046" s="285">
        <v>16575048.779999999</v>
      </c>
      <c r="I1046" s="286">
        <v>-16575048.779999999</v>
      </c>
      <c r="J1046" s="287"/>
      <c r="K1046" s="7"/>
    </row>
    <row r="1047" spans="1:11" ht="15.75" hidden="1" customHeight="1" x14ac:dyDescent="0.3">
      <c r="A1047" s="278" t="s">
        <v>300</v>
      </c>
      <c r="B1047" s="279">
        <v>11</v>
      </c>
      <c r="C1047" s="278" t="s">
        <v>13</v>
      </c>
      <c r="D1047" s="279" t="s">
        <v>313</v>
      </c>
      <c r="E1047" s="278"/>
      <c r="F1047" s="278" t="s">
        <v>1118</v>
      </c>
      <c r="G1047" s="280">
        <v>0</v>
      </c>
      <c r="H1047" s="280">
        <v>13317190.73</v>
      </c>
      <c r="I1047" s="281">
        <v>-13317190.73</v>
      </c>
      <c r="J1047" s="282"/>
      <c r="K1047" s="7"/>
    </row>
    <row r="1048" spans="1:11" ht="15.75" hidden="1" customHeight="1" x14ac:dyDescent="0.3">
      <c r="A1048" s="288" t="s">
        <v>300</v>
      </c>
      <c r="B1048" s="288">
        <v>11</v>
      </c>
      <c r="C1048" s="289" t="s">
        <v>13</v>
      </c>
      <c r="D1048" s="288" t="s">
        <v>320</v>
      </c>
      <c r="E1048" s="290"/>
      <c r="F1048" s="289" t="s">
        <v>321</v>
      </c>
      <c r="G1048" s="291">
        <v>26170004.109999999</v>
      </c>
      <c r="H1048" s="291">
        <v>42796580.789999999</v>
      </c>
      <c r="I1048" s="292">
        <v>-16626576.68</v>
      </c>
      <c r="J1048" s="292">
        <v>16626576.68</v>
      </c>
      <c r="K1048" s="293">
        <v>0</v>
      </c>
    </row>
    <row r="1049" spans="1:11" ht="15.75" hidden="1" customHeight="1" x14ac:dyDescent="0.3">
      <c r="A1049" s="278" t="s">
        <v>300</v>
      </c>
      <c r="B1049" s="279">
        <v>12</v>
      </c>
      <c r="C1049" s="278" t="s">
        <v>14</v>
      </c>
      <c r="D1049" s="279" t="s">
        <v>313</v>
      </c>
      <c r="E1049" s="278" t="s">
        <v>314</v>
      </c>
      <c r="F1049" s="278" t="s">
        <v>1119</v>
      </c>
      <c r="G1049" s="280">
        <v>0</v>
      </c>
      <c r="H1049" s="280">
        <v>2491856.48</v>
      </c>
      <c r="I1049" s="281">
        <v>-2491856.48</v>
      </c>
      <c r="J1049" s="282"/>
      <c r="K1049" s="7"/>
    </row>
    <row r="1050" spans="1:11" ht="15.75" hidden="1" customHeight="1" x14ac:dyDescent="0.3">
      <c r="A1050" s="283" t="s">
        <v>300</v>
      </c>
      <c r="B1050" s="284">
        <v>12</v>
      </c>
      <c r="C1050" s="283" t="s">
        <v>14</v>
      </c>
      <c r="D1050" s="284" t="s">
        <v>313</v>
      </c>
      <c r="E1050" s="283"/>
      <c r="F1050" s="283" t="s">
        <v>886</v>
      </c>
      <c r="G1050" s="285">
        <v>2491856.48</v>
      </c>
      <c r="H1050" s="285">
        <v>0</v>
      </c>
      <c r="I1050" s="286">
        <v>2491856.48</v>
      </c>
      <c r="J1050" s="287"/>
      <c r="K1050" s="7"/>
    </row>
    <row r="1051" spans="1:11" ht="15.75" hidden="1" customHeight="1" x14ac:dyDescent="0.3">
      <c r="A1051" s="278" t="s">
        <v>300</v>
      </c>
      <c r="B1051" s="279">
        <v>12</v>
      </c>
      <c r="C1051" s="278" t="s">
        <v>14</v>
      </c>
      <c r="D1051" s="279" t="s">
        <v>313</v>
      </c>
      <c r="E1051" s="278"/>
      <c r="F1051" s="278" t="s">
        <v>1120</v>
      </c>
      <c r="G1051" s="280">
        <v>2561628.46</v>
      </c>
      <c r="H1051" s="280">
        <v>0</v>
      </c>
      <c r="I1051" s="281">
        <v>2561628.46</v>
      </c>
      <c r="J1051" s="282"/>
      <c r="K1051" s="7"/>
    </row>
    <row r="1052" spans="1:11" ht="15.75" hidden="1" customHeight="1" x14ac:dyDescent="0.3">
      <c r="A1052" s="283" t="s">
        <v>300</v>
      </c>
      <c r="B1052" s="284">
        <v>12</v>
      </c>
      <c r="C1052" s="283" t="s">
        <v>14</v>
      </c>
      <c r="D1052" s="284" t="s">
        <v>313</v>
      </c>
      <c r="E1052" s="283"/>
      <c r="F1052" s="283" t="s">
        <v>887</v>
      </c>
      <c r="G1052" s="285">
        <v>0</v>
      </c>
      <c r="H1052" s="285">
        <v>3006264.45</v>
      </c>
      <c r="I1052" s="286">
        <v>-3006264.45</v>
      </c>
      <c r="J1052" s="287"/>
      <c r="K1052" s="7"/>
    </row>
    <row r="1053" spans="1:11" ht="15.75" hidden="1" customHeight="1" x14ac:dyDescent="0.3">
      <c r="A1053" s="278" t="s">
        <v>300</v>
      </c>
      <c r="B1053" s="279">
        <v>12</v>
      </c>
      <c r="C1053" s="278" t="s">
        <v>14</v>
      </c>
      <c r="D1053" s="279" t="s">
        <v>313</v>
      </c>
      <c r="E1053" s="278"/>
      <c r="F1053" s="278" t="s">
        <v>1121</v>
      </c>
      <c r="G1053" s="280">
        <v>0</v>
      </c>
      <c r="H1053" s="280">
        <v>2916127.13</v>
      </c>
      <c r="I1053" s="281">
        <v>-2916127.13</v>
      </c>
      <c r="J1053" s="282"/>
      <c r="K1053" s="7"/>
    </row>
    <row r="1054" spans="1:11" ht="15.75" hidden="1" customHeight="1" x14ac:dyDescent="0.3">
      <c r="A1054" s="288" t="s">
        <v>300</v>
      </c>
      <c r="B1054" s="288">
        <v>12</v>
      </c>
      <c r="C1054" s="289" t="s">
        <v>14</v>
      </c>
      <c r="D1054" s="288" t="s">
        <v>320</v>
      </c>
      <c r="E1054" s="290"/>
      <c r="F1054" s="289" t="s">
        <v>321</v>
      </c>
      <c r="G1054" s="291">
        <v>5053484.9399999985</v>
      </c>
      <c r="H1054" s="291">
        <v>8414248.0600000005</v>
      </c>
      <c r="I1054" s="292">
        <v>-3360763.12</v>
      </c>
      <c r="J1054" s="292">
        <v>3360763.12</v>
      </c>
      <c r="K1054" s="293">
        <v>0</v>
      </c>
    </row>
    <row r="1055" spans="1:11" ht="15.75" hidden="1" customHeight="1" x14ac:dyDescent="0.3">
      <c r="A1055" s="278" t="s">
        <v>300</v>
      </c>
      <c r="B1055" s="279">
        <v>13</v>
      </c>
      <c r="C1055" s="278" t="s">
        <v>15</v>
      </c>
      <c r="D1055" s="279" t="s">
        <v>313</v>
      </c>
      <c r="E1055" s="278" t="s">
        <v>314</v>
      </c>
      <c r="F1055" s="278" t="s">
        <v>1122</v>
      </c>
      <c r="G1055" s="280">
        <v>0</v>
      </c>
      <c r="H1055" s="280">
        <v>4443823.17</v>
      </c>
      <c r="I1055" s="281">
        <v>-4443823.17</v>
      </c>
      <c r="J1055" s="282"/>
      <c r="K1055" s="7"/>
    </row>
    <row r="1056" spans="1:11" ht="15.75" hidden="1" customHeight="1" x14ac:dyDescent="0.3">
      <c r="A1056" s="283" t="s">
        <v>300</v>
      </c>
      <c r="B1056" s="284">
        <v>13</v>
      </c>
      <c r="C1056" s="283" t="s">
        <v>15</v>
      </c>
      <c r="D1056" s="284" t="s">
        <v>313</v>
      </c>
      <c r="E1056" s="283"/>
      <c r="F1056" s="283" t="s">
        <v>889</v>
      </c>
      <c r="G1056" s="285">
        <v>4443823.17</v>
      </c>
      <c r="H1056" s="285">
        <v>0</v>
      </c>
      <c r="I1056" s="286">
        <v>4443823.17</v>
      </c>
      <c r="J1056" s="287"/>
      <c r="K1056" s="7"/>
    </row>
    <row r="1057" spans="1:11" ht="15.75" hidden="1" customHeight="1" x14ac:dyDescent="0.3">
      <c r="A1057" s="278" t="s">
        <v>300</v>
      </c>
      <c r="B1057" s="279">
        <v>13</v>
      </c>
      <c r="C1057" s="278" t="s">
        <v>15</v>
      </c>
      <c r="D1057" s="279" t="s">
        <v>313</v>
      </c>
      <c r="E1057" s="278"/>
      <c r="F1057" s="278" t="s">
        <v>1123</v>
      </c>
      <c r="G1057" s="280">
        <v>4568250.21</v>
      </c>
      <c r="H1057" s="280">
        <v>0</v>
      </c>
      <c r="I1057" s="281">
        <v>4568250.21</v>
      </c>
      <c r="J1057" s="282"/>
      <c r="K1057" s="7"/>
    </row>
    <row r="1058" spans="1:11" ht="15.75" hidden="1" customHeight="1" x14ac:dyDescent="0.3">
      <c r="A1058" s="283" t="s">
        <v>300</v>
      </c>
      <c r="B1058" s="284">
        <v>13</v>
      </c>
      <c r="C1058" s="283" t="s">
        <v>15</v>
      </c>
      <c r="D1058" s="284" t="s">
        <v>313</v>
      </c>
      <c r="E1058" s="283"/>
      <c r="F1058" s="283" t="s">
        <v>890</v>
      </c>
      <c r="G1058" s="285">
        <v>0</v>
      </c>
      <c r="H1058" s="285">
        <v>5189189.5999999996</v>
      </c>
      <c r="I1058" s="286">
        <v>-5189189.5999999996</v>
      </c>
      <c r="J1058" s="287"/>
      <c r="K1058" s="7"/>
    </row>
    <row r="1059" spans="1:11" ht="15.75" hidden="1" customHeight="1" x14ac:dyDescent="0.3">
      <c r="A1059" s="278" t="s">
        <v>300</v>
      </c>
      <c r="B1059" s="279">
        <v>13</v>
      </c>
      <c r="C1059" s="278" t="s">
        <v>15</v>
      </c>
      <c r="D1059" s="279" t="s">
        <v>313</v>
      </c>
      <c r="E1059" s="278"/>
      <c r="F1059" s="278" t="s">
        <v>1124</v>
      </c>
      <c r="G1059" s="280">
        <v>0</v>
      </c>
      <c r="H1059" s="280">
        <v>3842849.04</v>
      </c>
      <c r="I1059" s="281">
        <v>-3842849.04</v>
      </c>
      <c r="J1059" s="282"/>
      <c r="K1059" s="7"/>
    </row>
    <row r="1060" spans="1:11" ht="15.75" hidden="1" customHeight="1" x14ac:dyDescent="0.3">
      <c r="A1060" s="288" t="s">
        <v>300</v>
      </c>
      <c r="B1060" s="288">
        <v>13</v>
      </c>
      <c r="C1060" s="289" t="s">
        <v>15</v>
      </c>
      <c r="D1060" s="288" t="s">
        <v>320</v>
      </c>
      <c r="E1060" s="290"/>
      <c r="F1060" s="289" t="s">
        <v>321</v>
      </c>
      <c r="G1060" s="291">
        <v>9012073.379999999</v>
      </c>
      <c r="H1060" s="291">
        <v>13475861.810000001</v>
      </c>
      <c r="I1060" s="292">
        <v>-4463788.43</v>
      </c>
      <c r="J1060" s="292">
        <v>4463788.43</v>
      </c>
      <c r="K1060" s="293">
        <v>0</v>
      </c>
    </row>
    <row r="1061" spans="1:11" ht="15.75" hidden="1" customHeight="1" x14ac:dyDescent="0.3">
      <c r="A1061" s="278" t="s">
        <v>300</v>
      </c>
      <c r="B1061" s="279">
        <v>14</v>
      </c>
      <c r="C1061" s="278" t="s">
        <v>16</v>
      </c>
      <c r="D1061" s="279" t="s">
        <v>313</v>
      </c>
      <c r="E1061" s="278" t="s">
        <v>314</v>
      </c>
      <c r="F1061" s="278" t="s">
        <v>1125</v>
      </c>
      <c r="G1061" s="280">
        <v>0</v>
      </c>
      <c r="H1061" s="280">
        <v>1323365203.71</v>
      </c>
      <c r="I1061" s="281">
        <v>-1323365203.71</v>
      </c>
      <c r="J1061" s="282"/>
      <c r="K1061" s="7"/>
    </row>
    <row r="1062" spans="1:11" ht="15.75" hidden="1" customHeight="1" x14ac:dyDescent="0.3">
      <c r="A1062" s="283" t="s">
        <v>300</v>
      </c>
      <c r="B1062" s="284">
        <v>14</v>
      </c>
      <c r="C1062" s="283" t="s">
        <v>16</v>
      </c>
      <c r="D1062" s="284" t="s">
        <v>313</v>
      </c>
      <c r="E1062" s="283"/>
      <c r="F1062" s="283" t="s">
        <v>892</v>
      </c>
      <c r="G1062" s="285">
        <v>1323365203.71</v>
      </c>
      <c r="H1062" s="285">
        <v>0</v>
      </c>
      <c r="I1062" s="286">
        <v>1323365203.71</v>
      </c>
      <c r="J1062" s="287"/>
      <c r="K1062" s="7"/>
    </row>
    <row r="1063" spans="1:11" ht="15.75" hidden="1" customHeight="1" x14ac:dyDescent="0.3">
      <c r="A1063" s="278" t="s">
        <v>300</v>
      </c>
      <c r="B1063" s="279">
        <v>14</v>
      </c>
      <c r="C1063" s="278" t="s">
        <v>16</v>
      </c>
      <c r="D1063" s="279" t="s">
        <v>313</v>
      </c>
      <c r="E1063" s="278"/>
      <c r="F1063" s="278" t="s">
        <v>1126</v>
      </c>
      <c r="G1063" s="280">
        <v>1492282836</v>
      </c>
      <c r="H1063" s="280">
        <v>0</v>
      </c>
      <c r="I1063" s="281">
        <v>1492282836</v>
      </c>
      <c r="J1063" s="282"/>
      <c r="K1063" s="7"/>
    </row>
    <row r="1064" spans="1:11" ht="15.75" hidden="1" customHeight="1" x14ac:dyDescent="0.3">
      <c r="A1064" s="283" t="s">
        <v>300</v>
      </c>
      <c r="B1064" s="284">
        <v>14</v>
      </c>
      <c r="C1064" s="283" t="s">
        <v>16</v>
      </c>
      <c r="D1064" s="284" t="s">
        <v>313</v>
      </c>
      <c r="E1064" s="283"/>
      <c r="F1064" s="283" t="s">
        <v>893</v>
      </c>
      <c r="G1064" s="285">
        <v>0</v>
      </c>
      <c r="H1064" s="285">
        <v>1509411024.5999999</v>
      </c>
      <c r="I1064" s="286">
        <v>-1509411024.5999999</v>
      </c>
      <c r="J1064" s="287"/>
      <c r="K1064" s="7"/>
    </row>
    <row r="1065" spans="1:11" ht="15.75" hidden="1" customHeight="1" x14ac:dyDescent="0.3">
      <c r="A1065" s="278" t="s">
        <v>300</v>
      </c>
      <c r="B1065" s="279">
        <v>14</v>
      </c>
      <c r="C1065" s="278" t="s">
        <v>16</v>
      </c>
      <c r="D1065" s="279" t="s">
        <v>313</v>
      </c>
      <c r="E1065" s="278"/>
      <c r="F1065" s="278" t="s">
        <v>1127</v>
      </c>
      <c r="G1065" s="280">
        <v>0</v>
      </c>
      <c r="H1065" s="280">
        <v>1508395980</v>
      </c>
      <c r="I1065" s="281">
        <v>-1508395980</v>
      </c>
      <c r="J1065" s="282"/>
      <c r="K1065" s="7"/>
    </row>
    <row r="1066" spans="1:11" ht="15.75" hidden="1" customHeight="1" x14ac:dyDescent="0.3">
      <c r="A1066" s="288" t="s">
        <v>300</v>
      </c>
      <c r="B1066" s="288">
        <v>14</v>
      </c>
      <c r="C1066" s="289" t="s">
        <v>16</v>
      </c>
      <c r="D1066" s="288" t="s">
        <v>320</v>
      </c>
      <c r="E1066" s="290"/>
      <c r="F1066" s="289" t="s">
        <v>321</v>
      </c>
      <c r="G1066" s="291">
        <v>2815648039.71</v>
      </c>
      <c r="H1066" s="291">
        <v>4341172208.3099995</v>
      </c>
      <c r="I1066" s="292">
        <v>-1525524168.5999999</v>
      </c>
      <c r="J1066" s="292">
        <v>1525524168.5999999</v>
      </c>
      <c r="K1066" s="293">
        <v>0</v>
      </c>
    </row>
    <row r="1067" spans="1:11" ht="15.75" hidden="1" customHeight="1" x14ac:dyDescent="0.3">
      <c r="A1067" s="278" t="s">
        <v>300</v>
      </c>
      <c r="B1067" s="279">
        <v>15</v>
      </c>
      <c r="C1067" s="278" t="s">
        <v>17</v>
      </c>
      <c r="D1067" s="279" t="s">
        <v>313</v>
      </c>
      <c r="E1067" s="278" t="s">
        <v>314</v>
      </c>
      <c r="F1067" s="278" t="s">
        <v>1128</v>
      </c>
      <c r="G1067" s="280">
        <v>0</v>
      </c>
      <c r="H1067" s="280">
        <v>39843978.719999999</v>
      </c>
      <c r="I1067" s="281">
        <v>-39843978.719999999</v>
      </c>
      <c r="J1067" s="282"/>
      <c r="K1067" s="7"/>
    </row>
    <row r="1068" spans="1:11" ht="15.75" hidden="1" customHeight="1" x14ac:dyDescent="0.3">
      <c r="A1068" s="283" t="s">
        <v>300</v>
      </c>
      <c r="B1068" s="284">
        <v>15</v>
      </c>
      <c r="C1068" s="283" t="s">
        <v>17</v>
      </c>
      <c r="D1068" s="284" t="s">
        <v>313</v>
      </c>
      <c r="E1068" s="283"/>
      <c r="F1068" s="283" t="s">
        <v>895</v>
      </c>
      <c r="G1068" s="285">
        <v>39843978.719999999</v>
      </c>
      <c r="H1068" s="285">
        <v>0</v>
      </c>
      <c r="I1068" s="286">
        <v>39843978.719999999</v>
      </c>
      <c r="J1068" s="287"/>
      <c r="K1068" s="7"/>
    </row>
    <row r="1069" spans="1:11" ht="15.75" hidden="1" customHeight="1" x14ac:dyDescent="0.3">
      <c r="A1069" s="278" t="s">
        <v>300</v>
      </c>
      <c r="B1069" s="279">
        <v>15</v>
      </c>
      <c r="C1069" s="278" t="s">
        <v>17</v>
      </c>
      <c r="D1069" s="279" t="s">
        <v>313</v>
      </c>
      <c r="E1069" s="278"/>
      <c r="F1069" s="278" t="s">
        <v>1129</v>
      </c>
      <c r="G1069" s="280">
        <v>40959610.119999997</v>
      </c>
      <c r="H1069" s="280">
        <v>0</v>
      </c>
      <c r="I1069" s="281">
        <v>40959610.119999997</v>
      </c>
      <c r="J1069" s="282"/>
      <c r="K1069" s="7"/>
    </row>
    <row r="1070" spans="1:11" ht="15.75" hidden="1" customHeight="1" x14ac:dyDescent="0.3">
      <c r="A1070" s="283" t="s">
        <v>300</v>
      </c>
      <c r="B1070" s="284">
        <v>15</v>
      </c>
      <c r="C1070" s="283" t="s">
        <v>17</v>
      </c>
      <c r="D1070" s="284" t="s">
        <v>313</v>
      </c>
      <c r="E1070" s="283"/>
      <c r="F1070" s="283" t="s">
        <v>896</v>
      </c>
      <c r="G1070" s="285">
        <v>0</v>
      </c>
      <c r="H1070" s="285">
        <v>44612870.700000003</v>
      </c>
      <c r="I1070" s="286">
        <v>-44612870.700000003</v>
      </c>
      <c r="J1070" s="287"/>
      <c r="K1070" s="7"/>
    </row>
    <row r="1071" spans="1:11" ht="15.75" hidden="1" customHeight="1" x14ac:dyDescent="0.3">
      <c r="A1071" s="278" t="s">
        <v>300</v>
      </c>
      <c r="B1071" s="279">
        <v>15</v>
      </c>
      <c r="C1071" s="278" t="s">
        <v>17</v>
      </c>
      <c r="D1071" s="279" t="s">
        <v>313</v>
      </c>
      <c r="E1071" s="278"/>
      <c r="F1071" s="278" t="s">
        <v>1130</v>
      </c>
      <c r="G1071" s="280">
        <v>0</v>
      </c>
      <c r="H1071" s="280">
        <v>43708606.5</v>
      </c>
      <c r="I1071" s="281">
        <v>-43708606.5</v>
      </c>
      <c r="J1071" s="282"/>
      <c r="K1071" s="7"/>
    </row>
    <row r="1072" spans="1:11" ht="15.75" hidden="1" customHeight="1" x14ac:dyDescent="0.3">
      <c r="A1072" s="288" t="s">
        <v>300</v>
      </c>
      <c r="B1072" s="288">
        <v>15</v>
      </c>
      <c r="C1072" s="289" t="s">
        <v>17</v>
      </c>
      <c r="D1072" s="288" t="s">
        <v>320</v>
      </c>
      <c r="E1072" s="290"/>
      <c r="F1072" s="289" t="s">
        <v>321</v>
      </c>
      <c r="G1072" s="291">
        <v>80803588.840000004</v>
      </c>
      <c r="H1072" s="291">
        <v>128165455.92</v>
      </c>
      <c r="I1072" s="292">
        <v>-47361867.080000013</v>
      </c>
      <c r="J1072" s="292">
        <v>47361867.079999998</v>
      </c>
      <c r="K1072" s="293">
        <v>7.4505805969238281E-9</v>
      </c>
    </row>
    <row r="1073" spans="1:11" ht="15.75" hidden="1" customHeight="1" x14ac:dyDescent="0.3">
      <c r="A1073" s="278" t="s">
        <v>300</v>
      </c>
      <c r="B1073" s="279">
        <v>17</v>
      </c>
      <c r="C1073" s="278" t="s">
        <v>19</v>
      </c>
      <c r="D1073" s="279" t="s">
        <v>313</v>
      </c>
      <c r="E1073" s="278" t="s">
        <v>19</v>
      </c>
      <c r="F1073" s="278" t="s">
        <v>1131</v>
      </c>
      <c r="G1073" s="280">
        <v>0</v>
      </c>
      <c r="H1073" s="280">
        <v>1293685.97</v>
      </c>
      <c r="I1073" s="281">
        <v>-1293685.97</v>
      </c>
      <c r="J1073" s="282"/>
      <c r="K1073" s="7"/>
    </row>
    <row r="1074" spans="1:11" ht="15.75" hidden="1" customHeight="1" x14ac:dyDescent="0.3">
      <c r="A1074" s="283" t="s">
        <v>300</v>
      </c>
      <c r="B1074" s="284">
        <v>17</v>
      </c>
      <c r="C1074" s="283" t="s">
        <v>19</v>
      </c>
      <c r="D1074" s="284" t="s">
        <v>313</v>
      </c>
      <c r="E1074" s="283"/>
      <c r="F1074" s="283" t="s">
        <v>1132</v>
      </c>
      <c r="G1074" s="285">
        <v>1250000</v>
      </c>
      <c r="H1074" s="285">
        <v>0</v>
      </c>
      <c r="I1074" s="286">
        <v>1250000</v>
      </c>
      <c r="J1074" s="287"/>
      <c r="K1074" s="7"/>
    </row>
    <row r="1075" spans="1:11" ht="15.75" hidden="1" customHeight="1" x14ac:dyDescent="0.3">
      <c r="A1075" s="278" t="s">
        <v>300</v>
      </c>
      <c r="B1075" s="279">
        <v>17</v>
      </c>
      <c r="C1075" s="278" t="s">
        <v>19</v>
      </c>
      <c r="D1075" s="279" t="s">
        <v>313</v>
      </c>
      <c r="E1075" s="278"/>
      <c r="F1075" s="278" t="s">
        <v>1133</v>
      </c>
      <c r="G1075" s="280">
        <v>0</v>
      </c>
      <c r="H1075" s="280">
        <v>1300000</v>
      </c>
      <c r="I1075" s="281">
        <v>-1300000</v>
      </c>
      <c r="J1075" s="282"/>
      <c r="K1075" s="7"/>
    </row>
    <row r="1076" spans="1:11" ht="15.75" hidden="1" customHeight="1" x14ac:dyDescent="0.3">
      <c r="A1076" s="288" t="s">
        <v>300</v>
      </c>
      <c r="B1076" s="288">
        <v>17</v>
      </c>
      <c r="C1076" s="289" t="s">
        <v>19</v>
      </c>
      <c r="D1076" s="288" t="s">
        <v>320</v>
      </c>
      <c r="E1076" s="290"/>
      <c r="F1076" s="289" t="s">
        <v>321</v>
      </c>
      <c r="G1076" s="291">
        <v>1250000</v>
      </c>
      <c r="H1076" s="291">
        <v>2593685.9700000002</v>
      </c>
      <c r="I1076" s="292">
        <v>-1343685.97</v>
      </c>
      <c r="J1076" s="292">
        <v>1343685.97</v>
      </c>
      <c r="K1076" s="293">
        <v>0</v>
      </c>
    </row>
    <row r="1077" spans="1:11" ht="15.75" hidden="1" customHeight="1" x14ac:dyDescent="0.3">
      <c r="A1077" s="278" t="s">
        <v>300</v>
      </c>
      <c r="B1077" s="279">
        <v>21</v>
      </c>
      <c r="C1077" s="278" t="s">
        <v>21</v>
      </c>
      <c r="D1077" s="279" t="s">
        <v>313</v>
      </c>
      <c r="E1077" s="278" t="s">
        <v>21</v>
      </c>
      <c r="F1077" s="278" t="s">
        <v>1134</v>
      </c>
      <c r="G1077" s="280">
        <v>0</v>
      </c>
      <c r="H1077" s="280">
        <v>21612629.370000001</v>
      </c>
      <c r="I1077" s="281">
        <v>-21612629.370000001</v>
      </c>
      <c r="J1077" s="282"/>
      <c r="K1077" s="7"/>
    </row>
    <row r="1078" spans="1:11" ht="15.75" hidden="1" customHeight="1" x14ac:dyDescent="0.3">
      <c r="A1078" s="283" t="s">
        <v>300</v>
      </c>
      <c r="B1078" s="284">
        <v>21</v>
      </c>
      <c r="C1078" s="283" t="s">
        <v>21</v>
      </c>
      <c r="D1078" s="284" t="s">
        <v>313</v>
      </c>
      <c r="E1078" s="283"/>
      <c r="F1078" s="283" t="s">
        <v>1135</v>
      </c>
      <c r="G1078" s="285">
        <v>21000000</v>
      </c>
      <c r="H1078" s="285">
        <v>0</v>
      </c>
      <c r="I1078" s="286">
        <v>21000000</v>
      </c>
      <c r="J1078" s="287"/>
      <c r="K1078" s="7"/>
    </row>
    <row r="1079" spans="1:11" ht="15.75" hidden="1" customHeight="1" x14ac:dyDescent="0.3">
      <c r="A1079" s="278" t="s">
        <v>300</v>
      </c>
      <c r="B1079" s="279">
        <v>21</v>
      </c>
      <c r="C1079" s="278" t="s">
        <v>21</v>
      </c>
      <c r="D1079" s="279" t="s">
        <v>313</v>
      </c>
      <c r="E1079" s="278"/>
      <c r="F1079" s="278" t="s">
        <v>1136</v>
      </c>
      <c r="G1079" s="280">
        <v>0</v>
      </c>
      <c r="H1079" s="280">
        <v>22000000</v>
      </c>
      <c r="I1079" s="281">
        <v>-22000000</v>
      </c>
      <c r="J1079" s="282"/>
      <c r="K1079" s="7"/>
    </row>
    <row r="1080" spans="1:11" ht="15.75" hidden="1" customHeight="1" x14ac:dyDescent="0.3">
      <c r="A1080" s="288" t="s">
        <v>300</v>
      </c>
      <c r="B1080" s="288">
        <v>21</v>
      </c>
      <c r="C1080" s="289" t="s">
        <v>21</v>
      </c>
      <c r="D1080" s="288" t="s">
        <v>320</v>
      </c>
      <c r="E1080" s="290"/>
      <c r="F1080" s="289" t="s">
        <v>321</v>
      </c>
      <c r="G1080" s="291">
        <v>21000000</v>
      </c>
      <c r="H1080" s="291">
        <v>43612629.369999997</v>
      </c>
      <c r="I1080" s="292">
        <v>-22612629.370000001</v>
      </c>
      <c r="J1080" s="292">
        <v>22612629.370000001</v>
      </c>
      <c r="K1080" s="293">
        <v>0</v>
      </c>
    </row>
    <row r="1081" spans="1:11" ht="15.75" hidden="1" customHeight="1" x14ac:dyDescent="0.3">
      <c r="A1081" s="278" t="s">
        <v>300</v>
      </c>
      <c r="B1081" s="279">
        <v>22</v>
      </c>
      <c r="C1081" s="278" t="s">
        <v>22</v>
      </c>
      <c r="D1081" s="279" t="s">
        <v>313</v>
      </c>
      <c r="E1081" s="278" t="s">
        <v>22</v>
      </c>
      <c r="F1081" s="278" t="s">
        <v>1137</v>
      </c>
      <c r="G1081" s="280">
        <v>0</v>
      </c>
      <c r="H1081" s="280">
        <v>39393530</v>
      </c>
      <c r="I1081" s="281">
        <v>-39393530</v>
      </c>
      <c r="J1081" s="282"/>
      <c r="K1081" s="7"/>
    </row>
    <row r="1082" spans="1:11" ht="15.75" hidden="1" customHeight="1" x14ac:dyDescent="0.3">
      <c r="A1082" s="283" t="s">
        <v>300</v>
      </c>
      <c r="B1082" s="284">
        <v>22</v>
      </c>
      <c r="C1082" s="283" t="s">
        <v>22</v>
      </c>
      <c r="D1082" s="284" t="s">
        <v>313</v>
      </c>
      <c r="E1082" s="283"/>
      <c r="F1082" s="283" t="s">
        <v>1138</v>
      </c>
      <c r="G1082" s="285">
        <v>39000000</v>
      </c>
      <c r="H1082" s="285">
        <v>0</v>
      </c>
      <c r="I1082" s="286">
        <v>39000000</v>
      </c>
      <c r="J1082" s="287"/>
      <c r="K1082" s="7"/>
    </row>
    <row r="1083" spans="1:11" ht="15.75" hidden="1" customHeight="1" x14ac:dyDescent="0.3">
      <c r="A1083" s="278" t="s">
        <v>300</v>
      </c>
      <c r="B1083" s="279">
        <v>22</v>
      </c>
      <c r="C1083" s="278" t="s">
        <v>22</v>
      </c>
      <c r="D1083" s="279" t="s">
        <v>313</v>
      </c>
      <c r="E1083" s="278"/>
      <c r="F1083" s="278" t="s">
        <v>1139</v>
      </c>
      <c r="G1083" s="280">
        <v>0</v>
      </c>
      <c r="H1083" s="280">
        <v>44635200</v>
      </c>
      <c r="I1083" s="281">
        <v>-44635200</v>
      </c>
      <c r="J1083" s="282"/>
      <c r="K1083" s="7"/>
    </row>
    <row r="1084" spans="1:11" ht="15.75" hidden="1" customHeight="1" x14ac:dyDescent="0.3">
      <c r="A1084" s="288" t="s">
        <v>300</v>
      </c>
      <c r="B1084" s="288">
        <v>22</v>
      </c>
      <c r="C1084" s="289" t="s">
        <v>22</v>
      </c>
      <c r="D1084" s="288" t="s">
        <v>320</v>
      </c>
      <c r="E1084" s="290"/>
      <c r="F1084" s="289" t="s">
        <v>321</v>
      </c>
      <c r="G1084" s="291">
        <v>39000000</v>
      </c>
      <c r="H1084" s="291">
        <v>84028730</v>
      </c>
      <c r="I1084" s="292">
        <v>-45028730</v>
      </c>
      <c r="J1084" s="292">
        <v>45028730</v>
      </c>
      <c r="K1084" s="293">
        <v>0</v>
      </c>
    </row>
    <row r="1085" spans="1:11" ht="15.75" hidden="1" customHeight="1" x14ac:dyDescent="0.3">
      <c r="A1085" s="278" t="s">
        <v>300</v>
      </c>
      <c r="B1085" s="279">
        <v>24</v>
      </c>
      <c r="C1085" s="278" t="s">
        <v>25</v>
      </c>
      <c r="D1085" s="279" t="s">
        <v>313</v>
      </c>
      <c r="E1085" s="278" t="s">
        <v>25</v>
      </c>
      <c r="F1085" s="278" t="s">
        <v>1140</v>
      </c>
      <c r="G1085" s="280">
        <v>0</v>
      </c>
      <c r="H1085" s="280">
        <v>1044493.17</v>
      </c>
      <c r="I1085" s="281">
        <v>-1044493.17</v>
      </c>
      <c r="J1085" s="282"/>
      <c r="K1085" s="7"/>
    </row>
    <row r="1086" spans="1:11" ht="15.75" hidden="1" customHeight="1" x14ac:dyDescent="0.3">
      <c r="A1086" s="283" t="s">
        <v>300</v>
      </c>
      <c r="B1086" s="284">
        <v>24</v>
      </c>
      <c r="C1086" s="283" t="s">
        <v>25</v>
      </c>
      <c r="D1086" s="284" t="s">
        <v>313</v>
      </c>
      <c r="E1086" s="283"/>
      <c r="F1086" s="283" t="s">
        <v>1141</v>
      </c>
      <c r="G1086" s="285">
        <v>1000000</v>
      </c>
      <c r="H1086" s="285">
        <v>0</v>
      </c>
      <c r="I1086" s="286">
        <v>1000000</v>
      </c>
      <c r="J1086" s="287"/>
      <c r="K1086" s="7"/>
    </row>
    <row r="1087" spans="1:11" ht="15.75" hidden="1" customHeight="1" x14ac:dyDescent="0.3">
      <c r="A1087" s="278" t="s">
        <v>300</v>
      </c>
      <c r="B1087" s="279">
        <v>24</v>
      </c>
      <c r="C1087" s="278" t="s">
        <v>25</v>
      </c>
      <c r="D1087" s="279" t="s">
        <v>313</v>
      </c>
      <c r="E1087" s="278"/>
      <c r="F1087" s="278" t="s">
        <v>1142</v>
      </c>
      <c r="G1087" s="280">
        <v>0</v>
      </c>
      <c r="H1087" s="280">
        <v>1000000</v>
      </c>
      <c r="I1087" s="281">
        <v>-1000000</v>
      </c>
      <c r="J1087" s="282"/>
      <c r="K1087" s="7"/>
    </row>
    <row r="1088" spans="1:11" ht="15.75" hidden="1" customHeight="1" x14ac:dyDescent="0.3">
      <c r="A1088" s="288" t="s">
        <v>300</v>
      </c>
      <c r="B1088" s="288">
        <v>24</v>
      </c>
      <c r="C1088" s="289" t="s">
        <v>25</v>
      </c>
      <c r="D1088" s="288" t="s">
        <v>320</v>
      </c>
      <c r="E1088" s="290"/>
      <c r="F1088" s="289" t="s">
        <v>321</v>
      </c>
      <c r="G1088" s="291">
        <v>1000000</v>
      </c>
      <c r="H1088" s="291">
        <v>2044493.17</v>
      </c>
      <c r="I1088" s="292">
        <v>-1044493.17</v>
      </c>
      <c r="J1088" s="292">
        <v>1044493.17</v>
      </c>
      <c r="K1088" s="293">
        <v>0</v>
      </c>
    </row>
    <row r="1089" spans="1:11" ht="15.75" hidden="1" customHeight="1" x14ac:dyDescent="0.3">
      <c r="A1089" s="278" t="s">
        <v>300</v>
      </c>
      <c r="B1089" s="279">
        <v>26</v>
      </c>
      <c r="C1089" s="278" t="s">
        <v>27</v>
      </c>
      <c r="D1089" s="279" t="s">
        <v>668</v>
      </c>
      <c r="E1089" s="278"/>
      <c r="F1089" s="278" t="s">
        <v>1143</v>
      </c>
      <c r="G1089" s="280">
        <v>0</v>
      </c>
      <c r="H1089" s="280">
        <v>20168419.300000001</v>
      </c>
      <c r="I1089" s="281">
        <v>-20168419.300000001</v>
      </c>
      <c r="J1089" s="282"/>
      <c r="K1089" s="7"/>
    </row>
    <row r="1090" spans="1:11" ht="15.75" hidden="1" customHeight="1" x14ac:dyDescent="0.3">
      <c r="A1090" s="288" t="s">
        <v>300</v>
      </c>
      <c r="B1090" s="288">
        <v>26</v>
      </c>
      <c r="C1090" s="289" t="s">
        <v>27</v>
      </c>
      <c r="D1090" s="288" t="s">
        <v>320</v>
      </c>
      <c r="E1090" s="290"/>
      <c r="F1090" s="289" t="s">
        <v>321</v>
      </c>
      <c r="G1090" s="291">
        <v>0</v>
      </c>
      <c r="H1090" s="291">
        <v>20168419.300000001</v>
      </c>
      <c r="I1090" s="292">
        <v>-20168419.300000001</v>
      </c>
      <c r="J1090" s="292">
        <v>20168419.300000001</v>
      </c>
      <c r="K1090" s="293">
        <v>0</v>
      </c>
    </row>
    <row r="1091" spans="1:11" ht="15.75" hidden="1" customHeight="1" x14ac:dyDescent="0.3">
      <c r="A1091" s="278" t="s">
        <v>300</v>
      </c>
      <c r="B1091" s="279">
        <v>27</v>
      </c>
      <c r="C1091" s="278" t="s">
        <v>28</v>
      </c>
      <c r="D1091" s="279" t="s">
        <v>313</v>
      </c>
      <c r="E1091" s="278" t="s">
        <v>374</v>
      </c>
      <c r="F1091" s="278" t="s">
        <v>1144</v>
      </c>
      <c r="G1091" s="280">
        <v>0</v>
      </c>
      <c r="H1091" s="280">
        <v>1368036.9</v>
      </c>
      <c r="I1091" s="281">
        <v>-1368036.9</v>
      </c>
      <c r="J1091" s="282"/>
      <c r="K1091" s="7"/>
    </row>
    <row r="1092" spans="1:11" ht="15.75" hidden="1" customHeight="1" x14ac:dyDescent="0.3">
      <c r="A1092" s="283" t="s">
        <v>300</v>
      </c>
      <c r="B1092" s="284">
        <v>27</v>
      </c>
      <c r="C1092" s="283" t="s">
        <v>28</v>
      </c>
      <c r="D1092" s="284" t="s">
        <v>313</v>
      </c>
      <c r="E1092" s="283"/>
      <c r="F1092" s="283" t="s">
        <v>1145</v>
      </c>
      <c r="G1092" s="285">
        <v>1300000</v>
      </c>
      <c r="H1092" s="285">
        <v>0</v>
      </c>
      <c r="I1092" s="286">
        <v>1300000</v>
      </c>
      <c r="J1092" s="287"/>
      <c r="K1092" s="7"/>
    </row>
    <row r="1093" spans="1:11" ht="15.75" hidden="1" customHeight="1" x14ac:dyDescent="0.3">
      <c r="A1093" s="278" t="s">
        <v>300</v>
      </c>
      <c r="B1093" s="279">
        <v>27</v>
      </c>
      <c r="C1093" s="278" t="s">
        <v>28</v>
      </c>
      <c r="D1093" s="279" t="s">
        <v>313</v>
      </c>
      <c r="E1093" s="278"/>
      <c r="F1093" s="278" t="s">
        <v>1146</v>
      </c>
      <c r="G1093" s="280">
        <v>0</v>
      </c>
      <c r="H1093" s="280">
        <v>1300000</v>
      </c>
      <c r="I1093" s="281">
        <v>-1300000</v>
      </c>
      <c r="J1093" s="282"/>
      <c r="K1093" s="7"/>
    </row>
    <row r="1094" spans="1:11" ht="15.75" hidden="1" customHeight="1" x14ac:dyDescent="0.3">
      <c r="A1094" s="288" t="s">
        <v>300</v>
      </c>
      <c r="B1094" s="288">
        <v>27</v>
      </c>
      <c r="C1094" s="289" t="s">
        <v>28</v>
      </c>
      <c r="D1094" s="288" t="s">
        <v>320</v>
      </c>
      <c r="E1094" s="290"/>
      <c r="F1094" s="289" t="s">
        <v>321</v>
      </c>
      <c r="G1094" s="291">
        <v>1300000</v>
      </c>
      <c r="H1094" s="291">
        <v>2668036.9</v>
      </c>
      <c r="I1094" s="292">
        <v>-1368036.9</v>
      </c>
      <c r="J1094" s="292">
        <v>1368036.9</v>
      </c>
      <c r="K1094" s="293">
        <v>0</v>
      </c>
    </row>
    <row r="1095" spans="1:11" ht="15.75" hidden="1" customHeight="1" x14ac:dyDescent="0.3">
      <c r="A1095" s="278" t="s">
        <v>300</v>
      </c>
      <c r="B1095" s="279">
        <v>28</v>
      </c>
      <c r="C1095" s="278" t="s">
        <v>29</v>
      </c>
      <c r="D1095" s="279" t="s">
        <v>313</v>
      </c>
      <c r="E1095" s="278" t="s">
        <v>29</v>
      </c>
      <c r="F1095" s="278" t="s">
        <v>1147</v>
      </c>
      <c r="G1095" s="280">
        <v>0</v>
      </c>
      <c r="H1095" s="280">
        <v>9289060.3200000003</v>
      </c>
      <c r="I1095" s="281">
        <v>-9289060.3200000003</v>
      </c>
      <c r="J1095" s="282"/>
      <c r="K1095" s="7"/>
    </row>
    <row r="1096" spans="1:11" ht="15.75" hidden="1" customHeight="1" x14ac:dyDescent="0.3">
      <c r="A1096" s="288" t="s">
        <v>300</v>
      </c>
      <c r="B1096" s="288">
        <v>28</v>
      </c>
      <c r="C1096" s="289" t="s">
        <v>29</v>
      </c>
      <c r="D1096" s="288" t="s">
        <v>320</v>
      </c>
      <c r="E1096" s="290"/>
      <c r="F1096" s="289" t="s">
        <v>321</v>
      </c>
      <c r="G1096" s="291">
        <v>0</v>
      </c>
      <c r="H1096" s="291">
        <v>9289060.3200000003</v>
      </c>
      <c r="I1096" s="292">
        <v>-9289060.3200000003</v>
      </c>
      <c r="J1096" s="292">
        <v>9289060.3200000003</v>
      </c>
      <c r="K1096" s="293">
        <v>0</v>
      </c>
    </row>
    <row r="1097" spans="1:11" ht="15.75" hidden="1" customHeight="1" x14ac:dyDescent="0.3">
      <c r="A1097" s="278" t="s">
        <v>300</v>
      </c>
      <c r="B1097" s="279">
        <v>29</v>
      </c>
      <c r="C1097" s="278" t="s">
        <v>29</v>
      </c>
      <c r="D1097" s="279" t="s">
        <v>313</v>
      </c>
      <c r="E1097" s="278" t="s">
        <v>29</v>
      </c>
      <c r="F1097" s="278" t="s">
        <v>1148</v>
      </c>
      <c r="G1097" s="280">
        <v>0</v>
      </c>
      <c r="H1097" s="280">
        <v>30709519.510000002</v>
      </c>
      <c r="I1097" s="281">
        <v>-30709519.510000002</v>
      </c>
      <c r="J1097" s="282"/>
      <c r="K1097" s="7"/>
    </row>
    <row r="1098" spans="1:11" ht="15.75" hidden="1" customHeight="1" x14ac:dyDescent="0.3">
      <c r="A1098" s="283" t="s">
        <v>300</v>
      </c>
      <c r="B1098" s="284">
        <v>29</v>
      </c>
      <c r="C1098" s="283" t="s">
        <v>29</v>
      </c>
      <c r="D1098" s="284" t="s">
        <v>313</v>
      </c>
      <c r="E1098" s="283"/>
      <c r="F1098" s="283" t="s">
        <v>1149</v>
      </c>
      <c r="G1098" s="285">
        <v>39000000</v>
      </c>
      <c r="H1098" s="285">
        <v>0</v>
      </c>
      <c r="I1098" s="286">
        <v>39000000</v>
      </c>
      <c r="J1098" s="287"/>
      <c r="K1098" s="7"/>
    </row>
    <row r="1099" spans="1:11" ht="15.75" hidden="1" customHeight="1" x14ac:dyDescent="0.3">
      <c r="A1099" s="278" t="s">
        <v>300</v>
      </c>
      <c r="B1099" s="279">
        <v>29</v>
      </c>
      <c r="C1099" s="278" t="s">
        <v>29</v>
      </c>
      <c r="D1099" s="279" t="s">
        <v>313</v>
      </c>
      <c r="E1099" s="278"/>
      <c r="F1099" s="278" t="s">
        <v>1150</v>
      </c>
      <c r="G1099" s="280">
        <v>0</v>
      </c>
      <c r="H1099" s="280">
        <v>40000000</v>
      </c>
      <c r="I1099" s="281">
        <v>-40000000</v>
      </c>
      <c r="J1099" s="282"/>
      <c r="K1099" s="7"/>
    </row>
    <row r="1100" spans="1:11" ht="15.75" hidden="1" customHeight="1" x14ac:dyDescent="0.3">
      <c r="A1100" s="288" t="s">
        <v>300</v>
      </c>
      <c r="B1100" s="288">
        <v>29</v>
      </c>
      <c r="C1100" s="289" t="s">
        <v>29</v>
      </c>
      <c r="D1100" s="288" t="s">
        <v>320</v>
      </c>
      <c r="E1100" s="290"/>
      <c r="F1100" s="289" t="s">
        <v>321</v>
      </c>
      <c r="G1100" s="291">
        <v>39000000</v>
      </c>
      <c r="H1100" s="291">
        <v>70709519.510000005</v>
      </c>
      <c r="I1100" s="292">
        <v>-31709519.510000002</v>
      </c>
      <c r="J1100" s="292">
        <v>31709519.510000002</v>
      </c>
      <c r="K1100" s="293">
        <v>0</v>
      </c>
    </row>
    <row r="1101" spans="1:11" ht="15.75" hidden="1" customHeight="1" x14ac:dyDescent="0.3">
      <c r="A1101" s="278" t="s">
        <v>300</v>
      </c>
      <c r="B1101" s="279">
        <v>30</v>
      </c>
      <c r="C1101" s="278" t="s">
        <v>32</v>
      </c>
      <c r="D1101" s="279" t="s">
        <v>313</v>
      </c>
      <c r="E1101" s="278" t="s">
        <v>32</v>
      </c>
      <c r="F1101" s="278" t="s">
        <v>1151</v>
      </c>
      <c r="G1101" s="280">
        <v>0</v>
      </c>
      <c r="H1101" s="280">
        <v>2929705.4</v>
      </c>
      <c r="I1101" s="281">
        <v>-2929705.4</v>
      </c>
      <c r="J1101" s="282"/>
      <c r="K1101" s="7"/>
    </row>
    <row r="1102" spans="1:11" ht="15.75" hidden="1" customHeight="1" x14ac:dyDescent="0.3">
      <c r="A1102" s="283" t="s">
        <v>300</v>
      </c>
      <c r="B1102" s="284">
        <v>30</v>
      </c>
      <c r="C1102" s="283" t="s">
        <v>32</v>
      </c>
      <c r="D1102" s="284" t="s">
        <v>313</v>
      </c>
      <c r="E1102" s="283"/>
      <c r="F1102" s="283" t="s">
        <v>1152</v>
      </c>
      <c r="G1102" s="285">
        <v>2500000</v>
      </c>
      <c r="H1102" s="285">
        <v>0</v>
      </c>
      <c r="I1102" s="286">
        <v>2500000</v>
      </c>
      <c r="J1102" s="287"/>
      <c r="K1102" s="7"/>
    </row>
    <row r="1103" spans="1:11" ht="15.75" hidden="1" customHeight="1" x14ac:dyDescent="0.3">
      <c r="A1103" s="278" t="s">
        <v>300</v>
      </c>
      <c r="B1103" s="279">
        <v>30</v>
      </c>
      <c r="C1103" s="278" t="s">
        <v>32</v>
      </c>
      <c r="D1103" s="279" t="s">
        <v>313</v>
      </c>
      <c r="E1103" s="278"/>
      <c r="F1103" s="278" t="s">
        <v>1153</v>
      </c>
      <c r="G1103" s="280">
        <v>0</v>
      </c>
      <c r="H1103" s="280">
        <v>2500000</v>
      </c>
      <c r="I1103" s="281">
        <v>-2500000</v>
      </c>
      <c r="J1103" s="282"/>
      <c r="K1103" s="7"/>
    </row>
    <row r="1104" spans="1:11" ht="15.75" hidden="1" customHeight="1" x14ac:dyDescent="0.3">
      <c r="A1104" s="288" t="s">
        <v>300</v>
      </c>
      <c r="B1104" s="288">
        <v>30</v>
      </c>
      <c r="C1104" s="289" t="s">
        <v>32</v>
      </c>
      <c r="D1104" s="288" t="s">
        <v>320</v>
      </c>
      <c r="E1104" s="290"/>
      <c r="F1104" s="289" t="s">
        <v>321</v>
      </c>
      <c r="G1104" s="291">
        <v>2500000</v>
      </c>
      <c r="H1104" s="291">
        <v>5429705.4000000004</v>
      </c>
      <c r="I1104" s="292">
        <v>-2929705.4</v>
      </c>
      <c r="J1104" s="292">
        <v>2929705.4</v>
      </c>
      <c r="K1104" s="293">
        <v>0</v>
      </c>
    </row>
    <row r="1105" spans="1:11" ht="15.75" hidden="1" customHeight="1" x14ac:dyDescent="0.3">
      <c r="A1105" s="278" t="s">
        <v>300</v>
      </c>
      <c r="B1105" s="279">
        <v>31</v>
      </c>
      <c r="C1105" s="278" t="s">
        <v>33</v>
      </c>
      <c r="D1105" s="279" t="s">
        <v>313</v>
      </c>
      <c r="E1105" s="278" t="s">
        <v>33</v>
      </c>
      <c r="F1105" s="278" t="s">
        <v>1154</v>
      </c>
      <c r="G1105" s="280">
        <v>0</v>
      </c>
      <c r="H1105" s="280">
        <v>500000</v>
      </c>
      <c r="I1105" s="281">
        <v>-500000</v>
      </c>
      <c r="J1105" s="282"/>
      <c r="K1105" s="7"/>
    </row>
    <row r="1106" spans="1:11" ht="15.75" hidden="1" customHeight="1" x14ac:dyDescent="0.3">
      <c r="A1106" s="283" t="s">
        <v>300</v>
      </c>
      <c r="B1106" s="284">
        <v>31</v>
      </c>
      <c r="C1106" s="283" t="s">
        <v>33</v>
      </c>
      <c r="D1106" s="284" t="s">
        <v>313</v>
      </c>
      <c r="E1106" s="283" t="s">
        <v>33</v>
      </c>
      <c r="F1106" s="283" t="s">
        <v>1155</v>
      </c>
      <c r="G1106" s="285">
        <v>0</v>
      </c>
      <c r="H1106" s="285">
        <v>766721.67</v>
      </c>
      <c r="I1106" s="286">
        <v>-766721.67</v>
      </c>
      <c r="J1106" s="287"/>
      <c r="K1106" s="7"/>
    </row>
    <row r="1107" spans="1:11" ht="15.75" hidden="1" customHeight="1" x14ac:dyDescent="0.3">
      <c r="A1107" s="278" t="s">
        <v>300</v>
      </c>
      <c r="B1107" s="279">
        <v>31</v>
      </c>
      <c r="C1107" s="278" t="s">
        <v>33</v>
      </c>
      <c r="D1107" s="279" t="s">
        <v>313</v>
      </c>
      <c r="E1107" s="278"/>
      <c r="F1107" s="278" t="s">
        <v>1156</v>
      </c>
      <c r="G1107" s="280">
        <v>766722</v>
      </c>
      <c r="H1107" s="280">
        <v>0</v>
      </c>
      <c r="I1107" s="281">
        <v>766722</v>
      </c>
      <c r="J1107" s="282"/>
      <c r="K1107" s="7"/>
    </row>
    <row r="1108" spans="1:11" ht="15.75" hidden="1" customHeight="1" x14ac:dyDescent="0.3">
      <c r="A1108" s="283" t="s">
        <v>300</v>
      </c>
      <c r="B1108" s="284">
        <v>31</v>
      </c>
      <c r="C1108" s="283" t="s">
        <v>33</v>
      </c>
      <c r="D1108" s="284" t="s">
        <v>313</v>
      </c>
      <c r="E1108" s="283"/>
      <c r="F1108" s="283" t="s">
        <v>1157</v>
      </c>
      <c r="G1108" s="285">
        <v>0</v>
      </c>
      <c r="H1108" s="285">
        <v>1266722</v>
      </c>
      <c r="I1108" s="286">
        <v>-1266722</v>
      </c>
      <c r="J1108" s="287"/>
      <c r="K1108" s="7"/>
    </row>
    <row r="1109" spans="1:11" ht="15.75" hidden="1" customHeight="1" x14ac:dyDescent="0.3">
      <c r="A1109" s="288" t="s">
        <v>300</v>
      </c>
      <c r="B1109" s="288">
        <v>31</v>
      </c>
      <c r="C1109" s="289" t="s">
        <v>33</v>
      </c>
      <c r="D1109" s="288" t="s">
        <v>320</v>
      </c>
      <c r="E1109" s="290"/>
      <c r="F1109" s="289" t="s">
        <v>321</v>
      </c>
      <c r="G1109" s="291">
        <v>766722</v>
      </c>
      <c r="H1109" s="291">
        <v>2533443.67</v>
      </c>
      <c r="I1109" s="292">
        <v>-1766721.67</v>
      </c>
      <c r="J1109" s="292">
        <v>1766721.67</v>
      </c>
      <c r="K1109" s="293">
        <v>0</v>
      </c>
    </row>
    <row r="1110" spans="1:11" ht="15.75" hidden="1" customHeight="1" x14ac:dyDescent="0.3">
      <c r="A1110" s="278" t="s">
        <v>300</v>
      </c>
      <c r="B1110" s="279">
        <v>32</v>
      </c>
      <c r="C1110" s="278" t="s">
        <v>34</v>
      </c>
      <c r="D1110" s="279" t="s">
        <v>313</v>
      </c>
      <c r="E1110" s="278" t="s">
        <v>388</v>
      </c>
      <c r="F1110" s="278" t="s">
        <v>1158</v>
      </c>
      <c r="G1110" s="280">
        <v>0</v>
      </c>
      <c r="H1110" s="280">
        <v>8321.7199999999993</v>
      </c>
      <c r="I1110" s="281">
        <v>-8321.7199999999993</v>
      </c>
      <c r="J1110" s="282"/>
      <c r="K1110" s="7"/>
    </row>
    <row r="1111" spans="1:11" ht="15.75" hidden="1" customHeight="1" x14ac:dyDescent="0.3">
      <c r="A1111" s="283" t="s">
        <v>300</v>
      </c>
      <c r="B1111" s="284">
        <v>32</v>
      </c>
      <c r="C1111" s="283" t="s">
        <v>34</v>
      </c>
      <c r="D1111" s="284" t="s">
        <v>313</v>
      </c>
      <c r="E1111" s="283"/>
      <c r="F1111" s="283" t="s">
        <v>1159</v>
      </c>
      <c r="G1111" s="285">
        <v>9000</v>
      </c>
      <c r="H1111" s="285">
        <v>0</v>
      </c>
      <c r="I1111" s="286">
        <v>9000</v>
      </c>
      <c r="J1111" s="287"/>
      <c r="K1111" s="7"/>
    </row>
    <row r="1112" spans="1:11" ht="15.75" hidden="1" customHeight="1" x14ac:dyDescent="0.3">
      <c r="A1112" s="278" t="s">
        <v>300</v>
      </c>
      <c r="B1112" s="279">
        <v>32</v>
      </c>
      <c r="C1112" s="278" t="s">
        <v>34</v>
      </c>
      <c r="D1112" s="279" t="s">
        <v>313</v>
      </c>
      <c r="E1112" s="278"/>
      <c r="F1112" s="278" t="s">
        <v>1160</v>
      </c>
      <c r="G1112" s="280">
        <v>0</v>
      </c>
      <c r="H1112" s="280">
        <v>9000</v>
      </c>
      <c r="I1112" s="281">
        <v>-9000</v>
      </c>
      <c r="J1112" s="282"/>
      <c r="K1112" s="7"/>
    </row>
    <row r="1113" spans="1:11" ht="15.75" hidden="1" customHeight="1" x14ac:dyDescent="0.3">
      <c r="A1113" s="288" t="s">
        <v>300</v>
      </c>
      <c r="B1113" s="288">
        <v>32</v>
      </c>
      <c r="C1113" s="289" t="s">
        <v>34</v>
      </c>
      <c r="D1113" s="288" t="s">
        <v>320</v>
      </c>
      <c r="E1113" s="290"/>
      <c r="F1113" s="289" t="s">
        <v>321</v>
      </c>
      <c r="G1113" s="291">
        <v>9000</v>
      </c>
      <c r="H1113" s="291">
        <v>17321.72</v>
      </c>
      <c r="I1113" s="292">
        <v>-8321.7199999999993</v>
      </c>
      <c r="J1113" s="292">
        <v>8321.7199999999993</v>
      </c>
      <c r="K1113" s="293">
        <v>0</v>
      </c>
    </row>
    <row r="1114" spans="1:11" ht="15.75" hidden="1" customHeight="1" x14ac:dyDescent="0.3">
      <c r="A1114" s="278" t="s">
        <v>300</v>
      </c>
      <c r="B1114" s="279">
        <v>33</v>
      </c>
      <c r="C1114" s="278" t="s">
        <v>35</v>
      </c>
      <c r="D1114" s="279" t="s">
        <v>313</v>
      </c>
      <c r="E1114" s="278" t="s">
        <v>35</v>
      </c>
      <c r="F1114" s="278" t="s">
        <v>1161</v>
      </c>
      <c r="G1114" s="280">
        <v>0</v>
      </c>
      <c r="H1114" s="280">
        <v>404782.22</v>
      </c>
      <c r="I1114" s="281">
        <v>-404782.22</v>
      </c>
      <c r="J1114" s="282"/>
      <c r="K1114" s="7"/>
    </row>
    <row r="1115" spans="1:11" ht="15.75" hidden="1" customHeight="1" x14ac:dyDescent="0.3">
      <c r="A1115" s="283" t="s">
        <v>300</v>
      </c>
      <c r="B1115" s="284">
        <v>33</v>
      </c>
      <c r="C1115" s="283" t="s">
        <v>35</v>
      </c>
      <c r="D1115" s="284" t="s">
        <v>313</v>
      </c>
      <c r="E1115" s="283" t="s">
        <v>35</v>
      </c>
      <c r="F1115" s="283" t="s">
        <v>1162</v>
      </c>
      <c r="G1115" s="285">
        <v>0</v>
      </c>
      <c r="H1115" s="285">
        <v>500000</v>
      </c>
      <c r="I1115" s="286">
        <v>-500000</v>
      </c>
      <c r="J1115" s="287"/>
      <c r="K1115" s="7"/>
    </row>
    <row r="1116" spans="1:11" ht="15.75" hidden="1" customHeight="1" x14ac:dyDescent="0.3">
      <c r="A1116" s="278" t="s">
        <v>300</v>
      </c>
      <c r="B1116" s="279">
        <v>33</v>
      </c>
      <c r="C1116" s="278" t="s">
        <v>35</v>
      </c>
      <c r="D1116" s="279" t="s">
        <v>313</v>
      </c>
      <c r="E1116" s="278"/>
      <c r="F1116" s="278" t="s">
        <v>1163</v>
      </c>
      <c r="G1116" s="280">
        <v>850000</v>
      </c>
      <c r="H1116" s="280">
        <v>0</v>
      </c>
      <c r="I1116" s="281">
        <v>850000</v>
      </c>
      <c r="J1116" s="282"/>
      <c r="K1116" s="7"/>
    </row>
    <row r="1117" spans="1:11" ht="15.75" hidden="1" customHeight="1" x14ac:dyDescent="0.3">
      <c r="A1117" s="283" t="s">
        <v>300</v>
      </c>
      <c r="B1117" s="284">
        <v>33</v>
      </c>
      <c r="C1117" s="283" t="s">
        <v>35</v>
      </c>
      <c r="D1117" s="284" t="s">
        <v>313</v>
      </c>
      <c r="E1117" s="283"/>
      <c r="F1117" s="283" t="s">
        <v>1164</v>
      </c>
      <c r="G1117" s="285">
        <v>0</v>
      </c>
      <c r="H1117" s="285">
        <v>850000</v>
      </c>
      <c r="I1117" s="286">
        <v>-850000</v>
      </c>
      <c r="J1117" s="287"/>
      <c r="K1117" s="7"/>
    </row>
    <row r="1118" spans="1:11" ht="15.75" hidden="1" customHeight="1" x14ac:dyDescent="0.3">
      <c r="A1118" s="288" t="s">
        <v>300</v>
      </c>
      <c r="B1118" s="288">
        <v>33</v>
      </c>
      <c r="C1118" s="289" t="s">
        <v>35</v>
      </c>
      <c r="D1118" s="288" t="s">
        <v>320</v>
      </c>
      <c r="E1118" s="290"/>
      <c r="F1118" s="289" t="s">
        <v>321</v>
      </c>
      <c r="G1118" s="291">
        <v>850000</v>
      </c>
      <c r="H1118" s="291">
        <v>1754782.22</v>
      </c>
      <c r="I1118" s="292">
        <v>-904782.22</v>
      </c>
      <c r="J1118" s="292">
        <v>904782.22</v>
      </c>
      <c r="K1118" s="293">
        <v>0</v>
      </c>
    </row>
    <row r="1119" spans="1:11" ht="15.75" hidden="1" customHeight="1" x14ac:dyDescent="0.3">
      <c r="A1119" s="278" t="s">
        <v>300</v>
      </c>
      <c r="B1119" s="279">
        <v>34</v>
      </c>
      <c r="C1119" s="278" t="s">
        <v>36</v>
      </c>
      <c r="D1119" s="279" t="s">
        <v>313</v>
      </c>
      <c r="E1119" s="278" t="s">
        <v>395</v>
      </c>
      <c r="F1119" s="278" t="s">
        <v>1165</v>
      </c>
      <c r="G1119" s="280">
        <v>0</v>
      </c>
      <c r="H1119" s="280">
        <v>2338884.94</v>
      </c>
      <c r="I1119" s="281">
        <v>-2338884.94</v>
      </c>
      <c r="J1119" s="282"/>
      <c r="K1119" s="7"/>
    </row>
    <row r="1120" spans="1:11" ht="15.75" hidden="1" customHeight="1" x14ac:dyDescent="0.3">
      <c r="A1120" s="283" t="s">
        <v>300</v>
      </c>
      <c r="B1120" s="284">
        <v>34</v>
      </c>
      <c r="C1120" s="283" t="s">
        <v>36</v>
      </c>
      <c r="D1120" s="284" t="s">
        <v>313</v>
      </c>
      <c r="E1120" s="283"/>
      <c r="F1120" s="283" t="s">
        <v>1166</v>
      </c>
      <c r="G1120" s="285">
        <v>2300000</v>
      </c>
      <c r="H1120" s="285">
        <v>0</v>
      </c>
      <c r="I1120" s="286">
        <v>2300000</v>
      </c>
      <c r="J1120" s="287"/>
      <c r="K1120" s="7"/>
    </row>
    <row r="1121" spans="1:11" ht="15.75" hidden="1" customHeight="1" x14ac:dyDescent="0.3">
      <c r="A1121" s="278" t="s">
        <v>300</v>
      </c>
      <c r="B1121" s="279">
        <v>34</v>
      </c>
      <c r="C1121" s="278" t="s">
        <v>36</v>
      </c>
      <c r="D1121" s="279" t="s">
        <v>313</v>
      </c>
      <c r="E1121" s="278"/>
      <c r="F1121" s="278" t="s">
        <v>1167</v>
      </c>
      <c r="G1121" s="280">
        <v>0</v>
      </c>
      <c r="H1121" s="280">
        <v>2300000</v>
      </c>
      <c r="I1121" s="281">
        <v>-2300000</v>
      </c>
      <c r="J1121" s="282"/>
      <c r="K1121" s="7"/>
    </row>
    <row r="1122" spans="1:11" ht="15.75" hidden="1" customHeight="1" x14ac:dyDescent="0.3">
      <c r="A1122" s="288" t="s">
        <v>300</v>
      </c>
      <c r="B1122" s="288">
        <v>34</v>
      </c>
      <c r="C1122" s="289" t="s">
        <v>36</v>
      </c>
      <c r="D1122" s="288" t="s">
        <v>320</v>
      </c>
      <c r="E1122" s="290"/>
      <c r="F1122" s="289" t="s">
        <v>321</v>
      </c>
      <c r="G1122" s="291">
        <v>2300000</v>
      </c>
      <c r="H1122" s="291">
        <v>4638884.9399999985</v>
      </c>
      <c r="I1122" s="292">
        <v>-2338884.94</v>
      </c>
      <c r="J1122" s="292">
        <v>2338884.94</v>
      </c>
      <c r="K1122" s="293">
        <v>0</v>
      </c>
    </row>
    <row r="1123" spans="1:11" ht="15.75" hidden="1" customHeight="1" x14ac:dyDescent="0.3">
      <c r="A1123" s="278" t="s">
        <v>300</v>
      </c>
      <c r="B1123" s="279">
        <v>35</v>
      </c>
      <c r="C1123" s="278" t="s">
        <v>37</v>
      </c>
      <c r="D1123" s="279" t="s">
        <v>313</v>
      </c>
      <c r="E1123" s="278" t="s">
        <v>691</v>
      </c>
      <c r="F1123" s="278" t="s">
        <v>1168</v>
      </c>
      <c r="G1123" s="280">
        <v>0</v>
      </c>
      <c r="H1123" s="280">
        <v>500000</v>
      </c>
      <c r="I1123" s="281">
        <v>-500000</v>
      </c>
      <c r="J1123" s="282"/>
      <c r="K1123" s="7"/>
    </row>
    <row r="1124" spans="1:11" ht="15.75" hidden="1" customHeight="1" x14ac:dyDescent="0.3">
      <c r="A1124" s="283" t="s">
        <v>300</v>
      </c>
      <c r="B1124" s="284">
        <v>35</v>
      </c>
      <c r="C1124" s="283" t="s">
        <v>37</v>
      </c>
      <c r="D1124" s="284" t="s">
        <v>313</v>
      </c>
      <c r="E1124" s="283"/>
      <c r="F1124" s="283" t="s">
        <v>1169</v>
      </c>
      <c r="G1124" s="285">
        <v>500000</v>
      </c>
      <c r="H1124" s="285">
        <v>0</v>
      </c>
      <c r="I1124" s="286">
        <v>500000</v>
      </c>
      <c r="J1124" s="287"/>
      <c r="K1124" s="7"/>
    </row>
    <row r="1125" spans="1:11" ht="15.75" hidden="1" customHeight="1" x14ac:dyDescent="0.3">
      <c r="A1125" s="278" t="s">
        <v>300</v>
      </c>
      <c r="B1125" s="279">
        <v>35</v>
      </c>
      <c r="C1125" s="278" t="s">
        <v>37</v>
      </c>
      <c r="D1125" s="279" t="s">
        <v>313</v>
      </c>
      <c r="E1125" s="278"/>
      <c r="F1125" s="278" t="s">
        <v>1170</v>
      </c>
      <c r="G1125" s="280">
        <v>0</v>
      </c>
      <c r="H1125" s="280">
        <v>500000</v>
      </c>
      <c r="I1125" s="281">
        <v>-500000</v>
      </c>
      <c r="J1125" s="282"/>
      <c r="K1125" s="7"/>
    </row>
    <row r="1126" spans="1:11" ht="15.75" hidden="1" customHeight="1" x14ac:dyDescent="0.3">
      <c r="A1126" s="288" t="s">
        <v>300</v>
      </c>
      <c r="B1126" s="288">
        <v>35</v>
      </c>
      <c r="C1126" s="289" t="s">
        <v>37</v>
      </c>
      <c r="D1126" s="288" t="s">
        <v>320</v>
      </c>
      <c r="E1126" s="290"/>
      <c r="F1126" s="289" t="s">
        <v>321</v>
      </c>
      <c r="G1126" s="291">
        <v>500000</v>
      </c>
      <c r="H1126" s="291">
        <v>1000000</v>
      </c>
      <c r="I1126" s="292">
        <v>-500000</v>
      </c>
      <c r="J1126" s="292">
        <v>500000</v>
      </c>
      <c r="K1126" s="293">
        <v>0</v>
      </c>
    </row>
    <row r="1127" spans="1:11" ht="15.75" hidden="1" customHeight="1" x14ac:dyDescent="0.3">
      <c r="A1127" s="278" t="s">
        <v>300</v>
      </c>
      <c r="B1127" s="279">
        <v>38</v>
      </c>
      <c r="C1127" s="278" t="s">
        <v>39</v>
      </c>
      <c r="D1127" s="279" t="s">
        <v>313</v>
      </c>
      <c r="E1127" s="278" t="s">
        <v>399</v>
      </c>
      <c r="F1127" s="278" t="s">
        <v>1171</v>
      </c>
      <c r="G1127" s="280">
        <v>0</v>
      </c>
      <c r="H1127" s="280">
        <v>12034640.49</v>
      </c>
      <c r="I1127" s="281">
        <v>-12034640.49</v>
      </c>
      <c r="J1127" s="282"/>
      <c r="K1127" s="7"/>
    </row>
    <row r="1128" spans="1:11" ht="15.75" hidden="1" customHeight="1" x14ac:dyDescent="0.3">
      <c r="A1128" s="283" t="s">
        <v>300</v>
      </c>
      <c r="B1128" s="284">
        <v>38</v>
      </c>
      <c r="C1128" s="283" t="s">
        <v>39</v>
      </c>
      <c r="D1128" s="284" t="s">
        <v>313</v>
      </c>
      <c r="E1128" s="283"/>
      <c r="F1128" s="283" t="s">
        <v>1172</v>
      </c>
      <c r="G1128" s="285">
        <v>12034640</v>
      </c>
      <c r="H1128" s="285">
        <v>0</v>
      </c>
      <c r="I1128" s="286">
        <v>12034640</v>
      </c>
      <c r="J1128" s="287"/>
      <c r="K1128" s="7"/>
    </row>
    <row r="1129" spans="1:11" ht="15.75" hidden="1" customHeight="1" x14ac:dyDescent="0.3">
      <c r="A1129" s="278" t="s">
        <v>300</v>
      </c>
      <c r="B1129" s="279">
        <v>38</v>
      </c>
      <c r="C1129" s="278" t="s">
        <v>39</v>
      </c>
      <c r="D1129" s="279" t="s">
        <v>313</v>
      </c>
      <c r="E1129" s="278"/>
      <c r="F1129" s="278" t="s">
        <v>1173</v>
      </c>
      <c r="G1129" s="280">
        <v>0</v>
      </c>
      <c r="H1129" s="280">
        <v>12034640</v>
      </c>
      <c r="I1129" s="281">
        <v>-12034640</v>
      </c>
      <c r="J1129" s="282"/>
      <c r="K1129" s="7"/>
    </row>
    <row r="1130" spans="1:11" ht="15.75" hidden="1" customHeight="1" x14ac:dyDescent="0.3">
      <c r="A1130" s="288" t="s">
        <v>300</v>
      </c>
      <c r="B1130" s="288">
        <v>38</v>
      </c>
      <c r="C1130" s="289" t="s">
        <v>39</v>
      </c>
      <c r="D1130" s="288" t="s">
        <v>320</v>
      </c>
      <c r="E1130" s="290"/>
      <c r="F1130" s="289" t="s">
        <v>321</v>
      </c>
      <c r="G1130" s="291">
        <v>12034640</v>
      </c>
      <c r="H1130" s="291">
        <v>24069280.489999998</v>
      </c>
      <c r="I1130" s="292">
        <v>-12034640.49</v>
      </c>
      <c r="J1130" s="292">
        <v>12034640.49</v>
      </c>
      <c r="K1130" s="293">
        <v>0</v>
      </c>
    </row>
    <row r="1131" spans="1:11" ht="15.75" hidden="1" customHeight="1" x14ac:dyDescent="0.3">
      <c r="A1131" s="278" t="s">
        <v>300</v>
      </c>
      <c r="B1131" s="279">
        <v>41</v>
      </c>
      <c r="C1131" s="278" t="s">
        <v>41</v>
      </c>
      <c r="D1131" s="279" t="s">
        <v>403</v>
      </c>
      <c r="E1131" s="278"/>
      <c r="F1131" s="278" t="s">
        <v>1174</v>
      </c>
      <c r="G1131" s="280">
        <v>0</v>
      </c>
      <c r="H1131" s="280">
        <v>125984748.11</v>
      </c>
      <c r="I1131" s="281">
        <v>-125984748.11</v>
      </c>
      <c r="J1131" s="282"/>
      <c r="K1131" s="7"/>
    </row>
    <row r="1132" spans="1:11" ht="15.75" hidden="1" customHeight="1" x14ac:dyDescent="0.3">
      <c r="A1132" s="283" t="s">
        <v>300</v>
      </c>
      <c r="B1132" s="284">
        <v>41</v>
      </c>
      <c r="C1132" s="283" t="s">
        <v>41</v>
      </c>
      <c r="D1132" s="284" t="s">
        <v>403</v>
      </c>
      <c r="E1132" s="283"/>
      <c r="F1132" s="283" t="s">
        <v>1175</v>
      </c>
      <c r="G1132" s="285">
        <v>125990588.84</v>
      </c>
      <c r="H1132" s="285">
        <v>0</v>
      </c>
      <c r="I1132" s="286">
        <v>125990588.84</v>
      </c>
      <c r="J1132" s="287"/>
      <c r="K1132" s="7"/>
    </row>
    <row r="1133" spans="1:11" ht="15.75" hidden="1" customHeight="1" x14ac:dyDescent="0.3">
      <c r="A1133" s="278" t="s">
        <v>300</v>
      </c>
      <c r="B1133" s="279">
        <v>41</v>
      </c>
      <c r="C1133" s="278" t="s">
        <v>41</v>
      </c>
      <c r="D1133" s="279" t="s">
        <v>403</v>
      </c>
      <c r="E1133" s="278"/>
      <c r="F1133" s="278" t="s">
        <v>1176</v>
      </c>
      <c r="G1133" s="280">
        <v>110817543.33</v>
      </c>
      <c r="H1133" s="280">
        <v>0</v>
      </c>
      <c r="I1133" s="281">
        <v>110817543.33</v>
      </c>
      <c r="J1133" s="282"/>
      <c r="K1133" s="7"/>
    </row>
    <row r="1134" spans="1:11" ht="15.75" hidden="1" customHeight="1" x14ac:dyDescent="0.3">
      <c r="A1134" s="288" t="s">
        <v>300</v>
      </c>
      <c r="B1134" s="288">
        <v>41</v>
      </c>
      <c r="C1134" s="289" t="s">
        <v>41</v>
      </c>
      <c r="D1134" s="288" t="s">
        <v>320</v>
      </c>
      <c r="E1134" s="290"/>
      <c r="F1134" s="289" t="s">
        <v>321</v>
      </c>
      <c r="G1134" s="291">
        <v>236808132.16999999</v>
      </c>
      <c r="H1134" s="291">
        <v>125984748.11</v>
      </c>
      <c r="I1134" s="292">
        <v>110823384.06</v>
      </c>
      <c r="J1134" s="292">
        <v>-110823384.06</v>
      </c>
      <c r="K1134" s="293">
        <v>0</v>
      </c>
    </row>
    <row r="1135" spans="1:11" ht="15.75" hidden="1" customHeight="1" x14ac:dyDescent="0.3">
      <c r="A1135" s="278" t="s">
        <v>300</v>
      </c>
      <c r="B1135" s="279">
        <v>47</v>
      </c>
      <c r="C1135" s="278" t="s">
        <v>50</v>
      </c>
      <c r="D1135" s="279" t="s">
        <v>405</v>
      </c>
      <c r="E1135" s="278" t="s">
        <v>406</v>
      </c>
      <c r="F1135" s="278" t="s">
        <v>1177</v>
      </c>
      <c r="G1135" s="280">
        <v>6477450</v>
      </c>
      <c r="H1135" s="280">
        <v>0</v>
      </c>
      <c r="I1135" s="281">
        <v>6477450</v>
      </c>
      <c r="J1135" s="282"/>
      <c r="K1135" s="7"/>
    </row>
    <row r="1136" spans="1:11" ht="15.75" hidden="1" customHeight="1" x14ac:dyDescent="0.3">
      <c r="A1136" s="283" t="s">
        <v>300</v>
      </c>
      <c r="B1136" s="284">
        <v>47</v>
      </c>
      <c r="C1136" s="283" t="s">
        <v>50</v>
      </c>
      <c r="D1136" s="284" t="s">
        <v>405</v>
      </c>
      <c r="E1136" s="283" t="s">
        <v>406</v>
      </c>
      <c r="F1136" s="283" t="s">
        <v>1178</v>
      </c>
      <c r="G1136" s="285">
        <v>0</v>
      </c>
      <c r="H1136" s="285">
        <v>729052.58</v>
      </c>
      <c r="I1136" s="286">
        <v>-729052.58</v>
      </c>
      <c r="J1136" s="287"/>
      <c r="K1136" s="7"/>
    </row>
    <row r="1137" spans="1:11" ht="15.75" hidden="1" customHeight="1" x14ac:dyDescent="0.3">
      <c r="A1137" s="288" t="s">
        <v>300</v>
      </c>
      <c r="B1137" s="288">
        <v>47</v>
      </c>
      <c r="C1137" s="289" t="s">
        <v>50</v>
      </c>
      <c r="D1137" s="288" t="s">
        <v>320</v>
      </c>
      <c r="E1137" s="290"/>
      <c r="F1137" s="289" t="s">
        <v>321</v>
      </c>
      <c r="G1137" s="291">
        <v>6477450</v>
      </c>
      <c r="H1137" s="291">
        <v>729052.58</v>
      </c>
      <c r="I1137" s="292">
        <v>5748397.4199999999</v>
      </c>
      <c r="J1137" s="292">
        <v>5748397.4199999999</v>
      </c>
      <c r="K1137" s="293">
        <v>0</v>
      </c>
    </row>
    <row r="1138" spans="1:11" ht="15.75" hidden="1" customHeight="1" x14ac:dyDescent="0.3">
      <c r="A1138" s="278" t="s">
        <v>300</v>
      </c>
      <c r="B1138" s="279">
        <v>48</v>
      </c>
      <c r="C1138" s="278" t="s">
        <v>50</v>
      </c>
      <c r="D1138" s="279" t="s">
        <v>409</v>
      </c>
      <c r="E1138" s="278" t="s">
        <v>406</v>
      </c>
      <c r="F1138" s="278" t="s">
        <v>1179</v>
      </c>
      <c r="G1138" s="280">
        <v>6201600</v>
      </c>
      <c r="H1138" s="280">
        <v>0</v>
      </c>
      <c r="I1138" s="281">
        <v>6201600</v>
      </c>
      <c r="J1138" s="282"/>
      <c r="K1138" s="7"/>
    </row>
    <row r="1139" spans="1:11" ht="15.75" hidden="1" customHeight="1" x14ac:dyDescent="0.3">
      <c r="A1139" s="283" t="s">
        <v>300</v>
      </c>
      <c r="B1139" s="284">
        <v>48</v>
      </c>
      <c r="C1139" s="283" t="s">
        <v>50</v>
      </c>
      <c r="D1139" s="284" t="s">
        <v>409</v>
      </c>
      <c r="E1139" s="283" t="s">
        <v>406</v>
      </c>
      <c r="F1139" s="283" t="s">
        <v>1180</v>
      </c>
      <c r="G1139" s="285">
        <v>0</v>
      </c>
      <c r="H1139" s="285">
        <v>620160</v>
      </c>
      <c r="I1139" s="286">
        <v>-620160</v>
      </c>
      <c r="J1139" s="287"/>
      <c r="K1139" s="7"/>
    </row>
    <row r="1140" spans="1:11" ht="15.75" hidden="1" customHeight="1" x14ac:dyDescent="0.3">
      <c r="A1140" s="288" t="s">
        <v>300</v>
      </c>
      <c r="B1140" s="288">
        <v>48</v>
      </c>
      <c r="C1140" s="289" t="s">
        <v>50</v>
      </c>
      <c r="D1140" s="288" t="s">
        <v>320</v>
      </c>
      <c r="E1140" s="290"/>
      <c r="F1140" s="289" t="s">
        <v>321</v>
      </c>
      <c r="G1140" s="291">
        <v>6201600</v>
      </c>
      <c r="H1140" s="291">
        <v>620160</v>
      </c>
      <c r="I1140" s="292">
        <v>5581440</v>
      </c>
      <c r="J1140" s="292">
        <v>5581440</v>
      </c>
      <c r="K1140" s="293">
        <v>0</v>
      </c>
    </row>
    <row r="1141" spans="1:11" ht="15.75" hidden="1" customHeight="1" x14ac:dyDescent="0.3">
      <c r="A1141" s="278" t="s">
        <v>300</v>
      </c>
      <c r="B1141" s="279">
        <v>53</v>
      </c>
      <c r="C1141" s="278" t="s">
        <v>60</v>
      </c>
      <c r="D1141" s="279" t="s">
        <v>409</v>
      </c>
      <c r="E1141" s="278"/>
      <c r="F1141" s="278" t="s">
        <v>1181</v>
      </c>
      <c r="G1141" s="280">
        <v>0</v>
      </c>
      <c r="H1141" s="280">
        <v>24110437</v>
      </c>
      <c r="I1141" s="281">
        <v>-24110437</v>
      </c>
      <c r="J1141" s="282"/>
      <c r="K1141" s="7"/>
    </row>
    <row r="1142" spans="1:11" ht="15.75" hidden="1" customHeight="1" x14ac:dyDescent="0.3">
      <c r="A1142" s="283" t="s">
        <v>300</v>
      </c>
      <c r="B1142" s="284">
        <v>53</v>
      </c>
      <c r="C1142" s="283" t="s">
        <v>60</v>
      </c>
      <c r="D1142" s="284" t="s">
        <v>409</v>
      </c>
      <c r="E1142" s="283" t="s">
        <v>413</v>
      </c>
      <c r="F1142" s="283" t="s">
        <v>1182</v>
      </c>
      <c r="G1142" s="285">
        <v>22732990.609999999</v>
      </c>
      <c r="H1142" s="285">
        <v>0</v>
      </c>
      <c r="I1142" s="286">
        <v>22732990.609999999</v>
      </c>
      <c r="J1142" s="287"/>
      <c r="K1142" s="7"/>
    </row>
    <row r="1143" spans="1:11" ht="15.75" hidden="1" customHeight="1" x14ac:dyDescent="0.3">
      <c r="A1143" s="278" t="s">
        <v>300</v>
      </c>
      <c r="B1143" s="279">
        <v>53</v>
      </c>
      <c r="C1143" s="278" t="s">
        <v>60</v>
      </c>
      <c r="D1143" s="279" t="s">
        <v>409</v>
      </c>
      <c r="E1143" s="278" t="s">
        <v>413</v>
      </c>
      <c r="F1143" s="278" t="s">
        <v>1183</v>
      </c>
      <c r="G1143" s="280">
        <v>1377445.92</v>
      </c>
      <c r="H1143" s="280">
        <v>0</v>
      </c>
      <c r="I1143" s="281">
        <v>1377445.92</v>
      </c>
      <c r="J1143" s="282"/>
      <c r="K1143" s="7"/>
    </row>
    <row r="1144" spans="1:11" ht="15.75" hidden="1" customHeight="1" x14ac:dyDescent="0.3">
      <c r="A1144" s="283" t="s">
        <v>300</v>
      </c>
      <c r="B1144" s="284">
        <v>53</v>
      </c>
      <c r="C1144" s="283" t="s">
        <v>60</v>
      </c>
      <c r="D1144" s="284" t="s">
        <v>409</v>
      </c>
      <c r="E1144" s="283"/>
      <c r="F1144" s="283" t="s">
        <v>1184</v>
      </c>
      <c r="G1144" s="285">
        <v>24733495</v>
      </c>
      <c r="H1144" s="285">
        <v>0</v>
      </c>
      <c r="I1144" s="286">
        <v>24733495</v>
      </c>
      <c r="J1144" s="287"/>
      <c r="K1144" s="7"/>
    </row>
    <row r="1145" spans="1:11" ht="15.75" hidden="1" customHeight="1" x14ac:dyDescent="0.3">
      <c r="A1145" s="278" t="s">
        <v>300</v>
      </c>
      <c r="B1145" s="279">
        <v>53</v>
      </c>
      <c r="C1145" s="278" t="s">
        <v>60</v>
      </c>
      <c r="D1145" s="279" t="s">
        <v>409</v>
      </c>
      <c r="E1145" s="278"/>
      <c r="F1145" s="278" t="s">
        <v>1185</v>
      </c>
      <c r="G1145" s="280">
        <v>1998215</v>
      </c>
      <c r="H1145" s="280">
        <v>0</v>
      </c>
      <c r="I1145" s="281">
        <v>1998215</v>
      </c>
      <c r="J1145" s="282"/>
      <c r="K1145" s="7"/>
    </row>
    <row r="1146" spans="1:11" ht="15.75" hidden="1" customHeight="1" x14ac:dyDescent="0.3">
      <c r="A1146" s="288" t="s">
        <v>300</v>
      </c>
      <c r="B1146" s="288">
        <v>53</v>
      </c>
      <c r="C1146" s="289" t="s">
        <v>60</v>
      </c>
      <c r="D1146" s="288" t="s">
        <v>320</v>
      </c>
      <c r="E1146" s="290"/>
      <c r="F1146" s="289" t="s">
        <v>321</v>
      </c>
      <c r="G1146" s="291">
        <v>50842146.530000001</v>
      </c>
      <c r="H1146" s="291">
        <v>24110437</v>
      </c>
      <c r="I1146" s="292">
        <v>26731709.530000001</v>
      </c>
      <c r="J1146" s="292">
        <v>1998215</v>
      </c>
      <c r="K1146" s="294">
        <v>24733494.530000001</v>
      </c>
    </row>
    <row r="1147" spans="1:11" ht="15.75" hidden="1" customHeight="1" x14ac:dyDescent="0.3">
      <c r="A1147" s="278" t="s">
        <v>300</v>
      </c>
      <c r="B1147" s="279">
        <v>54</v>
      </c>
      <c r="C1147" s="278" t="s">
        <v>50</v>
      </c>
      <c r="D1147" s="279" t="s">
        <v>418</v>
      </c>
      <c r="E1147" s="278"/>
      <c r="F1147" s="278" t="s">
        <v>1186</v>
      </c>
      <c r="G1147" s="280">
        <v>343167.67</v>
      </c>
      <c r="H1147" s="280">
        <v>0</v>
      </c>
      <c r="I1147" s="281">
        <v>343167.67</v>
      </c>
      <c r="J1147" s="282"/>
      <c r="K1147" s="7"/>
    </row>
    <row r="1148" spans="1:11" ht="15.75" hidden="1" customHeight="1" x14ac:dyDescent="0.3">
      <c r="A1148" s="283" t="s">
        <v>300</v>
      </c>
      <c r="B1148" s="284">
        <v>54</v>
      </c>
      <c r="C1148" s="283" t="s">
        <v>50</v>
      </c>
      <c r="D1148" s="284" t="s">
        <v>418</v>
      </c>
      <c r="E1148" s="283"/>
      <c r="F1148" s="283" t="s">
        <v>1187</v>
      </c>
      <c r="G1148" s="285">
        <v>365230.46</v>
      </c>
      <c r="H1148" s="285">
        <v>0</v>
      </c>
      <c r="I1148" s="286">
        <v>365230.46</v>
      </c>
      <c r="J1148" s="287"/>
      <c r="K1148" s="7"/>
    </row>
    <row r="1149" spans="1:11" ht="15.75" hidden="1" customHeight="1" x14ac:dyDescent="0.3">
      <c r="A1149" s="278" t="s">
        <v>300</v>
      </c>
      <c r="B1149" s="279">
        <v>54</v>
      </c>
      <c r="C1149" s="278" t="s">
        <v>50</v>
      </c>
      <c r="D1149" s="279" t="s">
        <v>418</v>
      </c>
      <c r="E1149" s="278"/>
      <c r="F1149" s="278" t="s">
        <v>1188</v>
      </c>
      <c r="G1149" s="280">
        <v>354986.14</v>
      </c>
      <c r="H1149" s="280">
        <v>0</v>
      </c>
      <c r="I1149" s="281">
        <v>354986.14</v>
      </c>
      <c r="J1149" s="282"/>
      <c r="K1149" s="7"/>
    </row>
    <row r="1150" spans="1:11" ht="15.75" hidden="1" customHeight="1" x14ac:dyDescent="0.3">
      <c r="A1150" s="288" t="s">
        <v>300</v>
      </c>
      <c r="B1150" s="288">
        <v>54</v>
      </c>
      <c r="C1150" s="289" t="s">
        <v>50</v>
      </c>
      <c r="D1150" s="288" t="s">
        <v>320</v>
      </c>
      <c r="E1150" s="290"/>
      <c r="F1150" s="289" t="s">
        <v>321</v>
      </c>
      <c r="G1150" s="291">
        <v>1063384.27</v>
      </c>
      <c r="H1150" s="291">
        <v>0</v>
      </c>
      <c r="I1150" s="292">
        <v>1063384.27</v>
      </c>
      <c r="J1150" s="292">
        <v>1063384.27</v>
      </c>
      <c r="K1150" s="293">
        <v>0</v>
      </c>
    </row>
    <row r="1151" spans="1:11" ht="15.75" hidden="1" customHeight="1" x14ac:dyDescent="0.3">
      <c r="A1151" s="278" t="s">
        <v>300</v>
      </c>
      <c r="B1151" s="279">
        <v>59</v>
      </c>
      <c r="C1151" s="278" t="s">
        <v>66</v>
      </c>
      <c r="D1151" s="279" t="s">
        <v>425</v>
      </c>
      <c r="E1151" s="278" t="s">
        <v>423</v>
      </c>
      <c r="F1151" s="278" t="s">
        <v>1189</v>
      </c>
      <c r="G1151" s="280">
        <v>477797</v>
      </c>
      <c r="H1151" s="280">
        <v>0</v>
      </c>
      <c r="I1151" s="281">
        <v>477797</v>
      </c>
      <c r="J1151" s="282"/>
      <c r="K1151" s="7"/>
    </row>
    <row r="1152" spans="1:11" ht="15.75" hidden="1" customHeight="1" x14ac:dyDescent="0.3">
      <c r="A1152" s="288" t="s">
        <v>300</v>
      </c>
      <c r="B1152" s="288">
        <v>59</v>
      </c>
      <c r="C1152" s="289" t="s">
        <v>66</v>
      </c>
      <c r="D1152" s="288" t="s">
        <v>320</v>
      </c>
      <c r="E1152" s="290"/>
      <c r="F1152" s="289" t="s">
        <v>321</v>
      </c>
      <c r="G1152" s="291">
        <v>477797</v>
      </c>
      <c r="H1152" s="291">
        <v>0</v>
      </c>
      <c r="I1152" s="292">
        <v>477797</v>
      </c>
      <c r="J1152" s="292">
        <v>477797</v>
      </c>
      <c r="K1152" s="293">
        <v>0</v>
      </c>
    </row>
    <row r="1153" spans="1:11" ht="15.75" hidden="1" customHeight="1" x14ac:dyDescent="0.3">
      <c r="A1153" s="278" t="s">
        <v>300</v>
      </c>
      <c r="B1153" s="279">
        <v>60</v>
      </c>
      <c r="C1153" s="278" t="s">
        <v>68</v>
      </c>
      <c r="D1153" s="279" t="s">
        <v>422</v>
      </c>
      <c r="E1153" s="278" t="s">
        <v>428</v>
      </c>
      <c r="F1153" s="278" t="s">
        <v>1190</v>
      </c>
      <c r="G1153" s="280">
        <v>855000</v>
      </c>
      <c r="H1153" s="280">
        <v>0</v>
      </c>
      <c r="I1153" s="281">
        <v>855000</v>
      </c>
      <c r="J1153" s="282"/>
      <c r="K1153" s="7"/>
    </row>
    <row r="1154" spans="1:11" ht="15.75" hidden="1" customHeight="1" x14ac:dyDescent="0.3">
      <c r="A1154" s="288" t="s">
        <v>300</v>
      </c>
      <c r="B1154" s="288">
        <v>60</v>
      </c>
      <c r="C1154" s="289" t="s">
        <v>68</v>
      </c>
      <c r="D1154" s="288" t="s">
        <v>320</v>
      </c>
      <c r="E1154" s="290"/>
      <c r="F1154" s="289" t="s">
        <v>321</v>
      </c>
      <c r="G1154" s="291">
        <v>855000</v>
      </c>
      <c r="H1154" s="291">
        <v>0</v>
      </c>
      <c r="I1154" s="292">
        <v>855000</v>
      </c>
      <c r="J1154" s="292">
        <v>855000</v>
      </c>
      <c r="K1154" s="293">
        <v>0</v>
      </c>
    </row>
    <row r="1155" spans="1:11" ht="15.75" hidden="1" customHeight="1" x14ac:dyDescent="0.3">
      <c r="A1155" s="278" t="s">
        <v>300</v>
      </c>
      <c r="B1155" s="279">
        <v>61</v>
      </c>
      <c r="C1155" s="278" t="s">
        <v>70</v>
      </c>
      <c r="D1155" s="279" t="s">
        <v>405</v>
      </c>
      <c r="E1155" s="278"/>
      <c r="F1155" s="278" t="s">
        <v>1191</v>
      </c>
      <c r="G1155" s="280">
        <v>0</v>
      </c>
      <c r="H1155" s="280">
        <v>708120</v>
      </c>
      <c r="I1155" s="281">
        <v>-708120</v>
      </c>
      <c r="J1155" s="282"/>
      <c r="K1155" s="7"/>
    </row>
    <row r="1156" spans="1:11" ht="15.75" hidden="1" customHeight="1" x14ac:dyDescent="0.3">
      <c r="A1156" s="283" t="s">
        <v>300</v>
      </c>
      <c r="B1156" s="284">
        <v>61</v>
      </c>
      <c r="C1156" s="283" t="s">
        <v>70</v>
      </c>
      <c r="D1156" s="284" t="s">
        <v>405</v>
      </c>
      <c r="E1156" s="283" t="s">
        <v>614</v>
      </c>
      <c r="F1156" s="283" t="s">
        <v>1192</v>
      </c>
      <c r="G1156" s="285">
        <v>682416</v>
      </c>
      <c r="H1156" s="285">
        <v>0</v>
      </c>
      <c r="I1156" s="286">
        <v>682416</v>
      </c>
      <c r="J1156" s="287"/>
      <c r="K1156" s="7"/>
    </row>
    <row r="1157" spans="1:11" ht="15.75" hidden="1" customHeight="1" x14ac:dyDescent="0.3">
      <c r="A1157" s="278" t="s">
        <v>300</v>
      </c>
      <c r="B1157" s="279">
        <v>61</v>
      </c>
      <c r="C1157" s="278" t="s">
        <v>70</v>
      </c>
      <c r="D1157" s="279" t="s">
        <v>405</v>
      </c>
      <c r="E1157" s="278"/>
      <c r="F1157" s="278" t="s">
        <v>1193</v>
      </c>
      <c r="G1157" s="280">
        <v>705600</v>
      </c>
      <c r="H1157" s="280">
        <v>0</v>
      </c>
      <c r="I1157" s="281">
        <v>705600</v>
      </c>
      <c r="J1157" s="282"/>
      <c r="K1157" s="7"/>
    </row>
    <row r="1158" spans="1:11" ht="15.75" hidden="1" customHeight="1" x14ac:dyDescent="0.3">
      <c r="A1158" s="288" t="s">
        <v>300</v>
      </c>
      <c r="B1158" s="288">
        <v>61</v>
      </c>
      <c r="C1158" s="289" t="s">
        <v>70</v>
      </c>
      <c r="D1158" s="288" t="s">
        <v>320</v>
      </c>
      <c r="E1158" s="290"/>
      <c r="F1158" s="289" t="s">
        <v>321</v>
      </c>
      <c r="G1158" s="291">
        <v>1388016</v>
      </c>
      <c r="H1158" s="291">
        <v>708120</v>
      </c>
      <c r="I1158" s="292">
        <v>679896</v>
      </c>
      <c r="J1158" s="292">
        <v>679896</v>
      </c>
      <c r="K1158" s="293">
        <v>0</v>
      </c>
    </row>
    <row r="1159" spans="1:11" ht="15.75" hidden="1" customHeight="1" x14ac:dyDescent="0.3">
      <c r="A1159" s="278" t="s">
        <v>300</v>
      </c>
      <c r="B1159" s="279">
        <v>64</v>
      </c>
      <c r="C1159" s="278" t="s">
        <v>76</v>
      </c>
      <c r="D1159" s="279" t="s">
        <v>405</v>
      </c>
      <c r="E1159" s="278" t="s">
        <v>433</v>
      </c>
      <c r="F1159" s="278" t="s">
        <v>1194</v>
      </c>
      <c r="G1159" s="280">
        <v>5.67</v>
      </c>
      <c r="H1159" s="280">
        <v>0</v>
      </c>
      <c r="I1159" s="281">
        <v>5.67</v>
      </c>
      <c r="J1159" s="282"/>
      <c r="K1159" s="7"/>
    </row>
    <row r="1160" spans="1:11" ht="15.75" hidden="1" customHeight="1" x14ac:dyDescent="0.3">
      <c r="A1160" s="283" t="s">
        <v>300</v>
      </c>
      <c r="B1160" s="284">
        <v>64</v>
      </c>
      <c r="C1160" s="283" t="s">
        <v>76</v>
      </c>
      <c r="D1160" s="284" t="s">
        <v>405</v>
      </c>
      <c r="E1160" s="283"/>
      <c r="F1160" s="283" t="s">
        <v>1195</v>
      </c>
      <c r="G1160" s="285">
        <v>0</v>
      </c>
      <c r="H1160" s="285">
        <v>611849</v>
      </c>
      <c r="I1160" s="286">
        <v>-611849</v>
      </c>
      <c r="J1160" s="287"/>
      <c r="K1160" s="7"/>
    </row>
    <row r="1161" spans="1:11" ht="15.75" hidden="1" customHeight="1" x14ac:dyDescent="0.3">
      <c r="A1161" s="278" t="s">
        <v>300</v>
      </c>
      <c r="B1161" s="279">
        <v>64</v>
      </c>
      <c r="C1161" s="278" t="s">
        <v>76</v>
      </c>
      <c r="D1161" s="279" t="s">
        <v>405</v>
      </c>
      <c r="E1161" s="278" t="s">
        <v>433</v>
      </c>
      <c r="F1161" s="278" t="s">
        <v>1196</v>
      </c>
      <c r="G1161" s="280">
        <v>616204.19999999995</v>
      </c>
      <c r="H1161" s="280">
        <v>0</v>
      </c>
      <c r="I1161" s="281">
        <v>616204.19999999995</v>
      </c>
      <c r="J1161" s="282"/>
      <c r="K1161" s="7"/>
    </row>
    <row r="1162" spans="1:11" ht="15.75" hidden="1" customHeight="1" x14ac:dyDescent="0.3">
      <c r="A1162" s="283" t="s">
        <v>300</v>
      </c>
      <c r="B1162" s="284">
        <v>64</v>
      </c>
      <c r="C1162" s="283" t="s">
        <v>76</v>
      </c>
      <c r="D1162" s="284" t="s">
        <v>405</v>
      </c>
      <c r="E1162" s="283"/>
      <c r="F1162" s="283" t="s">
        <v>1197</v>
      </c>
      <c r="G1162" s="285">
        <v>609672</v>
      </c>
      <c r="H1162" s="285">
        <v>0</v>
      </c>
      <c r="I1162" s="286">
        <v>609672</v>
      </c>
      <c r="J1162" s="287"/>
      <c r="K1162" s="7"/>
    </row>
    <row r="1163" spans="1:11" ht="15.75" hidden="1" customHeight="1" x14ac:dyDescent="0.3">
      <c r="A1163" s="288" t="s">
        <v>300</v>
      </c>
      <c r="B1163" s="288">
        <v>64</v>
      </c>
      <c r="C1163" s="289" t="s">
        <v>76</v>
      </c>
      <c r="D1163" s="288" t="s">
        <v>320</v>
      </c>
      <c r="E1163" s="290"/>
      <c r="F1163" s="289" t="s">
        <v>321</v>
      </c>
      <c r="G1163" s="291">
        <v>1225881.8700000001</v>
      </c>
      <c r="H1163" s="291">
        <v>611849</v>
      </c>
      <c r="I1163" s="292">
        <v>614032.87</v>
      </c>
      <c r="J1163" s="292">
        <v>614032.87</v>
      </c>
      <c r="K1163" s="293">
        <v>0</v>
      </c>
    </row>
    <row r="1164" spans="1:11" ht="15.75" hidden="1" customHeight="1" x14ac:dyDescent="0.3">
      <c r="A1164" s="278" t="s">
        <v>300</v>
      </c>
      <c r="B1164" s="279">
        <v>66</v>
      </c>
      <c r="C1164" s="278" t="s">
        <v>80</v>
      </c>
      <c r="D1164" s="279" t="s">
        <v>405</v>
      </c>
      <c r="E1164" s="278" t="s">
        <v>438</v>
      </c>
      <c r="F1164" s="278" t="s">
        <v>1198</v>
      </c>
      <c r="G1164" s="280">
        <v>4498.2</v>
      </c>
      <c r="H1164" s="280">
        <v>0</v>
      </c>
      <c r="I1164" s="281">
        <v>4498.2</v>
      </c>
      <c r="J1164" s="282"/>
      <c r="K1164" s="7"/>
    </row>
    <row r="1165" spans="1:11" ht="15.75" hidden="1" customHeight="1" x14ac:dyDescent="0.3">
      <c r="A1165" s="283" t="s">
        <v>300</v>
      </c>
      <c r="B1165" s="284">
        <v>66</v>
      </c>
      <c r="C1165" s="283" t="s">
        <v>80</v>
      </c>
      <c r="D1165" s="284" t="s">
        <v>405</v>
      </c>
      <c r="E1165" s="283" t="s">
        <v>438</v>
      </c>
      <c r="F1165" s="283" t="s">
        <v>1199</v>
      </c>
      <c r="G1165" s="285">
        <v>4483.92</v>
      </c>
      <c r="H1165" s="285">
        <v>0</v>
      </c>
      <c r="I1165" s="286">
        <v>4483.92</v>
      </c>
      <c r="J1165" s="287"/>
      <c r="K1165" s="7"/>
    </row>
    <row r="1166" spans="1:11" ht="15.75" hidden="1" customHeight="1" x14ac:dyDescent="0.3">
      <c r="A1166" s="278" t="s">
        <v>300</v>
      </c>
      <c r="B1166" s="279">
        <v>66</v>
      </c>
      <c r="C1166" s="278" t="s">
        <v>80</v>
      </c>
      <c r="D1166" s="279" t="s">
        <v>405</v>
      </c>
      <c r="E1166" s="278" t="s">
        <v>438</v>
      </c>
      <c r="F1166" s="278" t="s">
        <v>1200</v>
      </c>
      <c r="G1166" s="280">
        <v>678300</v>
      </c>
      <c r="H1166" s="280">
        <v>0</v>
      </c>
      <c r="I1166" s="281">
        <v>678300</v>
      </c>
      <c r="J1166" s="282"/>
      <c r="K1166" s="7"/>
    </row>
    <row r="1167" spans="1:11" ht="15.75" hidden="1" customHeight="1" x14ac:dyDescent="0.3">
      <c r="A1167" s="283" t="s">
        <v>300</v>
      </c>
      <c r="B1167" s="284">
        <v>66</v>
      </c>
      <c r="C1167" s="283" t="s">
        <v>80</v>
      </c>
      <c r="D1167" s="284" t="s">
        <v>405</v>
      </c>
      <c r="E1167" s="283" t="s">
        <v>438</v>
      </c>
      <c r="F1167" s="283" t="s">
        <v>1201</v>
      </c>
      <c r="G1167" s="285">
        <v>598489.07999999996</v>
      </c>
      <c r="H1167" s="285">
        <v>0</v>
      </c>
      <c r="I1167" s="286">
        <v>598489.07999999996</v>
      </c>
      <c r="J1167" s="287"/>
      <c r="K1167" s="7"/>
    </row>
    <row r="1168" spans="1:11" ht="15.75" hidden="1" customHeight="1" x14ac:dyDescent="0.3">
      <c r="A1168" s="288" t="s">
        <v>300</v>
      </c>
      <c r="B1168" s="288">
        <v>66</v>
      </c>
      <c r="C1168" s="289" t="s">
        <v>80</v>
      </c>
      <c r="D1168" s="288" t="s">
        <v>320</v>
      </c>
      <c r="E1168" s="290"/>
      <c r="F1168" s="289" t="s">
        <v>321</v>
      </c>
      <c r="G1168" s="291">
        <v>1285771.2</v>
      </c>
      <c r="H1168" s="291">
        <v>0</v>
      </c>
      <c r="I1168" s="292">
        <v>1285771.2</v>
      </c>
      <c r="J1168" s="292">
        <v>1285771.2</v>
      </c>
      <c r="K1168" s="293">
        <v>0</v>
      </c>
    </row>
    <row r="1169" spans="1:11" ht="15.75" hidden="1" customHeight="1" x14ac:dyDescent="0.3">
      <c r="A1169" s="278" t="s">
        <v>300</v>
      </c>
      <c r="B1169" s="279">
        <v>69</v>
      </c>
      <c r="C1169" s="278" t="s">
        <v>86</v>
      </c>
      <c r="D1169" s="279" t="s">
        <v>405</v>
      </c>
      <c r="E1169" s="278" t="s">
        <v>438</v>
      </c>
      <c r="F1169" s="278" t="s">
        <v>971</v>
      </c>
      <c r="G1169" s="280">
        <v>11727.32</v>
      </c>
      <c r="H1169" s="280">
        <v>0</v>
      </c>
      <c r="I1169" s="281">
        <v>11727.32</v>
      </c>
      <c r="J1169" s="282"/>
      <c r="K1169" s="7"/>
    </row>
    <row r="1170" spans="1:11" ht="15.75" hidden="1" customHeight="1" x14ac:dyDescent="0.3">
      <c r="A1170" s="288" t="s">
        <v>300</v>
      </c>
      <c r="B1170" s="288">
        <v>69</v>
      </c>
      <c r="C1170" s="289" t="s">
        <v>86</v>
      </c>
      <c r="D1170" s="288" t="s">
        <v>320</v>
      </c>
      <c r="E1170" s="290"/>
      <c r="F1170" s="289" t="s">
        <v>321</v>
      </c>
      <c r="G1170" s="291">
        <v>11727.32</v>
      </c>
      <c r="H1170" s="291">
        <v>0</v>
      </c>
      <c r="I1170" s="292">
        <v>11727.32</v>
      </c>
      <c r="J1170" s="292">
        <v>11727.32</v>
      </c>
      <c r="K1170" s="293">
        <v>0</v>
      </c>
    </row>
    <row r="1171" spans="1:11" ht="15.75" hidden="1" customHeight="1" x14ac:dyDescent="0.3">
      <c r="A1171" s="278" t="s">
        <v>300</v>
      </c>
      <c r="B1171" s="279">
        <v>71</v>
      </c>
      <c r="C1171" s="278" t="s">
        <v>89</v>
      </c>
      <c r="D1171" s="279" t="s">
        <v>444</v>
      </c>
      <c r="E1171" s="278"/>
      <c r="F1171" s="278" t="s">
        <v>1202</v>
      </c>
      <c r="G1171" s="280">
        <v>3464932.49</v>
      </c>
      <c r="H1171" s="280">
        <v>0</v>
      </c>
      <c r="I1171" s="281">
        <v>3464932.49</v>
      </c>
      <c r="J1171" s="282"/>
      <c r="K1171" s="7"/>
    </row>
    <row r="1172" spans="1:11" ht="15.75" hidden="1" customHeight="1" x14ac:dyDescent="0.3">
      <c r="A1172" s="283" t="s">
        <v>300</v>
      </c>
      <c r="B1172" s="284">
        <v>71</v>
      </c>
      <c r="C1172" s="283" t="s">
        <v>89</v>
      </c>
      <c r="D1172" s="284" t="s">
        <v>444</v>
      </c>
      <c r="E1172" s="283"/>
      <c r="F1172" s="283" t="s">
        <v>1203</v>
      </c>
      <c r="G1172" s="285">
        <v>1817356.27</v>
      </c>
      <c r="H1172" s="285">
        <v>0</v>
      </c>
      <c r="I1172" s="286">
        <v>1817356.27</v>
      </c>
      <c r="J1172" s="287"/>
      <c r="K1172" s="7"/>
    </row>
    <row r="1173" spans="1:11" ht="15.75" hidden="1" customHeight="1" x14ac:dyDescent="0.3">
      <c r="A1173" s="278" t="s">
        <v>300</v>
      </c>
      <c r="B1173" s="279">
        <v>71</v>
      </c>
      <c r="C1173" s="278" t="s">
        <v>89</v>
      </c>
      <c r="D1173" s="279" t="s">
        <v>444</v>
      </c>
      <c r="E1173" s="278"/>
      <c r="F1173" s="278" t="s">
        <v>1204</v>
      </c>
      <c r="G1173" s="280">
        <v>40831.879999999997</v>
      </c>
      <c r="H1173" s="280">
        <v>0</v>
      </c>
      <c r="I1173" s="281">
        <v>40831.879999999997</v>
      </c>
      <c r="J1173" s="282"/>
      <c r="K1173" s="7"/>
    </row>
    <row r="1174" spans="1:11" ht="15.75" hidden="1" customHeight="1" x14ac:dyDescent="0.3">
      <c r="A1174" s="288" t="s">
        <v>300</v>
      </c>
      <c r="B1174" s="288">
        <v>71</v>
      </c>
      <c r="C1174" s="289" t="s">
        <v>89</v>
      </c>
      <c r="D1174" s="288" t="s">
        <v>320</v>
      </c>
      <c r="E1174" s="290"/>
      <c r="F1174" s="289" t="s">
        <v>321</v>
      </c>
      <c r="G1174" s="291">
        <v>5323120.6400000006</v>
      </c>
      <c r="H1174" s="291">
        <v>0</v>
      </c>
      <c r="I1174" s="292">
        <v>5323120.6400000006</v>
      </c>
      <c r="J1174" s="292">
        <v>5323120.6399999997</v>
      </c>
      <c r="K1174" s="293">
        <v>9.3132257461547852E-10</v>
      </c>
    </row>
    <row r="1175" spans="1:11" ht="15.75" hidden="1" customHeight="1" x14ac:dyDescent="0.3">
      <c r="A1175" s="278" t="s">
        <v>300</v>
      </c>
      <c r="B1175" s="279">
        <v>76</v>
      </c>
      <c r="C1175" s="278" t="s">
        <v>96</v>
      </c>
      <c r="D1175" s="279" t="s">
        <v>448</v>
      </c>
      <c r="E1175" s="278" t="s">
        <v>449</v>
      </c>
      <c r="F1175" s="278" t="s">
        <v>1205</v>
      </c>
      <c r="G1175" s="280">
        <v>10581982.689999999</v>
      </c>
      <c r="H1175" s="280">
        <v>0</v>
      </c>
      <c r="I1175" s="281">
        <v>10581982.689999999</v>
      </c>
      <c r="J1175" s="282"/>
      <c r="K1175" s="7"/>
    </row>
    <row r="1176" spans="1:11" ht="15.75" hidden="1" customHeight="1" x14ac:dyDescent="0.3">
      <c r="A1176" s="288" t="s">
        <v>300</v>
      </c>
      <c r="B1176" s="288">
        <v>76</v>
      </c>
      <c r="C1176" s="289" t="s">
        <v>96</v>
      </c>
      <c r="D1176" s="288" t="s">
        <v>320</v>
      </c>
      <c r="E1176" s="290"/>
      <c r="F1176" s="289" t="s">
        <v>321</v>
      </c>
      <c r="G1176" s="291">
        <v>10581982.689999999</v>
      </c>
      <c r="H1176" s="291">
        <v>0</v>
      </c>
      <c r="I1176" s="292">
        <v>10581982.689999999</v>
      </c>
      <c r="J1176" s="292">
        <v>10581982.689999999</v>
      </c>
      <c r="K1176" s="293">
        <v>0</v>
      </c>
    </row>
    <row r="1177" spans="1:11" ht="15.75" hidden="1" customHeight="1" x14ac:dyDescent="0.3">
      <c r="A1177" s="278" t="s">
        <v>300</v>
      </c>
      <c r="B1177" s="279">
        <v>78</v>
      </c>
      <c r="C1177" s="278" t="s">
        <v>100</v>
      </c>
      <c r="D1177" s="279" t="s">
        <v>451</v>
      </c>
      <c r="E1177" s="278" t="s">
        <v>452</v>
      </c>
      <c r="F1177" s="278" t="s">
        <v>1206</v>
      </c>
      <c r="G1177" s="280">
        <v>2180494</v>
      </c>
      <c r="H1177" s="280">
        <v>0</v>
      </c>
      <c r="I1177" s="281">
        <v>2180494</v>
      </c>
      <c r="J1177" s="282"/>
      <c r="K1177" s="7"/>
    </row>
    <row r="1178" spans="1:11" ht="15.75" hidden="1" customHeight="1" x14ac:dyDescent="0.3">
      <c r="A1178" s="288" t="s">
        <v>300</v>
      </c>
      <c r="B1178" s="288">
        <v>78</v>
      </c>
      <c r="C1178" s="289" t="s">
        <v>100</v>
      </c>
      <c r="D1178" s="288" t="s">
        <v>320</v>
      </c>
      <c r="E1178" s="290"/>
      <c r="F1178" s="289" t="s">
        <v>321</v>
      </c>
      <c r="G1178" s="291">
        <v>2180494</v>
      </c>
      <c r="H1178" s="291">
        <v>0</v>
      </c>
      <c r="I1178" s="292">
        <v>2180494</v>
      </c>
      <c r="J1178" s="292">
        <v>2180494</v>
      </c>
      <c r="K1178" s="293">
        <v>0</v>
      </c>
    </row>
    <row r="1179" spans="1:11" ht="15.75" hidden="1" customHeight="1" x14ac:dyDescent="0.3">
      <c r="A1179" s="278" t="s">
        <v>300</v>
      </c>
      <c r="B1179" s="279">
        <v>82</v>
      </c>
      <c r="C1179" s="278" t="s">
        <v>104</v>
      </c>
      <c r="D1179" s="279" t="s">
        <v>451</v>
      </c>
      <c r="E1179" s="278"/>
      <c r="F1179" s="278" t="s">
        <v>1207</v>
      </c>
      <c r="G1179" s="280">
        <v>0</v>
      </c>
      <c r="H1179" s="280">
        <v>13000000</v>
      </c>
      <c r="I1179" s="281">
        <v>-13000000</v>
      </c>
      <c r="J1179" s="282"/>
      <c r="K1179" s="7"/>
    </row>
    <row r="1180" spans="1:11" ht="15.75" hidden="1" customHeight="1" x14ac:dyDescent="0.3">
      <c r="A1180" s="283" t="s">
        <v>300</v>
      </c>
      <c r="B1180" s="284">
        <v>82</v>
      </c>
      <c r="C1180" s="283" t="s">
        <v>104</v>
      </c>
      <c r="D1180" s="284" t="s">
        <v>451</v>
      </c>
      <c r="E1180" s="283" t="s">
        <v>455</v>
      </c>
      <c r="F1180" s="283" t="s">
        <v>1208</v>
      </c>
      <c r="G1180" s="285">
        <v>3447758</v>
      </c>
      <c r="H1180" s="285">
        <v>0</v>
      </c>
      <c r="I1180" s="286">
        <v>3447758</v>
      </c>
      <c r="J1180" s="287"/>
      <c r="K1180" s="7"/>
    </row>
    <row r="1181" spans="1:11" ht="15.75" hidden="1" customHeight="1" x14ac:dyDescent="0.3">
      <c r="A1181" s="278" t="s">
        <v>300</v>
      </c>
      <c r="B1181" s="279">
        <v>82</v>
      </c>
      <c r="C1181" s="278" t="s">
        <v>104</v>
      </c>
      <c r="D1181" s="279" t="s">
        <v>451</v>
      </c>
      <c r="E1181" s="278" t="s">
        <v>455</v>
      </c>
      <c r="F1181" s="278" t="s">
        <v>1209</v>
      </c>
      <c r="G1181" s="280">
        <v>9710582</v>
      </c>
      <c r="H1181" s="280">
        <v>0</v>
      </c>
      <c r="I1181" s="281">
        <v>9710582</v>
      </c>
      <c r="J1181" s="282"/>
      <c r="K1181" s="7"/>
    </row>
    <row r="1182" spans="1:11" ht="15.75" hidden="1" customHeight="1" x14ac:dyDescent="0.3">
      <c r="A1182" s="283" t="s">
        <v>300</v>
      </c>
      <c r="B1182" s="284">
        <v>82</v>
      </c>
      <c r="C1182" s="283" t="s">
        <v>104</v>
      </c>
      <c r="D1182" s="284" t="s">
        <v>451</v>
      </c>
      <c r="E1182" s="283"/>
      <c r="F1182" s="283" t="s">
        <v>1210</v>
      </c>
      <c r="G1182" s="285">
        <v>4025000</v>
      </c>
      <c r="H1182" s="285">
        <v>0</v>
      </c>
      <c r="I1182" s="286">
        <v>4025000</v>
      </c>
      <c r="J1182" s="287"/>
      <c r="K1182" s="7"/>
    </row>
    <row r="1183" spans="1:11" ht="15.75" hidden="1" customHeight="1" x14ac:dyDescent="0.3">
      <c r="A1183" s="278" t="s">
        <v>300</v>
      </c>
      <c r="B1183" s="279">
        <v>82</v>
      </c>
      <c r="C1183" s="278" t="s">
        <v>104</v>
      </c>
      <c r="D1183" s="279" t="s">
        <v>451</v>
      </c>
      <c r="E1183" s="278"/>
      <c r="F1183" s="278" t="s">
        <v>1211</v>
      </c>
      <c r="G1183" s="280">
        <v>11155000</v>
      </c>
      <c r="H1183" s="280">
        <v>0</v>
      </c>
      <c r="I1183" s="281">
        <v>11155000</v>
      </c>
      <c r="J1183" s="282"/>
      <c r="K1183" s="7"/>
    </row>
    <row r="1184" spans="1:11" ht="15.75" hidden="1" customHeight="1" x14ac:dyDescent="0.3">
      <c r="A1184" s="288" t="s">
        <v>300</v>
      </c>
      <c r="B1184" s="288">
        <v>82</v>
      </c>
      <c r="C1184" s="289" t="s">
        <v>104</v>
      </c>
      <c r="D1184" s="288" t="s">
        <v>320</v>
      </c>
      <c r="E1184" s="290"/>
      <c r="F1184" s="289" t="s">
        <v>321</v>
      </c>
      <c r="G1184" s="291">
        <v>28338340</v>
      </c>
      <c r="H1184" s="291">
        <v>13000000</v>
      </c>
      <c r="I1184" s="292">
        <v>15338340</v>
      </c>
      <c r="J1184" s="292">
        <v>15338340</v>
      </c>
      <c r="K1184" s="293">
        <v>0</v>
      </c>
    </row>
    <row r="1185" spans="1:11" ht="15.75" hidden="1" customHeight="1" x14ac:dyDescent="0.3">
      <c r="A1185" s="278" t="s">
        <v>300</v>
      </c>
      <c r="B1185" s="279">
        <v>83</v>
      </c>
      <c r="C1185" s="278" t="s">
        <v>107</v>
      </c>
      <c r="D1185" s="279" t="s">
        <v>448</v>
      </c>
      <c r="E1185" s="278" t="s">
        <v>459</v>
      </c>
      <c r="F1185" s="278" t="s">
        <v>1212</v>
      </c>
      <c r="G1185" s="280">
        <v>6461852.1600000001</v>
      </c>
      <c r="H1185" s="280">
        <v>0</v>
      </c>
      <c r="I1185" s="281">
        <v>6461852.1600000001</v>
      </c>
      <c r="J1185" s="282"/>
      <c r="K1185" s="7"/>
    </row>
    <row r="1186" spans="1:11" ht="15.75" hidden="1" customHeight="1" x14ac:dyDescent="0.3">
      <c r="A1186" s="288" t="s">
        <v>300</v>
      </c>
      <c r="B1186" s="288">
        <v>83</v>
      </c>
      <c r="C1186" s="289" t="s">
        <v>107</v>
      </c>
      <c r="D1186" s="288" t="s">
        <v>320</v>
      </c>
      <c r="E1186" s="290"/>
      <c r="F1186" s="289" t="s">
        <v>321</v>
      </c>
      <c r="G1186" s="291">
        <v>6461852.1600000001</v>
      </c>
      <c r="H1186" s="291">
        <v>0</v>
      </c>
      <c r="I1186" s="292">
        <v>6461852.1600000001</v>
      </c>
      <c r="J1186" s="292">
        <v>6461852.1600000001</v>
      </c>
      <c r="K1186" s="293">
        <v>0</v>
      </c>
    </row>
    <row r="1187" spans="1:11" ht="15.75" hidden="1" customHeight="1" x14ac:dyDescent="0.3">
      <c r="A1187" s="278" t="s">
        <v>300</v>
      </c>
      <c r="B1187" s="279">
        <v>84</v>
      </c>
      <c r="C1187" s="278" t="s">
        <v>110</v>
      </c>
      <c r="D1187" s="279" t="s">
        <v>425</v>
      </c>
      <c r="E1187" s="278"/>
      <c r="F1187" s="278" t="s">
        <v>1213</v>
      </c>
      <c r="G1187" s="280">
        <v>0</v>
      </c>
      <c r="H1187" s="280">
        <v>5860542</v>
      </c>
      <c r="I1187" s="281">
        <v>-5860542</v>
      </c>
      <c r="J1187" s="282"/>
      <c r="K1187" s="7"/>
    </row>
    <row r="1188" spans="1:11" ht="15.75" hidden="1" customHeight="1" x14ac:dyDescent="0.3">
      <c r="A1188" s="283" t="s">
        <v>300</v>
      </c>
      <c r="B1188" s="284">
        <v>84</v>
      </c>
      <c r="C1188" s="283" t="s">
        <v>110</v>
      </c>
      <c r="D1188" s="284" t="s">
        <v>425</v>
      </c>
      <c r="E1188" s="283" t="s">
        <v>747</v>
      </c>
      <c r="F1188" s="283" t="s">
        <v>986</v>
      </c>
      <c r="G1188" s="285">
        <v>44807091.25</v>
      </c>
      <c r="H1188" s="285">
        <v>0</v>
      </c>
      <c r="I1188" s="286">
        <v>44807091.25</v>
      </c>
      <c r="J1188" s="287"/>
      <c r="K1188" s="7"/>
    </row>
    <row r="1189" spans="1:11" ht="15.75" hidden="1" customHeight="1" x14ac:dyDescent="0.3">
      <c r="A1189" s="278" t="s">
        <v>300</v>
      </c>
      <c r="B1189" s="279">
        <v>84</v>
      </c>
      <c r="C1189" s="278" t="s">
        <v>110</v>
      </c>
      <c r="D1189" s="279" t="s">
        <v>425</v>
      </c>
      <c r="E1189" s="278" t="s">
        <v>747</v>
      </c>
      <c r="F1189" s="278" t="s">
        <v>1214</v>
      </c>
      <c r="G1189" s="280">
        <v>0</v>
      </c>
      <c r="H1189" s="280">
        <v>44807091.25</v>
      </c>
      <c r="I1189" s="281">
        <v>-44807091.25</v>
      </c>
      <c r="J1189" s="282"/>
      <c r="K1189" s="7"/>
    </row>
    <row r="1190" spans="1:11" ht="15.75" hidden="1" customHeight="1" x14ac:dyDescent="0.3">
      <c r="A1190" s="283" t="s">
        <v>300</v>
      </c>
      <c r="B1190" s="284">
        <v>84</v>
      </c>
      <c r="C1190" s="283" t="s">
        <v>110</v>
      </c>
      <c r="D1190" s="284" t="s">
        <v>425</v>
      </c>
      <c r="E1190" s="283" t="s">
        <v>747</v>
      </c>
      <c r="F1190" s="283" t="s">
        <v>986</v>
      </c>
      <c r="G1190" s="285">
        <v>955288.75</v>
      </c>
      <c r="H1190" s="285">
        <v>0</v>
      </c>
      <c r="I1190" s="286">
        <v>955288.75</v>
      </c>
      <c r="J1190" s="287"/>
      <c r="K1190" s="7"/>
    </row>
    <row r="1191" spans="1:11" ht="15.75" hidden="1" customHeight="1" x14ac:dyDescent="0.3">
      <c r="A1191" s="278" t="s">
        <v>300</v>
      </c>
      <c r="B1191" s="279">
        <v>84</v>
      </c>
      <c r="C1191" s="278" t="s">
        <v>110</v>
      </c>
      <c r="D1191" s="279" t="s">
        <v>425</v>
      </c>
      <c r="E1191" s="278" t="s">
        <v>468</v>
      </c>
      <c r="F1191" s="278" t="s">
        <v>1215</v>
      </c>
      <c r="G1191" s="280">
        <v>19296.25</v>
      </c>
      <c r="H1191" s="280">
        <v>0</v>
      </c>
      <c r="I1191" s="281">
        <v>19296.25</v>
      </c>
      <c r="J1191" s="282"/>
      <c r="K1191" s="7"/>
    </row>
    <row r="1192" spans="1:11" ht="15.75" hidden="1" customHeight="1" x14ac:dyDescent="0.3">
      <c r="A1192" s="283" t="s">
        <v>300</v>
      </c>
      <c r="B1192" s="284">
        <v>84</v>
      </c>
      <c r="C1192" s="283" t="s">
        <v>110</v>
      </c>
      <c r="D1192" s="284" t="s">
        <v>425</v>
      </c>
      <c r="E1192" s="283" t="s">
        <v>1216</v>
      </c>
      <c r="F1192" s="283" t="s">
        <v>1217</v>
      </c>
      <c r="G1192" s="285">
        <v>48102.49</v>
      </c>
      <c r="H1192" s="285">
        <v>0</v>
      </c>
      <c r="I1192" s="286">
        <v>48102.49</v>
      </c>
      <c r="J1192" s="287"/>
      <c r="K1192" s="7"/>
    </row>
    <row r="1193" spans="1:11" ht="15.75" hidden="1" customHeight="1" x14ac:dyDescent="0.3">
      <c r="A1193" s="278" t="s">
        <v>300</v>
      </c>
      <c r="B1193" s="279">
        <v>84</v>
      </c>
      <c r="C1193" s="278" t="s">
        <v>110</v>
      </c>
      <c r="D1193" s="279" t="s">
        <v>425</v>
      </c>
      <c r="E1193" s="278" t="s">
        <v>1216</v>
      </c>
      <c r="F1193" s="278" t="s">
        <v>1217</v>
      </c>
      <c r="G1193" s="280">
        <v>0.01</v>
      </c>
      <c r="H1193" s="280">
        <v>0</v>
      </c>
      <c r="I1193" s="281">
        <v>0.01</v>
      </c>
      <c r="J1193" s="282"/>
      <c r="K1193" s="7"/>
    </row>
    <row r="1194" spans="1:11" ht="15.75" hidden="1" customHeight="1" x14ac:dyDescent="0.3">
      <c r="A1194" s="283" t="s">
        <v>300</v>
      </c>
      <c r="B1194" s="284">
        <v>84</v>
      </c>
      <c r="C1194" s="283" t="s">
        <v>110</v>
      </c>
      <c r="D1194" s="284" t="s">
        <v>425</v>
      </c>
      <c r="E1194" s="283" t="s">
        <v>739</v>
      </c>
      <c r="F1194" s="283" t="s">
        <v>1217</v>
      </c>
      <c r="G1194" s="285">
        <v>31350</v>
      </c>
      <c r="H1194" s="285">
        <v>0</v>
      </c>
      <c r="I1194" s="286">
        <v>31350</v>
      </c>
      <c r="J1194" s="287"/>
      <c r="K1194" s="7"/>
    </row>
    <row r="1195" spans="1:11" ht="15.75" hidden="1" customHeight="1" x14ac:dyDescent="0.3">
      <c r="A1195" s="278" t="s">
        <v>300</v>
      </c>
      <c r="B1195" s="279">
        <v>84</v>
      </c>
      <c r="C1195" s="278" t="s">
        <v>110</v>
      </c>
      <c r="D1195" s="279" t="s">
        <v>425</v>
      </c>
      <c r="E1195" s="278" t="s">
        <v>464</v>
      </c>
      <c r="F1195" s="278" t="s">
        <v>1218</v>
      </c>
      <c r="G1195" s="280">
        <v>1973697.5</v>
      </c>
      <c r="H1195" s="280">
        <v>0</v>
      </c>
      <c r="I1195" s="281">
        <v>1973697.5</v>
      </c>
      <c r="J1195" s="282"/>
      <c r="K1195" s="7"/>
    </row>
    <row r="1196" spans="1:11" ht="15.75" hidden="1" customHeight="1" x14ac:dyDescent="0.3">
      <c r="A1196" s="283" t="s">
        <v>300</v>
      </c>
      <c r="B1196" s="284">
        <v>84</v>
      </c>
      <c r="C1196" s="283" t="s">
        <v>110</v>
      </c>
      <c r="D1196" s="284" t="s">
        <v>425</v>
      </c>
      <c r="E1196" s="283" t="s">
        <v>984</v>
      </c>
      <c r="F1196" s="283" t="s">
        <v>1217</v>
      </c>
      <c r="G1196" s="285">
        <v>31906.25</v>
      </c>
      <c r="H1196" s="285">
        <v>0</v>
      </c>
      <c r="I1196" s="286">
        <v>31906.25</v>
      </c>
      <c r="J1196" s="287"/>
      <c r="K1196" s="7"/>
    </row>
    <row r="1197" spans="1:11" ht="15.75" hidden="1" customHeight="1" x14ac:dyDescent="0.3">
      <c r="A1197" s="278" t="s">
        <v>300</v>
      </c>
      <c r="B1197" s="279">
        <v>84</v>
      </c>
      <c r="C1197" s="278" t="s">
        <v>110</v>
      </c>
      <c r="D1197" s="279" t="s">
        <v>425</v>
      </c>
      <c r="E1197" s="278"/>
      <c r="F1197" s="278" t="s">
        <v>1219</v>
      </c>
      <c r="G1197" s="280">
        <v>623250</v>
      </c>
      <c r="H1197" s="280">
        <v>0</v>
      </c>
      <c r="I1197" s="281">
        <v>623250</v>
      </c>
      <c r="J1197" s="282"/>
      <c r="K1197" s="7"/>
    </row>
    <row r="1198" spans="1:11" ht="15.75" hidden="1" customHeight="1" x14ac:dyDescent="0.3">
      <c r="A1198" s="283" t="s">
        <v>300</v>
      </c>
      <c r="B1198" s="284">
        <v>84</v>
      </c>
      <c r="C1198" s="283" t="s">
        <v>110</v>
      </c>
      <c r="D1198" s="284" t="s">
        <v>425</v>
      </c>
      <c r="E1198" s="283"/>
      <c r="F1198" s="283" t="s">
        <v>1220</v>
      </c>
      <c r="G1198" s="285">
        <v>5964342</v>
      </c>
      <c r="H1198" s="285">
        <v>0</v>
      </c>
      <c r="I1198" s="286">
        <v>5964342</v>
      </c>
      <c r="J1198" s="287"/>
      <c r="K1198" s="7"/>
    </row>
    <row r="1199" spans="1:11" ht="15.75" hidden="1" customHeight="1" x14ac:dyDescent="0.3">
      <c r="A1199" s="288" t="s">
        <v>300</v>
      </c>
      <c r="B1199" s="288">
        <v>84</v>
      </c>
      <c r="C1199" s="289" t="s">
        <v>110</v>
      </c>
      <c r="D1199" s="288" t="s">
        <v>320</v>
      </c>
      <c r="E1199" s="290"/>
      <c r="F1199" s="289" t="s">
        <v>321</v>
      </c>
      <c r="G1199" s="291">
        <v>54454324.5</v>
      </c>
      <c r="H1199" s="291">
        <v>50667633.25</v>
      </c>
      <c r="I1199" s="292">
        <v>3786691.25</v>
      </c>
      <c r="J1199" s="292">
        <v>3786691.25</v>
      </c>
      <c r="K1199" s="293">
        <v>0</v>
      </c>
    </row>
    <row r="1200" spans="1:11" ht="15.75" hidden="1" customHeight="1" x14ac:dyDescent="0.3">
      <c r="A1200" s="278" t="s">
        <v>300</v>
      </c>
      <c r="B1200" s="279">
        <v>85</v>
      </c>
      <c r="C1200" s="278" t="s">
        <v>113</v>
      </c>
      <c r="D1200" s="279" t="s">
        <v>472</v>
      </c>
      <c r="E1200" s="278"/>
      <c r="F1200" s="278" t="s">
        <v>1221</v>
      </c>
      <c r="G1200" s="280">
        <v>0</v>
      </c>
      <c r="H1200" s="280">
        <v>5037950</v>
      </c>
      <c r="I1200" s="281">
        <v>-5037950</v>
      </c>
      <c r="J1200" s="282"/>
      <c r="K1200" s="7"/>
    </row>
    <row r="1201" spans="1:11" ht="15.75" hidden="1" customHeight="1" x14ac:dyDescent="0.3">
      <c r="A1201" s="283" t="s">
        <v>300</v>
      </c>
      <c r="B1201" s="284">
        <v>85</v>
      </c>
      <c r="C1201" s="283" t="s">
        <v>113</v>
      </c>
      <c r="D1201" s="284" t="s">
        <v>472</v>
      </c>
      <c r="E1201" s="283" t="s">
        <v>474</v>
      </c>
      <c r="F1201" s="283" t="s">
        <v>1222</v>
      </c>
      <c r="G1201" s="285">
        <v>4913245.92</v>
      </c>
      <c r="H1201" s="285">
        <v>0</v>
      </c>
      <c r="I1201" s="286">
        <v>4913245.92</v>
      </c>
      <c r="J1201" s="287"/>
      <c r="K1201" s="7"/>
    </row>
    <row r="1202" spans="1:11" ht="15.75" hidden="1" customHeight="1" x14ac:dyDescent="0.3">
      <c r="A1202" s="278" t="s">
        <v>300</v>
      </c>
      <c r="B1202" s="279">
        <v>85</v>
      </c>
      <c r="C1202" s="278" t="s">
        <v>113</v>
      </c>
      <c r="D1202" s="279" t="s">
        <v>472</v>
      </c>
      <c r="E1202" s="278"/>
      <c r="F1202" s="278" t="s">
        <v>1223</v>
      </c>
      <c r="G1202" s="280">
        <v>6137000</v>
      </c>
      <c r="H1202" s="280">
        <v>0</v>
      </c>
      <c r="I1202" s="281">
        <v>6137000</v>
      </c>
      <c r="J1202" s="282"/>
      <c r="K1202" s="7"/>
    </row>
    <row r="1203" spans="1:11" ht="15.75" hidden="1" customHeight="1" x14ac:dyDescent="0.3">
      <c r="A1203" s="288" t="s">
        <v>300</v>
      </c>
      <c r="B1203" s="288">
        <v>85</v>
      </c>
      <c r="C1203" s="289" t="s">
        <v>113</v>
      </c>
      <c r="D1203" s="288" t="s">
        <v>320</v>
      </c>
      <c r="E1203" s="290"/>
      <c r="F1203" s="289" t="s">
        <v>321</v>
      </c>
      <c r="G1203" s="291">
        <v>11050245.92</v>
      </c>
      <c r="H1203" s="291">
        <v>5037950</v>
      </c>
      <c r="I1203" s="292">
        <v>6012295.9199999999</v>
      </c>
      <c r="J1203" s="292">
        <v>6012295.9199999999</v>
      </c>
      <c r="K1203" s="293">
        <v>0</v>
      </c>
    </row>
    <row r="1204" spans="1:11" ht="15.75" hidden="1" customHeight="1" x14ac:dyDescent="0.3">
      <c r="A1204" s="278" t="s">
        <v>300</v>
      </c>
      <c r="B1204" s="279">
        <v>86</v>
      </c>
      <c r="C1204" s="278" t="s">
        <v>116</v>
      </c>
      <c r="D1204" s="279" t="s">
        <v>479</v>
      </c>
      <c r="E1204" s="278"/>
      <c r="F1204" s="278" t="s">
        <v>1224</v>
      </c>
      <c r="G1204" s="280">
        <v>0</v>
      </c>
      <c r="H1204" s="280">
        <v>400000</v>
      </c>
      <c r="I1204" s="281">
        <v>-400000</v>
      </c>
      <c r="J1204" s="282"/>
      <c r="K1204" s="7"/>
    </row>
    <row r="1205" spans="1:11" ht="15.75" hidden="1" customHeight="1" x14ac:dyDescent="0.3">
      <c r="A1205" s="283" t="s">
        <v>300</v>
      </c>
      <c r="B1205" s="284">
        <v>86</v>
      </c>
      <c r="C1205" s="283" t="s">
        <v>116</v>
      </c>
      <c r="D1205" s="284" t="s">
        <v>479</v>
      </c>
      <c r="E1205" s="283" t="s">
        <v>1225</v>
      </c>
      <c r="F1205" s="283" t="s">
        <v>1226</v>
      </c>
      <c r="G1205" s="285">
        <v>81570</v>
      </c>
      <c r="H1205" s="285">
        <v>0</v>
      </c>
      <c r="I1205" s="286">
        <v>81570</v>
      </c>
      <c r="J1205" s="287"/>
      <c r="K1205" s="7"/>
    </row>
    <row r="1206" spans="1:11" ht="15.75" hidden="1" customHeight="1" x14ac:dyDescent="0.3">
      <c r="A1206" s="288" t="s">
        <v>300</v>
      </c>
      <c r="B1206" s="288">
        <v>86</v>
      </c>
      <c r="C1206" s="289" t="s">
        <v>116</v>
      </c>
      <c r="D1206" s="288" t="s">
        <v>320</v>
      </c>
      <c r="E1206" s="290"/>
      <c r="F1206" s="289" t="s">
        <v>321</v>
      </c>
      <c r="G1206" s="291">
        <v>81570</v>
      </c>
      <c r="H1206" s="291">
        <v>400000</v>
      </c>
      <c r="I1206" s="292">
        <v>-318430</v>
      </c>
      <c r="J1206" s="292">
        <v>-318430</v>
      </c>
      <c r="K1206" s="293">
        <v>0</v>
      </c>
    </row>
    <row r="1207" spans="1:11" ht="15.75" hidden="1" customHeight="1" x14ac:dyDescent="0.3">
      <c r="A1207" s="278" t="s">
        <v>300</v>
      </c>
      <c r="B1207" s="279">
        <v>88</v>
      </c>
      <c r="C1207" s="278" t="s">
        <v>119</v>
      </c>
      <c r="D1207" s="279" t="s">
        <v>422</v>
      </c>
      <c r="E1207" s="278"/>
      <c r="F1207" s="278" t="s">
        <v>1227</v>
      </c>
      <c r="G1207" s="280">
        <v>0</v>
      </c>
      <c r="H1207" s="280">
        <v>105201517</v>
      </c>
      <c r="I1207" s="281">
        <v>-105201517</v>
      </c>
      <c r="J1207" s="282"/>
      <c r="K1207" s="7"/>
    </row>
    <row r="1208" spans="1:11" ht="15.75" hidden="1" customHeight="1" x14ac:dyDescent="0.3">
      <c r="A1208" s="283" t="s">
        <v>300</v>
      </c>
      <c r="B1208" s="284">
        <v>88</v>
      </c>
      <c r="C1208" s="283" t="s">
        <v>119</v>
      </c>
      <c r="D1208" s="284" t="s">
        <v>422</v>
      </c>
      <c r="E1208" s="283" t="s">
        <v>483</v>
      </c>
      <c r="F1208" s="283" t="s">
        <v>1228</v>
      </c>
      <c r="G1208" s="285">
        <v>72308951.349999994</v>
      </c>
      <c r="H1208" s="285">
        <v>0</v>
      </c>
      <c r="I1208" s="286">
        <v>72308951.349999994</v>
      </c>
      <c r="J1208" s="287"/>
      <c r="K1208" s="7"/>
    </row>
    <row r="1209" spans="1:11" ht="15.75" hidden="1" customHeight="1" x14ac:dyDescent="0.3">
      <c r="A1209" s="278" t="s">
        <v>300</v>
      </c>
      <c r="B1209" s="279">
        <v>88</v>
      </c>
      <c r="C1209" s="278" t="s">
        <v>119</v>
      </c>
      <c r="D1209" s="279" t="s">
        <v>422</v>
      </c>
      <c r="E1209" s="278" t="s">
        <v>483</v>
      </c>
      <c r="F1209" s="278" t="s">
        <v>1229</v>
      </c>
      <c r="G1209" s="280">
        <v>3319867.93</v>
      </c>
      <c r="H1209" s="280">
        <v>0</v>
      </c>
      <c r="I1209" s="281">
        <v>3319867.93</v>
      </c>
      <c r="J1209" s="282"/>
      <c r="K1209" s="7"/>
    </row>
    <row r="1210" spans="1:11" ht="15.75" hidden="1" customHeight="1" x14ac:dyDescent="0.3">
      <c r="A1210" s="283" t="s">
        <v>300</v>
      </c>
      <c r="B1210" s="284">
        <v>88</v>
      </c>
      <c r="C1210" s="283" t="s">
        <v>119</v>
      </c>
      <c r="D1210" s="284" t="s">
        <v>422</v>
      </c>
      <c r="E1210" s="283" t="s">
        <v>483</v>
      </c>
      <c r="F1210" s="283" t="s">
        <v>1230</v>
      </c>
      <c r="G1210" s="285">
        <v>29572697.52</v>
      </c>
      <c r="H1210" s="285">
        <v>0</v>
      </c>
      <c r="I1210" s="286">
        <v>29572697.52</v>
      </c>
      <c r="J1210" s="287"/>
      <c r="K1210" s="7"/>
    </row>
    <row r="1211" spans="1:11" ht="15.75" hidden="1" customHeight="1" x14ac:dyDescent="0.3">
      <c r="A1211" s="278" t="s">
        <v>300</v>
      </c>
      <c r="B1211" s="279">
        <v>88</v>
      </c>
      <c r="C1211" s="278" t="s">
        <v>119</v>
      </c>
      <c r="D1211" s="279" t="s">
        <v>422</v>
      </c>
      <c r="E1211" s="278"/>
      <c r="F1211" s="278" t="s">
        <v>1231</v>
      </c>
      <c r="G1211" s="280">
        <v>105645102</v>
      </c>
      <c r="H1211" s="280">
        <v>0</v>
      </c>
      <c r="I1211" s="281">
        <v>105645102</v>
      </c>
      <c r="J1211" s="282"/>
      <c r="K1211" s="7"/>
    </row>
    <row r="1212" spans="1:11" ht="15.75" hidden="1" customHeight="1" x14ac:dyDescent="0.3">
      <c r="A1212" s="288" t="s">
        <v>300</v>
      </c>
      <c r="B1212" s="288">
        <v>88</v>
      </c>
      <c r="C1212" s="289" t="s">
        <v>119</v>
      </c>
      <c r="D1212" s="288" t="s">
        <v>320</v>
      </c>
      <c r="E1212" s="290"/>
      <c r="F1212" s="289" t="s">
        <v>321</v>
      </c>
      <c r="G1212" s="291">
        <v>210846618.80000001</v>
      </c>
      <c r="H1212" s="291">
        <v>105201517</v>
      </c>
      <c r="I1212" s="292">
        <v>105645101.8</v>
      </c>
      <c r="J1212" s="292">
        <v>105645101.8</v>
      </c>
      <c r="K1212" s="293">
        <v>0</v>
      </c>
    </row>
    <row r="1213" spans="1:11" ht="15.75" hidden="1" customHeight="1" x14ac:dyDescent="0.3">
      <c r="A1213" s="278" t="s">
        <v>300</v>
      </c>
      <c r="B1213" s="279">
        <v>89</v>
      </c>
      <c r="C1213" s="278" t="s">
        <v>121</v>
      </c>
      <c r="D1213" s="279" t="s">
        <v>422</v>
      </c>
      <c r="E1213" s="278"/>
      <c r="F1213" s="278" t="s">
        <v>1232</v>
      </c>
      <c r="G1213" s="280">
        <v>171371.89</v>
      </c>
      <c r="H1213" s="280">
        <v>0</v>
      </c>
      <c r="I1213" s="281">
        <v>171371.89</v>
      </c>
      <c r="J1213" s="282"/>
      <c r="K1213" s="7"/>
    </row>
    <row r="1214" spans="1:11" ht="15.75" hidden="1" customHeight="1" x14ac:dyDescent="0.3">
      <c r="A1214" s="283" t="s">
        <v>300</v>
      </c>
      <c r="B1214" s="284">
        <v>89</v>
      </c>
      <c r="C1214" s="283" t="s">
        <v>121</v>
      </c>
      <c r="D1214" s="284" t="s">
        <v>422</v>
      </c>
      <c r="E1214" s="283"/>
      <c r="F1214" s="283" t="s">
        <v>1233</v>
      </c>
      <c r="G1214" s="285">
        <v>1178845</v>
      </c>
      <c r="H1214" s="285">
        <v>0</v>
      </c>
      <c r="I1214" s="286">
        <v>1178845</v>
      </c>
      <c r="J1214" s="287"/>
      <c r="K1214" s="7"/>
    </row>
    <row r="1215" spans="1:11" ht="15.75" hidden="1" customHeight="1" x14ac:dyDescent="0.3">
      <c r="A1215" s="278" t="s">
        <v>300</v>
      </c>
      <c r="B1215" s="279">
        <v>89</v>
      </c>
      <c r="C1215" s="278" t="s">
        <v>121</v>
      </c>
      <c r="D1215" s="279" t="s">
        <v>422</v>
      </c>
      <c r="E1215" s="278"/>
      <c r="F1215" s="278" t="s">
        <v>1234</v>
      </c>
      <c r="G1215" s="280">
        <v>1812431</v>
      </c>
      <c r="H1215" s="280">
        <v>0</v>
      </c>
      <c r="I1215" s="281">
        <v>1812431</v>
      </c>
      <c r="J1215" s="282"/>
      <c r="K1215" s="7"/>
    </row>
    <row r="1216" spans="1:11" ht="15.75" hidden="1" customHeight="1" x14ac:dyDescent="0.3">
      <c r="A1216" s="283" t="s">
        <v>300</v>
      </c>
      <c r="B1216" s="284">
        <v>89</v>
      </c>
      <c r="C1216" s="283" t="s">
        <v>121</v>
      </c>
      <c r="D1216" s="284" t="s">
        <v>422</v>
      </c>
      <c r="E1216" s="283"/>
      <c r="F1216" s="283" t="s">
        <v>1235</v>
      </c>
      <c r="G1216" s="285">
        <v>994850</v>
      </c>
      <c r="H1216" s="285">
        <v>0</v>
      </c>
      <c r="I1216" s="286">
        <v>994850</v>
      </c>
      <c r="J1216" s="287"/>
      <c r="K1216" s="7"/>
    </row>
    <row r="1217" spans="1:11" ht="15.75" hidden="1" customHeight="1" x14ac:dyDescent="0.3">
      <c r="A1217" s="278" t="s">
        <v>300</v>
      </c>
      <c r="B1217" s="279">
        <v>89</v>
      </c>
      <c r="C1217" s="278" t="s">
        <v>121</v>
      </c>
      <c r="D1217" s="279" t="s">
        <v>422</v>
      </c>
      <c r="E1217" s="278"/>
      <c r="F1217" s="278" t="s">
        <v>1236</v>
      </c>
      <c r="G1217" s="280">
        <v>352871</v>
      </c>
      <c r="H1217" s="280">
        <v>0</v>
      </c>
      <c r="I1217" s="281">
        <v>352871</v>
      </c>
      <c r="J1217" s="282"/>
      <c r="K1217" s="7"/>
    </row>
    <row r="1218" spans="1:11" ht="15.75" hidden="1" customHeight="1" x14ac:dyDescent="0.3">
      <c r="A1218" s="283" t="s">
        <v>300</v>
      </c>
      <c r="B1218" s="284">
        <v>89</v>
      </c>
      <c r="C1218" s="283" t="s">
        <v>121</v>
      </c>
      <c r="D1218" s="284" t="s">
        <v>422</v>
      </c>
      <c r="E1218" s="283"/>
      <c r="F1218" s="283" t="s">
        <v>1237</v>
      </c>
      <c r="G1218" s="285">
        <v>170243</v>
      </c>
      <c r="H1218" s="285">
        <v>0</v>
      </c>
      <c r="I1218" s="286">
        <v>170243</v>
      </c>
      <c r="J1218" s="287"/>
      <c r="K1218" s="7"/>
    </row>
    <row r="1219" spans="1:11" ht="15.75" hidden="1" customHeight="1" x14ac:dyDescent="0.3">
      <c r="A1219" s="278" t="s">
        <v>300</v>
      </c>
      <c r="B1219" s="279">
        <v>89</v>
      </c>
      <c r="C1219" s="278" t="s">
        <v>121</v>
      </c>
      <c r="D1219" s="279" t="s">
        <v>422</v>
      </c>
      <c r="E1219" s="278"/>
      <c r="F1219" s="278" t="s">
        <v>1238</v>
      </c>
      <c r="G1219" s="280">
        <v>844391</v>
      </c>
      <c r="H1219" s="280">
        <v>0</v>
      </c>
      <c r="I1219" s="281">
        <v>844391</v>
      </c>
      <c r="J1219" s="282"/>
      <c r="K1219" s="7"/>
    </row>
    <row r="1220" spans="1:11" ht="15.75" hidden="1" customHeight="1" x14ac:dyDescent="0.3">
      <c r="A1220" s="283" t="s">
        <v>300</v>
      </c>
      <c r="B1220" s="284">
        <v>89</v>
      </c>
      <c r="C1220" s="283" t="s">
        <v>121</v>
      </c>
      <c r="D1220" s="284" t="s">
        <v>422</v>
      </c>
      <c r="E1220" s="283"/>
      <c r="F1220" s="283" t="s">
        <v>1239</v>
      </c>
      <c r="G1220" s="285">
        <v>247538</v>
      </c>
      <c r="H1220" s="285">
        <v>0</v>
      </c>
      <c r="I1220" s="286">
        <v>247538</v>
      </c>
      <c r="J1220" s="287"/>
      <c r="K1220" s="7"/>
    </row>
    <row r="1221" spans="1:11" ht="15.75" hidden="1" customHeight="1" x14ac:dyDescent="0.3">
      <c r="A1221" s="278" t="s">
        <v>300</v>
      </c>
      <c r="B1221" s="279">
        <v>89</v>
      </c>
      <c r="C1221" s="278" t="s">
        <v>121</v>
      </c>
      <c r="D1221" s="279" t="s">
        <v>422</v>
      </c>
      <c r="E1221" s="278"/>
      <c r="F1221" s="278" t="s">
        <v>1240</v>
      </c>
      <c r="G1221" s="280">
        <v>538986</v>
      </c>
      <c r="H1221" s="280">
        <v>0</v>
      </c>
      <c r="I1221" s="281">
        <v>538986</v>
      </c>
      <c r="J1221" s="282"/>
      <c r="K1221" s="7"/>
    </row>
    <row r="1222" spans="1:11" ht="15.75" hidden="1" customHeight="1" x14ac:dyDescent="0.3">
      <c r="A1222" s="283" t="s">
        <v>300</v>
      </c>
      <c r="B1222" s="284">
        <v>89</v>
      </c>
      <c r="C1222" s="283" t="s">
        <v>121</v>
      </c>
      <c r="D1222" s="284" t="s">
        <v>422</v>
      </c>
      <c r="E1222" s="283"/>
      <c r="F1222" s="283" t="s">
        <v>1241</v>
      </c>
      <c r="G1222" s="285">
        <v>1339004</v>
      </c>
      <c r="H1222" s="285">
        <v>0</v>
      </c>
      <c r="I1222" s="286">
        <v>1339004</v>
      </c>
      <c r="J1222" s="287"/>
      <c r="K1222" s="7"/>
    </row>
    <row r="1223" spans="1:11" ht="15.75" hidden="1" customHeight="1" x14ac:dyDescent="0.3">
      <c r="A1223" s="278" t="s">
        <v>300</v>
      </c>
      <c r="B1223" s="279">
        <v>89</v>
      </c>
      <c r="C1223" s="278" t="s">
        <v>121</v>
      </c>
      <c r="D1223" s="279" t="s">
        <v>422</v>
      </c>
      <c r="E1223" s="278"/>
      <c r="F1223" s="278" t="s">
        <v>1242</v>
      </c>
      <c r="G1223" s="280">
        <v>1339333</v>
      </c>
      <c r="H1223" s="280">
        <v>0</v>
      </c>
      <c r="I1223" s="281">
        <v>1339333</v>
      </c>
      <c r="J1223" s="282"/>
      <c r="K1223" s="7"/>
    </row>
    <row r="1224" spans="1:11" ht="15.75" hidden="1" customHeight="1" x14ac:dyDescent="0.3">
      <c r="A1224" s="283" t="s">
        <v>300</v>
      </c>
      <c r="B1224" s="284">
        <v>89</v>
      </c>
      <c r="C1224" s="283" t="s">
        <v>121</v>
      </c>
      <c r="D1224" s="284" t="s">
        <v>422</v>
      </c>
      <c r="E1224" s="283"/>
      <c r="F1224" s="283" t="s">
        <v>1243</v>
      </c>
      <c r="G1224" s="285">
        <v>4229602</v>
      </c>
      <c r="H1224" s="285">
        <v>0</v>
      </c>
      <c r="I1224" s="286">
        <v>4229602</v>
      </c>
      <c r="J1224" s="287"/>
      <c r="K1224" s="7"/>
    </row>
    <row r="1225" spans="1:11" ht="15.75" hidden="1" customHeight="1" x14ac:dyDescent="0.3">
      <c r="A1225" s="278" t="s">
        <v>300</v>
      </c>
      <c r="B1225" s="279">
        <v>89</v>
      </c>
      <c r="C1225" s="278" t="s">
        <v>121</v>
      </c>
      <c r="D1225" s="279" t="s">
        <v>422</v>
      </c>
      <c r="E1225" s="278"/>
      <c r="F1225" s="278" t="s">
        <v>1244</v>
      </c>
      <c r="G1225" s="280">
        <v>610756</v>
      </c>
      <c r="H1225" s="280">
        <v>0</v>
      </c>
      <c r="I1225" s="281">
        <v>610756</v>
      </c>
      <c r="J1225" s="282"/>
      <c r="K1225" s="7"/>
    </row>
    <row r="1226" spans="1:11" ht="15.75" hidden="1" customHeight="1" x14ac:dyDescent="0.3">
      <c r="A1226" s="283" t="s">
        <v>300</v>
      </c>
      <c r="B1226" s="284">
        <v>89</v>
      </c>
      <c r="C1226" s="283" t="s">
        <v>121</v>
      </c>
      <c r="D1226" s="284" t="s">
        <v>422</v>
      </c>
      <c r="E1226" s="283"/>
      <c r="F1226" s="283" t="s">
        <v>1245</v>
      </c>
      <c r="G1226" s="285">
        <v>200082</v>
      </c>
      <c r="H1226" s="285">
        <v>0</v>
      </c>
      <c r="I1226" s="286">
        <v>200082</v>
      </c>
      <c r="J1226" s="287"/>
      <c r="K1226" s="7"/>
    </row>
    <row r="1227" spans="1:11" ht="15.75" hidden="1" customHeight="1" x14ac:dyDescent="0.3">
      <c r="A1227" s="288" t="s">
        <v>300</v>
      </c>
      <c r="B1227" s="288">
        <v>89</v>
      </c>
      <c r="C1227" s="289" t="s">
        <v>121</v>
      </c>
      <c r="D1227" s="288" t="s">
        <v>320</v>
      </c>
      <c r="E1227" s="290"/>
      <c r="F1227" s="289" t="s">
        <v>321</v>
      </c>
      <c r="G1227" s="291">
        <v>14030303.890000001</v>
      </c>
      <c r="H1227" s="291">
        <v>0</v>
      </c>
      <c r="I1227" s="292">
        <v>14030303.890000001</v>
      </c>
      <c r="J1227" s="292">
        <v>14030303.890000001</v>
      </c>
      <c r="K1227" s="293">
        <v>0</v>
      </c>
    </row>
    <row r="1228" spans="1:11" ht="15.75" hidden="1" customHeight="1" x14ac:dyDescent="0.3">
      <c r="A1228" s="278" t="s">
        <v>300</v>
      </c>
      <c r="B1228" s="279">
        <v>95</v>
      </c>
      <c r="C1228" s="278" t="s">
        <v>129</v>
      </c>
      <c r="D1228" s="279" t="s">
        <v>503</v>
      </c>
      <c r="E1228" s="278" t="s">
        <v>504</v>
      </c>
      <c r="F1228" s="278" t="s">
        <v>1246</v>
      </c>
      <c r="G1228" s="280">
        <v>6620000</v>
      </c>
      <c r="H1228" s="280">
        <v>0</v>
      </c>
      <c r="I1228" s="281">
        <v>6620000</v>
      </c>
      <c r="J1228" s="282"/>
      <c r="K1228" s="7"/>
    </row>
    <row r="1229" spans="1:11" ht="15.75" hidden="1" customHeight="1" x14ac:dyDescent="0.3">
      <c r="A1229" s="288" t="s">
        <v>300</v>
      </c>
      <c r="B1229" s="288">
        <v>95</v>
      </c>
      <c r="C1229" s="289" t="s">
        <v>129</v>
      </c>
      <c r="D1229" s="288" t="s">
        <v>320</v>
      </c>
      <c r="E1229" s="290"/>
      <c r="F1229" s="289" t="s">
        <v>321</v>
      </c>
      <c r="G1229" s="291">
        <v>6620000</v>
      </c>
      <c r="H1229" s="291">
        <v>0</v>
      </c>
      <c r="I1229" s="292">
        <v>6620000</v>
      </c>
      <c r="J1229" s="292">
        <v>6620000</v>
      </c>
      <c r="K1229" s="293">
        <v>0</v>
      </c>
    </row>
    <row r="1230" spans="1:11" ht="15.75" hidden="1" customHeight="1" x14ac:dyDescent="0.3">
      <c r="A1230" s="278" t="s">
        <v>300</v>
      </c>
      <c r="B1230" s="279">
        <v>96</v>
      </c>
      <c r="C1230" s="278" t="s">
        <v>132</v>
      </c>
      <c r="D1230" s="279" t="s">
        <v>509</v>
      </c>
      <c r="E1230" s="278" t="s">
        <v>510</v>
      </c>
      <c r="F1230" s="278" t="s">
        <v>1247</v>
      </c>
      <c r="G1230" s="280">
        <v>90000</v>
      </c>
      <c r="H1230" s="280">
        <v>0</v>
      </c>
      <c r="I1230" s="281">
        <v>90000</v>
      </c>
      <c r="J1230" s="282"/>
      <c r="K1230" s="7"/>
    </row>
    <row r="1231" spans="1:11" ht="15.75" hidden="1" customHeight="1" x14ac:dyDescent="0.3">
      <c r="A1231" s="288" t="s">
        <v>300</v>
      </c>
      <c r="B1231" s="288">
        <v>96</v>
      </c>
      <c r="C1231" s="289" t="s">
        <v>132</v>
      </c>
      <c r="D1231" s="288" t="s">
        <v>320</v>
      </c>
      <c r="E1231" s="290"/>
      <c r="F1231" s="289" t="s">
        <v>321</v>
      </c>
      <c r="G1231" s="291">
        <v>90000</v>
      </c>
      <c r="H1231" s="291">
        <v>0</v>
      </c>
      <c r="I1231" s="292">
        <v>90000</v>
      </c>
      <c r="J1231" s="292">
        <v>90000</v>
      </c>
      <c r="K1231" s="293">
        <v>0</v>
      </c>
    </row>
    <row r="1232" spans="1:11" ht="15.75" hidden="1" customHeight="1" x14ac:dyDescent="0.3">
      <c r="A1232" s="278" t="s">
        <v>300</v>
      </c>
      <c r="B1232" s="279">
        <v>97</v>
      </c>
      <c r="C1232" s="278" t="s">
        <v>133</v>
      </c>
      <c r="D1232" s="279" t="s">
        <v>222</v>
      </c>
      <c r="E1232" s="278" t="s">
        <v>514</v>
      </c>
      <c r="F1232" s="278" t="s">
        <v>1248</v>
      </c>
      <c r="G1232" s="280">
        <v>257900</v>
      </c>
      <c r="H1232" s="280">
        <v>0</v>
      </c>
      <c r="I1232" s="281">
        <v>257900</v>
      </c>
      <c r="J1232" s="282"/>
      <c r="K1232" s="7"/>
    </row>
    <row r="1233" spans="1:11" ht="15.75" hidden="1" customHeight="1" x14ac:dyDescent="0.3">
      <c r="A1233" s="288" t="s">
        <v>300</v>
      </c>
      <c r="B1233" s="288">
        <v>97</v>
      </c>
      <c r="C1233" s="289" t="s">
        <v>133</v>
      </c>
      <c r="D1233" s="288" t="s">
        <v>320</v>
      </c>
      <c r="E1233" s="290"/>
      <c r="F1233" s="289" t="s">
        <v>321</v>
      </c>
      <c r="G1233" s="291">
        <v>257900</v>
      </c>
      <c r="H1233" s="291">
        <v>0</v>
      </c>
      <c r="I1233" s="292">
        <v>257900</v>
      </c>
      <c r="J1233" s="292">
        <v>257900</v>
      </c>
      <c r="K1233" s="293">
        <v>0</v>
      </c>
    </row>
    <row r="1234" spans="1:11" ht="15.75" hidden="1" customHeight="1" x14ac:dyDescent="0.3">
      <c r="A1234" s="278" t="s">
        <v>300</v>
      </c>
      <c r="B1234" s="279">
        <v>101</v>
      </c>
      <c r="C1234" s="278" t="s">
        <v>139</v>
      </c>
      <c r="D1234" s="279" t="s">
        <v>222</v>
      </c>
      <c r="E1234" s="278" t="s">
        <v>438</v>
      </c>
      <c r="F1234" s="278" t="s">
        <v>1249</v>
      </c>
      <c r="G1234" s="280">
        <v>10800</v>
      </c>
      <c r="H1234" s="280">
        <v>0</v>
      </c>
      <c r="I1234" s="281">
        <v>10800</v>
      </c>
      <c r="J1234" s="282"/>
      <c r="K1234" s="7"/>
    </row>
    <row r="1235" spans="1:11" ht="15.75" hidden="1" customHeight="1" x14ac:dyDescent="0.3">
      <c r="A1235" s="288" t="s">
        <v>300</v>
      </c>
      <c r="B1235" s="288">
        <v>101</v>
      </c>
      <c r="C1235" s="289" t="s">
        <v>139</v>
      </c>
      <c r="D1235" s="288" t="s">
        <v>320</v>
      </c>
      <c r="E1235" s="290"/>
      <c r="F1235" s="289" t="s">
        <v>321</v>
      </c>
      <c r="G1235" s="291">
        <v>10800</v>
      </c>
      <c r="H1235" s="291">
        <v>0</v>
      </c>
      <c r="I1235" s="292">
        <v>10800</v>
      </c>
      <c r="J1235" s="292">
        <v>10800</v>
      </c>
      <c r="K1235" s="293">
        <v>0</v>
      </c>
    </row>
    <row r="1236" spans="1:11" ht="15.75" hidden="1" customHeight="1" x14ac:dyDescent="0.3">
      <c r="A1236" s="278" t="s">
        <v>300</v>
      </c>
      <c r="B1236" s="279">
        <v>107</v>
      </c>
      <c r="C1236" s="278" t="s">
        <v>149</v>
      </c>
      <c r="D1236" s="279" t="s">
        <v>516</v>
      </c>
      <c r="E1236" s="278"/>
      <c r="F1236" s="278" t="s">
        <v>1250</v>
      </c>
      <c r="G1236" s="280">
        <v>95165222.159999996</v>
      </c>
      <c r="H1236" s="280">
        <v>0</v>
      </c>
      <c r="I1236" s="281">
        <v>95165222.159999996</v>
      </c>
      <c r="J1236" s="282"/>
      <c r="K1236" s="7"/>
    </row>
    <row r="1237" spans="1:11" ht="15.75" hidden="1" customHeight="1" x14ac:dyDescent="0.3">
      <c r="A1237" s="283" t="s">
        <v>300</v>
      </c>
      <c r="B1237" s="284">
        <v>107</v>
      </c>
      <c r="C1237" s="283" t="s">
        <v>149</v>
      </c>
      <c r="D1237" s="284" t="s">
        <v>518</v>
      </c>
      <c r="E1237" s="283"/>
      <c r="F1237" s="283" t="s">
        <v>1250</v>
      </c>
      <c r="G1237" s="285">
        <v>23642130.469999999</v>
      </c>
      <c r="H1237" s="285">
        <v>0</v>
      </c>
      <c r="I1237" s="286">
        <v>23642130.469999999</v>
      </c>
      <c r="J1237" s="287"/>
      <c r="K1237" s="7"/>
    </row>
    <row r="1238" spans="1:11" ht="15.75" hidden="1" customHeight="1" x14ac:dyDescent="0.3">
      <c r="A1238" s="288" t="s">
        <v>300</v>
      </c>
      <c r="B1238" s="288">
        <v>107</v>
      </c>
      <c r="C1238" s="289" t="s">
        <v>149</v>
      </c>
      <c r="D1238" s="288" t="s">
        <v>320</v>
      </c>
      <c r="E1238" s="290"/>
      <c r="F1238" s="289" t="s">
        <v>321</v>
      </c>
      <c r="G1238" s="291">
        <v>118807352.63</v>
      </c>
      <c r="H1238" s="291">
        <v>0</v>
      </c>
      <c r="I1238" s="292">
        <v>118807352.63</v>
      </c>
      <c r="J1238" s="292">
        <v>118807352.63</v>
      </c>
      <c r="K1238" s="293">
        <v>0</v>
      </c>
    </row>
    <row r="1239" spans="1:11" ht="15.75" hidden="1" customHeight="1" x14ac:dyDescent="0.3">
      <c r="A1239" s="278" t="s">
        <v>300</v>
      </c>
      <c r="B1239" s="279">
        <v>108</v>
      </c>
      <c r="C1239" s="278" t="s">
        <v>153</v>
      </c>
      <c r="D1239" s="279" t="s">
        <v>516</v>
      </c>
      <c r="E1239" s="278"/>
      <c r="F1239" s="278" t="s">
        <v>1251</v>
      </c>
      <c r="G1239" s="280">
        <v>8822731.4600000009</v>
      </c>
      <c r="H1239" s="280">
        <v>0</v>
      </c>
      <c r="I1239" s="281">
        <v>8822731.4600000009</v>
      </c>
      <c r="J1239" s="282"/>
      <c r="K1239" s="7"/>
    </row>
    <row r="1240" spans="1:11" ht="15.75" hidden="1" customHeight="1" x14ac:dyDescent="0.3">
      <c r="A1240" s="283" t="s">
        <v>300</v>
      </c>
      <c r="B1240" s="284">
        <v>108</v>
      </c>
      <c r="C1240" s="283" t="s">
        <v>153</v>
      </c>
      <c r="D1240" s="284" t="s">
        <v>518</v>
      </c>
      <c r="E1240" s="283"/>
      <c r="F1240" s="283" t="s">
        <v>1251</v>
      </c>
      <c r="G1240" s="285">
        <v>2117455.5499999998</v>
      </c>
      <c r="H1240" s="285">
        <v>0</v>
      </c>
      <c r="I1240" s="286">
        <v>2117455.5499999998</v>
      </c>
      <c r="J1240" s="287"/>
      <c r="K1240" s="7"/>
    </row>
    <row r="1241" spans="1:11" ht="15.75" hidden="1" customHeight="1" x14ac:dyDescent="0.3">
      <c r="A1241" s="288" t="s">
        <v>300</v>
      </c>
      <c r="B1241" s="288">
        <v>108</v>
      </c>
      <c r="C1241" s="289" t="s">
        <v>153</v>
      </c>
      <c r="D1241" s="288" t="s">
        <v>320</v>
      </c>
      <c r="E1241" s="290"/>
      <c r="F1241" s="289" t="s">
        <v>321</v>
      </c>
      <c r="G1241" s="291">
        <v>10940187.01</v>
      </c>
      <c r="H1241" s="291">
        <v>0</v>
      </c>
      <c r="I1241" s="292">
        <v>10940187.01</v>
      </c>
      <c r="J1241" s="292">
        <v>10940187.01</v>
      </c>
      <c r="K1241" s="293">
        <v>1.862645149230957E-9</v>
      </c>
    </row>
    <row r="1242" spans="1:11" ht="15.75" hidden="1" customHeight="1" x14ac:dyDescent="0.3">
      <c r="A1242" s="278" t="s">
        <v>300</v>
      </c>
      <c r="B1242" s="279">
        <v>109</v>
      </c>
      <c r="C1242" s="278" t="s">
        <v>154</v>
      </c>
      <c r="D1242" s="279" t="s">
        <v>516</v>
      </c>
      <c r="E1242" s="278"/>
      <c r="F1242" s="278" t="s">
        <v>1252</v>
      </c>
      <c r="G1242" s="280">
        <v>6425143.9800000004</v>
      </c>
      <c r="H1242" s="280">
        <v>0</v>
      </c>
      <c r="I1242" s="281">
        <v>6425143.9800000004</v>
      </c>
      <c r="J1242" s="282"/>
      <c r="K1242" s="7"/>
    </row>
    <row r="1243" spans="1:11" ht="15.75" hidden="1" customHeight="1" x14ac:dyDescent="0.3">
      <c r="A1243" s="283" t="s">
        <v>300</v>
      </c>
      <c r="B1243" s="284">
        <v>109</v>
      </c>
      <c r="C1243" s="283" t="s">
        <v>154</v>
      </c>
      <c r="D1243" s="284" t="s">
        <v>518</v>
      </c>
      <c r="E1243" s="283"/>
      <c r="F1243" s="283" t="s">
        <v>1252</v>
      </c>
      <c r="G1243" s="285">
        <v>1542034.55</v>
      </c>
      <c r="H1243" s="285">
        <v>0</v>
      </c>
      <c r="I1243" s="286">
        <v>1542034.55</v>
      </c>
      <c r="J1243" s="287"/>
      <c r="K1243" s="7"/>
    </row>
    <row r="1244" spans="1:11" ht="15.75" hidden="1" customHeight="1" x14ac:dyDescent="0.3">
      <c r="A1244" s="288" t="s">
        <v>300</v>
      </c>
      <c r="B1244" s="288">
        <v>109</v>
      </c>
      <c r="C1244" s="289" t="s">
        <v>154</v>
      </c>
      <c r="D1244" s="288" t="s">
        <v>320</v>
      </c>
      <c r="E1244" s="290"/>
      <c r="F1244" s="289" t="s">
        <v>321</v>
      </c>
      <c r="G1244" s="291">
        <v>7967178.5300000003</v>
      </c>
      <c r="H1244" s="291">
        <v>0</v>
      </c>
      <c r="I1244" s="292">
        <v>7967178.5300000003</v>
      </c>
      <c r="J1244" s="292">
        <v>7967178.5300000003</v>
      </c>
      <c r="K1244" s="293">
        <v>0</v>
      </c>
    </row>
    <row r="1245" spans="1:11" ht="15.75" hidden="1" customHeight="1" x14ac:dyDescent="0.3">
      <c r="A1245" s="278" t="s">
        <v>300</v>
      </c>
      <c r="B1245" s="279">
        <v>110</v>
      </c>
      <c r="C1245" s="278" t="s">
        <v>155</v>
      </c>
      <c r="D1245" s="279" t="s">
        <v>516</v>
      </c>
      <c r="E1245" s="278"/>
      <c r="F1245" s="278" t="s">
        <v>1253</v>
      </c>
      <c r="G1245" s="280">
        <v>3558882.83</v>
      </c>
      <c r="H1245" s="280">
        <v>0</v>
      </c>
      <c r="I1245" s="281">
        <v>3558882.83</v>
      </c>
      <c r="J1245" s="282"/>
      <c r="K1245" s="7"/>
    </row>
    <row r="1246" spans="1:11" ht="15.75" hidden="1" customHeight="1" x14ac:dyDescent="0.3">
      <c r="A1246" s="283" t="s">
        <v>300</v>
      </c>
      <c r="B1246" s="284">
        <v>110</v>
      </c>
      <c r="C1246" s="283" t="s">
        <v>155</v>
      </c>
      <c r="D1246" s="284" t="s">
        <v>518</v>
      </c>
      <c r="E1246" s="283"/>
      <c r="F1246" s="283" t="s">
        <v>1253</v>
      </c>
      <c r="G1246" s="285">
        <v>854131.88</v>
      </c>
      <c r="H1246" s="285">
        <v>0</v>
      </c>
      <c r="I1246" s="286">
        <v>854131.88</v>
      </c>
      <c r="J1246" s="287"/>
      <c r="K1246" s="7"/>
    </row>
    <row r="1247" spans="1:11" ht="15.75" hidden="1" customHeight="1" x14ac:dyDescent="0.3">
      <c r="A1247" s="288" t="s">
        <v>300</v>
      </c>
      <c r="B1247" s="288">
        <v>110</v>
      </c>
      <c r="C1247" s="289" t="s">
        <v>155</v>
      </c>
      <c r="D1247" s="288" t="s">
        <v>320</v>
      </c>
      <c r="E1247" s="290"/>
      <c r="F1247" s="289" t="s">
        <v>321</v>
      </c>
      <c r="G1247" s="291">
        <v>4413014.71</v>
      </c>
      <c r="H1247" s="291">
        <v>0</v>
      </c>
      <c r="I1247" s="292">
        <v>4413014.71</v>
      </c>
      <c r="J1247" s="292">
        <v>4413014.71</v>
      </c>
      <c r="K1247" s="293">
        <v>0</v>
      </c>
    </row>
    <row r="1248" spans="1:11" ht="15.75" hidden="1" customHeight="1" x14ac:dyDescent="0.3">
      <c r="A1248" s="278" t="s">
        <v>300</v>
      </c>
      <c r="B1248" s="279">
        <v>111</v>
      </c>
      <c r="C1248" s="278" t="s">
        <v>156</v>
      </c>
      <c r="D1248" s="279" t="s">
        <v>522</v>
      </c>
      <c r="E1248" s="278" t="s">
        <v>523</v>
      </c>
      <c r="F1248" s="278" t="s">
        <v>1254</v>
      </c>
      <c r="G1248" s="280">
        <v>0</v>
      </c>
      <c r="H1248" s="280">
        <v>7486991.79</v>
      </c>
      <c r="I1248" s="281">
        <v>-7486991.79</v>
      </c>
      <c r="J1248" s="282"/>
      <c r="K1248" s="7"/>
    </row>
    <row r="1249" spans="1:11" ht="15.75" hidden="1" customHeight="1" x14ac:dyDescent="0.3">
      <c r="A1249" s="283" t="s">
        <v>300</v>
      </c>
      <c r="B1249" s="284">
        <v>111</v>
      </c>
      <c r="C1249" s="283" t="s">
        <v>156</v>
      </c>
      <c r="D1249" s="284" t="s">
        <v>522</v>
      </c>
      <c r="E1249" s="283" t="s">
        <v>523</v>
      </c>
      <c r="F1249" s="283" t="s">
        <v>1255</v>
      </c>
      <c r="G1249" s="285">
        <v>8449183.2200000007</v>
      </c>
      <c r="H1249" s="285">
        <v>0</v>
      </c>
      <c r="I1249" s="286">
        <v>8449183.2200000007</v>
      </c>
      <c r="J1249" s="287"/>
      <c r="K1249" s="7"/>
    </row>
    <row r="1250" spans="1:11" ht="15.75" hidden="1" customHeight="1" x14ac:dyDescent="0.3">
      <c r="A1250" s="278" t="s">
        <v>300</v>
      </c>
      <c r="B1250" s="279">
        <v>111</v>
      </c>
      <c r="C1250" s="278" t="s">
        <v>156</v>
      </c>
      <c r="D1250" s="279" t="s">
        <v>522</v>
      </c>
      <c r="E1250" s="278" t="s">
        <v>523</v>
      </c>
      <c r="F1250" s="278" t="s">
        <v>1255</v>
      </c>
      <c r="G1250" s="280">
        <v>180279.12</v>
      </c>
      <c r="H1250" s="280">
        <v>0</v>
      </c>
      <c r="I1250" s="281">
        <v>180279.12</v>
      </c>
      <c r="J1250" s="282"/>
      <c r="K1250" s="7"/>
    </row>
    <row r="1251" spans="1:11" ht="15.75" hidden="1" customHeight="1" x14ac:dyDescent="0.3">
      <c r="A1251" s="283" t="s">
        <v>300</v>
      </c>
      <c r="B1251" s="284">
        <v>111</v>
      </c>
      <c r="C1251" s="283" t="s">
        <v>156</v>
      </c>
      <c r="D1251" s="284" t="s">
        <v>522</v>
      </c>
      <c r="E1251" s="283" t="s">
        <v>523</v>
      </c>
      <c r="F1251" s="283" t="s">
        <v>1256</v>
      </c>
      <c r="G1251" s="285">
        <v>269009.28000000003</v>
      </c>
      <c r="H1251" s="285">
        <v>0</v>
      </c>
      <c r="I1251" s="286">
        <v>269009.28000000003</v>
      </c>
      <c r="J1251" s="287"/>
      <c r="K1251" s="7"/>
    </row>
    <row r="1252" spans="1:11" ht="15.75" hidden="1" customHeight="1" x14ac:dyDescent="0.3">
      <c r="A1252" s="278" t="s">
        <v>300</v>
      </c>
      <c r="B1252" s="279">
        <v>111</v>
      </c>
      <c r="C1252" s="278" t="s">
        <v>156</v>
      </c>
      <c r="D1252" s="279" t="s">
        <v>522</v>
      </c>
      <c r="E1252" s="278" t="s">
        <v>523</v>
      </c>
      <c r="F1252" s="278" t="s">
        <v>1256</v>
      </c>
      <c r="G1252" s="280">
        <v>5768.93</v>
      </c>
      <c r="H1252" s="280">
        <v>0</v>
      </c>
      <c r="I1252" s="281">
        <v>5768.93</v>
      </c>
      <c r="J1252" s="282"/>
      <c r="K1252" s="7"/>
    </row>
    <row r="1253" spans="1:11" ht="15.75" hidden="1" customHeight="1" x14ac:dyDescent="0.3">
      <c r="A1253" s="283" t="s">
        <v>300</v>
      </c>
      <c r="B1253" s="284">
        <v>111</v>
      </c>
      <c r="C1253" s="283" t="s">
        <v>156</v>
      </c>
      <c r="D1253" s="284" t="s">
        <v>522</v>
      </c>
      <c r="E1253" s="283" t="s">
        <v>523</v>
      </c>
      <c r="F1253" s="283" t="s">
        <v>1257</v>
      </c>
      <c r="G1253" s="285">
        <v>0</v>
      </c>
      <c r="H1253" s="285">
        <v>258581.77</v>
      </c>
      <c r="I1253" s="286">
        <v>-258581.77</v>
      </c>
      <c r="J1253" s="287"/>
      <c r="K1253" s="7"/>
    </row>
    <row r="1254" spans="1:11" ht="15.75" hidden="1" customHeight="1" x14ac:dyDescent="0.3">
      <c r="A1254" s="288" t="s">
        <v>300</v>
      </c>
      <c r="B1254" s="288">
        <v>111</v>
      </c>
      <c r="C1254" s="289" t="s">
        <v>156</v>
      </c>
      <c r="D1254" s="288" t="s">
        <v>320</v>
      </c>
      <c r="E1254" s="290"/>
      <c r="F1254" s="289" t="s">
        <v>321</v>
      </c>
      <c r="G1254" s="291">
        <v>8904240.5500000007</v>
      </c>
      <c r="H1254" s="291">
        <v>7745573.5599999996</v>
      </c>
      <c r="I1254" s="292">
        <v>1158666.9900000009</v>
      </c>
      <c r="J1254" s="292">
        <v>1158666.99</v>
      </c>
      <c r="K1254" s="293">
        <v>6.9849193096160889E-10</v>
      </c>
    </row>
    <row r="1255" spans="1:11" ht="15.75" hidden="1" customHeight="1" x14ac:dyDescent="0.3">
      <c r="A1255" s="278" t="s">
        <v>300</v>
      </c>
      <c r="B1255" s="279">
        <v>112</v>
      </c>
      <c r="C1255" s="278" t="s">
        <v>157</v>
      </c>
      <c r="D1255" s="279" t="s">
        <v>522</v>
      </c>
      <c r="E1255" s="278"/>
      <c r="F1255" s="278" t="s">
        <v>1258</v>
      </c>
      <c r="G1255" s="280">
        <v>0</v>
      </c>
      <c r="H1255" s="280">
        <v>1300000</v>
      </c>
      <c r="I1255" s="281">
        <v>-1300000</v>
      </c>
      <c r="J1255" s="282"/>
      <c r="K1255" s="7"/>
    </row>
    <row r="1256" spans="1:11" ht="15.75" hidden="1" customHeight="1" x14ac:dyDescent="0.3">
      <c r="A1256" s="283" t="s">
        <v>300</v>
      </c>
      <c r="B1256" s="284">
        <v>112</v>
      </c>
      <c r="C1256" s="283" t="s">
        <v>157</v>
      </c>
      <c r="D1256" s="284" t="s">
        <v>522</v>
      </c>
      <c r="E1256" s="283" t="s">
        <v>791</v>
      </c>
      <c r="F1256" s="283" t="s">
        <v>1259</v>
      </c>
      <c r="G1256" s="285">
        <v>1126767.8999999999</v>
      </c>
      <c r="H1256" s="285">
        <v>0</v>
      </c>
      <c r="I1256" s="286">
        <v>1126767.8999999999</v>
      </c>
      <c r="J1256" s="287"/>
      <c r="K1256" s="7"/>
    </row>
    <row r="1257" spans="1:11" ht="15.75" hidden="1" customHeight="1" x14ac:dyDescent="0.3">
      <c r="A1257" s="278" t="s">
        <v>300</v>
      </c>
      <c r="B1257" s="279">
        <v>112</v>
      </c>
      <c r="C1257" s="278" t="s">
        <v>157</v>
      </c>
      <c r="D1257" s="279" t="s">
        <v>522</v>
      </c>
      <c r="E1257" s="278"/>
      <c r="F1257" s="278" t="s">
        <v>1260</v>
      </c>
      <c r="G1257" s="280">
        <v>1300000</v>
      </c>
      <c r="H1257" s="280">
        <v>0</v>
      </c>
      <c r="I1257" s="281">
        <v>1300000</v>
      </c>
      <c r="J1257" s="282"/>
      <c r="K1257" s="7"/>
    </row>
    <row r="1258" spans="1:11" ht="15.75" hidden="1" customHeight="1" x14ac:dyDescent="0.3">
      <c r="A1258" s="288" t="s">
        <v>300</v>
      </c>
      <c r="B1258" s="288">
        <v>112</v>
      </c>
      <c r="C1258" s="289" t="s">
        <v>157</v>
      </c>
      <c r="D1258" s="288" t="s">
        <v>320</v>
      </c>
      <c r="E1258" s="290"/>
      <c r="F1258" s="289" t="s">
        <v>321</v>
      </c>
      <c r="G1258" s="291">
        <v>2426767.9</v>
      </c>
      <c r="H1258" s="291">
        <v>1300000</v>
      </c>
      <c r="I1258" s="292">
        <v>1126767.8999999999</v>
      </c>
      <c r="J1258" s="292">
        <v>1126767.8999999999</v>
      </c>
      <c r="K1258" s="293">
        <v>0</v>
      </c>
    </row>
    <row r="1259" spans="1:11" ht="15.75" hidden="1" customHeight="1" x14ac:dyDescent="0.3">
      <c r="A1259" s="278" t="s">
        <v>300</v>
      </c>
      <c r="B1259" s="279">
        <v>114</v>
      </c>
      <c r="C1259" s="278" t="s">
        <v>160</v>
      </c>
      <c r="D1259" s="279" t="s">
        <v>527</v>
      </c>
      <c r="E1259" s="278" t="s">
        <v>1261</v>
      </c>
      <c r="F1259" s="278" t="s">
        <v>1262</v>
      </c>
      <c r="G1259" s="280">
        <v>660524.16</v>
      </c>
      <c r="H1259" s="280">
        <v>0</v>
      </c>
      <c r="I1259" s="281">
        <v>660524.16</v>
      </c>
      <c r="J1259" s="282"/>
      <c r="K1259" s="7"/>
    </row>
    <row r="1260" spans="1:11" ht="15.75" hidden="1" customHeight="1" x14ac:dyDescent="0.3">
      <c r="A1260" s="283" t="s">
        <v>300</v>
      </c>
      <c r="B1260" s="284">
        <v>114</v>
      </c>
      <c r="C1260" s="283" t="s">
        <v>160</v>
      </c>
      <c r="D1260" s="284" t="s">
        <v>527</v>
      </c>
      <c r="E1260" s="283" t="s">
        <v>1033</v>
      </c>
      <c r="F1260" s="283" t="s">
        <v>1263</v>
      </c>
      <c r="G1260" s="285">
        <v>1521520</v>
      </c>
      <c r="H1260" s="285">
        <v>0</v>
      </c>
      <c r="I1260" s="286">
        <v>1521520</v>
      </c>
      <c r="J1260" s="287"/>
      <c r="K1260" s="7"/>
    </row>
    <row r="1261" spans="1:11" ht="15.75" hidden="1" customHeight="1" x14ac:dyDescent="0.3">
      <c r="A1261" s="288" t="s">
        <v>300</v>
      </c>
      <c r="B1261" s="288">
        <v>114</v>
      </c>
      <c r="C1261" s="289" t="s">
        <v>160</v>
      </c>
      <c r="D1261" s="288" t="s">
        <v>320</v>
      </c>
      <c r="E1261" s="290"/>
      <c r="F1261" s="289" t="s">
        <v>321</v>
      </c>
      <c r="G1261" s="291">
        <v>2182044.16</v>
      </c>
      <c r="H1261" s="291">
        <v>0</v>
      </c>
      <c r="I1261" s="292">
        <v>2182044.16</v>
      </c>
      <c r="J1261" s="292">
        <v>2182044.16</v>
      </c>
      <c r="K1261" s="293">
        <v>0</v>
      </c>
    </row>
    <row r="1262" spans="1:11" ht="15.75" hidden="1" customHeight="1" x14ac:dyDescent="0.3">
      <c r="A1262" s="278" t="s">
        <v>300</v>
      </c>
      <c r="B1262" s="279">
        <v>115</v>
      </c>
      <c r="C1262" s="278" t="s">
        <v>162</v>
      </c>
      <c r="D1262" s="279" t="s">
        <v>529</v>
      </c>
      <c r="E1262" s="278" t="s">
        <v>530</v>
      </c>
      <c r="F1262" s="278" t="s">
        <v>1264</v>
      </c>
      <c r="G1262" s="280">
        <v>27615</v>
      </c>
      <c r="H1262" s="280">
        <v>0</v>
      </c>
      <c r="I1262" s="281">
        <v>27615</v>
      </c>
      <c r="J1262" s="282"/>
      <c r="K1262" s="7"/>
    </row>
    <row r="1263" spans="1:11" ht="15.75" hidden="1" customHeight="1" x14ac:dyDescent="0.3">
      <c r="A1263" s="283" t="s">
        <v>300</v>
      </c>
      <c r="B1263" s="284">
        <v>115</v>
      </c>
      <c r="C1263" s="283" t="s">
        <v>162</v>
      </c>
      <c r="D1263" s="284" t="s">
        <v>529</v>
      </c>
      <c r="E1263" s="283" t="s">
        <v>530</v>
      </c>
      <c r="F1263" s="283" t="s">
        <v>1265</v>
      </c>
      <c r="G1263" s="285">
        <v>984533.9</v>
      </c>
      <c r="H1263" s="285">
        <v>0</v>
      </c>
      <c r="I1263" s="286">
        <v>984533.9</v>
      </c>
      <c r="J1263" s="287"/>
      <c r="K1263" s="7"/>
    </row>
    <row r="1264" spans="1:11" ht="15.75" hidden="1" customHeight="1" x14ac:dyDescent="0.3">
      <c r="A1264" s="278" t="s">
        <v>300</v>
      </c>
      <c r="B1264" s="279">
        <v>115</v>
      </c>
      <c r="C1264" s="278" t="s">
        <v>162</v>
      </c>
      <c r="D1264" s="279" t="s">
        <v>529</v>
      </c>
      <c r="E1264" s="278" t="s">
        <v>530</v>
      </c>
      <c r="F1264" s="278" t="s">
        <v>1265</v>
      </c>
      <c r="G1264" s="280">
        <v>193303.37</v>
      </c>
      <c r="H1264" s="280">
        <v>0</v>
      </c>
      <c r="I1264" s="281">
        <v>193303.37</v>
      </c>
      <c r="J1264" s="282"/>
      <c r="K1264" s="7"/>
    </row>
    <row r="1265" spans="1:11" ht="15.75" hidden="1" customHeight="1" x14ac:dyDescent="0.3">
      <c r="A1265" s="288" t="s">
        <v>300</v>
      </c>
      <c r="B1265" s="288">
        <v>115</v>
      </c>
      <c r="C1265" s="289" t="s">
        <v>162</v>
      </c>
      <c r="D1265" s="288" t="s">
        <v>320</v>
      </c>
      <c r="E1265" s="290"/>
      <c r="F1265" s="289" t="s">
        <v>321</v>
      </c>
      <c r="G1265" s="291">
        <v>1205452.27</v>
      </c>
      <c r="H1265" s="291">
        <v>0</v>
      </c>
      <c r="I1265" s="292">
        <v>1205452.27</v>
      </c>
      <c r="J1265" s="292">
        <v>1205452.27</v>
      </c>
      <c r="K1265" s="293">
        <v>0</v>
      </c>
    </row>
    <row r="1266" spans="1:11" ht="15.75" hidden="1" customHeight="1" x14ac:dyDescent="0.3">
      <c r="A1266" s="278" t="s">
        <v>300</v>
      </c>
      <c r="B1266" s="279">
        <v>117</v>
      </c>
      <c r="C1266" s="278" t="s">
        <v>165</v>
      </c>
      <c r="D1266" s="279" t="s">
        <v>534</v>
      </c>
      <c r="E1266" s="278" t="s">
        <v>535</v>
      </c>
      <c r="F1266" s="278" t="s">
        <v>1266</v>
      </c>
      <c r="G1266" s="280">
        <v>281000</v>
      </c>
      <c r="H1266" s="280">
        <v>0</v>
      </c>
      <c r="I1266" s="281">
        <v>281000</v>
      </c>
      <c r="J1266" s="282"/>
      <c r="K1266" s="7"/>
    </row>
    <row r="1267" spans="1:11" ht="15.75" hidden="1" customHeight="1" x14ac:dyDescent="0.3">
      <c r="A1267" s="288" t="s">
        <v>300</v>
      </c>
      <c r="B1267" s="288">
        <v>117</v>
      </c>
      <c r="C1267" s="289" t="s">
        <v>165</v>
      </c>
      <c r="D1267" s="288" t="s">
        <v>320</v>
      </c>
      <c r="E1267" s="290"/>
      <c r="F1267" s="289" t="s">
        <v>321</v>
      </c>
      <c r="G1267" s="291">
        <v>281000</v>
      </c>
      <c r="H1267" s="291">
        <v>0</v>
      </c>
      <c r="I1267" s="292">
        <v>281000</v>
      </c>
      <c r="J1267" s="292">
        <v>281000</v>
      </c>
      <c r="K1267" s="293">
        <v>0</v>
      </c>
    </row>
    <row r="1268" spans="1:11" ht="15.75" hidden="1" customHeight="1" x14ac:dyDescent="0.3">
      <c r="A1268" s="278" t="s">
        <v>300</v>
      </c>
      <c r="B1268" s="279">
        <v>118</v>
      </c>
      <c r="C1268" s="278" t="s">
        <v>167</v>
      </c>
      <c r="D1268" s="279" t="s">
        <v>540</v>
      </c>
      <c r="E1268" s="278" t="s">
        <v>438</v>
      </c>
      <c r="F1268" s="278" t="s">
        <v>1267</v>
      </c>
      <c r="G1268" s="280">
        <v>94616.66</v>
      </c>
      <c r="H1268" s="280">
        <v>0</v>
      </c>
      <c r="I1268" s="281">
        <v>94616.66</v>
      </c>
      <c r="J1268" s="282"/>
      <c r="K1268" s="7"/>
    </row>
    <row r="1269" spans="1:11" ht="15.75" hidden="1" customHeight="1" x14ac:dyDescent="0.3">
      <c r="A1269" s="283" t="s">
        <v>300</v>
      </c>
      <c r="B1269" s="284">
        <v>118</v>
      </c>
      <c r="C1269" s="283" t="s">
        <v>167</v>
      </c>
      <c r="D1269" s="284" t="s">
        <v>540</v>
      </c>
      <c r="E1269" s="283" t="s">
        <v>438</v>
      </c>
      <c r="F1269" s="283" t="s">
        <v>1268</v>
      </c>
      <c r="G1269" s="285">
        <v>540000</v>
      </c>
      <c r="H1269" s="285">
        <v>0</v>
      </c>
      <c r="I1269" s="286">
        <v>540000</v>
      </c>
      <c r="J1269" s="287"/>
      <c r="K1269" s="7"/>
    </row>
    <row r="1270" spans="1:11" ht="15.75" hidden="1" customHeight="1" x14ac:dyDescent="0.3">
      <c r="A1270" s="288" t="s">
        <v>300</v>
      </c>
      <c r="B1270" s="288">
        <v>118</v>
      </c>
      <c r="C1270" s="289" t="s">
        <v>167</v>
      </c>
      <c r="D1270" s="288" t="s">
        <v>320</v>
      </c>
      <c r="E1270" s="290"/>
      <c r="F1270" s="289" t="s">
        <v>321</v>
      </c>
      <c r="G1270" s="291">
        <v>634616.66</v>
      </c>
      <c r="H1270" s="291">
        <v>0</v>
      </c>
      <c r="I1270" s="292">
        <v>634616.66</v>
      </c>
      <c r="J1270" s="292">
        <v>634616.66</v>
      </c>
      <c r="K1270" s="293">
        <v>0</v>
      </c>
    </row>
    <row r="1271" spans="1:11" ht="15.75" hidden="1" customHeight="1" x14ac:dyDescent="0.3">
      <c r="A1271" s="278" t="s">
        <v>300</v>
      </c>
      <c r="B1271" s="279">
        <v>119</v>
      </c>
      <c r="C1271" s="278" t="s">
        <v>169</v>
      </c>
      <c r="D1271" s="279" t="s">
        <v>542</v>
      </c>
      <c r="E1271" s="278" t="s">
        <v>438</v>
      </c>
      <c r="F1271" s="278" t="s">
        <v>1269</v>
      </c>
      <c r="G1271" s="280">
        <v>126700</v>
      </c>
      <c r="H1271" s="280">
        <v>0</v>
      </c>
      <c r="I1271" s="281">
        <v>126700</v>
      </c>
      <c r="J1271" s="282"/>
      <c r="K1271" s="7"/>
    </row>
    <row r="1272" spans="1:11" ht="15.75" hidden="1" customHeight="1" x14ac:dyDescent="0.3">
      <c r="A1272" s="283" t="s">
        <v>300</v>
      </c>
      <c r="B1272" s="284">
        <v>119</v>
      </c>
      <c r="C1272" s="283" t="s">
        <v>169</v>
      </c>
      <c r="D1272" s="284" t="s">
        <v>542</v>
      </c>
      <c r="E1272" s="283" t="s">
        <v>438</v>
      </c>
      <c r="F1272" s="283" t="s">
        <v>1270</v>
      </c>
      <c r="G1272" s="285">
        <v>57705.93</v>
      </c>
      <c r="H1272" s="285">
        <v>0</v>
      </c>
      <c r="I1272" s="286">
        <v>57705.93</v>
      </c>
      <c r="J1272" s="287"/>
      <c r="K1272" s="7"/>
    </row>
    <row r="1273" spans="1:11" ht="15.75" hidden="1" customHeight="1" x14ac:dyDescent="0.3">
      <c r="A1273" s="278" t="s">
        <v>300</v>
      </c>
      <c r="B1273" s="279">
        <v>119</v>
      </c>
      <c r="C1273" s="278" t="s">
        <v>169</v>
      </c>
      <c r="D1273" s="279" t="s">
        <v>542</v>
      </c>
      <c r="E1273" s="278" t="s">
        <v>438</v>
      </c>
      <c r="F1273" s="278" t="s">
        <v>1271</v>
      </c>
      <c r="G1273" s="280">
        <v>68000</v>
      </c>
      <c r="H1273" s="280">
        <v>0</v>
      </c>
      <c r="I1273" s="281">
        <v>68000</v>
      </c>
      <c r="J1273" s="282"/>
      <c r="K1273" s="7"/>
    </row>
    <row r="1274" spans="1:11" ht="15.75" hidden="1" customHeight="1" x14ac:dyDescent="0.3">
      <c r="A1274" s="283" t="s">
        <v>300</v>
      </c>
      <c r="B1274" s="284">
        <v>119</v>
      </c>
      <c r="C1274" s="283" t="s">
        <v>169</v>
      </c>
      <c r="D1274" s="284" t="s">
        <v>542</v>
      </c>
      <c r="E1274" s="283" t="s">
        <v>438</v>
      </c>
      <c r="F1274" s="283" t="s">
        <v>1269</v>
      </c>
      <c r="G1274" s="285">
        <v>32400</v>
      </c>
      <c r="H1274" s="285">
        <v>0</v>
      </c>
      <c r="I1274" s="286">
        <v>32400</v>
      </c>
      <c r="J1274" s="287"/>
      <c r="K1274" s="7"/>
    </row>
    <row r="1275" spans="1:11" ht="15.75" hidden="1" customHeight="1" x14ac:dyDescent="0.3">
      <c r="A1275" s="278" t="s">
        <v>300</v>
      </c>
      <c r="B1275" s="279">
        <v>119</v>
      </c>
      <c r="C1275" s="278" t="s">
        <v>169</v>
      </c>
      <c r="D1275" s="279" t="s">
        <v>542</v>
      </c>
      <c r="E1275" s="278" t="s">
        <v>438</v>
      </c>
      <c r="F1275" s="278" t="s">
        <v>1272</v>
      </c>
      <c r="G1275" s="280">
        <v>118134</v>
      </c>
      <c r="H1275" s="280">
        <v>0</v>
      </c>
      <c r="I1275" s="281">
        <v>118134</v>
      </c>
      <c r="J1275" s="282"/>
      <c r="K1275" s="7"/>
    </row>
    <row r="1276" spans="1:11" ht="15.75" hidden="1" customHeight="1" x14ac:dyDescent="0.3">
      <c r="A1276" s="288" t="s">
        <v>300</v>
      </c>
      <c r="B1276" s="288">
        <v>119</v>
      </c>
      <c r="C1276" s="289" t="s">
        <v>169</v>
      </c>
      <c r="D1276" s="288" t="s">
        <v>320</v>
      </c>
      <c r="E1276" s="290"/>
      <c r="F1276" s="289" t="s">
        <v>321</v>
      </c>
      <c r="G1276" s="291">
        <v>402939.93</v>
      </c>
      <c r="H1276" s="291">
        <v>0</v>
      </c>
      <c r="I1276" s="292">
        <v>402939.93</v>
      </c>
      <c r="J1276" s="292">
        <v>402939.93</v>
      </c>
      <c r="K1276" s="293">
        <v>0</v>
      </c>
    </row>
    <row r="1277" spans="1:11" ht="15.75" hidden="1" customHeight="1" x14ac:dyDescent="0.3">
      <c r="A1277" s="278" t="s">
        <v>300</v>
      </c>
      <c r="B1277" s="279">
        <v>121</v>
      </c>
      <c r="C1277" s="278" t="s">
        <v>173</v>
      </c>
      <c r="D1277" s="279" t="s">
        <v>1049</v>
      </c>
      <c r="E1277" s="278" t="s">
        <v>173</v>
      </c>
      <c r="F1277" s="278" t="s">
        <v>1273</v>
      </c>
      <c r="G1277" s="280">
        <v>4500000</v>
      </c>
      <c r="H1277" s="280">
        <v>0</v>
      </c>
      <c r="I1277" s="281">
        <v>4500000</v>
      </c>
      <c r="J1277" s="282"/>
      <c r="K1277" s="7"/>
    </row>
    <row r="1278" spans="1:11" ht="15.75" hidden="1" customHeight="1" x14ac:dyDescent="0.3">
      <c r="A1278" s="288" t="s">
        <v>300</v>
      </c>
      <c r="B1278" s="288">
        <v>121</v>
      </c>
      <c r="C1278" s="289" t="s">
        <v>173</v>
      </c>
      <c r="D1278" s="288" t="s">
        <v>320</v>
      </c>
      <c r="E1278" s="290"/>
      <c r="F1278" s="289" t="s">
        <v>321</v>
      </c>
      <c r="G1278" s="291">
        <v>4500000</v>
      </c>
      <c r="H1278" s="291">
        <v>0</v>
      </c>
      <c r="I1278" s="292">
        <v>4500000</v>
      </c>
      <c r="J1278" s="292">
        <v>4500000</v>
      </c>
      <c r="K1278" s="293">
        <v>0</v>
      </c>
    </row>
    <row r="1279" spans="1:11" ht="15.75" hidden="1" customHeight="1" x14ac:dyDescent="0.3">
      <c r="A1279" s="278" t="s">
        <v>300</v>
      </c>
      <c r="B1279" s="279">
        <v>122</v>
      </c>
      <c r="C1279" s="278" t="s">
        <v>175</v>
      </c>
      <c r="D1279" s="279" t="s">
        <v>549</v>
      </c>
      <c r="E1279" s="278"/>
      <c r="F1279" s="278" t="s">
        <v>1274</v>
      </c>
      <c r="G1279" s="280">
        <v>432412</v>
      </c>
      <c r="H1279" s="280">
        <v>0</v>
      </c>
      <c r="I1279" s="281">
        <v>432412</v>
      </c>
      <c r="J1279" s="282"/>
      <c r="K1279" s="7"/>
    </row>
    <row r="1280" spans="1:11" ht="15.75" hidden="1" customHeight="1" x14ac:dyDescent="0.3">
      <c r="A1280" s="288" t="s">
        <v>300</v>
      </c>
      <c r="B1280" s="288">
        <v>122</v>
      </c>
      <c r="C1280" s="289" t="s">
        <v>175</v>
      </c>
      <c r="D1280" s="288" t="s">
        <v>320</v>
      </c>
      <c r="E1280" s="290"/>
      <c r="F1280" s="289" t="s">
        <v>321</v>
      </c>
      <c r="G1280" s="291">
        <v>432412</v>
      </c>
      <c r="H1280" s="291">
        <v>0</v>
      </c>
      <c r="I1280" s="292">
        <v>432412</v>
      </c>
      <c r="J1280" s="292">
        <v>432412</v>
      </c>
      <c r="K1280" s="293">
        <v>0</v>
      </c>
    </row>
    <row r="1281" spans="1:11" ht="15.75" hidden="1" customHeight="1" x14ac:dyDescent="0.3">
      <c r="A1281" s="278" t="s">
        <v>300</v>
      </c>
      <c r="B1281" s="279">
        <v>123</v>
      </c>
      <c r="C1281" s="278" t="s">
        <v>177</v>
      </c>
      <c r="D1281" s="279" t="s">
        <v>551</v>
      </c>
      <c r="E1281" s="278" t="s">
        <v>552</v>
      </c>
      <c r="F1281" s="278" t="s">
        <v>1275</v>
      </c>
      <c r="G1281" s="280">
        <v>2118364.65</v>
      </c>
      <c r="H1281" s="280">
        <v>0</v>
      </c>
      <c r="I1281" s="281">
        <v>2118364.65</v>
      </c>
      <c r="J1281" s="282"/>
      <c r="K1281" s="7"/>
    </row>
    <row r="1282" spans="1:11" ht="15.75" hidden="1" customHeight="1" x14ac:dyDescent="0.3">
      <c r="A1282" s="288" t="s">
        <v>300</v>
      </c>
      <c r="B1282" s="288">
        <v>123</v>
      </c>
      <c r="C1282" s="289" t="s">
        <v>177</v>
      </c>
      <c r="D1282" s="288" t="s">
        <v>320</v>
      </c>
      <c r="E1282" s="290"/>
      <c r="F1282" s="289" t="s">
        <v>321</v>
      </c>
      <c r="G1282" s="291">
        <v>2118364.65</v>
      </c>
      <c r="H1282" s="291">
        <v>0</v>
      </c>
      <c r="I1282" s="292">
        <v>2118364.65</v>
      </c>
      <c r="J1282" s="292">
        <v>2118364.65</v>
      </c>
      <c r="K1282" s="293">
        <v>0</v>
      </c>
    </row>
    <row r="1283" spans="1:11" ht="15.75" hidden="1" customHeight="1" x14ac:dyDescent="0.3">
      <c r="A1283" s="278" t="s">
        <v>300</v>
      </c>
      <c r="B1283" s="279">
        <v>124</v>
      </c>
      <c r="C1283" s="278" t="s">
        <v>179</v>
      </c>
      <c r="D1283" s="279" t="s">
        <v>551</v>
      </c>
      <c r="E1283" s="278" t="s">
        <v>1276</v>
      </c>
      <c r="F1283" s="278" t="s">
        <v>1277</v>
      </c>
      <c r="G1283" s="280">
        <v>2800000</v>
      </c>
      <c r="H1283" s="280">
        <v>0</v>
      </c>
      <c r="I1283" s="281">
        <v>2800000</v>
      </c>
      <c r="J1283" s="282"/>
      <c r="K1283" s="7"/>
    </row>
    <row r="1284" spans="1:11" ht="15.75" hidden="1" customHeight="1" x14ac:dyDescent="0.3">
      <c r="A1284" s="283" t="s">
        <v>300</v>
      </c>
      <c r="B1284" s="284">
        <v>124</v>
      </c>
      <c r="C1284" s="283" t="s">
        <v>179</v>
      </c>
      <c r="D1284" s="284" t="s">
        <v>551</v>
      </c>
      <c r="E1284" s="283" t="s">
        <v>1276</v>
      </c>
      <c r="F1284" s="283" t="s">
        <v>986</v>
      </c>
      <c r="G1284" s="285">
        <v>955288.75</v>
      </c>
      <c r="H1284" s="285">
        <v>0</v>
      </c>
      <c r="I1284" s="286">
        <v>955288.75</v>
      </c>
      <c r="J1284" s="287"/>
      <c r="K1284" s="7"/>
    </row>
    <row r="1285" spans="1:11" ht="15.75" hidden="1" customHeight="1" x14ac:dyDescent="0.3">
      <c r="A1285" s="278" t="s">
        <v>300</v>
      </c>
      <c r="B1285" s="279">
        <v>124</v>
      </c>
      <c r="C1285" s="278" t="s">
        <v>179</v>
      </c>
      <c r="D1285" s="279" t="s">
        <v>551</v>
      </c>
      <c r="E1285" s="278" t="s">
        <v>1276</v>
      </c>
      <c r="F1285" s="278" t="s">
        <v>1278</v>
      </c>
      <c r="G1285" s="280">
        <v>0</v>
      </c>
      <c r="H1285" s="280">
        <v>955288.75</v>
      </c>
      <c r="I1285" s="281">
        <v>-955288.75</v>
      </c>
      <c r="J1285" s="282"/>
      <c r="K1285" s="7"/>
    </row>
    <row r="1286" spans="1:11" ht="15.75" hidden="1" customHeight="1" x14ac:dyDescent="0.3">
      <c r="A1286" s="283" t="s">
        <v>300</v>
      </c>
      <c r="B1286" s="284">
        <v>124</v>
      </c>
      <c r="C1286" s="283" t="s">
        <v>179</v>
      </c>
      <c r="D1286" s="284" t="s">
        <v>551</v>
      </c>
      <c r="E1286" s="283"/>
      <c r="F1286" s="283" t="s">
        <v>1279</v>
      </c>
      <c r="G1286" s="285">
        <v>2895200</v>
      </c>
      <c r="H1286" s="285">
        <v>0</v>
      </c>
      <c r="I1286" s="286">
        <v>2895200</v>
      </c>
      <c r="J1286" s="287"/>
      <c r="K1286" s="7"/>
    </row>
    <row r="1287" spans="1:11" ht="15.75" hidden="1" customHeight="1" x14ac:dyDescent="0.3">
      <c r="A1287" s="288" t="s">
        <v>300</v>
      </c>
      <c r="B1287" s="288">
        <v>124</v>
      </c>
      <c r="C1287" s="289" t="s">
        <v>179</v>
      </c>
      <c r="D1287" s="288" t="s">
        <v>320</v>
      </c>
      <c r="E1287" s="290"/>
      <c r="F1287" s="289" t="s">
        <v>321</v>
      </c>
      <c r="G1287" s="291">
        <v>6650488.75</v>
      </c>
      <c r="H1287" s="291">
        <v>955288.75</v>
      </c>
      <c r="I1287" s="292">
        <v>5695200</v>
      </c>
      <c r="J1287" s="292">
        <v>5695200</v>
      </c>
      <c r="K1287" s="293">
        <v>0</v>
      </c>
    </row>
    <row r="1288" spans="1:11" ht="15.75" hidden="1" customHeight="1" x14ac:dyDescent="0.3">
      <c r="A1288" s="278" t="s">
        <v>300</v>
      </c>
      <c r="B1288" s="279">
        <v>129</v>
      </c>
      <c r="C1288" s="278" t="s">
        <v>183</v>
      </c>
      <c r="D1288" s="279" t="s">
        <v>553</v>
      </c>
      <c r="E1288" s="278" t="s">
        <v>554</v>
      </c>
      <c r="F1288" s="278" t="s">
        <v>1280</v>
      </c>
      <c r="G1288" s="280">
        <v>4285250</v>
      </c>
      <c r="H1288" s="280">
        <v>0</v>
      </c>
      <c r="I1288" s="281">
        <v>4285250</v>
      </c>
      <c r="J1288" s="282"/>
      <c r="K1288" s="7"/>
    </row>
    <row r="1289" spans="1:11" ht="15.75" hidden="1" customHeight="1" x14ac:dyDescent="0.3">
      <c r="A1289" s="288" t="s">
        <v>300</v>
      </c>
      <c r="B1289" s="288">
        <v>129</v>
      </c>
      <c r="C1289" s="289" t="s">
        <v>183</v>
      </c>
      <c r="D1289" s="288" t="s">
        <v>320</v>
      </c>
      <c r="E1289" s="290"/>
      <c r="F1289" s="289" t="s">
        <v>321</v>
      </c>
      <c r="G1289" s="291">
        <v>4285250</v>
      </c>
      <c r="H1289" s="291">
        <v>0</v>
      </c>
      <c r="I1289" s="292">
        <v>4285250</v>
      </c>
      <c r="J1289" s="292">
        <v>4285250</v>
      </c>
      <c r="K1289" s="293">
        <v>0</v>
      </c>
    </row>
    <row r="1290" spans="1:11" ht="15.75" hidden="1" customHeight="1" x14ac:dyDescent="0.3">
      <c r="A1290" s="278" t="s">
        <v>300</v>
      </c>
      <c r="B1290" s="279">
        <v>130</v>
      </c>
      <c r="C1290" s="278" t="s">
        <v>186</v>
      </c>
      <c r="D1290" s="279" t="s">
        <v>553</v>
      </c>
      <c r="E1290" s="278" t="s">
        <v>557</v>
      </c>
      <c r="F1290" s="278" t="s">
        <v>1281</v>
      </c>
      <c r="G1290" s="280">
        <v>1277704.0900000001</v>
      </c>
      <c r="H1290" s="280">
        <v>0</v>
      </c>
      <c r="I1290" s="281">
        <v>1277704.0900000001</v>
      </c>
      <c r="J1290" s="282"/>
      <c r="K1290" s="7"/>
    </row>
    <row r="1291" spans="1:11" ht="15.75" hidden="1" customHeight="1" x14ac:dyDescent="0.3">
      <c r="A1291" s="283" t="s">
        <v>300</v>
      </c>
      <c r="B1291" s="284">
        <v>130</v>
      </c>
      <c r="C1291" s="283" t="s">
        <v>186</v>
      </c>
      <c r="D1291" s="284" t="s">
        <v>553</v>
      </c>
      <c r="E1291" s="283"/>
      <c r="F1291" s="283" t="s">
        <v>1282</v>
      </c>
      <c r="G1291" s="285">
        <v>0</v>
      </c>
      <c r="H1291" s="285">
        <v>1300000</v>
      </c>
      <c r="I1291" s="286">
        <v>-1300000</v>
      </c>
      <c r="J1291" s="287"/>
      <c r="K1291" s="7"/>
    </row>
    <row r="1292" spans="1:11" ht="15.75" hidden="1" customHeight="1" x14ac:dyDescent="0.3">
      <c r="A1292" s="278" t="s">
        <v>300</v>
      </c>
      <c r="B1292" s="279">
        <v>130</v>
      </c>
      <c r="C1292" s="278" t="s">
        <v>186</v>
      </c>
      <c r="D1292" s="279" t="s">
        <v>553</v>
      </c>
      <c r="E1292" s="278"/>
      <c r="F1292" s="278" t="s">
        <v>1283</v>
      </c>
      <c r="G1292" s="280">
        <v>1300000</v>
      </c>
      <c r="H1292" s="280">
        <v>0</v>
      </c>
      <c r="I1292" s="281">
        <v>1300000</v>
      </c>
      <c r="J1292" s="282"/>
      <c r="K1292" s="7"/>
    </row>
    <row r="1293" spans="1:11" ht="15.75" hidden="1" customHeight="1" x14ac:dyDescent="0.3">
      <c r="A1293" s="288" t="s">
        <v>300</v>
      </c>
      <c r="B1293" s="288">
        <v>130</v>
      </c>
      <c r="C1293" s="289" t="s">
        <v>186</v>
      </c>
      <c r="D1293" s="288" t="s">
        <v>320</v>
      </c>
      <c r="E1293" s="290"/>
      <c r="F1293" s="289" t="s">
        <v>321</v>
      </c>
      <c r="G1293" s="291">
        <v>2577704.09</v>
      </c>
      <c r="H1293" s="291">
        <v>1300000</v>
      </c>
      <c r="I1293" s="292">
        <v>1277704.0900000001</v>
      </c>
      <c r="J1293" s="292">
        <v>1277704.0900000001</v>
      </c>
      <c r="K1293" s="293">
        <v>0</v>
      </c>
    </row>
    <row r="1294" spans="1:11" ht="15.75" hidden="1" customHeight="1" x14ac:dyDescent="0.3">
      <c r="A1294" s="278" t="s">
        <v>300</v>
      </c>
      <c r="B1294" s="279">
        <v>131</v>
      </c>
      <c r="C1294" s="278" t="s">
        <v>188</v>
      </c>
      <c r="D1294" s="279" t="s">
        <v>560</v>
      </c>
      <c r="E1294" s="278" t="s">
        <v>438</v>
      </c>
      <c r="F1294" s="278" t="s">
        <v>1284</v>
      </c>
      <c r="G1294" s="280">
        <v>323560</v>
      </c>
      <c r="H1294" s="280">
        <v>0</v>
      </c>
      <c r="I1294" s="281">
        <v>323560</v>
      </c>
      <c r="J1294" s="282"/>
      <c r="K1294" s="7"/>
    </row>
    <row r="1295" spans="1:11" ht="15.75" hidden="1" customHeight="1" x14ac:dyDescent="0.3">
      <c r="A1295" s="283" t="s">
        <v>300</v>
      </c>
      <c r="B1295" s="284">
        <v>131</v>
      </c>
      <c r="C1295" s="283" t="s">
        <v>188</v>
      </c>
      <c r="D1295" s="284" t="s">
        <v>560</v>
      </c>
      <c r="E1295" s="283" t="s">
        <v>438</v>
      </c>
      <c r="F1295" s="283" t="s">
        <v>1285</v>
      </c>
      <c r="G1295" s="285">
        <v>6221</v>
      </c>
      <c r="H1295" s="285">
        <v>0</v>
      </c>
      <c r="I1295" s="286">
        <v>6221</v>
      </c>
      <c r="J1295" s="287"/>
      <c r="K1295" s="7"/>
    </row>
    <row r="1296" spans="1:11" ht="15.75" hidden="1" customHeight="1" x14ac:dyDescent="0.3">
      <c r="A1296" s="278" t="s">
        <v>300</v>
      </c>
      <c r="B1296" s="279">
        <v>131</v>
      </c>
      <c r="C1296" s="278" t="s">
        <v>188</v>
      </c>
      <c r="D1296" s="279" t="s">
        <v>560</v>
      </c>
      <c r="E1296" s="278" t="s">
        <v>438</v>
      </c>
      <c r="F1296" s="278" t="s">
        <v>1286</v>
      </c>
      <c r="G1296" s="280">
        <v>6221</v>
      </c>
      <c r="H1296" s="280">
        <v>0</v>
      </c>
      <c r="I1296" s="281">
        <v>6221</v>
      </c>
      <c r="J1296" s="282"/>
      <c r="K1296" s="7"/>
    </row>
    <row r="1297" spans="1:11" ht="15.75" hidden="1" customHeight="1" x14ac:dyDescent="0.3">
      <c r="A1297" s="283" t="s">
        <v>300</v>
      </c>
      <c r="B1297" s="284">
        <v>131</v>
      </c>
      <c r="C1297" s="283" t="s">
        <v>188</v>
      </c>
      <c r="D1297" s="284" t="s">
        <v>560</v>
      </c>
      <c r="E1297" s="283" t="s">
        <v>438</v>
      </c>
      <c r="F1297" s="283" t="s">
        <v>1287</v>
      </c>
      <c r="G1297" s="285">
        <v>6221</v>
      </c>
      <c r="H1297" s="285">
        <v>0</v>
      </c>
      <c r="I1297" s="286">
        <v>6221</v>
      </c>
      <c r="J1297" s="287"/>
      <c r="K1297" s="7"/>
    </row>
    <row r="1298" spans="1:11" ht="15.75" hidden="1" customHeight="1" x14ac:dyDescent="0.3">
      <c r="A1298" s="278" t="s">
        <v>300</v>
      </c>
      <c r="B1298" s="279">
        <v>131</v>
      </c>
      <c r="C1298" s="278" t="s">
        <v>188</v>
      </c>
      <c r="D1298" s="279" t="s">
        <v>1288</v>
      </c>
      <c r="E1298" s="278" t="s">
        <v>438</v>
      </c>
      <c r="F1298" s="278" t="s">
        <v>1289</v>
      </c>
      <c r="G1298" s="280">
        <v>199961.9</v>
      </c>
      <c r="H1298" s="280">
        <v>0</v>
      </c>
      <c r="I1298" s="281">
        <v>199961.9</v>
      </c>
      <c r="J1298" s="282"/>
      <c r="K1298" s="7"/>
    </row>
    <row r="1299" spans="1:11" ht="15.75" hidden="1" customHeight="1" x14ac:dyDescent="0.3">
      <c r="A1299" s="283" t="s">
        <v>300</v>
      </c>
      <c r="B1299" s="284">
        <v>131</v>
      </c>
      <c r="C1299" s="283" t="s">
        <v>188</v>
      </c>
      <c r="D1299" s="284" t="s">
        <v>1288</v>
      </c>
      <c r="E1299" s="283" t="s">
        <v>438</v>
      </c>
      <c r="F1299" s="283" t="s">
        <v>1290</v>
      </c>
      <c r="G1299" s="285">
        <v>2476.9</v>
      </c>
      <c r="H1299" s="285">
        <v>0</v>
      </c>
      <c r="I1299" s="286">
        <v>2476.9</v>
      </c>
      <c r="J1299" s="287"/>
      <c r="K1299" s="7"/>
    </row>
    <row r="1300" spans="1:11" ht="15.75" hidden="1" customHeight="1" x14ac:dyDescent="0.3">
      <c r="A1300" s="278" t="s">
        <v>300</v>
      </c>
      <c r="B1300" s="279">
        <v>131</v>
      </c>
      <c r="C1300" s="278" t="s">
        <v>188</v>
      </c>
      <c r="D1300" s="279" t="s">
        <v>1288</v>
      </c>
      <c r="E1300" s="278" t="s">
        <v>438</v>
      </c>
      <c r="F1300" s="278" t="s">
        <v>1291</v>
      </c>
      <c r="G1300" s="280">
        <v>2662.8</v>
      </c>
      <c r="H1300" s="280">
        <v>0</v>
      </c>
      <c r="I1300" s="281">
        <v>2662.8</v>
      </c>
      <c r="J1300" s="282"/>
      <c r="K1300" s="7"/>
    </row>
    <row r="1301" spans="1:11" ht="15.75" hidden="1" customHeight="1" x14ac:dyDescent="0.3">
      <c r="A1301" s="283" t="s">
        <v>300</v>
      </c>
      <c r="B1301" s="284">
        <v>131</v>
      </c>
      <c r="C1301" s="283" t="s">
        <v>188</v>
      </c>
      <c r="D1301" s="284" t="s">
        <v>1288</v>
      </c>
      <c r="E1301" s="283" t="s">
        <v>438</v>
      </c>
      <c r="F1301" s="283" t="s">
        <v>1292</v>
      </c>
      <c r="G1301" s="285">
        <v>2173.4</v>
      </c>
      <c r="H1301" s="285">
        <v>0</v>
      </c>
      <c r="I1301" s="286">
        <v>2173.4</v>
      </c>
      <c r="J1301" s="287"/>
      <c r="K1301" s="7"/>
    </row>
    <row r="1302" spans="1:11" ht="15.75" hidden="1" customHeight="1" x14ac:dyDescent="0.3">
      <c r="A1302" s="288" t="s">
        <v>300</v>
      </c>
      <c r="B1302" s="288">
        <v>131</v>
      </c>
      <c r="C1302" s="289" t="s">
        <v>188</v>
      </c>
      <c r="D1302" s="288" t="s">
        <v>320</v>
      </c>
      <c r="E1302" s="290"/>
      <c r="F1302" s="289" t="s">
        <v>321</v>
      </c>
      <c r="G1302" s="291">
        <v>549498</v>
      </c>
      <c r="H1302" s="291">
        <v>0</v>
      </c>
      <c r="I1302" s="292">
        <v>549498</v>
      </c>
      <c r="J1302" s="292">
        <v>549498</v>
      </c>
      <c r="K1302" s="293">
        <v>0</v>
      </c>
    </row>
    <row r="1303" spans="1:11" ht="15.75" hidden="1" customHeight="1" x14ac:dyDescent="0.3">
      <c r="A1303" s="278" t="s">
        <v>300</v>
      </c>
      <c r="B1303" s="279">
        <v>132</v>
      </c>
      <c r="C1303" s="278" t="s">
        <v>190</v>
      </c>
      <c r="D1303" s="279" t="s">
        <v>565</v>
      </c>
      <c r="E1303" s="278"/>
      <c r="F1303" s="278" t="s">
        <v>1293</v>
      </c>
      <c r="G1303" s="280">
        <v>808076</v>
      </c>
      <c r="H1303" s="280">
        <v>0</v>
      </c>
      <c r="I1303" s="281">
        <v>808076</v>
      </c>
      <c r="J1303" s="282"/>
      <c r="K1303" s="7"/>
    </row>
    <row r="1304" spans="1:11" ht="15.75" hidden="1" customHeight="1" x14ac:dyDescent="0.3">
      <c r="A1304" s="288" t="s">
        <v>300</v>
      </c>
      <c r="B1304" s="288">
        <v>132</v>
      </c>
      <c r="C1304" s="289" t="s">
        <v>190</v>
      </c>
      <c r="D1304" s="288" t="s">
        <v>320</v>
      </c>
      <c r="E1304" s="290"/>
      <c r="F1304" s="289" t="s">
        <v>321</v>
      </c>
      <c r="G1304" s="291">
        <v>808076</v>
      </c>
      <c r="H1304" s="291">
        <v>0</v>
      </c>
      <c r="I1304" s="292">
        <v>808076</v>
      </c>
      <c r="J1304" s="292">
        <v>808076</v>
      </c>
      <c r="K1304" s="293">
        <v>0</v>
      </c>
    </row>
    <row r="1305" spans="1:11" ht="15.75" hidden="1" customHeight="1" x14ac:dyDescent="0.3">
      <c r="A1305" s="278" t="s">
        <v>300</v>
      </c>
      <c r="B1305" s="279">
        <v>135</v>
      </c>
      <c r="C1305" s="278" t="s">
        <v>196</v>
      </c>
      <c r="D1305" s="279" t="s">
        <v>571</v>
      </c>
      <c r="E1305" s="278" t="s">
        <v>575</v>
      </c>
      <c r="F1305" s="278" t="s">
        <v>1294</v>
      </c>
      <c r="G1305" s="280">
        <v>30920.639999999999</v>
      </c>
      <c r="H1305" s="280">
        <v>0</v>
      </c>
      <c r="I1305" s="281">
        <v>30920.639999999999</v>
      </c>
      <c r="J1305" s="282"/>
      <c r="K1305" s="7"/>
    </row>
    <row r="1306" spans="1:11" ht="15.75" hidden="1" customHeight="1" x14ac:dyDescent="0.3">
      <c r="A1306" s="283" t="s">
        <v>300</v>
      </c>
      <c r="B1306" s="284">
        <v>135</v>
      </c>
      <c r="C1306" s="283" t="s">
        <v>196</v>
      </c>
      <c r="D1306" s="284" t="s">
        <v>571</v>
      </c>
      <c r="E1306" s="283" t="s">
        <v>575</v>
      </c>
      <c r="F1306" s="283" t="s">
        <v>1294</v>
      </c>
      <c r="G1306" s="285">
        <v>194.5</v>
      </c>
      <c r="H1306" s="285">
        <v>0</v>
      </c>
      <c r="I1306" s="286">
        <v>194.5</v>
      </c>
      <c r="J1306" s="287"/>
      <c r="K1306" s="7"/>
    </row>
    <row r="1307" spans="1:11" ht="15.75" hidden="1" customHeight="1" x14ac:dyDescent="0.3">
      <c r="A1307" s="278" t="s">
        <v>300</v>
      </c>
      <c r="B1307" s="279">
        <v>135</v>
      </c>
      <c r="C1307" s="278" t="s">
        <v>196</v>
      </c>
      <c r="D1307" s="279" t="s">
        <v>571</v>
      </c>
      <c r="E1307" s="278" t="s">
        <v>572</v>
      </c>
      <c r="F1307" s="278" t="s">
        <v>1295</v>
      </c>
      <c r="G1307" s="280">
        <v>91890</v>
      </c>
      <c r="H1307" s="280">
        <v>0</v>
      </c>
      <c r="I1307" s="281">
        <v>91890</v>
      </c>
      <c r="J1307" s="282"/>
      <c r="K1307" s="7"/>
    </row>
    <row r="1308" spans="1:11" ht="15.75" hidden="1" customHeight="1" x14ac:dyDescent="0.3">
      <c r="A1308" s="283" t="s">
        <v>300</v>
      </c>
      <c r="B1308" s="284">
        <v>135</v>
      </c>
      <c r="C1308" s="283" t="s">
        <v>196</v>
      </c>
      <c r="D1308" s="284" t="s">
        <v>571</v>
      </c>
      <c r="E1308" s="283"/>
      <c r="F1308" s="283" t="s">
        <v>1296</v>
      </c>
      <c r="G1308" s="285">
        <v>32000</v>
      </c>
      <c r="H1308" s="285">
        <v>0</v>
      </c>
      <c r="I1308" s="286">
        <v>32000</v>
      </c>
      <c r="J1308" s="287"/>
      <c r="K1308" s="7"/>
    </row>
    <row r="1309" spans="1:11" ht="15.75" hidden="1" customHeight="1" x14ac:dyDescent="0.3">
      <c r="A1309" s="288" t="s">
        <v>300</v>
      </c>
      <c r="B1309" s="288">
        <v>135</v>
      </c>
      <c r="C1309" s="289" t="s">
        <v>196</v>
      </c>
      <c r="D1309" s="288" t="s">
        <v>320</v>
      </c>
      <c r="E1309" s="290"/>
      <c r="F1309" s="289" t="s">
        <v>321</v>
      </c>
      <c r="G1309" s="291">
        <v>155005.14000000001</v>
      </c>
      <c r="H1309" s="291">
        <v>0</v>
      </c>
      <c r="I1309" s="292">
        <v>155005.14000000001</v>
      </c>
      <c r="J1309" s="292">
        <v>63114.64</v>
      </c>
      <c r="K1309" s="294">
        <v>91890.500000000015</v>
      </c>
    </row>
    <row r="1310" spans="1:11" ht="15.75" hidden="1" customHeight="1" x14ac:dyDescent="0.3">
      <c r="A1310" s="278" t="s">
        <v>300</v>
      </c>
      <c r="B1310" s="279">
        <v>136</v>
      </c>
      <c r="C1310" s="278" t="s">
        <v>198</v>
      </c>
      <c r="D1310" s="279" t="s">
        <v>222</v>
      </c>
      <c r="E1310" s="278" t="s">
        <v>577</v>
      </c>
      <c r="F1310" s="278" t="s">
        <v>1297</v>
      </c>
      <c r="G1310" s="280">
        <v>130406.39999999999</v>
      </c>
      <c r="H1310" s="280">
        <v>0</v>
      </c>
      <c r="I1310" s="281">
        <v>130406.39999999999</v>
      </c>
      <c r="J1310" s="282"/>
      <c r="K1310" s="7"/>
    </row>
    <row r="1311" spans="1:11" ht="15.75" hidden="1" customHeight="1" x14ac:dyDescent="0.3">
      <c r="A1311" s="288" t="s">
        <v>300</v>
      </c>
      <c r="B1311" s="288">
        <v>136</v>
      </c>
      <c r="C1311" s="289" t="s">
        <v>198</v>
      </c>
      <c r="D1311" s="288" t="s">
        <v>320</v>
      </c>
      <c r="E1311" s="290"/>
      <c r="F1311" s="289" t="s">
        <v>321</v>
      </c>
      <c r="G1311" s="291">
        <v>130406.39999999999</v>
      </c>
      <c r="H1311" s="291">
        <v>0</v>
      </c>
      <c r="I1311" s="292">
        <v>130406.39999999999</v>
      </c>
      <c r="J1311" s="292">
        <v>130406.39999999999</v>
      </c>
      <c r="K1311" s="293">
        <v>0</v>
      </c>
    </row>
    <row r="1312" spans="1:11" ht="15.75" hidden="1" customHeight="1" x14ac:dyDescent="0.3">
      <c r="A1312" s="278" t="s">
        <v>300</v>
      </c>
      <c r="B1312" s="279">
        <v>137</v>
      </c>
      <c r="C1312" s="278" t="s">
        <v>200</v>
      </c>
      <c r="D1312" s="279" t="s">
        <v>824</v>
      </c>
      <c r="E1312" s="278" t="s">
        <v>438</v>
      </c>
      <c r="F1312" s="278" t="s">
        <v>1298</v>
      </c>
      <c r="G1312" s="280">
        <v>230993</v>
      </c>
      <c r="H1312" s="280">
        <v>0</v>
      </c>
      <c r="I1312" s="281">
        <v>230993</v>
      </c>
      <c r="J1312" s="282"/>
      <c r="K1312" s="7"/>
    </row>
    <row r="1313" spans="1:11" ht="15.75" hidden="1" customHeight="1" x14ac:dyDescent="0.3">
      <c r="A1313" s="283" t="s">
        <v>300</v>
      </c>
      <c r="B1313" s="284">
        <v>137</v>
      </c>
      <c r="C1313" s="283" t="s">
        <v>200</v>
      </c>
      <c r="D1313" s="284" t="s">
        <v>824</v>
      </c>
      <c r="E1313" s="283" t="s">
        <v>438</v>
      </c>
      <c r="F1313" s="283" t="s">
        <v>1299</v>
      </c>
      <c r="G1313" s="285">
        <v>261630</v>
      </c>
      <c r="H1313" s="285">
        <v>0</v>
      </c>
      <c r="I1313" s="286">
        <v>261630</v>
      </c>
      <c r="J1313" s="287"/>
      <c r="K1313" s="7"/>
    </row>
    <row r="1314" spans="1:11" ht="15.75" hidden="1" customHeight="1" x14ac:dyDescent="0.3">
      <c r="A1314" s="278" t="s">
        <v>300</v>
      </c>
      <c r="B1314" s="279">
        <v>137</v>
      </c>
      <c r="C1314" s="278" t="s">
        <v>200</v>
      </c>
      <c r="D1314" s="279" t="s">
        <v>222</v>
      </c>
      <c r="E1314" s="278" t="s">
        <v>1300</v>
      </c>
      <c r="F1314" s="278" t="s">
        <v>1301</v>
      </c>
      <c r="G1314" s="280">
        <v>107436.36</v>
      </c>
      <c r="H1314" s="280">
        <v>0</v>
      </c>
      <c r="I1314" s="281">
        <v>107436.36</v>
      </c>
      <c r="J1314" s="282"/>
      <c r="K1314" s="7"/>
    </row>
    <row r="1315" spans="1:11" ht="15.75" hidden="1" customHeight="1" x14ac:dyDescent="0.3">
      <c r="A1315" s="283" t="s">
        <v>300</v>
      </c>
      <c r="B1315" s="284">
        <v>137</v>
      </c>
      <c r="C1315" s="283" t="s">
        <v>200</v>
      </c>
      <c r="D1315" s="284" t="s">
        <v>222</v>
      </c>
      <c r="E1315" s="283" t="s">
        <v>1300</v>
      </c>
      <c r="F1315" s="283" t="s">
        <v>1301</v>
      </c>
      <c r="G1315" s="285">
        <v>107436.36</v>
      </c>
      <c r="H1315" s="285">
        <v>0</v>
      </c>
      <c r="I1315" s="286">
        <v>107436.36</v>
      </c>
      <c r="J1315" s="287"/>
      <c r="K1315" s="7"/>
    </row>
    <row r="1316" spans="1:11" ht="15.75" hidden="1" customHeight="1" x14ac:dyDescent="0.3">
      <c r="A1316" s="278" t="s">
        <v>300</v>
      </c>
      <c r="B1316" s="279">
        <v>137</v>
      </c>
      <c r="C1316" s="278" t="s">
        <v>200</v>
      </c>
      <c r="D1316" s="279" t="s">
        <v>222</v>
      </c>
      <c r="E1316" s="278" t="s">
        <v>1302</v>
      </c>
      <c r="F1316" s="278" t="s">
        <v>1303</v>
      </c>
      <c r="G1316" s="280">
        <v>460381.42</v>
      </c>
      <c r="H1316" s="280">
        <v>0</v>
      </c>
      <c r="I1316" s="281">
        <v>460381.42</v>
      </c>
      <c r="J1316" s="282"/>
      <c r="K1316" s="7"/>
    </row>
    <row r="1317" spans="1:11" ht="15.75" hidden="1" customHeight="1" x14ac:dyDescent="0.3">
      <c r="A1317" s="283" t="s">
        <v>300</v>
      </c>
      <c r="B1317" s="284">
        <v>137</v>
      </c>
      <c r="C1317" s="283" t="s">
        <v>200</v>
      </c>
      <c r="D1317" s="284" t="s">
        <v>222</v>
      </c>
      <c r="E1317" s="283" t="s">
        <v>1302</v>
      </c>
      <c r="F1317" s="283" t="s">
        <v>1304</v>
      </c>
      <c r="G1317" s="285">
        <v>0</v>
      </c>
      <c r="H1317" s="285">
        <v>19781.52</v>
      </c>
      <c r="I1317" s="286">
        <v>-19781.52</v>
      </c>
      <c r="J1317" s="287"/>
      <c r="K1317" s="7"/>
    </row>
    <row r="1318" spans="1:11" ht="15.75" hidden="1" customHeight="1" x14ac:dyDescent="0.3">
      <c r="A1318" s="278" t="s">
        <v>300</v>
      </c>
      <c r="B1318" s="279">
        <v>137</v>
      </c>
      <c r="C1318" s="278" t="s">
        <v>200</v>
      </c>
      <c r="D1318" s="279" t="s">
        <v>222</v>
      </c>
      <c r="E1318" s="278" t="s">
        <v>438</v>
      </c>
      <c r="F1318" s="278" t="s">
        <v>1305</v>
      </c>
      <c r="G1318" s="280">
        <v>30147.67</v>
      </c>
      <c r="H1318" s="280">
        <v>0</v>
      </c>
      <c r="I1318" s="281">
        <v>30147.67</v>
      </c>
      <c r="J1318" s="282"/>
      <c r="K1318" s="7"/>
    </row>
    <row r="1319" spans="1:11" ht="15.75" hidden="1" customHeight="1" x14ac:dyDescent="0.3">
      <c r="A1319" s="283" t="s">
        <v>300</v>
      </c>
      <c r="B1319" s="284">
        <v>137</v>
      </c>
      <c r="C1319" s="283" t="s">
        <v>200</v>
      </c>
      <c r="D1319" s="284" t="s">
        <v>222</v>
      </c>
      <c r="E1319" s="283" t="s">
        <v>438</v>
      </c>
      <c r="F1319" s="283" t="s">
        <v>1306</v>
      </c>
      <c r="G1319" s="285">
        <v>28661.07</v>
      </c>
      <c r="H1319" s="285">
        <v>0</v>
      </c>
      <c r="I1319" s="286">
        <v>28661.07</v>
      </c>
      <c r="J1319" s="287"/>
      <c r="K1319" s="7"/>
    </row>
    <row r="1320" spans="1:11" ht="15.75" hidden="1" customHeight="1" x14ac:dyDescent="0.3">
      <c r="A1320" s="278" t="s">
        <v>300</v>
      </c>
      <c r="B1320" s="279">
        <v>137</v>
      </c>
      <c r="C1320" s="278" t="s">
        <v>200</v>
      </c>
      <c r="D1320" s="279" t="s">
        <v>222</v>
      </c>
      <c r="E1320" s="278" t="s">
        <v>438</v>
      </c>
      <c r="F1320" s="278" t="s">
        <v>1307</v>
      </c>
      <c r="G1320" s="280">
        <v>58264.23</v>
      </c>
      <c r="H1320" s="280">
        <v>0</v>
      </c>
      <c r="I1320" s="281">
        <v>58264.23</v>
      </c>
      <c r="J1320" s="282"/>
      <c r="K1320" s="7"/>
    </row>
    <row r="1321" spans="1:11" ht="15.75" hidden="1" customHeight="1" x14ac:dyDescent="0.3">
      <c r="A1321" s="283" t="s">
        <v>300</v>
      </c>
      <c r="B1321" s="284">
        <v>137</v>
      </c>
      <c r="C1321" s="283" t="s">
        <v>200</v>
      </c>
      <c r="D1321" s="284" t="s">
        <v>582</v>
      </c>
      <c r="E1321" s="283" t="s">
        <v>1308</v>
      </c>
      <c r="F1321" s="283" t="s">
        <v>1309</v>
      </c>
      <c r="G1321" s="285">
        <v>174000</v>
      </c>
      <c r="H1321" s="285">
        <v>0</v>
      </c>
      <c r="I1321" s="286">
        <v>174000</v>
      </c>
      <c r="J1321" s="287"/>
      <c r="K1321" s="7"/>
    </row>
    <row r="1322" spans="1:11" ht="15.75" hidden="1" customHeight="1" x14ac:dyDescent="0.3">
      <c r="A1322" s="278" t="s">
        <v>300</v>
      </c>
      <c r="B1322" s="279">
        <v>137</v>
      </c>
      <c r="C1322" s="278" t="s">
        <v>200</v>
      </c>
      <c r="D1322" s="279" t="s">
        <v>582</v>
      </c>
      <c r="E1322" s="278" t="s">
        <v>438</v>
      </c>
      <c r="F1322" s="278" t="s">
        <v>585</v>
      </c>
      <c r="G1322" s="280">
        <v>55632.7</v>
      </c>
      <c r="H1322" s="280">
        <v>0</v>
      </c>
      <c r="I1322" s="281">
        <v>55632.7</v>
      </c>
      <c r="J1322" s="282"/>
      <c r="K1322" s="7"/>
    </row>
    <row r="1323" spans="1:11" ht="15.75" hidden="1" customHeight="1" x14ac:dyDescent="0.3">
      <c r="A1323" s="283" t="s">
        <v>300</v>
      </c>
      <c r="B1323" s="284">
        <v>137</v>
      </c>
      <c r="C1323" s="283" t="s">
        <v>200</v>
      </c>
      <c r="D1323" s="284" t="s">
        <v>582</v>
      </c>
      <c r="E1323" s="283" t="s">
        <v>438</v>
      </c>
      <c r="F1323" s="283" t="s">
        <v>1310</v>
      </c>
      <c r="G1323" s="285">
        <v>306011.2</v>
      </c>
      <c r="H1323" s="285">
        <v>0</v>
      </c>
      <c r="I1323" s="286">
        <v>306011.2</v>
      </c>
      <c r="J1323" s="287"/>
      <c r="K1323" s="7"/>
    </row>
    <row r="1324" spans="1:11" ht="15.75" hidden="1" customHeight="1" x14ac:dyDescent="0.3">
      <c r="A1324" s="278" t="s">
        <v>300</v>
      </c>
      <c r="B1324" s="279">
        <v>137</v>
      </c>
      <c r="C1324" s="278" t="s">
        <v>200</v>
      </c>
      <c r="D1324" s="279" t="s">
        <v>582</v>
      </c>
      <c r="E1324" s="278" t="s">
        <v>438</v>
      </c>
      <c r="F1324" s="278" t="s">
        <v>1311</v>
      </c>
      <c r="G1324" s="280">
        <v>61249</v>
      </c>
      <c r="H1324" s="280">
        <v>0</v>
      </c>
      <c r="I1324" s="281">
        <v>61249</v>
      </c>
      <c r="J1324" s="282"/>
      <c r="K1324" s="7"/>
    </row>
    <row r="1325" spans="1:11" ht="15.75" hidden="1" customHeight="1" x14ac:dyDescent="0.3">
      <c r="A1325" s="283" t="s">
        <v>300</v>
      </c>
      <c r="B1325" s="284">
        <v>137</v>
      </c>
      <c r="C1325" s="283" t="s">
        <v>200</v>
      </c>
      <c r="D1325" s="284" t="s">
        <v>582</v>
      </c>
      <c r="E1325" s="283" t="s">
        <v>438</v>
      </c>
      <c r="F1325" s="283" t="s">
        <v>1312</v>
      </c>
      <c r="G1325" s="285">
        <v>79229</v>
      </c>
      <c r="H1325" s="285">
        <v>0</v>
      </c>
      <c r="I1325" s="286">
        <v>79229</v>
      </c>
      <c r="J1325" s="287"/>
      <c r="K1325" s="7"/>
    </row>
    <row r="1326" spans="1:11" ht="15.75" hidden="1" customHeight="1" x14ac:dyDescent="0.3">
      <c r="A1326" s="278" t="s">
        <v>300</v>
      </c>
      <c r="B1326" s="279">
        <v>137</v>
      </c>
      <c r="C1326" s="278" t="s">
        <v>200</v>
      </c>
      <c r="D1326" s="279" t="s">
        <v>582</v>
      </c>
      <c r="E1326" s="278" t="s">
        <v>438</v>
      </c>
      <c r="F1326" s="278" t="s">
        <v>1313</v>
      </c>
      <c r="G1326" s="280">
        <v>275721.44</v>
      </c>
      <c r="H1326" s="280">
        <v>0</v>
      </c>
      <c r="I1326" s="281">
        <v>275721.44</v>
      </c>
      <c r="J1326" s="282"/>
      <c r="K1326" s="7"/>
    </row>
    <row r="1327" spans="1:11" ht="15.75" hidden="1" customHeight="1" x14ac:dyDescent="0.3">
      <c r="A1327" s="283" t="s">
        <v>300</v>
      </c>
      <c r="B1327" s="284">
        <v>137</v>
      </c>
      <c r="C1327" s="283" t="s">
        <v>200</v>
      </c>
      <c r="D1327" s="284" t="s">
        <v>582</v>
      </c>
      <c r="E1327" s="283" t="s">
        <v>438</v>
      </c>
      <c r="F1327" s="283" t="s">
        <v>585</v>
      </c>
      <c r="G1327" s="285">
        <v>469965.2</v>
      </c>
      <c r="H1327" s="285">
        <v>0</v>
      </c>
      <c r="I1327" s="286">
        <v>469965.2</v>
      </c>
      <c r="J1327" s="287"/>
      <c r="K1327" s="7"/>
    </row>
    <row r="1328" spans="1:11" ht="15.75" hidden="1" customHeight="1" x14ac:dyDescent="0.3">
      <c r="A1328" s="288" t="s">
        <v>300</v>
      </c>
      <c r="B1328" s="288">
        <v>137</v>
      </c>
      <c r="C1328" s="289" t="s">
        <v>200</v>
      </c>
      <c r="D1328" s="288" t="s">
        <v>320</v>
      </c>
      <c r="E1328" s="290"/>
      <c r="F1328" s="289" t="s">
        <v>321</v>
      </c>
      <c r="G1328" s="291">
        <v>2706758.65</v>
      </c>
      <c r="H1328" s="291">
        <v>19781.52</v>
      </c>
      <c r="I1328" s="292">
        <v>2686977.13</v>
      </c>
      <c r="J1328" s="292">
        <v>2686977.13</v>
      </c>
      <c r="K1328" s="293">
        <v>0</v>
      </c>
    </row>
    <row r="1329" spans="1:11" ht="15.75" hidden="1" customHeight="1" x14ac:dyDescent="0.3">
      <c r="A1329" s="278" t="s">
        <v>300</v>
      </c>
      <c r="B1329" s="279">
        <v>138</v>
      </c>
      <c r="C1329" s="278" t="s">
        <v>202</v>
      </c>
      <c r="D1329" s="279" t="s">
        <v>222</v>
      </c>
      <c r="E1329" s="278" t="s">
        <v>586</v>
      </c>
      <c r="F1329" s="278" t="s">
        <v>1314</v>
      </c>
      <c r="G1329" s="280">
        <v>30263</v>
      </c>
      <c r="H1329" s="280">
        <v>0</v>
      </c>
      <c r="I1329" s="281">
        <v>30263</v>
      </c>
      <c r="J1329" s="282"/>
      <c r="K1329" s="7"/>
    </row>
    <row r="1330" spans="1:11" ht="15.75" hidden="1" customHeight="1" x14ac:dyDescent="0.3">
      <c r="A1330" s="288" t="s">
        <v>300</v>
      </c>
      <c r="B1330" s="288">
        <v>138</v>
      </c>
      <c r="C1330" s="289" t="s">
        <v>202</v>
      </c>
      <c r="D1330" s="288" t="s">
        <v>320</v>
      </c>
      <c r="E1330" s="290"/>
      <c r="F1330" s="289" t="s">
        <v>321</v>
      </c>
      <c r="G1330" s="291">
        <v>30263</v>
      </c>
      <c r="H1330" s="291">
        <v>0</v>
      </c>
      <c r="I1330" s="292">
        <v>30263</v>
      </c>
      <c r="J1330" s="292">
        <v>30263</v>
      </c>
      <c r="K1330" s="293">
        <v>0</v>
      </c>
    </row>
    <row r="1331" spans="1:11" ht="15.75" hidden="1" customHeight="1" x14ac:dyDescent="0.3">
      <c r="A1331" s="278" t="s">
        <v>300</v>
      </c>
      <c r="B1331" s="279">
        <v>139</v>
      </c>
      <c r="C1331" s="278" t="s">
        <v>204</v>
      </c>
      <c r="D1331" s="279" t="s">
        <v>588</v>
      </c>
      <c r="E1331" s="278"/>
      <c r="F1331" s="278" t="s">
        <v>1315</v>
      </c>
      <c r="G1331" s="280">
        <v>108223.17</v>
      </c>
      <c r="H1331" s="280">
        <v>0</v>
      </c>
      <c r="I1331" s="281">
        <v>108223.17</v>
      </c>
      <c r="J1331" s="282"/>
      <c r="K1331" s="7"/>
    </row>
    <row r="1332" spans="1:11" ht="15.75" hidden="1" customHeight="1" x14ac:dyDescent="0.3">
      <c r="A1332" s="283" t="s">
        <v>300</v>
      </c>
      <c r="B1332" s="284">
        <v>139</v>
      </c>
      <c r="C1332" s="283" t="s">
        <v>204</v>
      </c>
      <c r="D1332" s="284" t="s">
        <v>588</v>
      </c>
      <c r="E1332" s="283"/>
      <c r="F1332" s="283" t="s">
        <v>1316</v>
      </c>
      <c r="G1332" s="285">
        <v>58856</v>
      </c>
      <c r="H1332" s="285">
        <v>0</v>
      </c>
      <c r="I1332" s="286">
        <v>58856</v>
      </c>
      <c r="J1332" s="287"/>
      <c r="K1332" s="7"/>
    </row>
    <row r="1333" spans="1:11" ht="15.75" hidden="1" customHeight="1" x14ac:dyDescent="0.3">
      <c r="A1333" s="278" t="s">
        <v>300</v>
      </c>
      <c r="B1333" s="279">
        <v>139</v>
      </c>
      <c r="C1333" s="278" t="s">
        <v>204</v>
      </c>
      <c r="D1333" s="279" t="s">
        <v>588</v>
      </c>
      <c r="E1333" s="278"/>
      <c r="F1333" s="278" t="s">
        <v>1317</v>
      </c>
      <c r="G1333" s="280">
        <v>44676.47</v>
      </c>
      <c r="H1333" s="280">
        <v>0</v>
      </c>
      <c r="I1333" s="281">
        <v>44676.47</v>
      </c>
      <c r="J1333" s="282"/>
      <c r="K1333" s="7"/>
    </row>
    <row r="1334" spans="1:11" ht="15.75" hidden="1" customHeight="1" x14ac:dyDescent="0.3">
      <c r="A1334" s="283" t="s">
        <v>300</v>
      </c>
      <c r="B1334" s="284">
        <v>139</v>
      </c>
      <c r="C1334" s="283" t="s">
        <v>204</v>
      </c>
      <c r="D1334" s="284" t="s">
        <v>588</v>
      </c>
      <c r="E1334" s="283"/>
      <c r="F1334" s="283" t="s">
        <v>1318</v>
      </c>
      <c r="G1334" s="285">
        <v>96029.57</v>
      </c>
      <c r="H1334" s="285">
        <v>0</v>
      </c>
      <c r="I1334" s="286">
        <v>96029.57</v>
      </c>
      <c r="J1334" s="287"/>
      <c r="K1334" s="7"/>
    </row>
    <row r="1335" spans="1:11" ht="15.75" hidden="1" customHeight="1" x14ac:dyDescent="0.3">
      <c r="A1335" s="278" t="s">
        <v>300</v>
      </c>
      <c r="B1335" s="279">
        <v>139</v>
      </c>
      <c r="C1335" s="278" t="s">
        <v>204</v>
      </c>
      <c r="D1335" s="279" t="s">
        <v>588</v>
      </c>
      <c r="E1335" s="278"/>
      <c r="F1335" s="278" t="s">
        <v>1319</v>
      </c>
      <c r="G1335" s="280">
        <v>118150.72</v>
      </c>
      <c r="H1335" s="280">
        <v>0</v>
      </c>
      <c r="I1335" s="281">
        <v>118150.72</v>
      </c>
      <c r="J1335" s="282"/>
      <c r="K1335" s="7"/>
    </row>
    <row r="1336" spans="1:11" ht="15.75" hidden="1" customHeight="1" x14ac:dyDescent="0.3">
      <c r="A1336" s="283" t="s">
        <v>300</v>
      </c>
      <c r="B1336" s="284">
        <v>139</v>
      </c>
      <c r="C1336" s="283" t="s">
        <v>204</v>
      </c>
      <c r="D1336" s="284" t="s">
        <v>588</v>
      </c>
      <c r="E1336" s="283"/>
      <c r="F1336" s="283" t="s">
        <v>1320</v>
      </c>
      <c r="G1336" s="285">
        <v>84273.2</v>
      </c>
      <c r="H1336" s="285">
        <v>0</v>
      </c>
      <c r="I1336" s="286">
        <v>84273.2</v>
      </c>
      <c r="J1336" s="287"/>
      <c r="K1336" s="7"/>
    </row>
    <row r="1337" spans="1:11" ht="15.75" hidden="1" customHeight="1" x14ac:dyDescent="0.3">
      <c r="A1337" s="278" t="s">
        <v>300</v>
      </c>
      <c r="B1337" s="279">
        <v>139</v>
      </c>
      <c r="C1337" s="278" t="s">
        <v>204</v>
      </c>
      <c r="D1337" s="279" t="s">
        <v>588</v>
      </c>
      <c r="E1337" s="278"/>
      <c r="F1337" s="278" t="s">
        <v>1321</v>
      </c>
      <c r="G1337" s="280">
        <v>44260.69</v>
      </c>
      <c r="H1337" s="280">
        <v>0</v>
      </c>
      <c r="I1337" s="281">
        <v>44260.69</v>
      </c>
      <c r="J1337" s="282"/>
      <c r="K1337" s="7"/>
    </row>
    <row r="1338" spans="1:11" ht="15.75" hidden="1" customHeight="1" x14ac:dyDescent="0.3">
      <c r="A1338" s="283" t="s">
        <v>300</v>
      </c>
      <c r="B1338" s="284">
        <v>139</v>
      </c>
      <c r="C1338" s="283" t="s">
        <v>204</v>
      </c>
      <c r="D1338" s="284" t="s">
        <v>588</v>
      </c>
      <c r="E1338" s="283"/>
      <c r="F1338" s="283" t="s">
        <v>1322</v>
      </c>
      <c r="G1338" s="285">
        <v>144680</v>
      </c>
      <c r="H1338" s="285">
        <v>0</v>
      </c>
      <c r="I1338" s="286">
        <v>144680</v>
      </c>
      <c r="J1338" s="287"/>
      <c r="K1338" s="7"/>
    </row>
    <row r="1339" spans="1:11" ht="15.75" hidden="1" customHeight="1" x14ac:dyDescent="0.3">
      <c r="A1339" s="278" t="s">
        <v>300</v>
      </c>
      <c r="B1339" s="279">
        <v>139</v>
      </c>
      <c r="C1339" s="278" t="s">
        <v>204</v>
      </c>
      <c r="D1339" s="279" t="s">
        <v>588</v>
      </c>
      <c r="E1339" s="278"/>
      <c r="F1339" s="278" t="s">
        <v>1323</v>
      </c>
      <c r="G1339" s="280">
        <v>149628</v>
      </c>
      <c r="H1339" s="280">
        <v>0</v>
      </c>
      <c r="I1339" s="281">
        <v>149628</v>
      </c>
      <c r="J1339" s="282"/>
      <c r="K1339" s="7"/>
    </row>
    <row r="1340" spans="1:11" ht="15.75" hidden="1" customHeight="1" x14ac:dyDescent="0.3">
      <c r="A1340" s="288" t="s">
        <v>300</v>
      </c>
      <c r="B1340" s="288">
        <v>139</v>
      </c>
      <c r="C1340" s="289" t="s">
        <v>204</v>
      </c>
      <c r="D1340" s="288" t="s">
        <v>320</v>
      </c>
      <c r="E1340" s="290"/>
      <c r="F1340" s="289" t="s">
        <v>321</v>
      </c>
      <c r="G1340" s="291">
        <v>848777.82000000007</v>
      </c>
      <c r="H1340" s="291">
        <v>0</v>
      </c>
      <c r="I1340" s="292">
        <v>848777.82000000007</v>
      </c>
      <c r="J1340" s="292">
        <v>848777.82</v>
      </c>
      <c r="K1340" s="293">
        <v>1.164153218269348E-10</v>
      </c>
    </row>
    <row r="1341" spans="1:11" ht="15.75" hidden="1" customHeight="1" x14ac:dyDescent="0.3">
      <c r="A1341" s="278" t="s">
        <v>300</v>
      </c>
      <c r="B1341" s="279">
        <v>147</v>
      </c>
      <c r="C1341" s="278" t="s">
        <v>217</v>
      </c>
      <c r="D1341" s="279" t="s">
        <v>549</v>
      </c>
      <c r="E1341" s="278"/>
      <c r="F1341" s="278" t="s">
        <v>1324</v>
      </c>
      <c r="G1341" s="280">
        <v>128926</v>
      </c>
      <c r="H1341" s="280">
        <v>0</v>
      </c>
      <c r="I1341" s="281">
        <v>128926</v>
      </c>
      <c r="J1341" s="282"/>
      <c r="K1341" s="7"/>
    </row>
    <row r="1342" spans="1:11" ht="15.75" hidden="1" customHeight="1" x14ac:dyDescent="0.3">
      <c r="A1342" s="288" t="s">
        <v>300</v>
      </c>
      <c r="B1342" s="288">
        <v>147</v>
      </c>
      <c r="C1342" s="289" t="s">
        <v>217</v>
      </c>
      <c r="D1342" s="288" t="s">
        <v>320</v>
      </c>
      <c r="E1342" s="290"/>
      <c r="F1342" s="289" t="s">
        <v>321</v>
      </c>
      <c r="G1342" s="291">
        <v>128926</v>
      </c>
      <c r="H1342" s="291">
        <v>0</v>
      </c>
      <c r="I1342" s="292">
        <v>128926</v>
      </c>
      <c r="J1342" s="292">
        <v>128926</v>
      </c>
      <c r="K1342" s="293">
        <v>0</v>
      </c>
    </row>
    <row r="1343" spans="1:11" ht="15.75" hidden="1" customHeight="1" x14ac:dyDescent="0.3">
      <c r="A1343" s="278" t="s">
        <v>300</v>
      </c>
      <c r="B1343" s="279">
        <v>149</v>
      </c>
      <c r="C1343" s="278" t="s">
        <v>221</v>
      </c>
      <c r="D1343" s="279" t="s">
        <v>551</v>
      </c>
      <c r="E1343" s="278" t="s">
        <v>1325</v>
      </c>
      <c r="F1343" s="278" t="s">
        <v>1326</v>
      </c>
      <c r="G1343" s="280">
        <v>300000</v>
      </c>
      <c r="H1343" s="280">
        <v>0</v>
      </c>
      <c r="I1343" s="281">
        <v>300000</v>
      </c>
      <c r="J1343" s="282"/>
      <c r="K1343" s="7"/>
    </row>
    <row r="1344" spans="1:11" ht="15.75" hidden="1" customHeight="1" x14ac:dyDescent="0.3">
      <c r="A1344" s="283" t="s">
        <v>300</v>
      </c>
      <c r="B1344" s="284">
        <v>149</v>
      </c>
      <c r="C1344" s="283" t="s">
        <v>221</v>
      </c>
      <c r="D1344" s="284" t="s">
        <v>551</v>
      </c>
      <c r="E1344" s="283"/>
      <c r="F1344" s="283" t="s">
        <v>1327</v>
      </c>
      <c r="G1344" s="285">
        <v>0</v>
      </c>
      <c r="H1344" s="285">
        <v>300000</v>
      </c>
      <c r="I1344" s="286">
        <v>-300000</v>
      </c>
      <c r="J1344" s="287"/>
      <c r="K1344" s="7"/>
    </row>
    <row r="1345" spans="1:11" ht="15.75" hidden="1" customHeight="1" x14ac:dyDescent="0.3">
      <c r="A1345" s="278" t="s">
        <v>300</v>
      </c>
      <c r="B1345" s="279">
        <v>149</v>
      </c>
      <c r="C1345" s="278" t="s">
        <v>221</v>
      </c>
      <c r="D1345" s="279" t="s">
        <v>222</v>
      </c>
      <c r="E1345" s="278"/>
      <c r="F1345" s="278" t="s">
        <v>1327</v>
      </c>
      <c r="G1345" s="280">
        <v>300000</v>
      </c>
      <c r="H1345" s="280">
        <v>0</v>
      </c>
      <c r="I1345" s="281">
        <v>300000</v>
      </c>
      <c r="J1345" s="282"/>
      <c r="K1345" s="7"/>
    </row>
    <row r="1346" spans="1:11" ht="15.75" hidden="1" customHeight="1" x14ac:dyDescent="0.3">
      <c r="A1346" s="288" t="s">
        <v>300</v>
      </c>
      <c r="B1346" s="288">
        <v>149</v>
      </c>
      <c r="C1346" s="289" t="s">
        <v>221</v>
      </c>
      <c r="D1346" s="288" t="s">
        <v>320</v>
      </c>
      <c r="E1346" s="290"/>
      <c r="F1346" s="289" t="s">
        <v>321</v>
      </c>
      <c r="G1346" s="291">
        <v>600000</v>
      </c>
      <c r="H1346" s="291">
        <v>300000</v>
      </c>
      <c r="I1346" s="292">
        <v>300000</v>
      </c>
      <c r="J1346" s="292">
        <v>300000</v>
      </c>
      <c r="K1346" s="293">
        <v>0</v>
      </c>
    </row>
    <row r="1347" spans="1:11" ht="15.75" hidden="1" customHeight="1" x14ac:dyDescent="0.3">
      <c r="A1347" s="278" t="s">
        <v>300</v>
      </c>
      <c r="B1347" s="279">
        <v>150</v>
      </c>
      <c r="C1347" s="278" t="s">
        <v>224</v>
      </c>
      <c r="D1347" s="279" t="s">
        <v>596</v>
      </c>
      <c r="E1347" s="278" t="s">
        <v>852</v>
      </c>
      <c r="F1347" s="278" t="s">
        <v>1328</v>
      </c>
      <c r="G1347" s="280">
        <v>318504.92</v>
      </c>
      <c r="H1347" s="280">
        <v>0</v>
      </c>
      <c r="I1347" s="281">
        <v>318504.92</v>
      </c>
      <c r="J1347" s="282"/>
      <c r="K1347" s="7"/>
    </row>
    <row r="1348" spans="1:11" ht="15.75" hidden="1" customHeight="1" x14ac:dyDescent="0.3">
      <c r="A1348" s="288" t="s">
        <v>300</v>
      </c>
      <c r="B1348" s="288">
        <v>150</v>
      </c>
      <c r="C1348" s="289" t="s">
        <v>224</v>
      </c>
      <c r="D1348" s="288" t="s">
        <v>320</v>
      </c>
      <c r="E1348" s="290"/>
      <c r="F1348" s="289" t="s">
        <v>321</v>
      </c>
      <c r="G1348" s="291">
        <v>318504.92</v>
      </c>
      <c r="H1348" s="291">
        <v>0</v>
      </c>
      <c r="I1348" s="292">
        <v>318504.92</v>
      </c>
      <c r="J1348" s="292">
        <v>318504.92</v>
      </c>
      <c r="K1348" s="293">
        <v>0</v>
      </c>
    </row>
    <row r="1349" spans="1:11" ht="15.75" hidden="1" customHeight="1" x14ac:dyDescent="0.3">
      <c r="A1349" s="278" t="s">
        <v>300</v>
      </c>
      <c r="B1349" s="279">
        <v>152</v>
      </c>
      <c r="C1349" s="278" t="s">
        <v>226</v>
      </c>
      <c r="D1349" s="279" t="s">
        <v>600</v>
      </c>
      <c r="E1349" s="278"/>
      <c r="F1349" s="278" t="s">
        <v>1329</v>
      </c>
      <c r="G1349" s="280">
        <v>13847239.65</v>
      </c>
      <c r="H1349" s="280">
        <v>0</v>
      </c>
      <c r="I1349" s="281">
        <v>13847239.65</v>
      </c>
      <c r="J1349" s="282"/>
      <c r="K1349" s="7"/>
    </row>
    <row r="1350" spans="1:11" ht="15.75" hidden="1" customHeight="1" x14ac:dyDescent="0.3">
      <c r="A1350" s="288" t="s">
        <v>300</v>
      </c>
      <c r="B1350" s="288">
        <v>152</v>
      </c>
      <c r="C1350" s="289" t="s">
        <v>226</v>
      </c>
      <c r="D1350" s="288" t="s">
        <v>320</v>
      </c>
      <c r="E1350" s="290"/>
      <c r="F1350" s="289" t="s">
        <v>321</v>
      </c>
      <c r="G1350" s="291">
        <v>13847239.65</v>
      </c>
      <c r="H1350" s="291">
        <v>0</v>
      </c>
      <c r="I1350" s="292">
        <v>13847239.65</v>
      </c>
      <c r="J1350" s="292">
        <v>13847239.65</v>
      </c>
      <c r="K1350" s="293">
        <v>0</v>
      </c>
    </row>
    <row r="1351" spans="1:11" ht="15.75" customHeight="1" x14ac:dyDescent="0.3">
      <c r="A1351" s="278" t="s">
        <v>300</v>
      </c>
      <c r="B1351" s="279">
        <v>158</v>
      </c>
      <c r="C1351" s="278" t="s">
        <v>229</v>
      </c>
      <c r="D1351" s="279" t="s">
        <v>602</v>
      </c>
      <c r="E1351" s="278"/>
      <c r="F1351" s="278" t="s">
        <v>1330</v>
      </c>
      <c r="G1351" s="280">
        <v>0</v>
      </c>
      <c r="H1351" s="280">
        <v>235000000</v>
      </c>
      <c r="I1351" s="281">
        <v>-235000000</v>
      </c>
      <c r="J1351" s="282"/>
      <c r="K1351" s="7"/>
    </row>
    <row r="1352" spans="1:11" ht="15.75" customHeight="1" x14ac:dyDescent="0.3">
      <c r="A1352" s="283" t="s">
        <v>300</v>
      </c>
      <c r="B1352" s="284">
        <v>158</v>
      </c>
      <c r="C1352" s="283" t="s">
        <v>229</v>
      </c>
      <c r="D1352" s="284" t="s">
        <v>602</v>
      </c>
      <c r="E1352" s="283" t="s">
        <v>604</v>
      </c>
      <c r="F1352" s="283" t="s">
        <v>1331</v>
      </c>
      <c r="G1352" s="285">
        <v>228522526.68000001</v>
      </c>
      <c r="H1352" s="285">
        <v>0</v>
      </c>
      <c r="I1352" s="286">
        <v>228522526.68000001</v>
      </c>
      <c r="J1352" s="287"/>
      <c r="K1352" s="7"/>
    </row>
    <row r="1353" spans="1:11" ht="15.75" customHeight="1" x14ac:dyDescent="0.3">
      <c r="A1353" s="278" t="s">
        <v>300</v>
      </c>
      <c r="B1353" s="279">
        <v>158</v>
      </c>
      <c r="C1353" s="278" t="s">
        <v>229</v>
      </c>
      <c r="D1353" s="279" t="s">
        <v>602</v>
      </c>
      <c r="E1353" s="278"/>
      <c r="F1353" s="278" t="s">
        <v>1332</v>
      </c>
      <c r="G1353" s="280">
        <v>213200000</v>
      </c>
      <c r="H1353" s="280">
        <v>0</v>
      </c>
      <c r="I1353" s="281">
        <v>213200000</v>
      </c>
      <c r="J1353" s="282"/>
      <c r="K1353" s="7"/>
    </row>
    <row r="1354" spans="1:11" ht="15.75" customHeight="1" x14ac:dyDescent="0.3">
      <c r="A1354" s="288" t="s">
        <v>300</v>
      </c>
      <c r="B1354" s="288">
        <v>158</v>
      </c>
      <c r="C1354" s="289" t="s">
        <v>229</v>
      </c>
      <c r="D1354" s="288" t="s">
        <v>320</v>
      </c>
      <c r="E1354" s="290"/>
      <c r="F1354" s="289" t="s">
        <v>321</v>
      </c>
      <c r="G1354" s="291">
        <v>441722526.68000001</v>
      </c>
      <c r="H1354" s="291">
        <v>235000000</v>
      </c>
      <c r="I1354" s="292">
        <v>206722526.68000001</v>
      </c>
      <c r="J1354" s="292">
        <v>325284546.15123302</v>
      </c>
      <c r="K1354" s="294">
        <v>-118562019.471233</v>
      </c>
    </row>
    <row r="1355" spans="1:11" ht="15.75" customHeight="1" x14ac:dyDescent="0.3">
      <c r="A1355" s="278" t="s">
        <v>300</v>
      </c>
      <c r="B1355" s="279">
        <v>164</v>
      </c>
      <c r="C1355" s="278" t="s">
        <v>238</v>
      </c>
      <c r="D1355" s="279" t="s">
        <v>607</v>
      </c>
      <c r="E1355" s="278"/>
      <c r="F1355" s="278" t="s">
        <v>1333</v>
      </c>
      <c r="G1355" s="280">
        <v>0</v>
      </c>
      <c r="H1355" s="280">
        <v>150000000</v>
      </c>
      <c r="I1355" s="281">
        <v>-150000000</v>
      </c>
      <c r="J1355" s="282"/>
      <c r="K1355" s="7"/>
    </row>
    <row r="1356" spans="1:11" ht="15.75" customHeight="1" x14ac:dyDescent="0.3">
      <c r="A1356" s="283" t="s">
        <v>300</v>
      </c>
      <c r="B1356" s="284">
        <v>164</v>
      </c>
      <c r="C1356" s="283" t="s">
        <v>238</v>
      </c>
      <c r="D1356" s="284" t="s">
        <v>607</v>
      </c>
      <c r="E1356" s="283" t="s">
        <v>604</v>
      </c>
      <c r="F1356" s="283" t="s">
        <v>1334</v>
      </c>
      <c r="G1356" s="285">
        <v>150000000</v>
      </c>
      <c r="H1356" s="285">
        <v>0</v>
      </c>
      <c r="I1356" s="286">
        <v>150000000</v>
      </c>
      <c r="J1356" s="287"/>
      <c r="K1356" s="7"/>
    </row>
    <row r="1357" spans="1:11" ht="15.75" customHeight="1" x14ac:dyDescent="0.3">
      <c r="A1357" s="278" t="s">
        <v>300</v>
      </c>
      <c r="B1357" s="279">
        <v>164</v>
      </c>
      <c r="C1357" s="278" t="s">
        <v>238</v>
      </c>
      <c r="D1357" s="279" t="s">
        <v>607</v>
      </c>
      <c r="E1357" s="278"/>
      <c r="F1357" s="278" t="s">
        <v>1335</v>
      </c>
      <c r="G1357" s="280">
        <v>150000000</v>
      </c>
      <c r="H1357" s="280">
        <v>0</v>
      </c>
      <c r="I1357" s="281">
        <v>150000000</v>
      </c>
      <c r="J1357" s="282"/>
      <c r="K1357" s="7"/>
    </row>
    <row r="1358" spans="1:11" ht="15.75" customHeight="1" x14ac:dyDescent="0.3">
      <c r="A1358" s="288" t="s">
        <v>300</v>
      </c>
      <c r="B1358" s="288">
        <v>164</v>
      </c>
      <c r="C1358" s="289" t="s">
        <v>238</v>
      </c>
      <c r="D1358" s="288" t="s">
        <v>320</v>
      </c>
      <c r="E1358" s="290"/>
      <c r="F1358" s="289" t="s">
        <v>321</v>
      </c>
      <c r="G1358" s="291">
        <v>300000000</v>
      </c>
      <c r="H1358" s="291">
        <v>150000000</v>
      </c>
      <c r="I1358" s="292">
        <v>150000000</v>
      </c>
      <c r="J1358" s="292">
        <v>19786461.279274099</v>
      </c>
      <c r="K1358" s="294">
        <v>130213538.72072589</v>
      </c>
    </row>
    <row r="1359" spans="1:11" ht="15.75" hidden="1" customHeight="1" x14ac:dyDescent="0.3">
      <c r="A1359" s="278" t="s">
        <v>300</v>
      </c>
      <c r="B1359" s="279">
        <v>174</v>
      </c>
      <c r="C1359" s="278" t="s">
        <v>248</v>
      </c>
      <c r="D1359" s="279" t="s">
        <v>534</v>
      </c>
      <c r="E1359" s="278" t="s">
        <v>611</v>
      </c>
      <c r="F1359" s="278" t="s">
        <v>1336</v>
      </c>
      <c r="G1359" s="280">
        <v>49000</v>
      </c>
      <c r="H1359" s="280">
        <v>0</v>
      </c>
      <c r="I1359" s="281">
        <v>49000</v>
      </c>
      <c r="J1359" s="282"/>
      <c r="K1359" s="7"/>
    </row>
    <row r="1360" spans="1:11" ht="15.75" hidden="1" customHeight="1" x14ac:dyDescent="0.3">
      <c r="A1360" s="288" t="s">
        <v>300</v>
      </c>
      <c r="B1360" s="288">
        <v>174</v>
      </c>
      <c r="C1360" s="289" t="s">
        <v>248</v>
      </c>
      <c r="D1360" s="288" t="s">
        <v>320</v>
      </c>
      <c r="E1360" s="290"/>
      <c r="F1360" s="289" t="s">
        <v>321</v>
      </c>
      <c r="G1360" s="291">
        <v>49000</v>
      </c>
      <c r="H1360" s="291">
        <v>0</v>
      </c>
      <c r="I1360" s="292">
        <v>49000</v>
      </c>
      <c r="J1360" s="292">
        <v>49000</v>
      </c>
      <c r="K1360" s="293">
        <v>0</v>
      </c>
    </row>
    <row r="1361" spans="1:11" ht="15.75" hidden="1" customHeight="1" x14ac:dyDescent="0.3">
      <c r="A1361" s="278" t="s">
        <v>300</v>
      </c>
      <c r="B1361" s="279">
        <v>176</v>
      </c>
      <c r="C1361" s="278" t="s">
        <v>250</v>
      </c>
      <c r="D1361" s="279" t="s">
        <v>613</v>
      </c>
      <c r="E1361" s="278" t="s">
        <v>433</v>
      </c>
      <c r="F1361" s="278" t="s">
        <v>1337</v>
      </c>
      <c r="G1361" s="280">
        <v>15544.44</v>
      </c>
      <c r="H1361" s="280">
        <v>0</v>
      </c>
      <c r="I1361" s="281">
        <v>15544.44</v>
      </c>
      <c r="J1361" s="282"/>
      <c r="K1361" s="7"/>
    </row>
    <row r="1362" spans="1:11" ht="15.75" hidden="1" customHeight="1" x14ac:dyDescent="0.3">
      <c r="A1362" s="283" t="s">
        <v>300</v>
      </c>
      <c r="B1362" s="284">
        <v>176</v>
      </c>
      <c r="C1362" s="283" t="s">
        <v>250</v>
      </c>
      <c r="D1362" s="284" t="s">
        <v>613</v>
      </c>
      <c r="E1362" s="283" t="s">
        <v>614</v>
      </c>
      <c r="F1362" s="283" t="s">
        <v>1338</v>
      </c>
      <c r="G1362" s="285">
        <v>0</v>
      </c>
      <c r="H1362" s="285">
        <v>7964.16</v>
      </c>
      <c r="I1362" s="286">
        <v>-7964.16</v>
      </c>
      <c r="J1362" s="287"/>
      <c r="K1362" s="7"/>
    </row>
    <row r="1363" spans="1:11" ht="15.75" hidden="1" customHeight="1" x14ac:dyDescent="0.3">
      <c r="A1363" s="278" t="s">
        <v>300</v>
      </c>
      <c r="B1363" s="279">
        <v>176</v>
      </c>
      <c r="C1363" s="278" t="s">
        <v>250</v>
      </c>
      <c r="D1363" s="279" t="s">
        <v>613</v>
      </c>
      <c r="E1363" s="278" t="s">
        <v>428</v>
      </c>
      <c r="F1363" s="278" t="s">
        <v>1339</v>
      </c>
      <c r="G1363" s="280">
        <v>18150</v>
      </c>
      <c r="H1363" s="280">
        <v>0</v>
      </c>
      <c r="I1363" s="281">
        <v>18150</v>
      </c>
      <c r="J1363" s="282"/>
      <c r="K1363" s="7"/>
    </row>
    <row r="1364" spans="1:11" ht="15.75" hidden="1" customHeight="1" x14ac:dyDescent="0.3">
      <c r="A1364" s="283" t="s">
        <v>300</v>
      </c>
      <c r="B1364" s="284">
        <v>176</v>
      </c>
      <c r="C1364" s="283" t="s">
        <v>250</v>
      </c>
      <c r="D1364" s="284" t="s">
        <v>613</v>
      </c>
      <c r="E1364" s="283" t="s">
        <v>433</v>
      </c>
      <c r="F1364" s="283" t="s">
        <v>1340</v>
      </c>
      <c r="G1364" s="285">
        <v>13173.25</v>
      </c>
      <c r="H1364" s="285">
        <v>0</v>
      </c>
      <c r="I1364" s="286">
        <v>13173.25</v>
      </c>
      <c r="J1364" s="287"/>
      <c r="K1364" s="7"/>
    </row>
    <row r="1365" spans="1:11" ht="15.75" hidden="1" customHeight="1" x14ac:dyDescent="0.3">
      <c r="A1365" s="278" t="s">
        <v>300</v>
      </c>
      <c r="B1365" s="279">
        <v>176</v>
      </c>
      <c r="C1365" s="278" t="s">
        <v>250</v>
      </c>
      <c r="D1365" s="279" t="s">
        <v>613</v>
      </c>
      <c r="E1365" s="278" t="s">
        <v>535</v>
      </c>
      <c r="F1365" s="278" t="s">
        <v>1341</v>
      </c>
      <c r="G1365" s="280">
        <v>8470</v>
      </c>
      <c r="H1365" s="280">
        <v>0</v>
      </c>
      <c r="I1365" s="281">
        <v>8470</v>
      </c>
      <c r="J1365" s="282"/>
      <c r="K1365" s="7"/>
    </row>
    <row r="1366" spans="1:11" ht="15.75" hidden="1" customHeight="1" x14ac:dyDescent="0.3">
      <c r="A1366" s="288" t="s">
        <v>300</v>
      </c>
      <c r="B1366" s="288">
        <v>176</v>
      </c>
      <c r="C1366" s="289" t="s">
        <v>250</v>
      </c>
      <c r="D1366" s="288" t="s">
        <v>320</v>
      </c>
      <c r="E1366" s="290"/>
      <c r="F1366" s="289" t="s">
        <v>321</v>
      </c>
      <c r="G1366" s="291">
        <v>55337.69</v>
      </c>
      <c r="H1366" s="291">
        <v>7964.16</v>
      </c>
      <c r="I1366" s="292">
        <v>47373.53</v>
      </c>
      <c r="J1366" s="292">
        <v>47373.53</v>
      </c>
      <c r="K1366" s="293">
        <v>0</v>
      </c>
    </row>
    <row r="1367" spans="1:11" ht="15.75" hidden="1" customHeight="1" x14ac:dyDescent="0.3">
      <c r="A1367" s="278" t="s">
        <v>300</v>
      </c>
      <c r="B1367" s="279">
        <v>178</v>
      </c>
      <c r="C1367" s="278" t="s">
        <v>251</v>
      </c>
      <c r="D1367" s="279" t="s">
        <v>618</v>
      </c>
      <c r="E1367" s="278"/>
      <c r="F1367" s="278" t="s">
        <v>1342</v>
      </c>
      <c r="G1367" s="280">
        <v>0</v>
      </c>
      <c r="H1367" s="280">
        <v>82237415.829999998</v>
      </c>
      <c r="I1367" s="281">
        <v>-82237415.829999998</v>
      </c>
      <c r="J1367" s="282"/>
      <c r="K1367" s="7"/>
    </row>
    <row r="1368" spans="1:11" ht="15.75" hidden="1" customHeight="1" x14ac:dyDescent="0.3">
      <c r="A1368" s="283" t="s">
        <v>300</v>
      </c>
      <c r="B1368" s="284">
        <v>178</v>
      </c>
      <c r="C1368" s="283" t="s">
        <v>251</v>
      </c>
      <c r="D1368" s="284" t="s">
        <v>620</v>
      </c>
      <c r="E1368" s="283"/>
      <c r="F1368" s="283" t="s">
        <v>1343</v>
      </c>
      <c r="G1368" s="285">
        <v>0</v>
      </c>
      <c r="H1368" s="285">
        <v>2971259.9</v>
      </c>
      <c r="I1368" s="286">
        <v>-2971259.9</v>
      </c>
      <c r="J1368" s="287"/>
      <c r="K1368" s="7"/>
    </row>
    <row r="1369" spans="1:11" ht="15.75" hidden="1" customHeight="1" x14ac:dyDescent="0.3">
      <c r="A1369" s="288" t="s">
        <v>300</v>
      </c>
      <c r="B1369" s="288">
        <v>178</v>
      </c>
      <c r="C1369" s="289" t="s">
        <v>251</v>
      </c>
      <c r="D1369" s="288" t="s">
        <v>320</v>
      </c>
      <c r="E1369" s="290"/>
      <c r="F1369" s="289" t="s">
        <v>321</v>
      </c>
      <c r="G1369" s="291">
        <v>0</v>
      </c>
      <c r="H1369" s="291">
        <v>85208675.730000004</v>
      </c>
      <c r="I1369" s="292">
        <v>-85208675.730000004</v>
      </c>
      <c r="J1369" s="292">
        <v>-85208675.730000004</v>
      </c>
      <c r="K1369" s="293">
        <v>0</v>
      </c>
    </row>
    <row r="1370" spans="1:11" ht="15.75" hidden="1" customHeight="1" x14ac:dyDescent="0.3">
      <c r="A1370" s="278" t="s">
        <v>300</v>
      </c>
      <c r="B1370" s="279">
        <v>180</v>
      </c>
      <c r="C1370" s="278" t="s">
        <v>253</v>
      </c>
      <c r="D1370" s="279" t="s">
        <v>866</v>
      </c>
      <c r="E1370" s="278" t="s">
        <v>438</v>
      </c>
      <c r="F1370" s="278" t="s">
        <v>1344</v>
      </c>
      <c r="G1370" s="280">
        <v>27050.63</v>
      </c>
      <c r="H1370" s="280">
        <v>0</v>
      </c>
      <c r="I1370" s="281">
        <v>27050.63</v>
      </c>
      <c r="J1370" s="282"/>
      <c r="K1370" s="7"/>
    </row>
    <row r="1371" spans="1:11" ht="15.75" hidden="1" customHeight="1" x14ac:dyDescent="0.3">
      <c r="A1371" s="288" t="s">
        <v>300</v>
      </c>
      <c r="B1371" s="288">
        <v>180</v>
      </c>
      <c r="C1371" s="289" t="s">
        <v>253</v>
      </c>
      <c r="D1371" s="288" t="s">
        <v>320</v>
      </c>
      <c r="E1371" s="290"/>
      <c r="F1371" s="289" t="s">
        <v>321</v>
      </c>
      <c r="G1371" s="291">
        <v>27050.63</v>
      </c>
      <c r="H1371" s="291">
        <v>0</v>
      </c>
      <c r="I1371" s="292">
        <v>27050.63</v>
      </c>
      <c r="J1371" s="292">
        <v>27050.63</v>
      </c>
      <c r="K1371" s="293">
        <v>0</v>
      </c>
    </row>
    <row r="1372" spans="1:11" ht="15.75" hidden="1" customHeight="1" x14ac:dyDescent="0.3">
      <c r="A1372" s="278" t="s">
        <v>300</v>
      </c>
      <c r="B1372" s="279">
        <v>182</v>
      </c>
      <c r="C1372" s="278" t="s">
        <v>255</v>
      </c>
      <c r="D1372" s="279" t="s">
        <v>624</v>
      </c>
      <c r="E1372" s="278"/>
      <c r="F1372" s="278" t="s">
        <v>1345</v>
      </c>
      <c r="G1372" s="280">
        <v>0</v>
      </c>
      <c r="H1372" s="280">
        <v>1.44</v>
      </c>
      <c r="I1372" s="281">
        <v>-1.44</v>
      </c>
      <c r="J1372" s="282"/>
      <c r="K1372" s="7"/>
    </row>
    <row r="1373" spans="1:11" ht="15.75" hidden="1" customHeight="1" x14ac:dyDescent="0.3">
      <c r="A1373" s="283" t="s">
        <v>300</v>
      </c>
      <c r="B1373" s="284">
        <v>182</v>
      </c>
      <c r="C1373" s="283" t="s">
        <v>255</v>
      </c>
      <c r="D1373" s="284" t="s">
        <v>624</v>
      </c>
      <c r="E1373" s="283" t="s">
        <v>438</v>
      </c>
      <c r="F1373" s="283" t="s">
        <v>1346</v>
      </c>
      <c r="G1373" s="285">
        <v>6619928</v>
      </c>
      <c r="H1373" s="285">
        <v>0</v>
      </c>
      <c r="I1373" s="286">
        <v>6619928</v>
      </c>
      <c r="J1373" s="287"/>
      <c r="K1373" s="7"/>
    </row>
    <row r="1374" spans="1:11" ht="15.75" hidden="1" customHeight="1" x14ac:dyDescent="0.3">
      <c r="A1374" s="278" t="s">
        <v>300</v>
      </c>
      <c r="B1374" s="279">
        <v>182</v>
      </c>
      <c r="C1374" s="278" t="s">
        <v>255</v>
      </c>
      <c r="D1374" s="279" t="s">
        <v>624</v>
      </c>
      <c r="E1374" s="278"/>
      <c r="F1374" s="278" t="s">
        <v>1347</v>
      </c>
      <c r="G1374" s="280">
        <v>2350694.71</v>
      </c>
      <c r="H1374" s="280">
        <v>0</v>
      </c>
      <c r="I1374" s="281">
        <v>2350694.71</v>
      </c>
      <c r="J1374" s="282"/>
      <c r="K1374" s="7"/>
    </row>
    <row r="1375" spans="1:11" ht="15.75" hidden="1" customHeight="1" x14ac:dyDescent="0.3">
      <c r="A1375" s="283" t="s">
        <v>300</v>
      </c>
      <c r="B1375" s="284">
        <v>182</v>
      </c>
      <c r="C1375" s="283" t="s">
        <v>255</v>
      </c>
      <c r="D1375" s="284" t="s">
        <v>624</v>
      </c>
      <c r="E1375" s="283"/>
      <c r="F1375" s="283" t="s">
        <v>1348</v>
      </c>
      <c r="G1375" s="285">
        <v>0</v>
      </c>
      <c r="H1375" s="285">
        <v>6619703</v>
      </c>
      <c r="I1375" s="286">
        <v>-6619703</v>
      </c>
      <c r="J1375" s="287"/>
      <c r="K1375" s="7"/>
    </row>
    <row r="1376" spans="1:11" ht="15.75" hidden="1" customHeight="1" x14ac:dyDescent="0.3">
      <c r="A1376" s="288" t="s">
        <v>300</v>
      </c>
      <c r="B1376" s="288">
        <v>182</v>
      </c>
      <c r="C1376" s="289" t="s">
        <v>255</v>
      </c>
      <c r="D1376" s="288" t="s">
        <v>320</v>
      </c>
      <c r="E1376" s="290"/>
      <c r="F1376" s="289" t="s">
        <v>321</v>
      </c>
      <c r="G1376" s="291">
        <v>8970622.7100000009</v>
      </c>
      <c r="H1376" s="291">
        <v>6619704.4400000004</v>
      </c>
      <c r="I1376" s="292">
        <v>2350918.27</v>
      </c>
      <c r="J1376" s="292">
        <v>2350918.27</v>
      </c>
      <c r="K1376" s="293">
        <v>0</v>
      </c>
    </row>
    <row r="1377" spans="1:11" ht="15.75" hidden="1" customHeight="1" x14ac:dyDescent="0.3">
      <c r="A1377" s="278" t="s">
        <v>300</v>
      </c>
      <c r="B1377" s="279">
        <v>184</v>
      </c>
      <c r="C1377" s="278" t="s">
        <v>256</v>
      </c>
      <c r="D1377" s="279" t="s">
        <v>626</v>
      </c>
      <c r="E1377" s="278"/>
      <c r="F1377" s="278" t="s">
        <v>1349</v>
      </c>
      <c r="G1377" s="280">
        <v>512501472.88</v>
      </c>
      <c r="H1377" s="280">
        <v>0</v>
      </c>
      <c r="I1377" s="281">
        <v>512501472.88</v>
      </c>
      <c r="J1377" s="282"/>
      <c r="K1377" s="7"/>
    </row>
    <row r="1378" spans="1:11" ht="15.75" hidden="1" customHeight="1" x14ac:dyDescent="0.3">
      <c r="A1378" s="288" t="s">
        <v>300</v>
      </c>
      <c r="B1378" s="288">
        <v>184</v>
      </c>
      <c r="C1378" s="289" t="s">
        <v>256</v>
      </c>
      <c r="D1378" s="288" t="s">
        <v>320</v>
      </c>
      <c r="E1378" s="290"/>
      <c r="F1378" s="289" t="s">
        <v>321</v>
      </c>
      <c r="G1378" s="291">
        <v>512501472.88</v>
      </c>
      <c r="H1378" s="291">
        <v>0</v>
      </c>
      <c r="I1378" s="292">
        <v>512501472.88</v>
      </c>
      <c r="J1378" s="292">
        <v>512501472.88</v>
      </c>
      <c r="K1378" s="293">
        <v>0</v>
      </c>
    </row>
    <row r="1379" spans="1:11" ht="14.4" hidden="1" customHeight="1" x14ac:dyDescent="0.3">
      <c r="A1379" s="278" t="s">
        <v>1350</v>
      </c>
      <c r="B1379" s="279">
        <v>8</v>
      </c>
      <c r="C1379" s="278" t="s">
        <v>10</v>
      </c>
      <c r="D1379" s="279" t="s">
        <v>313</v>
      </c>
      <c r="E1379" s="278" t="s">
        <v>314</v>
      </c>
      <c r="F1379" s="278" t="s">
        <v>1351</v>
      </c>
      <c r="G1379" s="280">
        <v>0</v>
      </c>
      <c r="H1379" s="280">
        <v>279439314.27999997</v>
      </c>
      <c r="I1379" s="281">
        <v>-279439314.27999997</v>
      </c>
      <c r="J1379" s="282"/>
      <c r="K1379" s="7"/>
    </row>
    <row r="1380" spans="1:11" ht="14.4" hidden="1" customHeight="1" x14ac:dyDescent="0.3">
      <c r="A1380" s="278" t="s">
        <v>1350</v>
      </c>
      <c r="B1380" s="279">
        <v>8</v>
      </c>
      <c r="C1380" s="278" t="s">
        <v>10</v>
      </c>
      <c r="D1380" s="279" t="s">
        <v>313</v>
      </c>
      <c r="E1380" s="278"/>
      <c r="F1380" s="278" t="s">
        <v>1352</v>
      </c>
      <c r="G1380" s="280">
        <v>279439314</v>
      </c>
      <c r="H1380" s="280">
        <v>0</v>
      </c>
      <c r="I1380" s="281">
        <v>279439314</v>
      </c>
      <c r="J1380" s="282"/>
      <c r="K1380" s="7"/>
    </row>
    <row r="1381" spans="1:11" ht="14.4" hidden="1" customHeight="1" x14ac:dyDescent="0.3">
      <c r="A1381" s="278" t="s">
        <v>1350</v>
      </c>
      <c r="B1381" s="279">
        <v>8</v>
      </c>
      <c r="C1381" s="278" t="s">
        <v>10</v>
      </c>
      <c r="D1381" s="279" t="s">
        <v>313</v>
      </c>
      <c r="E1381" s="278"/>
      <c r="F1381" s="278" t="s">
        <v>1353</v>
      </c>
      <c r="G1381" s="280">
        <v>290133662</v>
      </c>
      <c r="H1381" s="280">
        <v>0</v>
      </c>
      <c r="I1381" s="281">
        <v>290133662</v>
      </c>
      <c r="J1381" s="282"/>
      <c r="K1381" s="7"/>
    </row>
    <row r="1382" spans="1:11" ht="14.4" hidden="1" customHeight="1" x14ac:dyDescent="0.3">
      <c r="A1382" s="278" t="s">
        <v>1350</v>
      </c>
      <c r="B1382" s="279">
        <v>8</v>
      </c>
      <c r="C1382" s="278" t="s">
        <v>10</v>
      </c>
      <c r="D1382" s="279" t="s">
        <v>313</v>
      </c>
      <c r="E1382" s="278"/>
      <c r="F1382" s="278" t="s">
        <v>1109</v>
      </c>
      <c r="G1382" s="280">
        <v>0</v>
      </c>
      <c r="H1382" s="280">
        <v>290249822.5</v>
      </c>
      <c r="I1382" s="281">
        <v>-290249822.5</v>
      </c>
      <c r="J1382" s="282"/>
      <c r="K1382" s="7"/>
    </row>
    <row r="1383" spans="1:11" ht="14.4" hidden="1" customHeight="1" x14ac:dyDescent="0.3">
      <c r="A1383" s="278" t="s">
        <v>1350</v>
      </c>
      <c r="B1383" s="279">
        <v>8</v>
      </c>
      <c r="C1383" s="278" t="s">
        <v>10</v>
      </c>
      <c r="D1383" s="279" t="s">
        <v>313</v>
      </c>
      <c r="E1383" s="278"/>
      <c r="F1383" s="278" t="s">
        <v>1354</v>
      </c>
      <c r="G1383" s="280">
        <v>0</v>
      </c>
      <c r="H1383" s="280">
        <v>313651800</v>
      </c>
      <c r="I1383" s="281">
        <v>-313651800</v>
      </c>
      <c r="J1383" s="282"/>
      <c r="K1383" s="7"/>
    </row>
    <row r="1384" spans="1:11" ht="14.4" hidden="1" customHeight="1" x14ac:dyDescent="0.3">
      <c r="A1384" s="288" t="s">
        <v>1350</v>
      </c>
      <c r="B1384" s="288">
        <v>8</v>
      </c>
      <c r="C1384" s="289" t="s">
        <v>10</v>
      </c>
      <c r="D1384" s="288" t="s">
        <v>320</v>
      </c>
      <c r="E1384" s="290"/>
      <c r="F1384" s="289" t="s">
        <v>321</v>
      </c>
      <c r="G1384" s="291">
        <v>569572976</v>
      </c>
      <c r="H1384" s="291">
        <v>883340936.77999997</v>
      </c>
      <c r="I1384" s="292">
        <v>-313767960.77999997</v>
      </c>
      <c r="J1384" s="292">
        <v>313767960.77999997</v>
      </c>
      <c r="K1384" s="293">
        <v>0</v>
      </c>
    </row>
    <row r="1385" spans="1:11" ht="14.4" hidden="1" customHeight="1" x14ac:dyDescent="0.3">
      <c r="A1385" s="278" t="s">
        <v>1350</v>
      </c>
      <c r="B1385" s="279">
        <v>9</v>
      </c>
      <c r="C1385" s="278" t="s">
        <v>11</v>
      </c>
      <c r="D1385" s="279" t="s">
        <v>313</v>
      </c>
      <c r="E1385" s="278" t="s">
        <v>314</v>
      </c>
      <c r="F1385" s="278" t="s">
        <v>1355</v>
      </c>
      <c r="G1385" s="280">
        <v>0</v>
      </c>
      <c r="H1385" s="280">
        <v>37588586.560000002</v>
      </c>
      <c r="I1385" s="281">
        <v>-37588586.560000002</v>
      </c>
      <c r="J1385" s="282"/>
      <c r="K1385" s="7"/>
    </row>
    <row r="1386" spans="1:11" ht="14.4" hidden="1" customHeight="1" x14ac:dyDescent="0.3">
      <c r="A1386" s="278" t="s">
        <v>1350</v>
      </c>
      <c r="B1386" s="279">
        <v>9</v>
      </c>
      <c r="C1386" s="278" t="s">
        <v>11</v>
      </c>
      <c r="D1386" s="279" t="s">
        <v>313</v>
      </c>
      <c r="E1386" s="278"/>
      <c r="F1386" s="278" t="s">
        <v>1356</v>
      </c>
      <c r="G1386" s="280">
        <v>37588587</v>
      </c>
      <c r="H1386" s="280">
        <v>0</v>
      </c>
      <c r="I1386" s="281">
        <v>37588587</v>
      </c>
      <c r="J1386" s="282"/>
      <c r="K1386" s="7"/>
    </row>
    <row r="1387" spans="1:11" ht="14.4" hidden="1" customHeight="1" x14ac:dyDescent="0.3">
      <c r="A1387" s="278" t="s">
        <v>1350</v>
      </c>
      <c r="B1387" s="279">
        <v>9</v>
      </c>
      <c r="C1387" s="278" t="s">
        <v>11</v>
      </c>
      <c r="D1387" s="279" t="s">
        <v>313</v>
      </c>
      <c r="E1387" s="278"/>
      <c r="F1387" s="278" t="s">
        <v>1357</v>
      </c>
      <c r="G1387" s="280">
        <v>37546709</v>
      </c>
      <c r="H1387" s="280">
        <v>0</v>
      </c>
      <c r="I1387" s="281">
        <v>37546709</v>
      </c>
      <c r="J1387" s="282"/>
      <c r="K1387" s="7"/>
    </row>
    <row r="1388" spans="1:11" ht="14.4" hidden="1" customHeight="1" x14ac:dyDescent="0.3">
      <c r="A1388" s="278" t="s">
        <v>1350</v>
      </c>
      <c r="B1388" s="279">
        <v>9</v>
      </c>
      <c r="C1388" s="278" t="s">
        <v>11</v>
      </c>
      <c r="D1388" s="279" t="s">
        <v>313</v>
      </c>
      <c r="E1388" s="278"/>
      <c r="F1388" s="278" t="s">
        <v>1112</v>
      </c>
      <c r="G1388" s="280">
        <v>0</v>
      </c>
      <c r="H1388" s="280">
        <v>39392320</v>
      </c>
      <c r="I1388" s="281">
        <v>-39392320</v>
      </c>
      <c r="J1388" s="282"/>
      <c r="K1388" s="7"/>
    </row>
    <row r="1389" spans="1:11" ht="14.4" hidden="1" customHeight="1" x14ac:dyDescent="0.3">
      <c r="A1389" s="278" t="s">
        <v>1350</v>
      </c>
      <c r="B1389" s="279">
        <v>9</v>
      </c>
      <c r="C1389" s="278" t="s">
        <v>11</v>
      </c>
      <c r="D1389" s="279" t="s">
        <v>313</v>
      </c>
      <c r="E1389" s="278"/>
      <c r="F1389" s="278" t="s">
        <v>1358</v>
      </c>
      <c r="G1389" s="280">
        <v>0</v>
      </c>
      <c r="H1389" s="280">
        <v>38335220</v>
      </c>
      <c r="I1389" s="281">
        <v>-38335220</v>
      </c>
      <c r="J1389" s="282"/>
      <c r="K1389" s="7"/>
    </row>
    <row r="1390" spans="1:11" ht="14.4" hidden="1" customHeight="1" x14ac:dyDescent="0.3">
      <c r="A1390" s="288" t="s">
        <v>1350</v>
      </c>
      <c r="B1390" s="288">
        <v>9</v>
      </c>
      <c r="C1390" s="289" t="s">
        <v>11</v>
      </c>
      <c r="D1390" s="288" t="s">
        <v>320</v>
      </c>
      <c r="E1390" s="290"/>
      <c r="F1390" s="289" t="s">
        <v>321</v>
      </c>
      <c r="G1390" s="291">
        <v>75135296</v>
      </c>
      <c r="H1390" s="291">
        <v>115316126.56</v>
      </c>
      <c r="I1390" s="292">
        <v>-40180830.560000002</v>
      </c>
      <c r="J1390" s="292">
        <v>40180830.560000002</v>
      </c>
      <c r="K1390" s="293">
        <v>0</v>
      </c>
    </row>
    <row r="1391" spans="1:11" ht="14.4" hidden="1" customHeight="1" x14ac:dyDescent="0.3">
      <c r="A1391" s="278" t="s">
        <v>1350</v>
      </c>
      <c r="B1391" s="279">
        <v>10</v>
      </c>
      <c r="C1391" s="278" t="s">
        <v>12</v>
      </c>
      <c r="D1391" s="279" t="s">
        <v>313</v>
      </c>
      <c r="E1391" s="278" t="s">
        <v>314</v>
      </c>
      <c r="F1391" s="278" t="s">
        <v>1359</v>
      </c>
      <c r="G1391" s="280">
        <v>0</v>
      </c>
      <c r="H1391" s="280">
        <v>151088573.61000001</v>
      </c>
      <c r="I1391" s="281">
        <v>-151088573.61000001</v>
      </c>
      <c r="J1391" s="282"/>
      <c r="K1391" s="7"/>
    </row>
    <row r="1392" spans="1:11" ht="14.4" hidden="1" customHeight="1" x14ac:dyDescent="0.3">
      <c r="A1392" s="278" t="s">
        <v>1350</v>
      </c>
      <c r="B1392" s="279">
        <v>10</v>
      </c>
      <c r="C1392" s="278" t="s">
        <v>12</v>
      </c>
      <c r="D1392" s="279" t="s">
        <v>313</v>
      </c>
      <c r="E1392" s="278"/>
      <c r="F1392" s="278" t="s">
        <v>1360</v>
      </c>
      <c r="G1392" s="280">
        <v>151088574</v>
      </c>
      <c r="H1392" s="280">
        <v>0</v>
      </c>
      <c r="I1392" s="281">
        <v>151088574</v>
      </c>
      <c r="J1392" s="282"/>
      <c r="K1392" s="7"/>
    </row>
    <row r="1393" spans="1:11" ht="14.4" hidden="1" customHeight="1" x14ac:dyDescent="0.3">
      <c r="A1393" s="278" t="s">
        <v>1350</v>
      </c>
      <c r="B1393" s="279">
        <v>10</v>
      </c>
      <c r="C1393" s="278" t="s">
        <v>12</v>
      </c>
      <c r="D1393" s="279" t="s">
        <v>313</v>
      </c>
      <c r="E1393" s="278"/>
      <c r="F1393" s="278" t="s">
        <v>1361</v>
      </c>
      <c r="G1393" s="280">
        <v>155625264</v>
      </c>
      <c r="H1393" s="280">
        <v>0</v>
      </c>
      <c r="I1393" s="281">
        <v>155625264</v>
      </c>
      <c r="J1393" s="282"/>
      <c r="K1393" s="7"/>
    </row>
    <row r="1394" spans="1:11" ht="14.4" hidden="1" customHeight="1" x14ac:dyDescent="0.3">
      <c r="A1394" s="278" t="s">
        <v>1350</v>
      </c>
      <c r="B1394" s="279">
        <v>10</v>
      </c>
      <c r="C1394" s="278" t="s">
        <v>12</v>
      </c>
      <c r="D1394" s="279" t="s">
        <v>313</v>
      </c>
      <c r="E1394" s="278"/>
      <c r="F1394" s="278" t="s">
        <v>1115</v>
      </c>
      <c r="G1394" s="280">
        <v>0</v>
      </c>
      <c r="H1394" s="280">
        <v>157779520.56</v>
      </c>
      <c r="I1394" s="281">
        <v>-157779520.56</v>
      </c>
      <c r="J1394" s="282"/>
      <c r="K1394" s="7"/>
    </row>
    <row r="1395" spans="1:11" ht="14.4" hidden="1" customHeight="1" x14ac:dyDescent="0.3">
      <c r="A1395" s="278" t="s">
        <v>1350</v>
      </c>
      <c r="B1395" s="279">
        <v>10</v>
      </c>
      <c r="C1395" s="278" t="s">
        <v>12</v>
      </c>
      <c r="D1395" s="279" t="s">
        <v>313</v>
      </c>
      <c r="E1395" s="278"/>
      <c r="F1395" s="278" t="s">
        <v>1362</v>
      </c>
      <c r="G1395" s="280">
        <v>0</v>
      </c>
      <c r="H1395" s="280">
        <v>163592868.59999999</v>
      </c>
      <c r="I1395" s="281">
        <v>-163592868.59999999</v>
      </c>
      <c r="J1395" s="282"/>
      <c r="K1395" s="7"/>
    </row>
    <row r="1396" spans="1:11" ht="14.4" hidden="1" customHeight="1" x14ac:dyDescent="0.3">
      <c r="A1396" s="288" t="s">
        <v>1350</v>
      </c>
      <c r="B1396" s="288">
        <v>10</v>
      </c>
      <c r="C1396" s="289" t="s">
        <v>12</v>
      </c>
      <c r="D1396" s="288" t="s">
        <v>320</v>
      </c>
      <c r="E1396" s="290"/>
      <c r="F1396" s="289" t="s">
        <v>321</v>
      </c>
      <c r="G1396" s="291">
        <v>306713838</v>
      </c>
      <c r="H1396" s="291">
        <v>472460962.76999998</v>
      </c>
      <c r="I1396" s="292">
        <v>-165747124.77000001</v>
      </c>
      <c r="J1396" s="292">
        <v>165747124.77000001</v>
      </c>
      <c r="K1396" s="293">
        <v>0</v>
      </c>
    </row>
    <row r="1397" spans="1:11" ht="22.8" hidden="1" customHeight="1" x14ac:dyDescent="0.3">
      <c r="A1397" s="278" t="s">
        <v>1350</v>
      </c>
      <c r="B1397" s="279">
        <v>11</v>
      </c>
      <c r="C1397" s="278" t="s">
        <v>13</v>
      </c>
      <c r="D1397" s="279" t="s">
        <v>313</v>
      </c>
      <c r="E1397" s="278" t="s">
        <v>314</v>
      </c>
      <c r="F1397" s="278" t="s">
        <v>1363</v>
      </c>
      <c r="G1397" s="280">
        <v>0</v>
      </c>
      <c r="H1397" s="280">
        <v>16575048.779999999</v>
      </c>
      <c r="I1397" s="281">
        <v>-16575048.779999999</v>
      </c>
      <c r="J1397" s="282"/>
      <c r="K1397" s="7"/>
    </row>
    <row r="1398" spans="1:11" ht="22.8" hidden="1" customHeight="1" x14ac:dyDescent="0.3">
      <c r="A1398" s="278" t="s">
        <v>1350</v>
      </c>
      <c r="B1398" s="279">
        <v>11</v>
      </c>
      <c r="C1398" s="278" t="s">
        <v>13</v>
      </c>
      <c r="D1398" s="279" t="s">
        <v>313</v>
      </c>
      <c r="E1398" s="278"/>
      <c r="F1398" s="278" t="s">
        <v>1364</v>
      </c>
      <c r="G1398" s="280">
        <v>16575049</v>
      </c>
      <c r="H1398" s="280">
        <v>0</v>
      </c>
      <c r="I1398" s="281">
        <v>16575049</v>
      </c>
      <c r="J1398" s="282"/>
      <c r="K1398" s="7"/>
    </row>
    <row r="1399" spans="1:11" ht="22.8" hidden="1" customHeight="1" x14ac:dyDescent="0.3">
      <c r="A1399" s="278" t="s">
        <v>1350</v>
      </c>
      <c r="B1399" s="279">
        <v>11</v>
      </c>
      <c r="C1399" s="278" t="s">
        <v>13</v>
      </c>
      <c r="D1399" s="279" t="s">
        <v>313</v>
      </c>
      <c r="E1399" s="278"/>
      <c r="F1399" s="278" t="s">
        <v>1365</v>
      </c>
      <c r="G1399" s="280">
        <v>13317191</v>
      </c>
      <c r="H1399" s="280">
        <v>0</v>
      </c>
      <c r="I1399" s="281">
        <v>13317191</v>
      </c>
      <c r="J1399" s="282"/>
      <c r="K1399" s="7"/>
    </row>
    <row r="1400" spans="1:11" ht="22.8" hidden="1" customHeight="1" x14ac:dyDescent="0.3">
      <c r="A1400" s="278" t="s">
        <v>1350</v>
      </c>
      <c r="B1400" s="279">
        <v>11</v>
      </c>
      <c r="C1400" s="278" t="s">
        <v>13</v>
      </c>
      <c r="D1400" s="279" t="s">
        <v>313</v>
      </c>
      <c r="E1400" s="278"/>
      <c r="F1400" s="278" t="s">
        <v>1118</v>
      </c>
      <c r="G1400" s="280">
        <v>0</v>
      </c>
      <c r="H1400" s="280">
        <v>17464451.399999999</v>
      </c>
      <c r="I1400" s="281">
        <v>-17464451.399999999</v>
      </c>
      <c r="J1400" s="282"/>
      <c r="K1400" s="7"/>
    </row>
    <row r="1401" spans="1:11" ht="22.8" hidden="1" customHeight="1" x14ac:dyDescent="0.3">
      <c r="A1401" s="278" t="s">
        <v>1350</v>
      </c>
      <c r="B1401" s="279">
        <v>11</v>
      </c>
      <c r="C1401" s="278" t="s">
        <v>13</v>
      </c>
      <c r="D1401" s="279" t="s">
        <v>313</v>
      </c>
      <c r="E1401" s="278"/>
      <c r="F1401" s="278" t="s">
        <v>1366</v>
      </c>
      <c r="G1401" s="280">
        <v>0</v>
      </c>
      <c r="H1401" s="280">
        <v>14467698.09</v>
      </c>
      <c r="I1401" s="281">
        <v>-14467698.09</v>
      </c>
      <c r="J1401" s="282"/>
      <c r="K1401" s="7"/>
    </row>
    <row r="1402" spans="1:11" ht="24" hidden="1" customHeight="1" x14ac:dyDescent="0.3">
      <c r="A1402" s="288" t="s">
        <v>1350</v>
      </c>
      <c r="B1402" s="288">
        <v>11</v>
      </c>
      <c r="C1402" s="289" t="s">
        <v>13</v>
      </c>
      <c r="D1402" s="288" t="s">
        <v>320</v>
      </c>
      <c r="E1402" s="290"/>
      <c r="F1402" s="289" t="s">
        <v>321</v>
      </c>
      <c r="G1402" s="291">
        <v>29892240</v>
      </c>
      <c r="H1402" s="291">
        <v>48507198.270000003</v>
      </c>
      <c r="I1402" s="292">
        <v>-18614958.27</v>
      </c>
      <c r="J1402" s="292">
        <v>18614958.27</v>
      </c>
      <c r="K1402" s="293">
        <v>0</v>
      </c>
    </row>
    <row r="1403" spans="1:11" ht="22.8" hidden="1" customHeight="1" x14ac:dyDescent="0.3">
      <c r="A1403" s="278" t="s">
        <v>1350</v>
      </c>
      <c r="B1403" s="279">
        <v>12</v>
      </c>
      <c r="C1403" s="278" t="s">
        <v>14</v>
      </c>
      <c r="D1403" s="279" t="s">
        <v>313</v>
      </c>
      <c r="E1403" s="278" t="s">
        <v>314</v>
      </c>
      <c r="F1403" s="278" t="s">
        <v>1367</v>
      </c>
      <c r="G1403" s="280">
        <v>0</v>
      </c>
      <c r="H1403" s="280">
        <v>3006264.45</v>
      </c>
      <c r="I1403" s="281">
        <v>-3006264.45</v>
      </c>
      <c r="J1403" s="282"/>
      <c r="K1403" s="7"/>
    </row>
    <row r="1404" spans="1:11" ht="22.8" hidden="1" customHeight="1" x14ac:dyDescent="0.3">
      <c r="A1404" s="278" t="s">
        <v>1350</v>
      </c>
      <c r="B1404" s="279">
        <v>12</v>
      </c>
      <c r="C1404" s="278" t="s">
        <v>14</v>
      </c>
      <c r="D1404" s="279" t="s">
        <v>313</v>
      </c>
      <c r="E1404" s="278"/>
      <c r="F1404" s="278" t="s">
        <v>1368</v>
      </c>
      <c r="G1404" s="280">
        <v>3006264</v>
      </c>
      <c r="H1404" s="280">
        <v>0</v>
      </c>
      <c r="I1404" s="281">
        <v>3006264</v>
      </c>
      <c r="J1404" s="282"/>
      <c r="K1404" s="7"/>
    </row>
    <row r="1405" spans="1:11" ht="22.8" hidden="1" customHeight="1" x14ac:dyDescent="0.3">
      <c r="A1405" s="278" t="s">
        <v>1350</v>
      </c>
      <c r="B1405" s="279">
        <v>12</v>
      </c>
      <c r="C1405" s="278" t="s">
        <v>14</v>
      </c>
      <c r="D1405" s="279" t="s">
        <v>313</v>
      </c>
      <c r="E1405" s="278"/>
      <c r="F1405" s="278" t="s">
        <v>1369</v>
      </c>
      <c r="G1405" s="280">
        <v>2916127</v>
      </c>
      <c r="H1405" s="280">
        <v>0</v>
      </c>
      <c r="I1405" s="281">
        <v>2916127</v>
      </c>
      <c r="J1405" s="282"/>
      <c r="K1405" s="7"/>
    </row>
    <row r="1406" spans="1:11" ht="22.8" hidden="1" customHeight="1" x14ac:dyDescent="0.3">
      <c r="A1406" s="278" t="s">
        <v>1350</v>
      </c>
      <c r="B1406" s="279">
        <v>12</v>
      </c>
      <c r="C1406" s="278" t="s">
        <v>14</v>
      </c>
      <c r="D1406" s="279" t="s">
        <v>313</v>
      </c>
      <c r="E1406" s="278"/>
      <c r="F1406" s="278" t="s">
        <v>1121</v>
      </c>
      <c r="G1406" s="280">
        <v>0</v>
      </c>
      <c r="H1406" s="280">
        <v>3152381.32</v>
      </c>
      <c r="I1406" s="281">
        <v>-3152381.32</v>
      </c>
      <c r="J1406" s="282"/>
      <c r="K1406" s="7"/>
    </row>
    <row r="1407" spans="1:11" ht="22.8" hidden="1" customHeight="1" x14ac:dyDescent="0.3">
      <c r="A1407" s="278" t="s">
        <v>1350</v>
      </c>
      <c r="B1407" s="279">
        <v>12</v>
      </c>
      <c r="C1407" s="278" t="s">
        <v>14</v>
      </c>
      <c r="D1407" s="279" t="s">
        <v>313</v>
      </c>
      <c r="E1407" s="278"/>
      <c r="F1407" s="278" t="s">
        <v>1370</v>
      </c>
      <c r="G1407" s="280">
        <v>0</v>
      </c>
      <c r="H1407" s="280">
        <v>3143836.54</v>
      </c>
      <c r="I1407" s="281">
        <v>-3143836.54</v>
      </c>
      <c r="J1407" s="282"/>
      <c r="K1407" s="7"/>
    </row>
    <row r="1408" spans="1:11" ht="24" hidden="1" customHeight="1" x14ac:dyDescent="0.3">
      <c r="A1408" s="288" t="s">
        <v>1350</v>
      </c>
      <c r="B1408" s="288">
        <v>12</v>
      </c>
      <c r="C1408" s="289" t="s">
        <v>14</v>
      </c>
      <c r="D1408" s="288" t="s">
        <v>320</v>
      </c>
      <c r="E1408" s="290"/>
      <c r="F1408" s="289" t="s">
        <v>321</v>
      </c>
      <c r="G1408" s="291">
        <v>5922391</v>
      </c>
      <c r="H1408" s="291">
        <v>9302482.3099999987</v>
      </c>
      <c r="I1408" s="292">
        <v>-3380091.3099999991</v>
      </c>
      <c r="J1408" s="292">
        <v>3380091.31</v>
      </c>
      <c r="K1408" s="293">
        <v>0</v>
      </c>
    </row>
    <row r="1409" spans="1:11" ht="22.8" hidden="1" customHeight="1" x14ac:dyDescent="0.3">
      <c r="A1409" s="278" t="s">
        <v>1350</v>
      </c>
      <c r="B1409" s="279">
        <v>13</v>
      </c>
      <c r="C1409" s="278" t="s">
        <v>15</v>
      </c>
      <c r="D1409" s="279" t="s">
        <v>313</v>
      </c>
      <c r="E1409" s="278" t="s">
        <v>314</v>
      </c>
      <c r="F1409" s="278" t="s">
        <v>1371</v>
      </c>
      <c r="G1409" s="280">
        <v>0</v>
      </c>
      <c r="H1409" s="280">
        <v>5189189.5999999996</v>
      </c>
      <c r="I1409" s="281">
        <v>-5189189.5999999996</v>
      </c>
      <c r="J1409" s="282"/>
      <c r="K1409" s="7"/>
    </row>
    <row r="1410" spans="1:11" ht="22.8" hidden="1" customHeight="1" x14ac:dyDescent="0.3">
      <c r="A1410" s="278" t="s">
        <v>1350</v>
      </c>
      <c r="B1410" s="279">
        <v>13</v>
      </c>
      <c r="C1410" s="278" t="s">
        <v>15</v>
      </c>
      <c r="D1410" s="279" t="s">
        <v>313</v>
      </c>
      <c r="E1410" s="278"/>
      <c r="F1410" s="278" t="s">
        <v>1372</v>
      </c>
      <c r="G1410" s="280">
        <v>3842849</v>
      </c>
      <c r="H1410" s="280">
        <v>0</v>
      </c>
      <c r="I1410" s="281">
        <v>3842849</v>
      </c>
      <c r="J1410" s="282"/>
      <c r="K1410" s="7"/>
    </row>
    <row r="1411" spans="1:11" ht="22.8" hidden="1" customHeight="1" x14ac:dyDescent="0.3">
      <c r="A1411" s="278" t="s">
        <v>1350</v>
      </c>
      <c r="B1411" s="279">
        <v>13</v>
      </c>
      <c r="C1411" s="278" t="s">
        <v>15</v>
      </c>
      <c r="D1411" s="279" t="s">
        <v>313</v>
      </c>
      <c r="E1411" s="278"/>
      <c r="F1411" s="278" t="s">
        <v>1373</v>
      </c>
      <c r="G1411" s="280">
        <v>5189189</v>
      </c>
      <c r="H1411" s="280">
        <v>0</v>
      </c>
      <c r="I1411" s="281">
        <v>5189189</v>
      </c>
      <c r="J1411" s="282"/>
      <c r="K1411" s="7"/>
    </row>
    <row r="1412" spans="1:11" ht="22.8" hidden="1" customHeight="1" x14ac:dyDescent="0.3">
      <c r="A1412" s="278" t="s">
        <v>1350</v>
      </c>
      <c r="B1412" s="279">
        <v>13</v>
      </c>
      <c r="C1412" s="278" t="s">
        <v>15</v>
      </c>
      <c r="D1412" s="279" t="s">
        <v>313</v>
      </c>
      <c r="E1412" s="278"/>
      <c r="F1412" s="278" t="s">
        <v>1124</v>
      </c>
      <c r="G1412" s="280">
        <v>0</v>
      </c>
      <c r="H1412" s="280">
        <v>5421317.1200000001</v>
      </c>
      <c r="I1412" s="281">
        <v>-5421317.1200000001</v>
      </c>
      <c r="J1412" s="282"/>
      <c r="K1412" s="7"/>
    </row>
    <row r="1413" spans="1:11" ht="22.8" hidden="1" customHeight="1" x14ac:dyDescent="0.3">
      <c r="A1413" s="278" t="s">
        <v>1350</v>
      </c>
      <c r="B1413" s="279">
        <v>13</v>
      </c>
      <c r="C1413" s="278" t="s">
        <v>15</v>
      </c>
      <c r="D1413" s="279" t="s">
        <v>313</v>
      </c>
      <c r="E1413" s="278"/>
      <c r="F1413" s="278" t="s">
        <v>1374</v>
      </c>
      <c r="G1413" s="280">
        <v>0</v>
      </c>
      <c r="H1413" s="280">
        <v>4299168.42</v>
      </c>
      <c r="I1413" s="281">
        <v>-4299168.42</v>
      </c>
      <c r="J1413" s="282"/>
      <c r="K1413" s="7"/>
    </row>
    <row r="1414" spans="1:11" ht="24" hidden="1" customHeight="1" x14ac:dyDescent="0.3">
      <c r="A1414" s="288" t="s">
        <v>1350</v>
      </c>
      <c r="B1414" s="288">
        <v>13</v>
      </c>
      <c r="C1414" s="289" t="s">
        <v>15</v>
      </c>
      <c r="D1414" s="288" t="s">
        <v>320</v>
      </c>
      <c r="E1414" s="290"/>
      <c r="F1414" s="289" t="s">
        <v>321</v>
      </c>
      <c r="G1414" s="291">
        <v>9032038</v>
      </c>
      <c r="H1414" s="291">
        <v>14909675.140000001</v>
      </c>
      <c r="I1414" s="292">
        <v>-5877637.1399999987</v>
      </c>
      <c r="J1414" s="292">
        <v>5877637.1399999997</v>
      </c>
      <c r="K1414" s="293">
        <v>0</v>
      </c>
    </row>
    <row r="1415" spans="1:11" ht="14.4" hidden="1" customHeight="1" x14ac:dyDescent="0.3">
      <c r="A1415" s="278" t="s">
        <v>1350</v>
      </c>
      <c r="B1415" s="279">
        <v>14</v>
      </c>
      <c r="C1415" s="278" t="s">
        <v>16</v>
      </c>
      <c r="D1415" s="279" t="s">
        <v>313</v>
      </c>
      <c r="E1415" s="278" t="s">
        <v>314</v>
      </c>
      <c r="F1415" s="278" t="s">
        <v>1375</v>
      </c>
      <c r="G1415" s="280">
        <v>0</v>
      </c>
      <c r="H1415" s="280">
        <v>1509411024.5999999</v>
      </c>
      <c r="I1415" s="281">
        <v>-1509411024.5999999</v>
      </c>
      <c r="J1415" s="282"/>
      <c r="K1415" s="7"/>
    </row>
    <row r="1416" spans="1:11" ht="14.4" hidden="1" customHeight="1" x14ac:dyDescent="0.3">
      <c r="A1416" s="278" t="s">
        <v>1350</v>
      </c>
      <c r="B1416" s="279">
        <v>14</v>
      </c>
      <c r="C1416" s="278" t="s">
        <v>16</v>
      </c>
      <c r="D1416" s="279" t="s">
        <v>313</v>
      </c>
      <c r="E1416" s="278"/>
      <c r="F1416" s="278" t="s">
        <v>1376</v>
      </c>
      <c r="G1416" s="280">
        <v>1509411025</v>
      </c>
      <c r="H1416" s="280">
        <v>0</v>
      </c>
      <c r="I1416" s="281">
        <v>1509411025</v>
      </c>
      <c r="J1416" s="282"/>
      <c r="K1416" s="7"/>
    </row>
    <row r="1417" spans="1:11" ht="14.4" hidden="1" customHeight="1" x14ac:dyDescent="0.3">
      <c r="A1417" s="278" t="s">
        <v>1350</v>
      </c>
      <c r="B1417" s="279">
        <v>14</v>
      </c>
      <c r="C1417" s="278" t="s">
        <v>16</v>
      </c>
      <c r="D1417" s="279" t="s">
        <v>313</v>
      </c>
      <c r="E1417" s="278"/>
      <c r="F1417" s="278" t="s">
        <v>1377</v>
      </c>
      <c r="G1417" s="280">
        <v>1508395980</v>
      </c>
      <c r="H1417" s="280">
        <v>0</v>
      </c>
      <c r="I1417" s="281">
        <v>1508395980</v>
      </c>
      <c r="J1417" s="282"/>
      <c r="K1417" s="7"/>
    </row>
    <row r="1418" spans="1:11" ht="14.4" hidden="1" customHeight="1" x14ac:dyDescent="0.3">
      <c r="A1418" s="278" t="s">
        <v>1350</v>
      </c>
      <c r="B1418" s="279">
        <v>14</v>
      </c>
      <c r="C1418" s="278" t="s">
        <v>16</v>
      </c>
      <c r="D1418" s="279" t="s">
        <v>313</v>
      </c>
      <c r="E1418" s="278"/>
      <c r="F1418" s="278" t="s">
        <v>1127</v>
      </c>
      <c r="G1418" s="280">
        <v>0</v>
      </c>
      <c r="H1418" s="280">
        <v>1509782721.6400001</v>
      </c>
      <c r="I1418" s="281">
        <v>-1509782721.6400001</v>
      </c>
      <c r="J1418" s="282"/>
      <c r="K1418" s="7"/>
    </row>
    <row r="1419" spans="1:11" ht="14.4" hidden="1" customHeight="1" x14ac:dyDescent="0.3">
      <c r="A1419" s="278" t="s">
        <v>1350</v>
      </c>
      <c r="B1419" s="279">
        <v>14</v>
      </c>
      <c r="C1419" s="278" t="s">
        <v>16</v>
      </c>
      <c r="D1419" s="279" t="s">
        <v>313</v>
      </c>
      <c r="E1419" s="278"/>
      <c r="F1419" s="278" t="s">
        <v>1378</v>
      </c>
      <c r="G1419" s="280">
        <v>0</v>
      </c>
      <c r="H1419" s="280">
        <v>1529866139.2</v>
      </c>
      <c r="I1419" s="281">
        <v>-1529866139.2</v>
      </c>
      <c r="J1419" s="282"/>
      <c r="K1419" s="7"/>
    </row>
    <row r="1420" spans="1:11" ht="14.4" hidden="1" customHeight="1" x14ac:dyDescent="0.3">
      <c r="A1420" s="288" t="s">
        <v>1350</v>
      </c>
      <c r="B1420" s="288">
        <v>14</v>
      </c>
      <c r="C1420" s="289" t="s">
        <v>16</v>
      </c>
      <c r="D1420" s="288" t="s">
        <v>320</v>
      </c>
      <c r="E1420" s="290"/>
      <c r="F1420" s="289" t="s">
        <v>321</v>
      </c>
      <c r="G1420" s="291">
        <v>3017807005</v>
      </c>
      <c r="H1420" s="291">
        <v>4549059885.4399996</v>
      </c>
      <c r="I1420" s="292">
        <v>-1531252880.4400001</v>
      </c>
      <c r="J1420" s="292">
        <v>1531252880.4400001</v>
      </c>
      <c r="K1420" s="293">
        <v>0</v>
      </c>
    </row>
    <row r="1421" spans="1:11" ht="22.8" hidden="1" customHeight="1" x14ac:dyDescent="0.3">
      <c r="A1421" s="278" t="s">
        <v>1350</v>
      </c>
      <c r="B1421" s="279">
        <v>15</v>
      </c>
      <c r="C1421" s="278" t="s">
        <v>17</v>
      </c>
      <c r="D1421" s="279" t="s">
        <v>313</v>
      </c>
      <c r="E1421" s="278" t="s">
        <v>314</v>
      </c>
      <c r="F1421" s="278" t="s">
        <v>1379</v>
      </c>
      <c r="G1421" s="280">
        <v>0</v>
      </c>
      <c r="H1421" s="280">
        <v>44612870.700000003</v>
      </c>
      <c r="I1421" s="281">
        <v>-44612870.700000003</v>
      </c>
      <c r="J1421" s="282"/>
      <c r="K1421" s="7"/>
    </row>
    <row r="1422" spans="1:11" ht="22.8" hidden="1" customHeight="1" x14ac:dyDescent="0.3">
      <c r="A1422" s="278" t="s">
        <v>1350</v>
      </c>
      <c r="B1422" s="279">
        <v>15</v>
      </c>
      <c r="C1422" s="278" t="s">
        <v>17</v>
      </c>
      <c r="D1422" s="279" t="s">
        <v>313</v>
      </c>
      <c r="E1422" s="278"/>
      <c r="F1422" s="278" t="s">
        <v>1380</v>
      </c>
      <c r="G1422" s="280">
        <v>44612871</v>
      </c>
      <c r="H1422" s="280">
        <v>0</v>
      </c>
      <c r="I1422" s="281">
        <v>44612871</v>
      </c>
      <c r="J1422" s="282"/>
      <c r="K1422" s="7"/>
    </row>
    <row r="1423" spans="1:11" ht="22.8" hidden="1" customHeight="1" x14ac:dyDescent="0.3">
      <c r="A1423" s="278" t="s">
        <v>1350</v>
      </c>
      <c r="B1423" s="279">
        <v>15</v>
      </c>
      <c r="C1423" s="278" t="s">
        <v>17</v>
      </c>
      <c r="D1423" s="279" t="s">
        <v>313</v>
      </c>
      <c r="E1423" s="278"/>
      <c r="F1423" s="278" t="s">
        <v>1381</v>
      </c>
      <c r="G1423" s="280">
        <v>43708607</v>
      </c>
      <c r="H1423" s="280">
        <v>0</v>
      </c>
      <c r="I1423" s="281">
        <v>43708607</v>
      </c>
      <c r="J1423" s="282"/>
      <c r="K1423" s="7"/>
    </row>
    <row r="1424" spans="1:11" ht="22.8" hidden="1" customHeight="1" x14ac:dyDescent="0.3">
      <c r="A1424" s="278" t="s">
        <v>1350</v>
      </c>
      <c r="B1424" s="279">
        <v>15</v>
      </c>
      <c r="C1424" s="278" t="s">
        <v>17</v>
      </c>
      <c r="D1424" s="279" t="s">
        <v>313</v>
      </c>
      <c r="E1424" s="278"/>
      <c r="F1424" s="278" t="s">
        <v>1130</v>
      </c>
      <c r="G1424" s="280">
        <v>0</v>
      </c>
      <c r="H1424" s="280">
        <v>44928803.520000003</v>
      </c>
      <c r="I1424" s="281">
        <v>-44928803.520000003</v>
      </c>
      <c r="J1424" s="282"/>
      <c r="K1424" s="7"/>
    </row>
    <row r="1425" spans="1:11" ht="22.8" hidden="1" customHeight="1" x14ac:dyDescent="0.3">
      <c r="A1425" s="278" t="s">
        <v>1350</v>
      </c>
      <c r="B1425" s="279">
        <v>15</v>
      </c>
      <c r="C1425" s="278" t="s">
        <v>17</v>
      </c>
      <c r="D1425" s="279" t="s">
        <v>313</v>
      </c>
      <c r="E1425" s="278"/>
      <c r="F1425" s="278" t="s">
        <v>1382</v>
      </c>
      <c r="G1425" s="280">
        <v>0</v>
      </c>
      <c r="H1425" s="280">
        <v>46649489.079999998</v>
      </c>
      <c r="I1425" s="281">
        <v>-46649489.079999998</v>
      </c>
      <c r="J1425" s="282"/>
      <c r="K1425" s="7"/>
    </row>
    <row r="1426" spans="1:11" ht="24" hidden="1" customHeight="1" x14ac:dyDescent="0.3">
      <c r="A1426" s="288" t="s">
        <v>1350</v>
      </c>
      <c r="B1426" s="288">
        <v>15</v>
      </c>
      <c r="C1426" s="289" t="s">
        <v>17</v>
      </c>
      <c r="D1426" s="288" t="s">
        <v>320</v>
      </c>
      <c r="E1426" s="290"/>
      <c r="F1426" s="289" t="s">
        <v>321</v>
      </c>
      <c r="G1426" s="291">
        <v>88321478</v>
      </c>
      <c r="H1426" s="291">
        <v>136191163.30000001</v>
      </c>
      <c r="I1426" s="292">
        <v>-47869685.300000012</v>
      </c>
      <c r="J1426" s="292">
        <v>47869685.299999997</v>
      </c>
      <c r="K1426" s="293">
        <v>0</v>
      </c>
    </row>
    <row r="1427" spans="1:11" ht="14.4" hidden="1" customHeight="1" x14ac:dyDescent="0.3">
      <c r="A1427" s="278" t="s">
        <v>1350</v>
      </c>
      <c r="B1427" s="279">
        <v>17</v>
      </c>
      <c r="C1427" s="278" t="s">
        <v>19</v>
      </c>
      <c r="D1427" s="279" t="s">
        <v>313</v>
      </c>
      <c r="E1427" s="278" t="s">
        <v>19</v>
      </c>
      <c r="F1427" s="278" t="s">
        <v>1383</v>
      </c>
      <c r="G1427" s="280">
        <v>0</v>
      </c>
      <c r="H1427" s="280">
        <v>1471007.21</v>
      </c>
      <c r="I1427" s="281">
        <v>-1471007.21</v>
      </c>
      <c r="J1427" s="282"/>
      <c r="K1427" s="7"/>
    </row>
    <row r="1428" spans="1:11" ht="14.4" hidden="1" customHeight="1" x14ac:dyDescent="0.3">
      <c r="A1428" s="278" t="s">
        <v>1350</v>
      </c>
      <c r="B1428" s="279">
        <v>17</v>
      </c>
      <c r="C1428" s="278" t="s">
        <v>19</v>
      </c>
      <c r="D1428" s="279" t="s">
        <v>313</v>
      </c>
      <c r="E1428" s="278"/>
      <c r="F1428" s="278" t="s">
        <v>1384</v>
      </c>
      <c r="G1428" s="280">
        <v>1300000</v>
      </c>
      <c r="H1428" s="280">
        <v>0</v>
      </c>
      <c r="I1428" s="281">
        <v>1300000</v>
      </c>
      <c r="J1428" s="282"/>
      <c r="K1428" s="7"/>
    </row>
    <row r="1429" spans="1:11" ht="14.4" hidden="1" customHeight="1" x14ac:dyDescent="0.3">
      <c r="A1429" s="278" t="s">
        <v>1350</v>
      </c>
      <c r="B1429" s="279">
        <v>17</v>
      </c>
      <c r="C1429" s="278" t="s">
        <v>19</v>
      </c>
      <c r="D1429" s="279" t="s">
        <v>313</v>
      </c>
      <c r="E1429" s="278"/>
      <c r="F1429" s="278" t="s">
        <v>1385</v>
      </c>
      <c r="G1429" s="280">
        <v>0</v>
      </c>
      <c r="H1429" s="280">
        <v>1300000</v>
      </c>
      <c r="I1429" s="281">
        <v>-1300000</v>
      </c>
      <c r="J1429" s="282"/>
      <c r="K1429" s="7"/>
    </row>
    <row r="1430" spans="1:11" ht="14.4" hidden="1" customHeight="1" x14ac:dyDescent="0.3">
      <c r="A1430" s="288" t="s">
        <v>1350</v>
      </c>
      <c r="B1430" s="288">
        <v>17</v>
      </c>
      <c r="C1430" s="289" t="s">
        <v>19</v>
      </c>
      <c r="D1430" s="288" t="s">
        <v>320</v>
      </c>
      <c r="E1430" s="290"/>
      <c r="F1430" s="289" t="s">
        <v>321</v>
      </c>
      <c r="G1430" s="291">
        <v>1300000</v>
      </c>
      <c r="H1430" s="291">
        <v>2771007.21</v>
      </c>
      <c r="I1430" s="292">
        <v>-1471007.21</v>
      </c>
      <c r="J1430" s="292">
        <v>1471007.21</v>
      </c>
      <c r="K1430" s="293">
        <v>0</v>
      </c>
    </row>
    <row r="1431" spans="1:11" ht="22.8" hidden="1" customHeight="1" x14ac:dyDescent="0.3">
      <c r="A1431" s="278" t="s">
        <v>1350</v>
      </c>
      <c r="B1431" s="279">
        <v>21</v>
      </c>
      <c r="C1431" s="278" t="s">
        <v>21</v>
      </c>
      <c r="D1431" s="279" t="s">
        <v>313</v>
      </c>
      <c r="E1431" s="278" t="s">
        <v>21</v>
      </c>
      <c r="F1431" s="278" t="s">
        <v>1386</v>
      </c>
      <c r="G1431" s="280">
        <v>0</v>
      </c>
      <c r="H1431" s="280">
        <v>21786516.129999999</v>
      </c>
      <c r="I1431" s="281">
        <v>-21786516.129999999</v>
      </c>
      <c r="J1431" s="282"/>
      <c r="K1431" s="7"/>
    </row>
    <row r="1432" spans="1:11" ht="14.4" hidden="1" customHeight="1" x14ac:dyDescent="0.3">
      <c r="A1432" s="278" t="s">
        <v>1350</v>
      </c>
      <c r="B1432" s="279">
        <v>21</v>
      </c>
      <c r="C1432" s="278" t="s">
        <v>21</v>
      </c>
      <c r="D1432" s="279" t="s">
        <v>313</v>
      </c>
      <c r="E1432" s="278"/>
      <c r="F1432" s="278" t="s">
        <v>1387</v>
      </c>
      <c r="G1432" s="280">
        <v>22000000</v>
      </c>
      <c r="H1432" s="280">
        <v>0</v>
      </c>
      <c r="I1432" s="281">
        <v>22000000</v>
      </c>
      <c r="J1432" s="282"/>
      <c r="K1432" s="7"/>
    </row>
    <row r="1433" spans="1:11" ht="14.4" hidden="1" customHeight="1" x14ac:dyDescent="0.3">
      <c r="A1433" s="278" t="s">
        <v>1350</v>
      </c>
      <c r="B1433" s="279">
        <v>21</v>
      </c>
      <c r="C1433" s="278" t="s">
        <v>21</v>
      </c>
      <c r="D1433" s="279" t="s">
        <v>313</v>
      </c>
      <c r="E1433" s="278"/>
      <c r="F1433" s="278" t="s">
        <v>1388</v>
      </c>
      <c r="G1433" s="280">
        <v>0</v>
      </c>
      <c r="H1433" s="280">
        <v>22400000</v>
      </c>
      <c r="I1433" s="281">
        <v>-22400000</v>
      </c>
      <c r="J1433" s="282"/>
      <c r="K1433" s="7"/>
    </row>
    <row r="1434" spans="1:11" ht="14.4" hidden="1" customHeight="1" x14ac:dyDescent="0.3">
      <c r="A1434" s="288" t="s">
        <v>1350</v>
      </c>
      <c r="B1434" s="288">
        <v>21</v>
      </c>
      <c r="C1434" s="289" t="s">
        <v>21</v>
      </c>
      <c r="D1434" s="288" t="s">
        <v>320</v>
      </c>
      <c r="E1434" s="290"/>
      <c r="F1434" s="289" t="s">
        <v>321</v>
      </c>
      <c r="G1434" s="291">
        <v>22000000</v>
      </c>
      <c r="H1434" s="291">
        <v>44186516.130000003</v>
      </c>
      <c r="I1434" s="292">
        <v>-22186516.129999999</v>
      </c>
      <c r="J1434" s="292">
        <v>22186516.129999999</v>
      </c>
      <c r="K1434" s="293">
        <v>0</v>
      </c>
    </row>
    <row r="1435" spans="1:11" ht="14.4" hidden="1" customHeight="1" x14ac:dyDescent="0.3">
      <c r="A1435" s="278" t="s">
        <v>1350</v>
      </c>
      <c r="B1435" s="279">
        <v>22</v>
      </c>
      <c r="C1435" s="278" t="s">
        <v>22</v>
      </c>
      <c r="D1435" s="279" t="s">
        <v>313</v>
      </c>
      <c r="E1435" s="278" t="s">
        <v>22</v>
      </c>
      <c r="F1435" s="278" t="s">
        <v>1389</v>
      </c>
      <c r="G1435" s="280">
        <v>0</v>
      </c>
      <c r="H1435" s="280">
        <v>46496232.590000004</v>
      </c>
      <c r="I1435" s="281">
        <v>-46496232.590000004</v>
      </c>
      <c r="J1435" s="282"/>
      <c r="K1435" s="7"/>
    </row>
    <row r="1436" spans="1:11" ht="14.4" hidden="1" customHeight="1" x14ac:dyDescent="0.3">
      <c r="A1436" s="278" t="s">
        <v>1350</v>
      </c>
      <c r="B1436" s="279">
        <v>22</v>
      </c>
      <c r="C1436" s="278" t="s">
        <v>22</v>
      </c>
      <c r="D1436" s="279" t="s">
        <v>313</v>
      </c>
      <c r="E1436" s="278"/>
      <c r="F1436" s="278" t="s">
        <v>1390</v>
      </c>
      <c r="G1436" s="280">
        <v>44635200</v>
      </c>
      <c r="H1436" s="280">
        <v>0</v>
      </c>
      <c r="I1436" s="281">
        <v>44635200</v>
      </c>
      <c r="J1436" s="282"/>
      <c r="K1436" s="7"/>
    </row>
    <row r="1437" spans="1:11" ht="14.4" hidden="1" customHeight="1" x14ac:dyDescent="0.3">
      <c r="A1437" s="278" t="s">
        <v>1350</v>
      </c>
      <c r="B1437" s="279">
        <v>22</v>
      </c>
      <c r="C1437" s="278" t="s">
        <v>22</v>
      </c>
      <c r="D1437" s="279" t="s">
        <v>313</v>
      </c>
      <c r="E1437" s="278"/>
      <c r="F1437" s="278" t="s">
        <v>1391</v>
      </c>
      <c r="G1437" s="280">
        <v>0</v>
      </c>
      <c r="H1437" s="280">
        <v>49000000</v>
      </c>
      <c r="I1437" s="281">
        <v>-49000000</v>
      </c>
      <c r="J1437" s="282"/>
      <c r="K1437" s="7"/>
    </row>
    <row r="1438" spans="1:11" ht="14.4" hidden="1" customHeight="1" x14ac:dyDescent="0.3">
      <c r="A1438" s="288" t="s">
        <v>1350</v>
      </c>
      <c r="B1438" s="288">
        <v>22</v>
      </c>
      <c r="C1438" s="289" t="s">
        <v>22</v>
      </c>
      <c r="D1438" s="288" t="s">
        <v>320</v>
      </c>
      <c r="E1438" s="290"/>
      <c r="F1438" s="289" t="s">
        <v>321</v>
      </c>
      <c r="G1438" s="291">
        <v>44635200</v>
      </c>
      <c r="H1438" s="291">
        <v>95496232.590000004</v>
      </c>
      <c r="I1438" s="292">
        <v>-50861032.590000004</v>
      </c>
      <c r="J1438" s="292">
        <v>50861032.590000004</v>
      </c>
      <c r="K1438" s="293">
        <v>0</v>
      </c>
    </row>
    <row r="1439" spans="1:11" ht="14.4" hidden="1" customHeight="1" x14ac:dyDescent="0.3">
      <c r="A1439" s="278" t="s">
        <v>1350</v>
      </c>
      <c r="B1439" s="279">
        <v>24</v>
      </c>
      <c r="C1439" s="278" t="s">
        <v>25</v>
      </c>
      <c r="D1439" s="279" t="s">
        <v>313</v>
      </c>
      <c r="E1439" s="278" t="s">
        <v>25</v>
      </c>
      <c r="F1439" s="278" t="s">
        <v>1392</v>
      </c>
      <c r="G1439" s="280">
        <v>0</v>
      </c>
      <c r="H1439" s="280">
        <v>1075303.74</v>
      </c>
      <c r="I1439" s="281">
        <v>-1075303.74</v>
      </c>
      <c r="J1439" s="282"/>
      <c r="K1439" s="7"/>
    </row>
    <row r="1440" spans="1:11" ht="14.4" hidden="1" customHeight="1" x14ac:dyDescent="0.3">
      <c r="A1440" s="278" t="s">
        <v>1350</v>
      </c>
      <c r="B1440" s="279">
        <v>24</v>
      </c>
      <c r="C1440" s="278" t="s">
        <v>25</v>
      </c>
      <c r="D1440" s="279" t="s">
        <v>313</v>
      </c>
      <c r="E1440" s="278"/>
      <c r="F1440" s="278" t="s">
        <v>1393</v>
      </c>
      <c r="G1440" s="280">
        <v>1000000</v>
      </c>
      <c r="H1440" s="280">
        <v>0</v>
      </c>
      <c r="I1440" s="281">
        <v>1000000</v>
      </c>
      <c r="J1440" s="282"/>
      <c r="K1440" s="7"/>
    </row>
    <row r="1441" spans="1:11" ht="14.4" hidden="1" customHeight="1" x14ac:dyDescent="0.3">
      <c r="A1441" s="278" t="s">
        <v>1350</v>
      </c>
      <c r="B1441" s="279">
        <v>24</v>
      </c>
      <c r="C1441" s="278" t="s">
        <v>25</v>
      </c>
      <c r="D1441" s="279" t="s">
        <v>313</v>
      </c>
      <c r="E1441" s="278"/>
      <c r="F1441" s="278" t="s">
        <v>1394</v>
      </c>
      <c r="G1441" s="280">
        <v>0</v>
      </c>
      <c r="H1441" s="280">
        <v>1000000</v>
      </c>
      <c r="I1441" s="281">
        <v>-1000000</v>
      </c>
      <c r="J1441" s="282"/>
      <c r="K1441" s="7"/>
    </row>
    <row r="1442" spans="1:11" ht="14.4" hidden="1" customHeight="1" x14ac:dyDescent="0.3">
      <c r="A1442" s="288" t="s">
        <v>1350</v>
      </c>
      <c r="B1442" s="288">
        <v>24</v>
      </c>
      <c r="C1442" s="289" t="s">
        <v>25</v>
      </c>
      <c r="D1442" s="288" t="s">
        <v>320</v>
      </c>
      <c r="E1442" s="290"/>
      <c r="F1442" s="289" t="s">
        <v>321</v>
      </c>
      <c r="G1442" s="291">
        <v>1000000</v>
      </c>
      <c r="H1442" s="291">
        <v>2075303.74</v>
      </c>
      <c r="I1442" s="292">
        <v>-1075303.74</v>
      </c>
      <c r="J1442" s="292">
        <v>1075303.74</v>
      </c>
      <c r="K1442" s="293">
        <v>0</v>
      </c>
    </row>
    <row r="1443" spans="1:11" ht="14.4" hidden="1" customHeight="1" x14ac:dyDescent="0.3">
      <c r="A1443" s="278" t="s">
        <v>1350</v>
      </c>
      <c r="B1443" s="279">
        <v>26</v>
      </c>
      <c r="C1443" s="278" t="s">
        <v>27</v>
      </c>
      <c r="D1443" s="279" t="s">
        <v>668</v>
      </c>
      <c r="E1443" s="278"/>
      <c r="F1443" s="278" t="s">
        <v>1395</v>
      </c>
      <c r="G1443" s="280">
        <v>0</v>
      </c>
      <c r="H1443" s="280">
        <v>20168419.300000001</v>
      </c>
      <c r="I1443" s="281">
        <v>-20168419.300000001</v>
      </c>
      <c r="J1443" s="282"/>
      <c r="K1443" s="7"/>
    </row>
    <row r="1444" spans="1:11" ht="14.4" hidden="1" customHeight="1" x14ac:dyDescent="0.3">
      <c r="A1444" s="288" t="s">
        <v>1350</v>
      </c>
      <c r="B1444" s="288">
        <v>26</v>
      </c>
      <c r="C1444" s="289" t="s">
        <v>27</v>
      </c>
      <c r="D1444" s="288" t="s">
        <v>320</v>
      </c>
      <c r="E1444" s="290"/>
      <c r="F1444" s="289" t="s">
        <v>321</v>
      </c>
      <c r="G1444" s="291">
        <v>0</v>
      </c>
      <c r="H1444" s="291">
        <v>20168419.300000001</v>
      </c>
      <c r="I1444" s="292">
        <v>-20168419.300000001</v>
      </c>
      <c r="J1444" s="292">
        <v>20168419.300000001</v>
      </c>
      <c r="K1444" s="293">
        <v>0</v>
      </c>
    </row>
    <row r="1445" spans="1:11" ht="14.4" hidden="1" customHeight="1" x14ac:dyDescent="0.3">
      <c r="A1445" s="278" t="s">
        <v>1350</v>
      </c>
      <c r="B1445" s="279">
        <v>27</v>
      </c>
      <c r="C1445" s="278" t="s">
        <v>28</v>
      </c>
      <c r="D1445" s="279" t="s">
        <v>313</v>
      </c>
      <c r="E1445" s="278" t="s">
        <v>374</v>
      </c>
      <c r="F1445" s="278" t="s">
        <v>1396</v>
      </c>
      <c r="G1445" s="280">
        <v>0</v>
      </c>
      <c r="H1445" s="280">
        <v>1378201.65</v>
      </c>
      <c r="I1445" s="281">
        <v>-1378201.65</v>
      </c>
      <c r="J1445" s="282"/>
      <c r="K1445" s="7"/>
    </row>
    <row r="1446" spans="1:11" ht="14.4" hidden="1" customHeight="1" x14ac:dyDescent="0.3">
      <c r="A1446" s="278" t="s">
        <v>1350</v>
      </c>
      <c r="B1446" s="279">
        <v>27</v>
      </c>
      <c r="C1446" s="278" t="s">
        <v>28</v>
      </c>
      <c r="D1446" s="279" t="s">
        <v>313</v>
      </c>
      <c r="E1446" s="278"/>
      <c r="F1446" s="278" t="s">
        <v>1397</v>
      </c>
      <c r="G1446" s="280">
        <v>1300000</v>
      </c>
      <c r="H1446" s="280">
        <v>0</v>
      </c>
      <c r="I1446" s="281">
        <v>1300000</v>
      </c>
      <c r="J1446" s="282"/>
      <c r="K1446" s="7"/>
    </row>
    <row r="1447" spans="1:11" ht="14.4" hidden="1" customHeight="1" x14ac:dyDescent="0.3">
      <c r="A1447" s="278" t="s">
        <v>1350</v>
      </c>
      <c r="B1447" s="279">
        <v>27</v>
      </c>
      <c r="C1447" s="278" t="s">
        <v>28</v>
      </c>
      <c r="D1447" s="279" t="s">
        <v>313</v>
      </c>
      <c r="E1447" s="278"/>
      <c r="F1447" s="278" t="s">
        <v>1398</v>
      </c>
      <c r="G1447" s="280">
        <v>0</v>
      </c>
      <c r="H1447" s="280">
        <v>1300000</v>
      </c>
      <c r="I1447" s="281">
        <v>-1300000</v>
      </c>
      <c r="J1447" s="282"/>
      <c r="K1447" s="7"/>
    </row>
    <row r="1448" spans="1:11" ht="14.4" hidden="1" customHeight="1" x14ac:dyDescent="0.3">
      <c r="A1448" s="288" t="s">
        <v>1350</v>
      </c>
      <c r="B1448" s="288">
        <v>27</v>
      </c>
      <c r="C1448" s="289" t="s">
        <v>28</v>
      </c>
      <c r="D1448" s="288" t="s">
        <v>320</v>
      </c>
      <c r="E1448" s="290"/>
      <c r="F1448" s="289" t="s">
        <v>321</v>
      </c>
      <c r="G1448" s="291">
        <v>1300000</v>
      </c>
      <c r="H1448" s="291">
        <v>2678201.65</v>
      </c>
      <c r="I1448" s="292">
        <v>-1378201.65</v>
      </c>
      <c r="J1448" s="292">
        <v>1378201.65</v>
      </c>
      <c r="K1448" s="293">
        <v>0</v>
      </c>
    </row>
    <row r="1449" spans="1:11" ht="22.8" hidden="1" customHeight="1" x14ac:dyDescent="0.3">
      <c r="A1449" s="278" t="s">
        <v>1350</v>
      </c>
      <c r="B1449" s="279">
        <v>28</v>
      </c>
      <c r="C1449" s="278" t="s">
        <v>29</v>
      </c>
      <c r="D1449" s="279" t="s">
        <v>313</v>
      </c>
      <c r="E1449" s="278" t="s">
        <v>29</v>
      </c>
      <c r="F1449" s="278" t="s">
        <v>1399</v>
      </c>
      <c r="G1449" s="280">
        <v>0</v>
      </c>
      <c r="H1449" s="280">
        <v>10793227.5</v>
      </c>
      <c r="I1449" s="281">
        <v>-10793227.5</v>
      </c>
      <c r="J1449" s="282"/>
      <c r="K1449" s="7"/>
    </row>
    <row r="1450" spans="1:11" ht="14.4" hidden="1" customHeight="1" x14ac:dyDescent="0.3">
      <c r="A1450" s="288" t="s">
        <v>1350</v>
      </c>
      <c r="B1450" s="288">
        <v>28</v>
      </c>
      <c r="C1450" s="289" t="s">
        <v>29</v>
      </c>
      <c r="D1450" s="288" t="s">
        <v>320</v>
      </c>
      <c r="E1450" s="290"/>
      <c r="F1450" s="289" t="s">
        <v>321</v>
      </c>
      <c r="G1450" s="291">
        <v>0</v>
      </c>
      <c r="H1450" s="291">
        <v>10793227.5</v>
      </c>
      <c r="I1450" s="292">
        <v>-10793227.5</v>
      </c>
      <c r="J1450" s="292">
        <v>10793227.5</v>
      </c>
      <c r="K1450" s="293">
        <v>0</v>
      </c>
    </row>
    <row r="1451" spans="1:11" ht="14.4" hidden="1" customHeight="1" x14ac:dyDescent="0.3">
      <c r="A1451" s="278" t="s">
        <v>1350</v>
      </c>
      <c r="B1451" s="279">
        <v>29</v>
      </c>
      <c r="C1451" s="278" t="s">
        <v>29</v>
      </c>
      <c r="D1451" s="279" t="s">
        <v>313</v>
      </c>
      <c r="E1451" s="278" t="s">
        <v>29</v>
      </c>
      <c r="F1451" s="278" t="s">
        <v>1400</v>
      </c>
      <c r="G1451" s="280">
        <v>0</v>
      </c>
      <c r="H1451" s="280">
        <v>28308194</v>
      </c>
      <c r="I1451" s="281">
        <v>-28308194</v>
      </c>
      <c r="J1451" s="282"/>
      <c r="K1451" s="7"/>
    </row>
    <row r="1452" spans="1:11" ht="14.4" hidden="1" customHeight="1" x14ac:dyDescent="0.3">
      <c r="A1452" s="278" t="s">
        <v>1350</v>
      </c>
      <c r="B1452" s="279">
        <v>29</v>
      </c>
      <c r="C1452" s="278" t="s">
        <v>29</v>
      </c>
      <c r="D1452" s="279" t="s">
        <v>313</v>
      </c>
      <c r="E1452" s="278"/>
      <c r="F1452" s="278" t="s">
        <v>1401</v>
      </c>
      <c r="G1452" s="280">
        <v>40000000</v>
      </c>
      <c r="H1452" s="280">
        <v>0</v>
      </c>
      <c r="I1452" s="281">
        <v>40000000</v>
      </c>
      <c r="J1452" s="282"/>
      <c r="K1452" s="7"/>
    </row>
    <row r="1453" spans="1:11" ht="22.8" hidden="1" customHeight="1" x14ac:dyDescent="0.3">
      <c r="A1453" s="278" t="s">
        <v>1350</v>
      </c>
      <c r="B1453" s="279">
        <v>29</v>
      </c>
      <c r="C1453" s="278" t="s">
        <v>29</v>
      </c>
      <c r="D1453" s="279" t="s">
        <v>313</v>
      </c>
      <c r="E1453" s="278"/>
      <c r="F1453" s="278" t="s">
        <v>1402</v>
      </c>
      <c r="G1453" s="280">
        <v>0</v>
      </c>
      <c r="H1453" s="280">
        <v>48000000</v>
      </c>
      <c r="I1453" s="281">
        <v>-48000000</v>
      </c>
      <c r="J1453" s="282"/>
      <c r="K1453" s="7"/>
    </row>
    <row r="1454" spans="1:11" ht="14.4" hidden="1" customHeight="1" x14ac:dyDescent="0.3">
      <c r="A1454" s="288" t="s">
        <v>1350</v>
      </c>
      <c r="B1454" s="288">
        <v>29</v>
      </c>
      <c r="C1454" s="289" t="s">
        <v>29</v>
      </c>
      <c r="D1454" s="288" t="s">
        <v>320</v>
      </c>
      <c r="E1454" s="290"/>
      <c r="F1454" s="289" t="s">
        <v>321</v>
      </c>
      <c r="G1454" s="291">
        <v>40000000</v>
      </c>
      <c r="H1454" s="291">
        <v>76308194</v>
      </c>
      <c r="I1454" s="292">
        <v>-36308194</v>
      </c>
      <c r="J1454" s="292">
        <v>36308194</v>
      </c>
      <c r="K1454" s="293">
        <v>0</v>
      </c>
    </row>
    <row r="1455" spans="1:11" ht="14.4" hidden="1" customHeight="1" x14ac:dyDescent="0.3">
      <c r="A1455" s="278" t="s">
        <v>1350</v>
      </c>
      <c r="B1455" s="279">
        <v>30</v>
      </c>
      <c r="C1455" s="278" t="s">
        <v>32</v>
      </c>
      <c r="D1455" s="279" t="s">
        <v>313</v>
      </c>
      <c r="E1455" s="278"/>
      <c r="F1455" s="278" t="s">
        <v>1403</v>
      </c>
      <c r="G1455" s="280">
        <v>2500000</v>
      </c>
      <c r="H1455" s="280">
        <v>0</v>
      </c>
      <c r="I1455" s="281">
        <v>2500000</v>
      </c>
      <c r="J1455" s="282"/>
      <c r="K1455" s="7"/>
    </row>
    <row r="1456" spans="1:11" ht="14.4" hidden="1" customHeight="1" x14ac:dyDescent="0.3">
      <c r="A1456" s="278" t="s">
        <v>1350</v>
      </c>
      <c r="B1456" s="279">
        <v>30</v>
      </c>
      <c r="C1456" s="278" t="s">
        <v>32</v>
      </c>
      <c r="D1456" s="279" t="s">
        <v>313</v>
      </c>
      <c r="E1456" s="278"/>
      <c r="F1456" s="278" t="s">
        <v>1404</v>
      </c>
      <c r="G1456" s="280">
        <v>0</v>
      </c>
      <c r="H1456" s="280">
        <v>6133862</v>
      </c>
      <c r="I1456" s="281">
        <v>-6133862</v>
      </c>
      <c r="J1456" s="282"/>
      <c r="K1456" s="7"/>
    </row>
    <row r="1457" spans="1:11" ht="14.4" hidden="1" customHeight="1" x14ac:dyDescent="0.3">
      <c r="A1457" s="288" t="s">
        <v>1350</v>
      </c>
      <c r="B1457" s="288">
        <v>30</v>
      </c>
      <c r="C1457" s="289" t="s">
        <v>32</v>
      </c>
      <c r="D1457" s="288" t="s">
        <v>320</v>
      </c>
      <c r="E1457" s="290"/>
      <c r="F1457" s="289" t="s">
        <v>321</v>
      </c>
      <c r="G1457" s="291">
        <v>2500000</v>
      </c>
      <c r="H1457" s="291">
        <v>6133862</v>
      </c>
      <c r="I1457" s="292">
        <v>-3633862</v>
      </c>
      <c r="J1457" s="292">
        <v>3633862</v>
      </c>
      <c r="K1457" s="293">
        <v>0</v>
      </c>
    </row>
    <row r="1458" spans="1:11" ht="14.4" hidden="1" customHeight="1" x14ac:dyDescent="0.3">
      <c r="A1458" s="278" t="s">
        <v>1350</v>
      </c>
      <c r="B1458" s="279">
        <v>31</v>
      </c>
      <c r="C1458" s="278" t="s">
        <v>33</v>
      </c>
      <c r="D1458" s="279" t="s">
        <v>313</v>
      </c>
      <c r="E1458" s="278" t="s">
        <v>33</v>
      </c>
      <c r="F1458" s="278" t="s">
        <v>1405</v>
      </c>
      <c r="G1458" s="280">
        <v>0</v>
      </c>
      <c r="H1458" s="280">
        <v>500000</v>
      </c>
      <c r="I1458" s="281">
        <v>-500000</v>
      </c>
      <c r="J1458" s="282"/>
      <c r="K1458" s="7"/>
    </row>
    <row r="1459" spans="1:11" ht="14.4" hidden="1" customHeight="1" x14ac:dyDescent="0.3">
      <c r="A1459" s="278" t="s">
        <v>1350</v>
      </c>
      <c r="B1459" s="279">
        <v>31</v>
      </c>
      <c r="C1459" s="278" t="s">
        <v>33</v>
      </c>
      <c r="D1459" s="279" t="s">
        <v>313</v>
      </c>
      <c r="E1459" s="278"/>
      <c r="F1459" s="278" t="s">
        <v>1406</v>
      </c>
      <c r="G1459" s="280">
        <v>1266722</v>
      </c>
      <c r="H1459" s="280">
        <v>0</v>
      </c>
      <c r="I1459" s="281">
        <v>1266722</v>
      </c>
      <c r="J1459" s="282"/>
      <c r="K1459" s="7"/>
    </row>
    <row r="1460" spans="1:11" ht="14.4" hidden="1" customHeight="1" x14ac:dyDescent="0.3">
      <c r="A1460" s="278" t="s">
        <v>1350</v>
      </c>
      <c r="B1460" s="279">
        <v>31</v>
      </c>
      <c r="C1460" s="278" t="s">
        <v>33</v>
      </c>
      <c r="D1460" s="279" t="s">
        <v>313</v>
      </c>
      <c r="E1460" s="278"/>
      <c r="F1460" s="278" t="s">
        <v>1407</v>
      </c>
      <c r="G1460" s="280">
        <v>0</v>
      </c>
      <c r="H1460" s="280">
        <v>1533444</v>
      </c>
      <c r="I1460" s="281">
        <v>-1533444</v>
      </c>
      <c r="J1460" s="282"/>
      <c r="K1460" s="7"/>
    </row>
    <row r="1461" spans="1:11" ht="14.4" hidden="1" customHeight="1" x14ac:dyDescent="0.3">
      <c r="A1461" s="288" t="s">
        <v>1350</v>
      </c>
      <c r="B1461" s="288">
        <v>31</v>
      </c>
      <c r="C1461" s="289" t="s">
        <v>33</v>
      </c>
      <c r="D1461" s="288" t="s">
        <v>320</v>
      </c>
      <c r="E1461" s="290"/>
      <c r="F1461" s="289" t="s">
        <v>321</v>
      </c>
      <c r="G1461" s="291">
        <v>1266722</v>
      </c>
      <c r="H1461" s="291">
        <v>2033444</v>
      </c>
      <c r="I1461" s="292">
        <v>-766722</v>
      </c>
      <c r="J1461" s="292">
        <v>766722</v>
      </c>
      <c r="K1461" s="293">
        <v>0</v>
      </c>
    </row>
    <row r="1462" spans="1:11" ht="14.4" hidden="1" customHeight="1" x14ac:dyDescent="0.3">
      <c r="A1462" s="278" t="s">
        <v>1350</v>
      </c>
      <c r="B1462" s="279">
        <v>32</v>
      </c>
      <c r="C1462" s="278" t="s">
        <v>34</v>
      </c>
      <c r="D1462" s="279" t="s">
        <v>313</v>
      </c>
      <c r="E1462" s="278" t="s">
        <v>388</v>
      </c>
      <c r="F1462" s="278" t="s">
        <v>1408</v>
      </c>
      <c r="G1462" s="280">
        <v>0</v>
      </c>
      <c r="H1462" s="280">
        <v>3404.34</v>
      </c>
      <c r="I1462" s="281">
        <v>-3404.34</v>
      </c>
      <c r="J1462" s="282"/>
      <c r="K1462" s="7"/>
    </row>
    <row r="1463" spans="1:11" ht="14.4" hidden="1" customHeight="1" x14ac:dyDescent="0.3">
      <c r="A1463" s="278" t="s">
        <v>1350</v>
      </c>
      <c r="B1463" s="279">
        <v>32</v>
      </c>
      <c r="C1463" s="278" t="s">
        <v>34</v>
      </c>
      <c r="D1463" s="279" t="s">
        <v>313</v>
      </c>
      <c r="E1463" s="278"/>
      <c r="F1463" s="278" t="s">
        <v>1409</v>
      </c>
      <c r="G1463" s="280">
        <v>9000</v>
      </c>
      <c r="H1463" s="280">
        <v>0</v>
      </c>
      <c r="I1463" s="281">
        <v>9000</v>
      </c>
      <c r="J1463" s="282"/>
      <c r="K1463" s="7"/>
    </row>
    <row r="1464" spans="1:11" ht="14.4" hidden="1" customHeight="1" x14ac:dyDescent="0.3">
      <c r="A1464" s="278" t="s">
        <v>1350</v>
      </c>
      <c r="B1464" s="279">
        <v>32</v>
      </c>
      <c r="C1464" s="278" t="s">
        <v>34</v>
      </c>
      <c r="D1464" s="279" t="s">
        <v>313</v>
      </c>
      <c r="E1464" s="278"/>
      <c r="F1464" s="278" t="s">
        <v>1410</v>
      </c>
      <c r="G1464" s="280">
        <v>0</v>
      </c>
      <c r="H1464" s="280">
        <v>9000</v>
      </c>
      <c r="I1464" s="281">
        <v>-9000</v>
      </c>
      <c r="J1464" s="282"/>
      <c r="K1464" s="7"/>
    </row>
    <row r="1465" spans="1:11" ht="14.4" hidden="1" customHeight="1" x14ac:dyDescent="0.3">
      <c r="A1465" s="288" t="s">
        <v>1350</v>
      </c>
      <c r="B1465" s="288">
        <v>32</v>
      </c>
      <c r="C1465" s="289" t="s">
        <v>34</v>
      </c>
      <c r="D1465" s="288" t="s">
        <v>320</v>
      </c>
      <c r="E1465" s="290"/>
      <c r="F1465" s="289" t="s">
        <v>321</v>
      </c>
      <c r="G1465" s="291">
        <v>9000</v>
      </c>
      <c r="H1465" s="291">
        <v>12404.34</v>
      </c>
      <c r="I1465" s="292">
        <v>-3404.34</v>
      </c>
      <c r="J1465" s="292">
        <v>3404.34</v>
      </c>
      <c r="K1465" s="293">
        <v>0</v>
      </c>
    </row>
    <row r="1466" spans="1:11" ht="22.8" hidden="1" customHeight="1" x14ac:dyDescent="0.3">
      <c r="A1466" s="278" t="s">
        <v>1350</v>
      </c>
      <c r="B1466" s="279">
        <v>33</v>
      </c>
      <c r="C1466" s="278" t="s">
        <v>35</v>
      </c>
      <c r="D1466" s="279" t="s">
        <v>313</v>
      </c>
      <c r="E1466" s="278" t="s">
        <v>35</v>
      </c>
      <c r="F1466" s="278" t="s">
        <v>1411</v>
      </c>
      <c r="G1466" s="280">
        <v>0</v>
      </c>
      <c r="H1466" s="280">
        <v>952203.02</v>
      </c>
      <c r="I1466" s="281">
        <v>-952203.02</v>
      </c>
      <c r="J1466" s="282"/>
      <c r="K1466" s="7"/>
    </row>
    <row r="1467" spans="1:11" ht="22.8" hidden="1" customHeight="1" x14ac:dyDescent="0.3">
      <c r="A1467" s="278" t="s">
        <v>1350</v>
      </c>
      <c r="B1467" s="279">
        <v>33</v>
      </c>
      <c r="C1467" s="278" t="s">
        <v>35</v>
      </c>
      <c r="D1467" s="279" t="s">
        <v>313</v>
      </c>
      <c r="E1467" s="278"/>
      <c r="F1467" s="278" t="s">
        <v>1412</v>
      </c>
      <c r="G1467" s="280">
        <v>850000</v>
      </c>
      <c r="H1467" s="280">
        <v>0</v>
      </c>
      <c r="I1467" s="281">
        <v>850000</v>
      </c>
      <c r="J1467" s="282"/>
      <c r="K1467" s="7"/>
    </row>
    <row r="1468" spans="1:11" ht="22.8" hidden="1" customHeight="1" x14ac:dyDescent="0.3">
      <c r="A1468" s="278" t="s">
        <v>1350</v>
      </c>
      <c r="B1468" s="279">
        <v>33</v>
      </c>
      <c r="C1468" s="278" t="s">
        <v>35</v>
      </c>
      <c r="D1468" s="279" t="s">
        <v>313</v>
      </c>
      <c r="E1468" s="278"/>
      <c r="F1468" s="278" t="s">
        <v>1413</v>
      </c>
      <c r="G1468" s="280">
        <v>0</v>
      </c>
      <c r="H1468" s="280">
        <v>850000</v>
      </c>
      <c r="I1468" s="281">
        <v>-850000</v>
      </c>
      <c r="J1468" s="282"/>
      <c r="K1468" s="7"/>
    </row>
    <row r="1469" spans="1:11" ht="24" hidden="1" customHeight="1" x14ac:dyDescent="0.3">
      <c r="A1469" s="288" t="s">
        <v>1350</v>
      </c>
      <c r="B1469" s="288">
        <v>33</v>
      </c>
      <c r="C1469" s="289" t="s">
        <v>35</v>
      </c>
      <c r="D1469" s="288" t="s">
        <v>320</v>
      </c>
      <c r="E1469" s="290"/>
      <c r="F1469" s="289" t="s">
        <v>321</v>
      </c>
      <c r="G1469" s="291">
        <v>850000</v>
      </c>
      <c r="H1469" s="291">
        <v>1802203.02</v>
      </c>
      <c r="I1469" s="292">
        <v>-952203.02</v>
      </c>
      <c r="J1469" s="292">
        <v>952203.02</v>
      </c>
      <c r="K1469" s="293">
        <v>0</v>
      </c>
    </row>
    <row r="1470" spans="1:11" ht="14.4" hidden="1" customHeight="1" x14ac:dyDescent="0.3">
      <c r="A1470" s="278" t="s">
        <v>1350</v>
      </c>
      <c r="B1470" s="279">
        <v>34</v>
      </c>
      <c r="C1470" s="278" t="s">
        <v>36</v>
      </c>
      <c r="D1470" s="279" t="s">
        <v>313</v>
      </c>
      <c r="E1470" s="278" t="s">
        <v>1414</v>
      </c>
      <c r="F1470" s="278" t="s">
        <v>1415</v>
      </c>
      <c r="G1470" s="280">
        <v>0</v>
      </c>
      <c r="H1470" s="280">
        <v>1876522.43</v>
      </c>
      <c r="I1470" s="281">
        <v>-1876522.43</v>
      </c>
      <c r="J1470" s="282"/>
      <c r="K1470" s="7"/>
    </row>
    <row r="1471" spans="1:11" ht="14.4" hidden="1" customHeight="1" x14ac:dyDescent="0.3">
      <c r="A1471" s="278" t="s">
        <v>1350</v>
      </c>
      <c r="B1471" s="279">
        <v>34</v>
      </c>
      <c r="C1471" s="278" t="s">
        <v>36</v>
      </c>
      <c r="D1471" s="279" t="s">
        <v>313</v>
      </c>
      <c r="E1471" s="278"/>
      <c r="F1471" s="278" t="s">
        <v>1416</v>
      </c>
      <c r="G1471" s="280">
        <v>2300000</v>
      </c>
      <c r="H1471" s="280">
        <v>0</v>
      </c>
      <c r="I1471" s="281">
        <v>2300000</v>
      </c>
      <c r="J1471" s="282"/>
      <c r="K1471" s="7"/>
    </row>
    <row r="1472" spans="1:11" ht="14.4" hidden="1" customHeight="1" x14ac:dyDescent="0.3">
      <c r="A1472" s="278" t="s">
        <v>1350</v>
      </c>
      <c r="B1472" s="279">
        <v>34</v>
      </c>
      <c r="C1472" s="278" t="s">
        <v>36</v>
      </c>
      <c r="D1472" s="279" t="s">
        <v>313</v>
      </c>
      <c r="E1472" s="278"/>
      <c r="F1472" s="278" t="s">
        <v>1417</v>
      </c>
      <c r="G1472" s="280">
        <v>0</v>
      </c>
      <c r="H1472" s="280">
        <v>2000000</v>
      </c>
      <c r="I1472" s="281">
        <v>-2000000</v>
      </c>
      <c r="J1472" s="282"/>
      <c r="K1472" s="7"/>
    </row>
    <row r="1473" spans="1:11" ht="14.4" hidden="1" customHeight="1" x14ac:dyDescent="0.3">
      <c r="A1473" s="288" t="s">
        <v>1350</v>
      </c>
      <c r="B1473" s="288">
        <v>34</v>
      </c>
      <c r="C1473" s="289" t="s">
        <v>36</v>
      </c>
      <c r="D1473" s="288" t="s">
        <v>320</v>
      </c>
      <c r="E1473" s="290"/>
      <c r="F1473" s="289" t="s">
        <v>321</v>
      </c>
      <c r="G1473" s="291">
        <v>2300000</v>
      </c>
      <c r="H1473" s="291">
        <v>3876522.43</v>
      </c>
      <c r="I1473" s="292">
        <v>-1576522.43</v>
      </c>
      <c r="J1473" s="292">
        <v>1576522.43</v>
      </c>
      <c r="K1473" s="293">
        <v>0</v>
      </c>
    </row>
    <row r="1474" spans="1:11" ht="14.4" hidden="1" customHeight="1" x14ac:dyDescent="0.3">
      <c r="A1474" s="278" t="s">
        <v>1350</v>
      </c>
      <c r="B1474" s="279">
        <v>35</v>
      </c>
      <c r="C1474" s="278" t="s">
        <v>37</v>
      </c>
      <c r="D1474" s="279" t="s">
        <v>313</v>
      </c>
      <c r="E1474" s="278" t="s">
        <v>691</v>
      </c>
      <c r="F1474" s="278" t="s">
        <v>1389</v>
      </c>
      <c r="G1474" s="280">
        <v>0</v>
      </c>
      <c r="H1474" s="280">
        <v>344079.51</v>
      </c>
      <c r="I1474" s="281">
        <v>-344079.51</v>
      </c>
      <c r="J1474" s="282"/>
      <c r="K1474" s="7"/>
    </row>
    <row r="1475" spans="1:11" ht="14.4" hidden="1" customHeight="1" x14ac:dyDescent="0.3">
      <c r="A1475" s="278" t="s">
        <v>1350</v>
      </c>
      <c r="B1475" s="279">
        <v>35</v>
      </c>
      <c r="C1475" s="278" t="s">
        <v>37</v>
      </c>
      <c r="D1475" s="279" t="s">
        <v>313</v>
      </c>
      <c r="E1475" s="278"/>
      <c r="F1475" s="278" t="s">
        <v>1418</v>
      </c>
      <c r="G1475" s="280">
        <v>500000</v>
      </c>
      <c r="H1475" s="280">
        <v>0</v>
      </c>
      <c r="I1475" s="281">
        <v>500000</v>
      </c>
      <c r="J1475" s="282"/>
      <c r="K1475" s="7"/>
    </row>
    <row r="1476" spans="1:11" ht="14.4" hidden="1" customHeight="1" x14ac:dyDescent="0.3">
      <c r="A1476" s="278" t="s">
        <v>1350</v>
      </c>
      <c r="B1476" s="279">
        <v>35</v>
      </c>
      <c r="C1476" s="278" t="s">
        <v>37</v>
      </c>
      <c r="D1476" s="279" t="s">
        <v>313</v>
      </c>
      <c r="E1476" s="278"/>
      <c r="F1476" s="278" t="s">
        <v>1419</v>
      </c>
      <c r="G1476" s="280">
        <v>0</v>
      </c>
      <c r="H1476" s="280">
        <v>350000</v>
      </c>
      <c r="I1476" s="281">
        <v>-350000</v>
      </c>
      <c r="J1476" s="282"/>
      <c r="K1476" s="7"/>
    </row>
    <row r="1477" spans="1:11" ht="14.4" hidden="1" customHeight="1" x14ac:dyDescent="0.3">
      <c r="A1477" s="288" t="s">
        <v>1350</v>
      </c>
      <c r="B1477" s="288">
        <v>35</v>
      </c>
      <c r="C1477" s="289" t="s">
        <v>37</v>
      </c>
      <c r="D1477" s="288" t="s">
        <v>320</v>
      </c>
      <c r="E1477" s="290"/>
      <c r="F1477" s="289" t="s">
        <v>321</v>
      </c>
      <c r="G1477" s="291">
        <v>500000</v>
      </c>
      <c r="H1477" s="291">
        <v>694079.51</v>
      </c>
      <c r="I1477" s="292">
        <v>-194079.51</v>
      </c>
      <c r="J1477" s="292">
        <v>194079.51</v>
      </c>
      <c r="K1477" s="293">
        <v>0</v>
      </c>
    </row>
    <row r="1478" spans="1:11" ht="22.8" hidden="1" customHeight="1" x14ac:dyDescent="0.3">
      <c r="A1478" s="278" t="s">
        <v>1350</v>
      </c>
      <c r="B1478" s="279">
        <v>38</v>
      </c>
      <c r="C1478" s="278" t="s">
        <v>39</v>
      </c>
      <c r="D1478" s="279" t="s">
        <v>313</v>
      </c>
      <c r="E1478" s="278" t="s">
        <v>1420</v>
      </c>
      <c r="F1478" s="278" t="s">
        <v>1421</v>
      </c>
      <c r="G1478" s="280">
        <v>0</v>
      </c>
      <c r="H1478" s="280">
        <v>13176024.98</v>
      </c>
      <c r="I1478" s="281">
        <v>-13176024.98</v>
      </c>
      <c r="J1478" s="282"/>
      <c r="K1478" s="7"/>
    </row>
    <row r="1479" spans="1:11" ht="14.4" hidden="1" customHeight="1" x14ac:dyDescent="0.3">
      <c r="A1479" s="278" t="s">
        <v>1350</v>
      </c>
      <c r="B1479" s="279">
        <v>38</v>
      </c>
      <c r="C1479" s="278" t="s">
        <v>39</v>
      </c>
      <c r="D1479" s="279" t="s">
        <v>313</v>
      </c>
      <c r="E1479" s="278"/>
      <c r="F1479" s="278" t="s">
        <v>1422</v>
      </c>
      <c r="G1479" s="280">
        <v>12034640</v>
      </c>
      <c r="H1479" s="280">
        <v>0</v>
      </c>
      <c r="I1479" s="281">
        <v>12034640</v>
      </c>
      <c r="J1479" s="282"/>
      <c r="K1479" s="7"/>
    </row>
    <row r="1480" spans="1:11" ht="14.4" hidden="1" customHeight="1" x14ac:dyDescent="0.3">
      <c r="A1480" s="278" t="s">
        <v>1350</v>
      </c>
      <c r="B1480" s="279">
        <v>38</v>
      </c>
      <c r="C1480" s="278" t="s">
        <v>39</v>
      </c>
      <c r="D1480" s="279" t="s">
        <v>313</v>
      </c>
      <c r="E1480" s="278"/>
      <c r="F1480" s="278" t="s">
        <v>1423</v>
      </c>
      <c r="G1480" s="280">
        <v>0</v>
      </c>
      <c r="H1480" s="280">
        <v>13176024.98</v>
      </c>
      <c r="I1480" s="281">
        <v>-13176024.98</v>
      </c>
      <c r="J1480" s="282"/>
      <c r="K1480" s="7"/>
    </row>
    <row r="1481" spans="1:11" ht="24" hidden="1" customHeight="1" x14ac:dyDescent="0.3">
      <c r="A1481" s="288" t="s">
        <v>1350</v>
      </c>
      <c r="B1481" s="288">
        <v>38</v>
      </c>
      <c r="C1481" s="289" t="s">
        <v>39</v>
      </c>
      <c r="D1481" s="288" t="s">
        <v>320</v>
      </c>
      <c r="E1481" s="290"/>
      <c r="F1481" s="289" t="s">
        <v>321</v>
      </c>
      <c r="G1481" s="291">
        <v>12034640</v>
      </c>
      <c r="H1481" s="291">
        <v>26352049.960000001</v>
      </c>
      <c r="I1481" s="292">
        <v>-14317409.960000001</v>
      </c>
      <c r="J1481" s="292">
        <v>14317409.960000001</v>
      </c>
      <c r="K1481" s="293">
        <v>0</v>
      </c>
    </row>
    <row r="1482" spans="1:11" ht="14.4" hidden="1" customHeight="1" x14ac:dyDescent="0.3">
      <c r="A1482" s="278" t="s">
        <v>1350</v>
      </c>
      <c r="B1482" s="279">
        <v>41</v>
      </c>
      <c r="C1482" s="278" t="s">
        <v>41</v>
      </c>
      <c r="D1482" s="279" t="s">
        <v>403</v>
      </c>
      <c r="E1482" s="278"/>
      <c r="F1482" s="278" t="s">
        <v>1424</v>
      </c>
      <c r="G1482" s="280">
        <v>0</v>
      </c>
      <c r="H1482" s="280">
        <v>110817543.33</v>
      </c>
      <c r="I1482" s="281">
        <v>-110817543.33</v>
      </c>
      <c r="J1482" s="282"/>
      <c r="K1482" s="7"/>
    </row>
    <row r="1483" spans="1:11" ht="14.4" hidden="1" customHeight="1" x14ac:dyDescent="0.3">
      <c r="A1483" s="278" t="s">
        <v>1350</v>
      </c>
      <c r="B1483" s="279">
        <v>41</v>
      </c>
      <c r="C1483" s="278" t="s">
        <v>41</v>
      </c>
      <c r="D1483" s="279" t="s">
        <v>403</v>
      </c>
      <c r="E1483" s="278"/>
      <c r="F1483" s="278" t="s">
        <v>1176</v>
      </c>
      <c r="G1483" s="280">
        <v>110816733.53</v>
      </c>
      <c r="H1483" s="280">
        <v>0</v>
      </c>
      <c r="I1483" s="281">
        <v>110816733.53</v>
      </c>
      <c r="J1483" s="282"/>
      <c r="K1483" s="7"/>
    </row>
    <row r="1484" spans="1:11" ht="14.4" hidden="1" customHeight="1" x14ac:dyDescent="0.3">
      <c r="A1484" s="278" t="s">
        <v>1350</v>
      </c>
      <c r="B1484" s="279">
        <v>41</v>
      </c>
      <c r="C1484" s="278" t="s">
        <v>41</v>
      </c>
      <c r="D1484" s="279" t="s">
        <v>403</v>
      </c>
      <c r="E1484" s="278"/>
      <c r="F1484" s="278" t="s">
        <v>1425</v>
      </c>
      <c r="G1484" s="280">
        <v>121804041.23</v>
      </c>
      <c r="H1484" s="280">
        <v>0</v>
      </c>
      <c r="I1484" s="281">
        <v>121804041.23</v>
      </c>
      <c r="J1484" s="282"/>
      <c r="K1484" s="7"/>
    </row>
    <row r="1485" spans="1:11" ht="14.4" hidden="1" customHeight="1" x14ac:dyDescent="0.3">
      <c r="A1485" s="288" t="s">
        <v>1350</v>
      </c>
      <c r="B1485" s="288">
        <v>41</v>
      </c>
      <c r="C1485" s="289" t="s">
        <v>41</v>
      </c>
      <c r="D1485" s="288" t="s">
        <v>320</v>
      </c>
      <c r="E1485" s="290"/>
      <c r="F1485" s="289" t="s">
        <v>321</v>
      </c>
      <c r="G1485" s="291">
        <v>232620774.75999999</v>
      </c>
      <c r="H1485" s="291">
        <v>110817543.33</v>
      </c>
      <c r="I1485" s="292">
        <v>121803231.43000001</v>
      </c>
      <c r="J1485" s="292">
        <v>-121803231.43000001</v>
      </c>
      <c r="K1485" s="293">
        <v>0</v>
      </c>
    </row>
    <row r="1486" spans="1:11" ht="14.4" hidden="1" customHeight="1" x14ac:dyDescent="0.3">
      <c r="A1486" s="278" t="s">
        <v>1350</v>
      </c>
      <c r="B1486" s="279">
        <v>47</v>
      </c>
      <c r="C1486" s="278" t="s">
        <v>50</v>
      </c>
      <c r="D1486" s="279" t="s">
        <v>405</v>
      </c>
      <c r="E1486" s="278" t="s">
        <v>406</v>
      </c>
      <c r="F1486" s="278" t="s">
        <v>1426</v>
      </c>
      <c r="G1486" s="280">
        <v>6468150</v>
      </c>
      <c r="H1486" s="280">
        <v>0</v>
      </c>
      <c r="I1486" s="281">
        <v>6468150</v>
      </c>
      <c r="J1486" s="282"/>
      <c r="K1486" s="7"/>
    </row>
    <row r="1487" spans="1:11" ht="14.4" hidden="1" customHeight="1" x14ac:dyDescent="0.3">
      <c r="A1487" s="278" t="s">
        <v>1350</v>
      </c>
      <c r="B1487" s="279">
        <v>47</v>
      </c>
      <c r="C1487" s="278" t="s">
        <v>50</v>
      </c>
      <c r="D1487" s="279" t="s">
        <v>405</v>
      </c>
      <c r="E1487" s="278" t="s">
        <v>406</v>
      </c>
      <c r="F1487" s="278" t="s">
        <v>1427</v>
      </c>
      <c r="G1487" s="280">
        <v>0</v>
      </c>
      <c r="H1487" s="280">
        <v>818209.35</v>
      </c>
      <c r="I1487" s="281">
        <v>-818209.35</v>
      </c>
      <c r="J1487" s="282"/>
      <c r="K1487" s="7"/>
    </row>
    <row r="1488" spans="1:11" ht="14.4" hidden="1" customHeight="1" x14ac:dyDescent="0.3">
      <c r="A1488" s="288" t="s">
        <v>1350</v>
      </c>
      <c r="B1488" s="288">
        <v>47</v>
      </c>
      <c r="C1488" s="289" t="s">
        <v>50</v>
      </c>
      <c r="D1488" s="288" t="s">
        <v>320</v>
      </c>
      <c r="E1488" s="290"/>
      <c r="F1488" s="289" t="s">
        <v>321</v>
      </c>
      <c r="G1488" s="291">
        <v>6468150</v>
      </c>
      <c r="H1488" s="291">
        <v>818209.35</v>
      </c>
      <c r="I1488" s="292">
        <v>5649940.6500000004</v>
      </c>
      <c r="J1488" s="292">
        <v>5649940.6500000004</v>
      </c>
      <c r="K1488" s="293">
        <v>0</v>
      </c>
    </row>
    <row r="1489" spans="1:11" ht="14.4" hidden="1" customHeight="1" x14ac:dyDescent="0.3">
      <c r="A1489" s="278" t="s">
        <v>1350</v>
      </c>
      <c r="B1489" s="279">
        <v>48</v>
      </c>
      <c r="C1489" s="278" t="s">
        <v>50</v>
      </c>
      <c r="D1489" s="279" t="s">
        <v>409</v>
      </c>
      <c r="E1489" s="278" t="s">
        <v>406</v>
      </c>
      <c r="F1489" s="278" t="s">
        <v>1428</v>
      </c>
      <c r="G1489" s="280">
        <v>6201600</v>
      </c>
      <c r="H1489" s="280">
        <v>0</v>
      </c>
      <c r="I1489" s="281">
        <v>6201600</v>
      </c>
      <c r="J1489" s="282"/>
      <c r="K1489" s="7"/>
    </row>
    <row r="1490" spans="1:11" ht="14.4" hidden="1" customHeight="1" x14ac:dyDescent="0.3">
      <c r="A1490" s="278" t="s">
        <v>1350</v>
      </c>
      <c r="B1490" s="279">
        <v>48</v>
      </c>
      <c r="C1490" s="278" t="s">
        <v>50</v>
      </c>
      <c r="D1490" s="279" t="s">
        <v>409</v>
      </c>
      <c r="E1490" s="278" t="s">
        <v>406</v>
      </c>
      <c r="F1490" s="278" t="s">
        <v>1429</v>
      </c>
      <c r="G1490" s="280">
        <v>0</v>
      </c>
      <c r="H1490" s="280">
        <v>620160</v>
      </c>
      <c r="I1490" s="281">
        <v>-620160</v>
      </c>
      <c r="J1490" s="282"/>
      <c r="K1490" s="7"/>
    </row>
    <row r="1491" spans="1:11" ht="14.4" hidden="1" customHeight="1" x14ac:dyDescent="0.3">
      <c r="A1491" s="288" t="s">
        <v>1350</v>
      </c>
      <c r="B1491" s="288">
        <v>48</v>
      </c>
      <c r="C1491" s="289" t="s">
        <v>50</v>
      </c>
      <c r="D1491" s="288" t="s">
        <v>320</v>
      </c>
      <c r="E1491" s="290"/>
      <c r="F1491" s="289" t="s">
        <v>321</v>
      </c>
      <c r="G1491" s="291">
        <v>6201600</v>
      </c>
      <c r="H1491" s="291">
        <v>620160</v>
      </c>
      <c r="I1491" s="292">
        <v>5581440</v>
      </c>
      <c r="J1491" s="292">
        <v>5581440</v>
      </c>
      <c r="K1491" s="293">
        <v>0</v>
      </c>
    </row>
    <row r="1492" spans="1:11" ht="14.4" hidden="1" customHeight="1" x14ac:dyDescent="0.3">
      <c r="A1492" s="278" t="s">
        <v>1350</v>
      </c>
      <c r="B1492" s="279">
        <v>49</v>
      </c>
      <c r="C1492" s="278" t="s">
        <v>55</v>
      </c>
      <c r="D1492" s="279" t="s">
        <v>409</v>
      </c>
      <c r="E1492" s="278"/>
      <c r="F1492" s="278" t="s">
        <v>1430</v>
      </c>
      <c r="G1492" s="280">
        <v>0</v>
      </c>
      <c r="H1492" s="280">
        <v>24733495</v>
      </c>
      <c r="I1492" s="281">
        <v>-24733495</v>
      </c>
      <c r="J1492" s="282"/>
      <c r="K1492" s="7"/>
    </row>
    <row r="1493" spans="1:11" ht="14.4" hidden="1" customHeight="1" x14ac:dyDescent="0.3">
      <c r="A1493" s="278" t="s">
        <v>1350</v>
      </c>
      <c r="B1493" s="279">
        <v>49</v>
      </c>
      <c r="C1493" s="278" t="s">
        <v>55</v>
      </c>
      <c r="D1493" s="279" t="s">
        <v>409</v>
      </c>
      <c r="E1493" s="278"/>
      <c r="F1493" s="278" t="s">
        <v>1431</v>
      </c>
      <c r="G1493" s="280">
        <v>0</v>
      </c>
      <c r="H1493" s="280">
        <v>1998215</v>
      </c>
      <c r="I1493" s="281">
        <v>-1998215</v>
      </c>
      <c r="J1493" s="282"/>
      <c r="K1493" s="7"/>
    </row>
    <row r="1494" spans="1:11" ht="14.4" hidden="1" customHeight="1" x14ac:dyDescent="0.3">
      <c r="A1494" s="278" t="s">
        <v>1350</v>
      </c>
      <c r="B1494" s="279">
        <v>49</v>
      </c>
      <c r="C1494" s="278" t="s">
        <v>55</v>
      </c>
      <c r="D1494" s="279" t="s">
        <v>409</v>
      </c>
      <c r="E1494" s="278" t="s">
        <v>413</v>
      </c>
      <c r="F1494" s="278" t="s">
        <v>1432</v>
      </c>
      <c r="G1494" s="280">
        <v>24733494.800000001</v>
      </c>
      <c r="H1494" s="280">
        <v>0</v>
      </c>
      <c r="I1494" s="281">
        <v>24733494.800000001</v>
      </c>
      <c r="J1494" s="282"/>
      <c r="K1494" s="7"/>
    </row>
    <row r="1495" spans="1:11" ht="14.4" hidden="1" customHeight="1" x14ac:dyDescent="0.3">
      <c r="A1495" s="278" t="s">
        <v>1350</v>
      </c>
      <c r="B1495" s="279">
        <v>49</v>
      </c>
      <c r="C1495" s="278" t="s">
        <v>55</v>
      </c>
      <c r="D1495" s="279" t="s">
        <v>409</v>
      </c>
      <c r="E1495" s="278" t="s">
        <v>413</v>
      </c>
      <c r="F1495" s="278" t="s">
        <v>1433</v>
      </c>
      <c r="G1495" s="280">
        <v>1998215.04</v>
      </c>
      <c r="H1495" s="280">
        <v>0</v>
      </c>
      <c r="I1495" s="281">
        <v>1998215.04</v>
      </c>
      <c r="J1495" s="282"/>
      <c r="K1495" s="7"/>
    </row>
    <row r="1496" spans="1:11" ht="14.4" hidden="1" customHeight="1" x14ac:dyDescent="0.3">
      <c r="A1496" s="278" t="s">
        <v>1350</v>
      </c>
      <c r="B1496" s="279">
        <v>49</v>
      </c>
      <c r="C1496" s="278" t="s">
        <v>55</v>
      </c>
      <c r="D1496" s="279" t="s">
        <v>409</v>
      </c>
      <c r="E1496" s="278"/>
      <c r="F1496" s="278" t="s">
        <v>1434</v>
      </c>
      <c r="G1496" s="280">
        <v>13030439</v>
      </c>
      <c r="H1496" s="280">
        <v>0</v>
      </c>
      <c r="I1496" s="281">
        <v>13030439</v>
      </c>
      <c r="J1496" s="282"/>
      <c r="K1496" s="7"/>
    </row>
    <row r="1497" spans="1:11" ht="14.4" hidden="1" customHeight="1" x14ac:dyDescent="0.3">
      <c r="A1497" s="278" t="s">
        <v>1350</v>
      </c>
      <c r="B1497" s="279">
        <v>49</v>
      </c>
      <c r="C1497" s="278" t="s">
        <v>55</v>
      </c>
      <c r="D1497" s="279" t="s">
        <v>409</v>
      </c>
      <c r="E1497" s="278"/>
      <c r="F1497" s="278" t="s">
        <v>1435</v>
      </c>
      <c r="G1497" s="280">
        <v>1498661</v>
      </c>
      <c r="H1497" s="280">
        <v>0</v>
      </c>
      <c r="I1497" s="281">
        <v>1498661</v>
      </c>
      <c r="J1497" s="282"/>
      <c r="K1497" s="7"/>
    </row>
    <row r="1498" spans="1:11" ht="14.4" hidden="1" customHeight="1" x14ac:dyDescent="0.3">
      <c r="A1498" s="288" t="s">
        <v>1350</v>
      </c>
      <c r="B1498" s="288">
        <v>49</v>
      </c>
      <c r="C1498" s="289" t="s">
        <v>55</v>
      </c>
      <c r="D1498" s="288" t="s">
        <v>320</v>
      </c>
      <c r="E1498" s="290"/>
      <c r="F1498" s="289" t="s">
        <v>321</v>
      </c>
      <c r="G1498" s="291">
        <v>41260809.840000004</v>
      </c>
      <c r="H1498" s="291">
        <v>26731710</v>
      </c>
      <c r="I1498" s="292">
        <v>14529099.84</v>
      </c>
      <c r="J1498" s="292">
        <v>14529099.84</v>
      </c>
      <c r="K1498" s="293">
        <v>0</v>
      </c>
    </row>
    <row r="1499" spans="1:11" ht="14.4" hidden="1" customHeight="1" x14ac:dyDescent="0.3">
      <c r="A1499" s="278" t="s">
        <v>1350</v>
      </c>
      <c r="B1499" s="279">
        <v>54</v>
      </c>
      <c r="C1499" s="278" t="s">
        <v>50</v>
      </c>
      <c r="D1499" s="279" t="s">
        <v>418</v>
      </c>
      <c r="E1499" s="278"/>
      <c r="F1499" s="278" t="s">
        <v>1436</v>
      </c>
      <c r="G1499" s="280">
        <v>343167.67</v>
      </c>
      <c r="H1499" s="280">
        <v>0</v>
      </c>
      <c r="I1499" s="281">
        <v>343167.67</v>
      </c>
      <c r="J1499" s="282"/>
      <c r="K1499" s="7"/>
    </row>
    <row r="1500" spans="1:11" ht="14.4" hidden="1" customHeight="1" x14ac:dyDescent="0.3">
      <c r="A1500" s="278" t="s">
        <v>1350</v>
      </c>
      <c r="B1500" s="279">
        <v>54</v>
      </c>
      <c r="C1500" s="278" t="s">
        <v>50</v>
      </c>
      <c r="D1500" s="279" t="s">
        <v>418</v>
      </c>
      <c r="E1500" s="278"/>
      <c r="F1500" s="278" t="s">
        <v>1437</v>
      </c>
      <c r="G1500" s="280">
        <v>365230.46</v>
      </c>
      <c r="H1500" s="280">
        <v>0</v>
      </c>
      <c r="I1500" s="281">
        <v>365230.46</v>
      </c>
      <c r="J1500" s="282"/>
      <c r="K1500" s="7"/>
    </row>
    <row r="1501" spans="1:11" ht="14.4" hidden="1" customHeight="1" x14ac:dyDescent="0.3">
      <c r="A1501" s="278" t="s">
        <v>1350</v>
      </c>
      <c r="B1501" s="279">
        <v>54</v>
      </c>
      <c r="C1501" s="278" t="s">
        <v>50</v>
      </c>
      <c r="D1501" s="279" t="s">
        <v>418</v>
      </c>
      <c r="E1501" s="278"/>
      <c r="F1501" s="278" t="s">
        <v>1438</v>
      </c>
      <c r="G1501" s="280">
        <v>354986.14</v>
      </c>
      <c r="H1501" s="280">
        <v>0</v>
      </c>
      <c r="I1501" s="281">
        <v>354986.14</v>
      </c>
      <c r="J1501" s="282"/>
      <c r="K1501" s="7"/>
    </row>
    <row r="1502" spans="1:11" ht="14.4" hidden="1" customHeight="1" x14ac:dyDescent="0.3">
      <c r="A1502" s="278" t="s">
        <v>1350</v>
      </c>
      <c r="B1502" s="279">
        <v>54</v>
      </c>
      <c r="C1502" s="278" t="s">
        <v>50</v>
      </c>
      <c r="D1502" s="279" t="s">
        <v>418</v>
      </c>
      <c r="E1502" s="278"/>
      <c r="F1502" s="278" t="s">
        <v>1439</v>
      </c>
      <c r="G1502" s="280">
        <v>0</v>
      </c>
      <c r="H1502" s="280">
        <v>52620.39</v>
      </c>
      <c r="I1502" s="281">
        <v>-52620.39</v>
      </c>
      <c r="J1502" s="282"/>
      <c r="K1502" s="7"/>
    </row>
    <row r="1503" spans="1:11" ht="14.4" hidden="1" customHeight="1" x14ac:dyDescent="0.3">
      <c r="A1503" s="288" t="s">
        <v>1350</v>
      </c>
      <c r="B1503" s="288">
        <v>54</v>
      </c>
      <c r="C1503" s="289" t="s">
        <v>50</v>
      </c>
      <c r="D1503" s="288" t="s">
        <v>320</v>
      </c>
      <c r="E1503" s="290"/>
      <c r="F1503" s="289" t="s">
        <v>321</v>
      </c>
      <c r="G1503" s="291">
        <v>1063384.27</v>
      </c>
      <c r="H1503" s="291">
        <v>52620.39</v>
      </c>
      <c r="I1503" s="292">
        <v>1010763.88</v>
      </c>
      <c r="J1503" s="292">
        <v>1010763.88</v>
      </c>
      <c r="K1503" s="293">
        <v>0</v>
      </c>
    </row>
    <row r="1504" spans="1:11" ht="14.4" hidden="1" customHeight="1" x14ac:dyDescent="0.3">
      <c r="A1504" s="278" t="s">
        <v>1350</v>
      </c>
      <c r="B1504" s="279">
        <v>59</v>
      </c>
      <c r="C1504" s="278" t="s">
        <v>66</v>
      </c>
      <c r="D1504" s="279" t="s">
        <v>425</v>
      </c>
      <c r="E1504" s="278" t="s">
        <v>423</v>
      </c>
      <c r="F1504" s="278" t="s">
        <v>1440</v>
      </c>
      <c r="G1504" s="280">
        <v>477797</v>
      </c>
      <c r="H1504" s="280">
        <v>0</v>
      </c>
      <c r="I1504" s="281">
        <v>477797</v>
      </c>
      <c r="J1504" s="282"/>
      <c r="K1504" s="7"/>
    </row>
    <row r="1505" spans="1:11" ht="14.4" hidden="1" customHeight="1" x14ac:dyDescent="0.3">
      <c r="A1505" s="288" t="s">
        <v>1350</v>
      </c>
      <c r="B1505" s="288">
        <v>59</v>
      </c>
      <c r="C1505" s="289" t="s">
        <v>66</v>
      </c>
      <c r="D1505" s="288" t="s">
        <v>320</v>
      </c>
      <c r="E1505" s="290"/>
      <c r="F1505" s="289" t="s">
        <v>321</v>
      </c>
      <c r="G1505" s="291">
        <v>477797</v>
      </c>
      <c r="H1505" s="291">
        <v>0</v>
      </c>
      <c r="I1505" s="292">
        <v>477797</v>
      </c>
      <c r="J1505" s="292">
        <v>477797</v>
      </c>
      <c r="K1505" s="293">
        <v>0</v>
      </c>
    </row>
    <row r="1506" spans="1:11" ht="14.4" hidden="1" customHeight="1" x14ac:dyDescent="0.3">
      <c r="A1506" s="278" t="s">
        <v>1350</v>
      </c>
      <c r="B1506" s="279">
        <v>60</v>
      </c>
      <c r="C1506" s="278" t="s">
        <v>68</v>
      </c>
      <c r="D1506" s="279" t="s">
        <v>422</v>
      </c>
      <c r="E1506" s="278" t="s">
        <v>428</v>
      </c>
      <c r="F1506" s="278" t="s">
        <v>1441</v>
      </c>
      <c r="G1506" s="280">
        <v>858000</v>
      </c>
      <c r="H1506" s="280">
        <v>0</v>
      </c>
      <c r="I1506" s="281">
        <v>858000</v>
      </c>
      <c r="J1506" s="282"/>
      <c r="K1506" s="7"/>
    </row>
    <row r="1507" spans="1:11" ht="14.4" hidden="1" customHeight="1" x14ac:dyDescent="0.3">
      <c r="A1507" s="288" t="s">
        <v>1350</v>
      </c>
      <c r="B1507" s="288">
        <v>60</v>
      </c>
      <c r="C1507" s="289" t="s">
        <v>68</v>
      </c>
      <c r="D1507" s="288" t="s">
        <v>320</v>
      </c>
      <c r="E1507" s="290"/>
      <c r="F1507" s="289" t="s">
        <v>321</v>
      </c>
      <c r="G1507" s="291">
        <v>858000</v>
      </c>
      <c r="H1507" s="291">
        <v>0</v>
      </c>
      <c r="I1507" s="292">
        <v>858000</v>
      </c>
      <c r="J1507" s="292">
        <v>858000</v>
      </c>
      <c r="K1507" s="293">
        <v>0</v>
      </c>
    </row>
    <row r="1508" spans="1:11" ht="14.4" hidden="1" customHeight="1" x14ac:dyDescent="0.3">
      <c r="A1508" s="278" t="s">
        <v>1350</v>
      </c>
      <c r="B1508" s="279">
        <v>61</v>
      </c>
      <c r="C1508" s="278" t="s">
        <v>70</v>
      </c>
      <c r="D1508" s="279" t="s">
        <v>405</v>
      </c>
      <c r="E1508" s="278"/>
      <c r="F1508" s="278" t="s">
        <v>1442</v>
      </c>
      <c r="G1508" s="280">
        <v>0</v>
      </c>
      <c r="H1508" s="280">
        <v>705600</v>
      </c>
      <c r="I1508" s="281">
        <v>-705600</v>
      </c>
      <c r="J1508" s="282"/>
      <c r="K1508" s="7"/>
    </row>
    <row r="1509" spans="1:11" ht="14.4" hidden="1" customHeight="1" x14ac:dyDescent="0.3">
      <c r="A1509" s="278" t="s">
        <v>1350</v>
      </c>
      <c r="B1509" s="279">
        <v>61</v>
      </c>
      <c r="C1509" s="278" t="s">
        <v>70</v>
      </c>
      <c r="D1509" s="279" t="s">
        <v>405</v>
      </c>
      <c r="E1509" s="278" t="s">
        <v>614</v>
      </c>
      <c r="F1509" s="278" t="s">
        <v>1443</v>
      </c>
      <c r="G1509" s="280">
        <v>703584</v>
      </c>
      <c r="H1509" s="280">
        <v>0</v>
      </c>
      <c r="I1509" s="281">
        <v>703584</v>
      </c>
      <c r="J1509" s="282"/>
      <c r="K1509" s="7"/>
    </row>
    <row r="1510" spans="1:11" ht="14.4" hidden="1" customHeight="1" x14ac:dyDescent="0.3">
      <c r="A1510" s="278" t="s">
        <v>1350</v>
      </c>
      <c r="B1510" s="279">
        <v>61</v>
      </c>
      <c r="C1510" s="278" t="s">
        <v>70</v>
      </c>
      <c r="D1510" s="279" t="s">
        <v>405</v>
      </c>
      <c r="E1510" s="278"/>
      <c r="F1510" s="278" t="s">
        <v>1444</v>
      </c>
      <c r="G1510" s="280">
        <v>720720</v>
      </c>
      <c r="H1510" s="280">
        <v>0</v>
      </c>
      <c r="I1510" s="281">
        <v>720720</v>
      </c>
      <c r="J1510" s="282"/>
      <c r="K1510" s="7"/>
    </row>
    <row r="1511" spans="1:11" ht="14.4" hidden="1" customHeight="1" x14ac:dyDescent="0.3">
      <c r="A1511" s="288" t="s">
        <v>1350</v>
      </c>
      <c r="B1511" s="288">
        <v>61</v>
      </c>
      <c r="C1511" s="289" t="s">
        <v>70</v>
      </c>
      <c r="D1511" s="288" t="s">
        <v>320</v>
      </c>
      <c r="E1511" s="290"/>
      <c r="F1511" s="289" t="s">
        <v>321</v>
      </c>
      <c r="G1511" s="291">
        <v>1424304</v>
      </c>
      <c r="H1511" s="291">
        <v>705600</v>
      </c>
      <c r="I1511" s="292">
        <v>718704</v>
      </c>
      <c r="J1511" s="292">
        <v>718704</v>
      </c>
      <c r="K1511" s="293">
        <v>0</v>
      </c>
    </row>
    <row r="1512" spans="1:11" ht="14.4" hidden="1" customHeight="1" x14ac:dyDescent="0.3">
      <c r="A1512" s="278" t="s">
        <v>1350</v>
      </c>
      <c r="B1512" s="279">
        <v>63</v>
      </c>
      <c r="C1512" s="278" t="s">
        <v>74</v>
      </c>
      <c r="D1512" s="279" t="s">
        <v>422</v>
      </c>
      <c r="E1512" s="278" t="s">
        <v>616</v>
      </c>
      <c r="F1512" s="278" t="s">
        <v>1445</v>
      </c>
      <c r="G1512" s="280">
        <v>8204581</v>
      </c>
      <c r="H1512" s="280">
        <v>0</v>
      </c>
      <c r="I1512" s="281">
        <v>8204581</v>
      </c>
      <c r="J1512" s="282"/>
      <c r="K1512" s="7"/>
    </row>
    <row r="1513" spans="1:11" ht="14.4" hidden="1" customHeight="1" x14ac:dyDescent="0.3">
      <c r="A1513" s="288" t="s">
        <v>1350</v>
      </c>
      <c r="B1513" s="288">
        <v>63</v>
      </c>
      <c r="C1513" s="289" t="s">
        <v>74</v>
      </c>
      <c r="D1513" s="288" t="s">
        <v>320</v>
      </c>
      <c r="E1513" s="290"/>
      <c r="F1513" s="289" t="s">
        <v>321</v>
      </c>
      <c r="G1513" s="291">
        <v>8204581</v>
      </c>
      <c r="H1513" s="291">
        <v>0</v>
      </c>
      <c r="I1513" s="292">
        <v>8204581</v>
      </c>
      <c r="J1513" s="292">
        <v>8204581</v>
      </c>
      <c r="K1513" s="293">
        <v>0</v>
      </c>
    </row>
    <row r="1514" spans="1:11" ht="14.4" hidden="1" customHeight="1" x14ac:dyDescent="0.3">
      <c r="A1514" s="278" t="s">
        <v>1350</v>
      </c>
      <c r="B1514" s="279">
        <v>64</v>
      </c>
      <c r="C1514" s="278" t="s">
        <v>76</v>
      </c>
      <c r="D1514" s="279" t="s">
        <v>405</v>
      </c>
      <c r="E1514" s="278"/>
      <c r="F1514" s="278" t="s">
        <v>1446</v>
      </c>
      <c r="G1514" s="280">
        <v>0</v>
      </c>
      <c r="H1514" s="280">
        <v>609672</v>
      </c>
      <c r="I1514" s="281">
        <v>-609672</v>
      </c>
      <c r="J1514" s="282"/>
      <c r="K1514" s="7"/>
    </row>
    <row r="1515" spans="1:11" ht="14.4" hidden="1" customHeight="1" x14ac:dyDescent="0.3">
      <c r="A1515" s="278" t="s">
        <v>1350</v>
      </c>
      <c r="B1515" s="279">
        <v>64</v>
      </c>
      <c r="C1515" s="278" t="s">
        <v>76</v>
      </c>
      <c r="D1515" s="279" t="s">
        <v>405</v>
      </c>
      <c r="E1515" s="278" t="s">
        <v>433</v>
      </c>
      <c r="F1515" s="278" t="s">
        <v>1447</v>
      </c>
      <c r="G1515" s="280">
        <v>646196.31999999995</v>
      </c>
      <c r="H1515" s="280">
        <v>0</v>
      </c>
      <c r="I1515" s="281">
        <v>646196.31999999995</v>
      </c>
      <c r="J1515" s="282"/>
      <c r="K1515" s="7"/>
    </row>
    <row r="1516" spans="1:11" ht="14.4" hidden="1" customHeight="1" x14ac:dyDescent="0.3">
      <c r="A1516" s="278" t="s">
        <v>1350</v>
      </c>
      <c r="B1516" s="279">
        <v>64</v>
      </c>
      <c r="C1516" s="278" t="s">
        <v>76</v>
      </c>
      <c r="D1516" s="279" t="s">
        <v>405</v>
      </c>
      <c r="E1516" s="278"/>
      <c r="F1516" s="278" t="s">
        <v>1448</v>
      </c>
      <c r="G1516" s="280">
        <v>661432</v>
      </c>
      <c r="H1516" s="280">
        <v>0</v>
      </c>
      <c r="I1516" s="281">
        <v>661432</v>
      </c>
      <c r="J1516" s="282"/>
      <c r="K1516" s="7"/>
    </row>
    <row r="1517" spans="1:11" ht="14.4" hidden="1" customHeight="1" x14ac:dyDescent="0.3">
      <c r="A1517" s="288" t="s">
        <v>1350</v>
      </c>
      <c r="B1517" s="288">
        <v>64</v>
      </c>
      <c r="C1517" s="289" t="s">
        <v>76</v>
      </c>
      <c r="D1517" s="288" t="s">
        <v>320</v>
      </c>
      <c r="E1517" s="290"/>
      <c r="F1517" s="289" t="s">
        <v>321</v>
      </c>
      <c r="G1517" s="291">
        <v>1307628.32</v>
      </c>
      <c r="H1517" s="291">
        <v>609672</v>
      </c>
      <c r="I1517" s="292">
        <v>697956.31999999983</v>
      </c>
      <c r="J1517" s="292">
        <v>697956.32</v>
      </c>
      <c r="K1517" s="293">
        <v>0</v>
      </c>
    </row>
    <row r="1518" spans="1:11" ht="14.4" hidden="1" customHeight="1" x14ac:dyDescent="0.3">
      <c r="A1518" s="278" t="s">
        <v>1350</v>
      </c>
      <c r="B1518" s="279">
        <v>65</v>
      </c>
      <c r="C1518" s="278" t="s">
        <v>78</v>
      </c>
      <c r="D1518" s="279" t="s">
        <v>422</v>
      </c>
      <c r="E1518" s="278" t="s">
        <v>435</v>
      </c>
      <c r="F1518" s="278" t="s">
        <v>1449</v>
      </c>
      <c r="G1518" s="280">
        <v>0</v>
      </c>
      <c r="H1518" s="280">
        <v>0.01</v>
      </c>
      <c r="I1518" s="281">
        <v>-0.01</v>
      </c>
      <c r="J1518" s="282"/>
      <c r="K1518" s="7"/>
    </row>
    <row r="1519" spans="1:11" ht="14.4" hidden="1" customHeight="1" x14ac:dyDescent="0.3">
      <c r="A1519" s="288" t="s">
        <v>1350</v>
      </c>
      <c r="B1519" s="288">
        <v>65</v>
      </c>
      <c r="C1519" s="289" t="s">
        <v>78</v>
      </c>
      <c r="D1519" s="288" t="s">
        <v>320</v>
      </c>
      <c r="E1519" s="290"/>
      <c r="F1519" s="289" t="s">
        <v>321</v>
      </c>
      <c r="G1519" s="291">
        <v>0</v>
      </c>
      <c r="H1519" s="291">
        <v>0.01</v>
      </c>
      <c r="I1519" s="292">
        <v>-0.01</v>
      </c>
      <c r="J1519" s="292">
        <v>-0.01</v>
      </c>
      <c r="K1519" s="293">
        <v>0</v>
      </c>
    </row>
    <row r="1520" spans="1:11" ht="22.8" hidden="1" customHeight="1" x14ac:dyDescent="0.3">
      <c r="A1520" s="278" t="s">
        <v>1350</v>
      </c>
      <c r="B1520" s="279">
        <v>66</v>
      </c>
      <c r="C1520" s="278" t="s">
        <v>80</v>
      </c>
      <c r="D1520" s="279" t="s">
        <v>405</v>
      </c>
      <c r="E1520" s="278" t="s">
        <v>438</v>
      </c>
      <c r="F1520" s="278" t="s">
        <v>1450</v>
      </c>
      <c r="G1520" s="280">
        <v>1593240</v>
      </c>
      <c r="H1520" s="280">
        <v>0</v>
      </c>
      <c r="I1520" s="281">
        <v>1593240</v>
      </c>
      <c r="J1520" s="282"/>
      <c r="K1520" s="7"/>
    </row>
    <row r="1521" spans="1:11" ht="14.4" hidden="1" customHeight="1" x14ac:dyDescent="0.3">
      <c r="A1521" s="288" t="s">
        <v>1350</v>
      </c>
      <c r="B1521" s="288">
        <v>66</v>
      </c>
      <c r="C1521" s="289" t="s">
        <v>80</v>
      </c>
      <c r="D1521" s="288" t="s">
        <v>320</v>
      </c>
      <c r="E1521" s="290"/>
      <c r="F1521" s="289" t="s">
        <v>321</v>
      </c>
      <c r="G1521" s="291">
        <v>1593240</v>
      </c>
      <c r="H1521" s="291">
        <v>0</v>
      </c>
      <c r="I1521" s="292">
        <v>1593240</v>
      </c>
      <c r="J1521" s="292">
        <v>1593240</v>
      </c>
      <c r="K1521" s="293">
        <v>0</v>
      </c>
    </row>
    <row r="1522" spans="1:11" ht="14.4" hidden="1" customHeight="1" x14ac:dyDescent="0.3">
      <c r="A1522" s="278" t="s">
        <v>1350</v>
      </c>
      <c r="B1522" s="279">
        <v>69</v>
      </c>
      <c r="C1522" s="278" t="s">
        <v>86</v>
      </c>
      <c r="D1522" s="279" t="s">
        <v>405</v>
      </c>
      <c r="E1522" s="278" t="s">
        <v>438</v>
      </c>
      <c r="F1522" s="278" t="s">
        <v>1451</v>
      </c>
      <c r="G1522" s="280">
        <v>11727.32</v>
      </c>
      <c r="H1522" s="280">
        <v>0</v>
      </c>
      <c r="I1522" s="281">
        <v>11727.32</v>
      </c>
      <c r="J1522" s="282"/>
      <c r="K1522" s="7"/>
    </row>
    <row r="1523" spans="1:11" ht="14.4" hidden="1" customHeight="1" x14ac:dyDescent="0.3">
      <c r="A1523" s="288" t="s">
        <v>1350</v>
      </c>
      <c r="B1523" s="288">
        <v>69</v>
      </c>
      <c r="C1523" s="289" t="s">
        <v>86</v>
      </c>
      <c r="D1523" s="288" t="s">
        <v>320</v>
      </c>
      <c r="E1523" s="290"/>
      <c r="F1523" s="289" t="s">
        <v>321</v>
      </c>
      <c r="G1523" s="291">
        <v>11727.32</v>
      </c>
      <c r="H1523" s="291">
        <v>0</v>
      </c>
      <c r="I1523" s="292">
        <v>11727.32</v>
      </c>
      <c r="J1523" s="292">
        <v>11727.32</v>
      </c>
      <c r="K1523" s="293">
        <v>0</v>
      </c>
    </row>
    <row r="1524" spans="1:11" ht="14.4" hidden="1" customHeight="1" x14ac:dyDescent="0.3">
      <c r="A1524" s="278" t="s">
        <v>1350</v>
      </c>
      <c r="B1524" s="279">
        <v>71</v>
      </c>
      <c r="C1524" s="278" t="s">
        <v>89</v>
      </c>
      <c r="D1524" s="279" t="s">
        <v>444</v>
      </c>
      <c r="E1524" s="278"/>
      <c r="F1524" s="278" t="s">
        <v>1452</v>
      </c>
      <c r="G1524" s="280">
        <v>3464932.49</v>
      </c>
      <c r="H1524" s="280">
        <v>0</v>
      </c>
      <c r="I1524" s="281">
        <v>3464932.49</v>
      </c>
      <c r="J1524" s="282"/>
      <c r="K1524" s="7"/>
    </row>
    <row r="1525" spans="1:11" ht="14.4" hidden="1" customHeight="1" x14ac:dyDescent="0.3">
      <c r="A1525" s="278" t="s">
        <v>1350</v>
      </c>
      <c r="B1525" s="279">
        <v>71</v>
      </c>
      <c r="C1525" s="278" t="s">
        <v>89</v>
      </c>
      <c r="D1525" s="279" t="s">
        <v>444</v>
      </c>
      <c r="E1525" s="278"/>
      <c r="F1525" s="278" t="s">
        <v>1453</v>
      </c>
      <c r="G1525" s="280">
        <v>1817356.27</v>
      </c>
      <c r="H1525" s="280">
        <v>0</v>
      </c>
      <c r="I1525" s="281">
        <v>1817356.27</v>
      </c>
      <c r="J1525" s="282"/>
      <c r="K1525" s="7"/>
    </row>
    <row r="1526" spans="1:11" ht="14.4" hidden="1" customHeight="1" x14ac:dyDescent="0.3">
      <c r="A1526" s="278" t="s">
        <v>1350</v>
      </c>
      <c r="B1526" s="279">
        <v>71</v>
      </c>
      <c r="C1526" s="278" t="s">
        <v>89</v>
      </c>
      <c r="D1526" s="279" t="s">
        <v>444</v>
      </c>
      <c r="E1526" s="278"/>
      <c r="F1526" s="278" t="s">
        <v>1454</v>
      </c>
      <c r="G1526" s="280">
        <v>40831.879999999997</v>
      </c>
      <c r="H1526" s="280">
        <v>0</v>
      </c>
      <c r="I1526" s="281">
        <v>40831.879999999997</v>
      </c>
      <c r="J1526" s="282"/>
      <c r="K1526" s="7"/>
    </row>
    <row r="1527" spans="1:11" ht="14.4" hidden="1" customHeight="1" x14ac:dyDescent="0.3">
      <c r="A1527" s="288" t="s">
        <v>1350</v>
      </c>
      <c r="B1527" s="288">
        <v>71</v>
      </c>
      <c r="C1527" s="289" t="s">
        <v>89</v>
      </c>
      <c r="D1527" s="288" t="s">
        <v>320</v>
      </c>
      <c r="E1527" s="290"/>
      <c r="F1527" s="289" t="s">
        <v>321</v>
      </c>
      <c r="G1527" s="291">
        <v>5323120.6399999997</v>
      </c>
      <c r="H1527" s="291">
        <v>0</v>
      </c>
      <c r="I1527" s="292">
        <v>5323120.6399999997</v>
      </c>
      <c r="J1527" s="292">
        <v>5323120.6399999997</v>
      </c>
      <c r="K1527" s="293">
        <v>0</v>
      </c>
    </row>
    <row r="1528" spans="1:11" ht="14.4" hidden="1" customHeight="1" x14ac:dyDescent="0.3">
      <c r="A1528" s="278" t="s">
        <v>1350</v>
      </c>
      <c r="B1528" s="279">
        <v>74</v>
      </c>
      <c r="C1528" s="278" t="s">
        <v>92</v>
      </c>
      <c r="D1528" s="279" t="s">
        <v>422</v>
      </c>
      <c r="E1528" s="278" t="s">
        <v>1455</v>
      </c>
      <c r="F1528" s="278" t="s">
        <v>1456</v>
      </c>
      <c r="G1528" s="280">
        <v>9867000</v>
      </c>
      <c r="H1528" s="280">
        <v>0</v>
      </c>
      <c r="I1528" s="281">
        <v>9867000</v>
      </c>
      <c r="J1528" s="282"/>
      <c r="K1528" s="7"/>
    </row>
    <row r="1529" spans="1:11" ht="14.4" hidden="1" customHeight="1" x14ac:dyDescent="0.3">
      <c r="A1529" s="288" t="s">
        <v>1350</v>
      </c>
      <c r="B1529" s="288">
        <v>74</v>
      </c>
      <c r="C1529" s="289" t="s">
        <v>92</v>
      </c>
      <c r="D1529" s="288" t="s">
        <v>320</v>
      </c>
      <c r="E1529" s="290"/>
      <c r="F1529" s="289" t="s">
        <v>321</v>
      </c>
      <c r="G1529" s="291">
        <v>9867000</v>
      </c>
      <c r="H1529" s="291">
        <v>0</v>
      </c>
      <c r="I1529" s="292">
        <v>9867000</v>
      </c>
      <c r="J1529" s="292">
        <v>9867000</v>
      </c>
      <c r="K1529" s="293">
        <v>0</v>
      </c>
    </row>
    <row r="1530" spans="1:11" ht="14.4" hidden="1" customHeight="1" x14ac:dyDescent="0.3">
      <c r="A1530" s="278" t="s">
        <v>1350</v>
      </c>
      <c r="B1530" s="279">
        <v>76</v>
      </c>
      <c r="C1530" s="278" t="s">
        <v>96</v>
      </c>
      <c r="D1530" s="279" t="s">
        <v>448</v>
      </c>
      <c r="E1530" s="278" t="s">
        <v>449</v>
      </c>
      <c r="F1530" s="278" t="s">
        <v>1457</v>
      </c>
      <c r="G1530" s="280">
        <v>11526916.359999999</v>
      </c>
      <c r="H1530" s="280">
        <v>0</v>
      </c>
      <c r="I1530" s="281">
        <v>11526916.359999999</v>
      </c>
      <c r="J1530" s="282"/>
      <c r="K1530" s="7"/>
    </row>
    <row r="1531" spans="1:11" ht="14.4" hidden="1" customHeight="1" x14ac:dyDescent="0.3">
      <c r="A1531" s="288" t="s">
        <v>1350</v>
      </c>
      <c r="B1531" s="288">
        <v>76</v>
      </c>
      <c r="C1531" s="289" t="s">
        <v>96</v>
      </c>
      <c r="D1531" s="288" t="s">
        <v>320</v>
      </c>
      <c r="E1531" s="290"/>
      <c r="F1531" s="289" t="s">
        <v>321</v>
      </c>
      <c r="G1531" s="291">
        <v>11526916.359999999</v>
      </c>
      <c r="H1531" s="291">
        <v>0</v>
      </c>
      <c r="I1531" s="292">
        <v>11526916.359999999</v>
      </c>
      <c r="J1531" s="292">
        <v>11526916.359999999</v>
      </c>
      <c r="K1531" s="293">
        <v>0</v>
      </c>
    </row>
    <row r="1532" spans="1:11" ht="14.4" hidden="1" customHeight="1" x14ac:dyDescent="0.3">
      <c r="A1532" s="278" t="s">
        <v>1350</v>
      </c>
      <c r="B1532" s="279">
        <v>78</v>
      </c>
      <c r="C1532" s="278" t="s">
        <v>100</v>
      </c>
      <c r="D1532" s="279" t="s">
        <v>451</v>
      </c>
      <c r="E1532" s="278" t="s">
        <v>452</v>
      </c>
      <c r="F1532" s="278" t="s">
        <v>1458</v>
      </c>
      <c r="G1532" s="280">
        <v>2278935</v>
      </c>
      <c r="H1532" s="280">
        <v>0</v>
      </c>
      <c r="I1532" s="281">
        <v>2278935</v>
      </c>
      <c r="J1532" s="282"/>
      <c r="K1532" s="7"/>
    </row>
    <row r="1533" spans="1:11" ht="14.4" hidden="1" customHeight="1" x14ac:dyDescent="0.3">
      <c r="A1533" s="278" t="s">
        <v>1350</v>
      </c>
      <c r="B1533" s="279">
        <v>78</v>
      </c>
      <c r="C1533" s="278" t="s">
        <v>100</v>
      </c>
      <c r="D1533" s="279" t="s">
        <v>451</v>
      </c>
      <c r="E1533" s="278" t="s">
        <v>452</v>
      </c>
      <c r="F1533" s="278" t="s">
        <v>1459</v>
      </c>
      <c r="G1533" s="280">
        <v>0.36</v>
      </c>
      <c r="H1533" s="280">
        <v>0</v>
      </c>
      <c r="I1533" s="281">
        <v>0.36</v>
      </c>
      <c r="J1533" s="282"/>
      <c r="K1533" s="7"/>
    </row>
    <row r="1534" spans="1:11" ht="14.4" hidden="1" customHeight="1" x14ac:dyDescent="0.3">
      <c r="A1534" s="288" t="s">
        <v>1350</v>
      </c>
      <c r="B1534" s="288">
        <v>78</v>
      </c>
      <c r="C1534" s="289" t="s">
        <v>100</v>
      </c>
      <c r="D1534" s="288" t="s">
        <v>320</v>
      </c>
      <c r="E1534" s="290"/>
      <c r="F1534" s="289" t="s">
        <v>321</v>
      </c>
      <c r="G1534" s="291">
        <v>2278935.36</v>
      </c>
      <c r="H1534" s="291">
        <v>0</v>
      </c>
      <c r="I1534" s="292">
        <v>2278935.36</v>
      </c>
      <c r="J1534" s="292">
        <v>2278935.36</v>
      </c>
      <c r="K1534" s="293">
        <v>0</v>
      </c>
    </row>
    <row r="1535" spans="1:11" ht="14.4" hidden="1" customHeight="1" x14ac:dyDescent="0.3">
      <c r="A1535" s="278" t="s">
        <v>1350</v>
      </c>
      <c r="B1535" s="279">
        <v>82</v>
      </c>
      <c r="C1535" s="278" t="s">
        <v>104</v>
      </c>
      <c r="D1535" s="279" t="s">
        <v>451</v>
      </c>
      <c r="E1535" s="278"/>
      <c r="F1535" s="278" t="s">
        <v>1460</v>
      </c>
      <c r="G1535" s="280">
        <v>0</v>
      </c>
      <c r="H1535" s="280">
        <v>4025000</v>
      </c>
      <c r="I1535" s="281">
        <v>-4025000</v>
      </c>
      <c r="J1535" s="282"/>
      <c r="K1535" s="7"/>
    </row>
    <row r="1536" spans="1:11" ht="14.4" hidden="1" customHeight="1" x14ac:dyDescent="0.3">
      <c r="A1536" s="278" t="s">
        <v>1350</v>
      </c>
      <c r="B1536" s="279">
        <v>82</v>
      </c>
      <c r="C1536" s="278" t="s">
        <v>104</v>
      </c>
      <c r="D1536" s="279" t="s">
        <v>451</v>
      </c>
      <c r="E1536" s="278"/>
      <c r="F1536" s="278" t="s">
        <v>1461</v>
      </c>
      <c r="G1536" s="280">
        <v>0</v>
      </c>
      <c r="H1536" s="280">
        <v>11155000</v>
      </c>
      <c r="I1536" s="281">
        <v>-11155000</v>
      </c>
      <c r="J1536" s="282"/>
      <c r="K1536" s="7"/>
    </row>
    <row r="1537" spans="1:11" ht="14.4" hidden="1" customHeight="1" x14ac:dyDescent="0.3">
      <c r="A1537" s="278" t="s">
        <v>1350</v>
      </c>
      <c r="B1537" s="279">
        <v>82</v>
      </c>
      <c r="C1537" s="278" t="s">
        <v>104</v>
      </c>
      <c r="D1537" s="279" t="s">
        <v>451</v>
      </c>
      <c r="E1537" s="278" t="s">
        <v>455</v>
      </c>
      <c r="F1537" s="278" t="s">
        <v>1462</v>
      </c>
      <c r="G1537" s="280">
        <v>3898957</v>
      </c>
      <c r="H1537" s="280">
        <v>0</v>
      </c>
      <c r="I1537" s="281">
        <v>3898957</v>
      </c>
      <c r="J1537" s="282"/>
      <c r="K1537" s="7"/>
    </row>
    <row r="1538" spans="1:11" ht="22.8" hidden="1" customHeight="1" x14ac:dyDescent="0.3">
      <c r="A1538" s="278" t="s">
        <v>1350</v>
      </c>
      <c r="B1538" s="279">
        <v>82</v>
      </c>
      <c r="C1538" s="278" t="s">
        <v>104</v>
      </c>
      <c r="D1538" s="279" t="s">
        <v>451</v>
      </c>
      <c r="E1538" s="278" t="s">
        <v>455</v>
      </c>
      <c r="F1538" s="278" t="s">
        <v>1463</v>
      </c>
      <c r="G1538" s="280">
        <v>11635848</v>
      </c>
      <c r="H1538" s="280">
        <v>0</v>
      </c>
      <c r="I1538" s="281">
        <v>11635848</v>
      </c>
      <c r="J1538" s="282"/>
      <c r="K1538" s="7"/>
    </row>
    <row r="1539" spans="1:11" ht="14.4" hidden="1" customHeight="1" x14ac:dyDescent="0.3">
      <c r="A1539" s="278" t="s">
        <v>1350</v>
      </c>
      <c r="B1539" s="279">
        <v>82</v>
      </c>
      <c r="C1539" s="278" t="s">
        <v>104</v>
      </c>
      <c r="D1539" s="279" t="s">
        <v>451</v>
      </c>
      <c r="E1539" s="278"/>
      <c r="F1539" s="278" t="s">
        <v>1464</v>
      </c>
      <c r="G1539" s="280">
        <v>4000000</v>
      </c>
      <c r="H1539" s="280">
        <v>0</v>
      </c>
      <c r="I1539" s="281">
        <v>4000000</v>
      </c>
      <c r="J1539" s="282"/>
      <c r="K1539" s="7"/>
    </row>
    <row r="1540" spans="1:11" ht="14.4" hidden="1" customHeight="1" x14ac:dyDescent="0.3">
      <c r="A1540" s="278" t="s">
        <v>1350</v>
      </c>
      <c r="B1540" s="279">
        <v>82</v>
      </c>
      <c r="C1540" s="278" t="s">
        <v>104</v>
      </c>
      <c r="D1540" s="279" t="s">
        <v>451</v>
      </c>
      <c r="E1540" s="278"/>
      <c r="F1540" s="278" t="s">
        <v>1465</v>
      </c>
      <c r="G1540" s="280">
        <v>11600000</v>
      </c>
      <c r="H1540" s="280">
        <v>0</v>
      </c>
      <c r="I1540" s="281">
        <v>11600000</v>
      </c>
      <c r="J1540" s="282"/>
      <c r="K1540" s="7"/>
    </row>
    <row r="1541" spans="1:11" ht="14.4" hidden="1" customHeight="1" x14ac:dyDescent="0.3">
      <c r="A1541" s="288" t="s">
        <v>1350</v>
      </c>
      <c r="B1541" s="288">
        <v>82</v>
      </c>
      <c r="C1541" s="289" t="s">
        <v>104</v>
      </c>
      <c r="D1541" s="288" t="s">
        <v>320</v>
      </c>
      <c r="E1541" s="290"/>
      <c r="F1541" s="289" t="s">
        <v>321</v>
      </c>
      <c r="G1541" s="291">
        <v>31134805</v>
      </c>
      <c r="H1541" s="291">
        <v>15180000</v>
      </c>
      <c r="I1541" s="292">
        <v>15954805</v>
      </c>
      <c r="J1541" s="292">
        <v>15954805</v>
      </c>
      <c r="K1541" s="293">
        <v>0</v>
      </c>
    </row>
    <row r="1542" spans="1:11" ht="22.8" hidden="1" customHeight="1" x14ac:dyDescent="0.3">
      <c r="A1542" s="278" t="s">
        <v>1350</v>
      </c>
      <c r="B1542" s="279">
        <v>83</v>
      </c>
      <c r="C1542" s="278" t="s">
        <v>107</v>
      </c>
      <c r="D1542" s="279" t="s">
        <v>448</v>
      </c>
      <c r="E1542" s="278" t="s">
        <v>459</v>
      </c>
      <c r="F1542" s="278" t="s">
        <v>1466</v>
      </c>
      <c r="G1542" s="280">
        <v>6551585.0999999996</v>
      </c>
      <c r="H1542" s="280">
        <v>0</v>
      </c>
      <c r="I1542" s="281">
        <v>6551585.0999999996</v>
      </c>
      <c r="J1542" s="282"/>
      <c r="K1542" s="7"/>
    </row>
    <row r="1543" spans="1:11" ht="14.4" hidden="1" customHeight="1" x14ac:dyDescent="0.3">
      <c r="A1543" s="278" t="s">
        <v>1350</v>
      </c>
      <c r="B1543" s="279">
        <v>83</v>
      </c>
      <c r="C1543" s="278" t="s">
        <v>107</v>
      </c>
      <c r="D1543" s="279" t="s">
        <v>448</v>
      </c>
      <c r="E1543" s="278" t="s">
        <v>459</v>
      </c>
      <c r="F1543" s="278" t="s">
        <v>1466</v>
      </c>
      <c r="G1543" s="280">
        <v>0.21</v>
      </c>
      <c r="H1543" s="280">
        <v>0</v>
      </c>
      <c r="I1543" s="281">
        <v>0.21</v>
      </c>
      <c r="J1543" s="282"/>
      <c r="K1543" s="7"/>
    </row>
    <row r="1544" spans="1:11" ht="14.4" hidden="1" customHeight="1" x14ac:dyDescent="0.3">
      <c r="A1544" s="288" t="s">
        <v>1350</v>
      </c>
      <c r="B1544" s="288">
        <v>83</v>
      </c>
      <c r="C1544" s="289" t="s">
        <v>107</v>
      </c>
      <c r="D1544" s="288" t="s">
        <v>320</v>
      </c>
      <c r="E1544" s="290"/>
      <c r="F1544" s="289" t="s">
        <v>321</v>
      </c>
      <c r="G1544" s="291">
        <v>6551585.3099999996</v>
      </c>
      <c r="H1544" s="291">
        <v>0</v>
      </c>
      <c r="I1544" s="292">
        <v>6551585.3099999996</v>
      </c>
      <c r="J1544" s="292">
        <v>6551585.3099999996</v>
      </c>
      <c r="K1544" s="293">
        <v>0</v>
      </c>
    </row>
    <row r="1545" spans="1:11" ht="14.4" hidden="1" customHeight="1" x14ac:dyDescent="0.3">
      <c r="A1545" s="278" t="s">
        <v>1350</v>
      </c>
      <c r="B1545" s="279">
        <v>84</v>
      </c>
      <c r="C1545" s="278" t="s">
        <v>110</v>
      </c>
      <c r="D1545" s="279" t="s">
        <v>425</v>
      </c>
      <c r="E1545" s="278"/>
      <c r="F1545" s="278" t="s">
        <v>1467</v>
      </c>
      <c r="G1545" s="280">
        <v>0</v>
      </c>
      <c r="H1545" s="280">
        <v>623250</v>
      </c>
      <c r="I1545" s="281">
        <v>-623250</v>
      </c>
      <c r="J1545" s="282"/>
      <c r="K1545" s="7"/>
    </row>
    <row r="1546" spans="1:11" ht="14.4" hidden="1" customHeight="1" x14ac:dyDescent="0.3">
      <c r="A1546" s="278" t="s">
        <v>1350</v>
      </c>
      <c r="B1546" s="279">
        <v>84</v>
      </c>
      <c r="C1546" s="278" t="s">
        <v>110</v>
      </c>
      <c r="D1546" s="279" t="s">
        <v>425</v>
      </c>
      <c r="E1546" s="278"/>
      <c r="F1546" s="278" t="s">
        <v>1468</v>
      </c>
      <c r="G1546" s="280">
        <v>0</v>
      </c>
      <c r="H1546" s="280">
        <v>5964342</v>
      </c>
      <c r="I1546" s="281">
        <v>-5964342</v>
      </c>
      <c r="J1546" s="282"/>
      <c r="K1546" s="7"/>
    </row>
    <row r="1547" spans="1:11" ht="14.4" hidden="1" customHeight="1" x14ac:dyDescent="0.3">
      <c r="A1547" s="278" t="s">
        <v>1350</v>
      </c>
      <c r="B1547" s="279">
        <v>84</v>
      </c>
      <c r="C1547" s="278" t="s">
        <v>110</v>
      </c>
      <c r="D1547" s="279" t="s">
        <v>425</v>
      </c>
      <c r="E1547" s="278" t="s">
        <v>466</v>
      </c>
      <c r="F1547" s="278" t="s">
        <v>1469</v>
      </c>
      <c r="G1547" s="280">
        <v>8031.25</v>
      </c>
      <c r="H1547" s="280">
        <v>0</v>
      </c>
      <c r="I1547" s="281">
        <v>8031.25</v>
      </c>
      <c r="J1547" s="282"/>
      <c r="K1547" s="7"/>
    </row>
    <row r="1548" spans="1:11" ht="14.4" hidden="1" customHeight="1" x14ac:dyDescent="0.3">
      <c r="A1548" s="278" t="s">
        <v>1350</v>
      </c>
      <c r="B1548" s="279">
        <v>84</v>
      </c>
      <c r="C1548" s="278" t="s">
        <v>110</v>
      </c>
      <c r="D1548" s="279" t="s">
        <v>425</v>
      </c>
      <c r="E1548" s="278" t="s">
        <v>737</v>
      </c>
      <c r="F1548" s="278" t="s">
        <v>1469</v>
      </c>
      <c r="G1548" s="280">
        <v>97285</v>
      </c>
      <c r="H1548" s="280">
        <v>0</v>
      </c>
      <c r="I1548" s="281">
        <v>97285</v>
      </c>
      <c r="J1548" s="282"/>
      <c r="K1548" s="7"/>
    </row>
    <row r="1549" spans="1:11" ht="22.8" hidden="1" customHeight="1" x14ac:dyDescent="0.3">
      <c r="A1549" s="278" t="s">
        <v>1350</v>
      </c>
      <c r="B1549" s="279">
        <v>84</v>
      </c>
      <c r="C1549" s="278" t="s">
        <v>110</v>
      </c>
      <c r="D1549" s="279" t="s">
        <v>425</v>
      </c>
      <c r="E1549" s="278" t="s">
        <v>469</v>
      </c>
      <c r="F1549" s="278" t="s">
        <v>1469</v>
      </c>
      <c r="G1549" s="280">
        <v>963421.25</v>
      </c>
      <c r="H1549" s="280">
        <v>0</v>
      </c>
      <c r="I1549" s="281">
        <v>963421.25</v>
      </c>
      <c r="J1549" s="282"/>
      <c r="K1549" s="7"/>
    </row>
    <row r="1550" spans="1:11" ht="14.4" hidden="1" customHeight="1" x14ac:dyDescent="0.3">
      <c r="A1550" s="278" t="s">
        <v>1350</v>
      </c>
      <c r="B1550" s="279">
        <v>84</v>
      </c>
      <c r="C1550" s="278" t="s">
        <v>110</v>
      </c>
      <c r="D1550" s="279" t="s">
        <v>425</v>
      </c>
      <c r="E1550" s="278" t="s">
        <v>470</v>
      </c>
      <c r="F1550" s="278" t="s">
        <v>1469</v>
      </c>
      <c r="G1550" s="280">
        <v>52643.74</v>
      </c>
      <c r="H1550" s="280">
        <v>0</v>
      </c>
      <c r="I1550" s="281">
        <v>52643.74</v>
      </c>
      <c r="J1550" s="282"/>
      <c r="K1550" s="7"/>
    </row>
    <row r="1551" spans="1:11" ht="14.4" hidden="1" customHeight="1" x14ac:dyDescent="0.3">
      <c r="A1551" s="278" t="s">
        <v>1350</v>
      </c>
      <c r="B1551" s="279">
        <v>84</v>
      </c>
      <c r="C1551" s="278" t="s">
        <v>110</v>
      </c>
      <c r="D1551" s="279" t="s">
        <v>425</v>
      </c>
      <c r="E1551" s="278" t="s">
        <v>743</v>
      </c>
      <c r="F1551" s="278" t="s">
        <v>1469</v>
      </c>
      <c r="G1551" s="280">
        <v>1013263.74</v>
      </c>
      <c r="H1551" s="280">
        <v>0</v>
      </c>
      <c r="I1551" s="281">
        <v>1013263.74</v>
      </c>
      <c r="J1551" s="282"/>
      <c r="K1551" s="7"/>
    </row>
    <row r="1552" spans="1:11" ht="22.8" hidden="1" customHeight="1" x14ac:dyDescent="0.3">
      <c r="A1552" s="278" t="s">
        <v>1350</v>
      </c>
      <c r="B1552" s="279">
        <v>84</v>
      </c>
      <c r="C1552" s="278" t="s">
        <v>110</v>
      </c>
      <c r="D1552" s="279" t="s">
        <v>425</v>
      </c>
      <c r="E1552" s="278" t="s">
        <v>464</v>
      </c>
      <c r="F1552" s="278" t="s">
        <v>1470</v>
      </c>
      <c r="G1552" s="280">
        <v>2069680.34</v>
      </c>
      <c r="H1552" s="280">
        <v>0</v>
      </c>
      <c r="I1552" s="281">
        <v>2069680.34</v>
      </c>
      <c r="J1552" s="282"/>
      <c r="K1552" s="7"/>
    </row>
    <row r="1553" spans="1:11" ht="14.4" hidden="1" customHeight="1" x14ac:dyDescent="0.3">
      <c r="A1553" s="278" t="s">
        <v>1350</v>
      </c>
      <c r="B1553" s="279">
        <v>84</v>
      </c>
      <c r="C1553" s="278" t="s">
        <v>110</v>
      </c>
      <c r="D1553" s="279" t="s">
        <v>425</v>
      </c>
      <c r="E1553" s="278" t="s">
        <v>467</v>
      </c>
      <c r="F1553" s="278" t="s">
        <v>1469</v>
      </c>
      <c r="G1553" s="280">
        <v>180152.49</v>
      </c>
      <c r="H1553" s="280">
        <v>0</v>
      </c>
      <c r="I1553" s="281">
        <v>180152.49</v>
      </c>
      <c r="J1553" s="282"/>
      <c r="K1553" s="7"/>
    </row>
    <row r="1554" spans="1:11" ht="14.4" hidden="1" customHeight="1" x14ac:dyDescent="0.3">
      <c r="A1554" s="278" t="s">
        <v>1350</v>
      </c>
      <c r="B1554" s="279">
        <v>84</v>
      </c>
      <c r="C1554" s="278" t="s">
        <v>110</v>
      </c>
      <c r="D1554" s="279" t="s">
        <v>425</v>
      </c>
      <c r="E1554" s="278" t="s">
        <v>467</v>
      </c>
      <c r="F1554" s="278" t="s">
        <v>1469</v>
      </c>
      <c r="G1554" s="280">
        <v>0.01</v>
      </c>
      <c r="H1554" s="280">
        <v>0</v>
      </c>
      <c r="I1554" s="281">
        <v>0.01</v>
      </c>
      <c r="J1554" s="282"/>
      <c r="K1554" s="7"/>
    </row>
    <row r="1555" spans="1:11" ht="14.4" hidden="1" customHeight="1" x14ac:dyDescent="0.3">
      <c r="A1555" s="278" t="s">
        <v>1350</v>
      </c>
      <c r="B1555" s="279">
        <v>84</v>
      </c>
      <c r="C1555" s="278" t="s">
        <v>110</v>
      </c>
      <c r="D1555" s="279" t="s">
        <v>425</v>
      </c>
      <c r="E1555" s="278" t="s">
        <v>747</v>
      </c>
      <c r="F1555" s="278" t="s">
        <v>1469</v>
      </c>
      <c r="G1555" s="280">
        <v>968402.5</v>
      </c>
      <c r="H1555" s="280">
        <v>0</v>
      </c>
      <c r="I1555" s="281">
        <v>968402.5</v>
      </c>
      <c r="J1555" s="282"/>
      <c r="K1555" s="7"/>
    </row>
    <row r="1556" spans="1:11" ht="14.4" hidden="1" customHeight="1" x14ac:dyDescent="0.3">
      <c r="A1556" s="278" t="s">
        <v>1350</v>
      </c>
      <c r="B1556" s="279">
        <v>84</v>
      </c>
      <c r="C1556" s="278" t="s">
        <v>110</v>
      </c>
      <c r="D1556" s="279" t="s">
        <v>425</v>
      </c>
      <c r="E1556" s="278" t="s">
        <v>465</v>
      </c>
      <c r="F1556" s="278" t="s">
        <v>1471</v>
      </c>
      <c r="G1556" s="280">
        <v>169282.5</v>
      </c>
      <c r="H1556" s="280">
        <v>0</v>
      </c>
      <c r="I1556" s="281">
        <v>169282.5</v>
      </c>
      <c r="J1556" s="282"/>
      <c r="K1556" s="7"/>
    </row>
    <row r="1557" spans="1:11" ht="14.4" hidden="1" customHeight="1" x14ac:dyDescent="0.3">
      <c r="A1557" s="278" t="s">
        <v>1350</v>
      </c>
      <c r="B1557" s="279">
        <v>84</v>
      </c>
      <c r="C1557" s="278" t="s">
        <v>110</v>
      </c>
      <c r="D1557" s="279" t="s">
        <v>425</v>
      </c>
      <c r="E1557" s="278" t="s">
        <v>468</v>
      </c>
      <c r="F1557" s="278" t="s">
        <v>1472</v>
      </c>
      <c r="G1557" s="280">
        <v>400</v>
      </c>
      <c r="H1557" s="280">
        <v>0</v>
      </c>
      <c r="I1557" s="281">
        <v>400</v>
      </c>
      <c r="J1557" s="282"/>
      <c r="K1557" s="7"/>
    </row>
    <row r="1558" spans="1:11" ht="22.8" hidden="1" customHeight="1" x14ac:dyDescent="0.3">
      <c r="A1558" s="278" t="s">
        <v>1350</v>
      </c>
      <c r="B1558" s="279">
        <v>84</v>
      </c>
      <c r="C1558" s="278" t="s">
        <v>110</v>
      </c>
      <c r="D1558" s="279" t="s">
        <v>425</v>
      </c>
      <c r="E1558" s="278"/>
      <c r="F1558" s="278" t="s">
        <v>1473</v>
      </c>
      <c r="G1558" s="280">
        <v>623250</v>
      </c>
      <c r="H1558" s="280">
        <v>0</v>
      </c>
      <c r="I1558" s="281">
        <v>623250</v>
      </c>
      <c r="J1558" s="282"/>
      <c r="K1558" s="7"/>
    </row>
    <row r="1559" spans="1:11" ht="14.4" hidden="1" customHeight="1" x14ac:dyDescent="0.3">
      <c r="A1559" s="278" t="s">
        <v>1350</v>
      </c>
      <c r="B1559" s="279">
        <v>84</v>
      </c>
      <c r="C1559" s="278" t="s">
        <v>110</v>
      </c>
      <c r="D1559" s="279" t="s">
        <v>425</v>
      </c>
      <c r="E1559" s="278"/>
      <c r="F1559" s="278" t="s">
        <v>1474</v>
      </c>
      <c r="G1559" s="280">
        <v>4489000</v>
      </c>
      <c r="H1559" s="280">
        <v>0</v>
      </c>
      <c r="I1559" s="281">
        <v>4489000</v>
      </c>
      <c r="J1559" s="282"/>
      <c r="K1559" s="7"/>
    </row>
    <row r="1560" spans="1:11" ht="14.4" hidden="1" customHeight="1" x14ac:dyDescent="0.3">
      <c r="A1560" s="278" t="s">
        <v>1350</v>
      </c>
      <c r="B1560" s="279">
        <v>84</v>
      </c>
      <c r="C1560" s="278" t="s">
        <v>110</v>
      </c>
      <c r="D1560" s="279" t="s">
        <v>425</v>
      </c>
      <c r="E1560" s="278" t="s">
        <v>423</v>
      </c>
      <c r="F1560" s="278" t="s">
        <v>1218</v>
      </c>
      <c r="G1560" s="280">
        <v>29073.75</v>
      </c>
      <c r="H1560" s="280">
        <v>0</v>
      </c>
      <c r="I1560" s="281">
        <v>29073.75</v>
      </c>
      <c r="J1560" s="282"/>
      <c r="K1560" s="7"/>
    </row>
    <row r="1561" spans="1:11" ht="14.4" hidden="1" customHeight="1" x14ac:dyDescent="0.3">
      <c r="A1561" s="278" t="s">
        <v>1350</v>
      </c>
      <c r="B1561" s="279">
        <v>84</v>
      </c>
      <c r="C1561" s="278" t="s">
        <v>110</v>
      </c>
      <c r="D1561" s="279" t="s">
        <v>425</v>
      </c>
      <c r="E1561" s="278" t="s">
        <v>423</v>
      </c>
      <c r="F1561" s="278" t="s">
        <v>1470</v>
      </c>
      <c r="G1561" s="280">
        <v>24397.5</v>
      </c>
      <c r="H1561" s="280">
        <v>0</v>
      </c>
      <c r="I1561" s="281">
        <v>24397.5</v>
      </c>
      <c r="J1561" s="282"/>
      <c r="K1561" s="7"/>
    </row>
    <row r="1562" spans="1:11" ht="14.4" hidden="1" customHeight="1" x14ac:dyDescent="0.3">
      <c r="A1562" s="288" t="s">
        <v>1350</v>
      </c>
      <c r="B1562" s="288">
        <v>84</v>
      </c>
      <c r="C1562" s="289" t="s">
        <v>110</v>
      </c>
      <c r="D1562" s="288" t="s">
        <v>320</v>
      </c>
      <c r="E1562" s="290"/>
      <c r="F1562" s="289" t="s">
        <v>321</v>
      </c>
      <c r="G1562" s="291">
        <v>10688284.07</v>
      </c>
      <c r="H1562" s="291">
        <v>6587592</v>
      </c>
      <c r="I1562" s="292">
        <v>4100692.07</v>
      </c>
      <c r="J1562" s="292">
        <v>4100692.07</v>
      </c>
      <c r="K1562" s="293">
        <v>0</v>
      </c>
    </row>
    <row r="1563" spans="1:11" ht="14.4" hidden="1" customHeight="1" x14ac:dyDescent="0.3">
      <c r="A1563" s="278" t="s">
        <v>1350</v>
      </c>
      <c r="B1563" s="279">
        <v>85</v>
      </c>
      <c r="C1563" s="278" t="s">
        <v>113</v>
      </c>
      <c r="D1563" s="279" t="s">
        <v>472</v>
      </c>
      <c r="E1563" s="278"/>
      <c r="F1563" s="278" t="s">
        <v>1475</v>
      </c>
      <c r="G1563" s="280">
        <v>0</v>
      </c>
      <c r="H1563" s="280">
        <v>6137000</v>
      </c>
      <c r="I1563" s="281">
        <v>-6137000</v>
      </c>
      <c r="J1563" s="282"/>
      <c r="K1563" s="7"/>
    </row>
    <row r="1564" spans="1:11" ht="14.4" hidden="1" customHeight="1" x14ac:dyDescent="0.3">
      <c r="A1564" s="278" t="s">
        <v>1350</v>
      </c>
      <c r="B1564" s="279">
        <v>85</v>
      </c>
      <c r="C1564" s="278" t="s">
        <v>113</v>
      </c>
      <c r="D1564" s="279" t="s">
        <v>472</v>
      </c>
      <c r="E1564" s="278" t="s">
        <v>474</v>
      </c>
      <c r="F1564" s="278" t="s">
        <v>1476</v>
      </c>
      <c r="G1564" s="280">
        <v>6088278.5999999996</v>
      </c>
      <c r="H1564" s="280">
        <v>0</v>
      </c>
      <c r="I1564" s="281">
        <v>6088278.5999999996</v>
      </c>
      <c r="J1564" s="282"/>
      <c r="K1564" s="7"/>
    </row>
    <row r="1565" spans="1:11" ht="14.4" hidden="1" customHeight="1" x14ac:dyDescent="0.3">
      <c r="A1565" s="278" t="s">
        <v>1350</v>
      </c>
      <c r="B1565" s="279">
        <v>85</v>
      </c>
      <c r="C1565" s="278" t="s">
        <v>113</v>
      </c>
      <c r="D1565" s="279" t="s">
        <v>472</v>
      </c>
      <c r="E1565" s="278"/>
      <c r="F1565" s="278" t="s">
        <v>1477</v>
      </c>
      <c r="G1565" s="280">
        <v>5457000</v>
      </c>
      <c r="H1565" s="280">
        <v>0</v>
      </c>
      <c r="I1565" s="281">
        <v>5457000</v>
      </c>
      <c r="J1565" s="282"/>
      <c r="K1565" s="7"/>
    </row>
    <row r="1566" spans="1:11" ht="14.4" hidden="1" customHeight="1" x14ac:dyDescent="0.3">
      <c r="A1566" s="288" t="s">
        <v>1350</v>
      </c>
      <c r="B1566" s="288">
        <v>85</v>
      </c>
      <c r="C1566" s="289" t="s">
        <v>113</v>
      </c>
      <c r="D1566" s="288" t="s">
        <v>320</v>
      </c>
      <c r="E1566" s="290"/>
      <c r="F1566" s="289" t="s">
        <v>321</v>
      </c>
      <c r="G1566" s="291">
        <v>11545278.6</v>
      </c>
      <c r="H1566" s="291">
        <v>6137000</v>
      </c>
      <c r="I1566" s="292">
        <v>5408278.5999999996</v>
      </c>
      <c r="J1566" s="292">
        <v>5408278.5999999996</v>
      </c>
      <c r="K1566" s="293">
        <v>0</v>
      </c>
    </row>
    <row r="1567" spans="1:11" ht="14.4" hidden="1" customHeight="1" x14ac:dyDescent="0.3">
      <c r="A1567" s="278" t="s">
        <v>1350</v>
      </c>
      <c r="B1567" s="279">
        <v>88</v>
      </c>
      <c r="C1567" s="278" t="s">
        <v>119</v>
      </c>
      <c r="D1567" s="279" t="s">
        <v>422</v>
      </c>
      <c r="E1567" s="278"/>
      <c r="F1567" s="278" t="s">
        <v>1478</v>
      </c>
      <c r="G1567" s="280">
        <v>0</v>
      </c>
      <c r="H1567" s="280">
        <v>105645102</v>
      </c>
      <c r="I1567" s="281">
        <v>-105645102</v>
      </c>
      <c r="J1567" s="282"/>
      <c r="K1567" s="7"/>
    </row>
    <row r="1568" spans="1:11" ht="14.4" hidden="1" customHeight="1" x14ac:dyDescent="0.3">
      <c r="A1568" s="278" t="s">
        <v>1350</v>
      </c>
      <c r="B1568" s="279">
        <v>88</v>
      </c>
      <c r="C1568" s="278" t="s">
        <v>119</v>
      </c>
      <c r="D1568" s="279" t="s">
        <v>422</v>
      </c>
      <c r="E1568" s="278" t="s">
        <v>483</v>
      </c>
      <c r="F1568" s="278" t="s">
        <v>1479</v>
      </c>
      <c r="G1568" s="280">
        <v>79166847.560000002</v>
      </c>
      <c r="H1568" s="280">
        <v>0</v>
      </c>
      <c r="I1568" s="281">
        <v>79166847.560000002</v>
      </c>
      <c r="J1568" s="282"/>
      <c r="K1568" s="7"/>
    </row>
    <row r="1569" spans="1:11" ht="14.4" hidden="1" customHeight="1" x14ac:dyDescent="0.3">
      <c r="A1569" s="278" t="s">
        <v>1350</v>
      </c>
      <c r="B1569" s="279">
        <v>88</v>
      </c>
      <c r="C1569" s="278" t="s">
        <v>119</v>
      </c>
      <c r="D1569" s="279" t="s">
        <v>422</v>
      </c>
      <c r="E1569" s="278" t="s">
        <v>483</v>
      </c>
      <c r="F1569" s="278" t="s">
        <v>1480</v>
      </c>
      <c r="G1569" s="280">
        <v>3889029.59</v>
      </c>
      <c r="H1569" s="280">
        <v>0</v>
      </c>
      <c r="I1569" s="281">
        <v>3889029.59</v>
      </c>
      <c r="J1569" s="282"/>
      <c r="K1569" s="7"/>
    </row>
    <row r="1570" spans="1:11" ht="14.4" hidden="1" customHeight="1" x14ac:dyDescent="0.3">
      <c r="A1570" s="278" t="s">
        <v>1350</v>
      </c>
      <c r="B1570" s="279">
        <v>88</v>
      </c>
      <c r="C1570" s="278" t="s">
        <v>119</v>
      </c>
      <c r="D1570" s="279" t="s">
        <v>422</v>
      </c>
      <c r="E1570" s="278" t="s">
        <v>483</v>
      </c>
      <c r="F1570" s="278" t="s">
        <v>1481</v>
      </c>
      <c r="G1570" s="280">
        <v>29615126.07</v>
      </c>
      <c r="H1570" s="280">
        <v>0</v>
      </c>
      <c r="I1570" s="281">
        <v>29615126.07</v>
      </c>
      <c r="J1570" s="282"/>
      <c r="K1570" s="7"/>
    </row>
    <row r="1571" spans="1:11" ht="14.4" hidden="1" customHeight="1" x14ac:dyDescent="0.3">
      <c r="A1571" s="278" t="s">
        <v>1350</v>
      </c>
      <c r="B1571" s="279">
        <v>88</v>
      </c>
      <c r="C1571" s="278" t="s">
        <v>119</v>
      </c>
      <c r="D1571" s="279" t="s">
        <v>422</v>
      </c>
      <c r="E1571" s="278"/>
      <c r="F1571" s="278" t="s">
        <v>1482</v>
      </c>
      <c r="G1571" s="280">
        <v>113381165</v>
      </c>
      <c r="H1571" s="280">
        <v>0</v>
      </c>
      <c r="I1571" s="281">
        <v>113381165</v>
      </c>
      <c r="J1571" s="282"/>
      <c r="K1571" s="7"/>
    </row>
    <row r="1572" spans="1:11" ht="14.4" hidden="1" customHeight="1" x14ac:dyDescent="0.3">
      <c r="A1572" s="288" t="s">
        <v>1350</v>
      </c>
      <c r="B1572" s="288">
        <v>88</v>
      </c>
      <c r="C1572" s="289" t="s">
        <v>119</v>
      </c>
      <c r="D1572" s="288" t="s">
        <v>320</v>
      </c>
      <c r="E1572" s="290"/>
      <c r="F1572" s="289" t="s">
        <v>321</v>
      </c>
      <c r="G1572" s="291">
        <v>226052168.22</v>
      </c>
      <c r="H1572" s="291">
        <v>105645102</v>
      </c>
      <c r="I1572" s="292">
        <v>120407066.22</v>
      </c>
      <c r="J1572" s="292">
        <v>120407066.22</v>
      </c>
      <c r="K1572" s="293">
        <v>0</v>
      </c>
    </row>
    <row r="1573" spans="1:11" ht="14.4" hidden="1" customHeight="1" x14ac:dyDescent="0.3">
      <c r="A1573" s="278" t="s">
        <v>1350</v>
      </c>
      <c r="B1573" s="279">
        <v>89</v>
      </c>
      <c r="C1573" s="278" t="s">
        <v>121</v>
      </c>
      <c r="D1573" s="279" t="s">
        <v>422</v>
      </c>
      <c r="E1573" s="278"/>
      <c r="F1573" s="278" t="s">
        <v>1483</v>
      </c>
      <c r="G1573" s="280">
        <v>1178845</v>
      </c>
      <c r="H1573" s="280">
        <v>0</v>
      </c>
      <c r="I1573" s="281">
        <v>1178845</v>
      </c>
      <c r="J1573" s="282"/>
      <c r="K1573" s="7"/>
    </row>
    <row r="1574" spans="1:11" ht="14.4" hidden="1" customHeight="1" x14ac:dyDescent="0.3">
      <c r="A1574" s="278" t="s">
        <v>1350</v>
      </c>
      <c r="B1574" s="279">
        <v>89</v>
      </c>
      <c r="C1574" s="278" t="s">
        <v>121</v>
      </c>
      <c r="D1574" s="279" t="s">
        <v>422</v>
      </c>
      <c r="E1574" s="278"/>
      <c r="F1574" s="278" t="s">
        <v>1484</v>
      </c>
      <c r="G1574" s="280">
        <v>1812431</v>
      </c>
      <c r="H1574" s="280">
        <v>0</v>
      </c>
      <c r="I1574" s="281">
        <v>1812431</v>
      </c>
      <c r="J1574" s="282"/>
      <c r="K1574" s="7"/>
    </row>
    <row r="1575" spans="1:11" ht="14.4" hidden="1" customHeight="1" x14ac:dyDescent="0.3">
      <c r="A1575" s="278" t="s">
        <v>1350</v>
      </c>
      <c r="B1575" s="279">
        <v>89</v>
      </c>
      <c r="C1575" s="278" t="s">
        <v>121</v>
      </c>
      <c r="D1575" s="279" t="s">
        <v>422</v>
      </c>
      <c r="E1575" s="278"/>
      <c r="F1575" s="278" t="s">
        <v>1485</v>
      </c>
      <c r="G1575" s="280">
        <v>994850</v>
      </c>
      <c r="H1575" s="280">
        <v>0</v>
      </c>
      <c r="I1575" s="281">
        <v>994850</v>
      </c>
      <c r="J1575" s="282"/>
      <c r="K1575" s="7"/>
    </row>
    <row r="1576" spans="1:11" ht="14.4" hidden="1" customHeight="1" x14ac:dyDescent="0.3">
      <c r="A1576" s="278" t="s">
        <v>1350</v>
      </c>
      <c r="B1576" s="279">
        <v>89</v>
      </c>
      <c r="C1576" s="278" t="s">
        <v>121</v>
      </c>
      <c r="D1576" s="279" t="s">
        <v>422</v>
      </c>
      <c r="E1576" s="278"/>
      <c r="F1576" s="278" t="s">
        <v>1486</v>
      </c>
      <c r="G1576" s="280">
        <v>352871</v>
      </c>
      <c r="H1576" s="280">
        <v>0</v>
      </c>
      <c r="I1576" s="281">
        <v>352871</v>
      </c>
      <c r="J1576" s="282"/>
      <c r="K1576" s="7"/>
    </row>
    <row r="1577" spans="1:11" ht="14.4" hidden="1" customHeight="1" x14ac:dyDescent="0.3">
      <c r="A1577" s="278" t="s">
        <v>1350</v>
      </c>
      <c r="B1577" s="279">
        <v>89</v>
      </c>
      <c r="C1577" s="278" t="s">
        <v>121</v>
      </c>
      <c r="D1577" s="279" t="s">
        <v>422</v>
      </c>
      <c r="E1577" s="278"/>
      <c r="F1577" s="278" t="s">
        <v>1487</v>
      </c>
      <c r="G1577" s="280">
        <v>170243</v>
      </c>
      <c r="H1577" s="280">
        <v>0</v>
      </c>
      <c r="I1577" s="281">
        <v>170243</v>
      </c>
      <c r="J1577" s="282"/>
      <c r="K1577" s="7"/>
    </row>
    <row r="1578" spans="1:11" ht="22.8" hidden="1" customHeight="1" x14ac:dyDescent="0.3">
      <c r="A1578" s="278" t="s">
        <v>1350</v>
      </c>
      <c r="B1578" s="279">
        <v>89</v>
      </c>
      <c r="C1578" s="278" t="s">
        <v>121</v>
      </c>
      <c r="D1578" s="279" t="s">
        <v>422</v>
      </c>
      <c r="E1578" s="278"/>
      <c r="F1578" s="278" t="s">
        <v>1488</v>
      </c>
      <c r="G1578" s="280">
        <v>844391</v>
      </c>
      <c r="H1578" s="280">
        <v>0</v>
      </c>
      <c r="I1578" s="281">
        <v>844391</v>
      </c>
      <c r="J1578" s="282"/>
      <c r="K1578" s="7"/>
    </row>
    <row r="1579" spans="1:11" ht="14.4" hidden="1" customHeight="1" x14ac:dyDescent="0.3">
      <c r="A1579" s="278" t="s">
        <v>1350</v>
      </c>
      <c r="B1579" s="279">
        <v>89</v>
      </c>
      <c r="C1579" s="278" t="s">
        <v>121</v>
      </c>
      <c r="D1579" s="279" t="s">
        <v>422</v>
      </c>
      <c r="E1579" s="278"/>
      <c r="F1579" s="278" t="s">
        <v>1489</v>
      </c>
      <c r="G1579" s="280">
        <v>247538</v>
      </c>
      <c r="H1579" s="280">
        <v>0</v>
      </c>
      <c r="I1579" s="281">
        <v>247538</v>
      </c>
      <c r="J1579" s="282"/>
      <c r="K1579" s="7"/>
    </row>
    <row r="1580" spans="1:11" ht="22.8" hidden="1" customHeight="1" x14ac:dyDescent="0.3">
      <c r="A1580" s="278" t="s">
        <v>1350</v>
      </c>
      <c r="B1580" s="279">
        <v>89</v>
      </c>
      <c r="C1580" s="278" t="s">
        <v>121</v>
      </c>
      <c r="D1580" s="279" t="s">
        <v>422</v>
      </c>
      <c r="E1580" s="278"/>
      <c r="F1580" s="278" t="s">
        <v>1490</v>
      </c>
      <c r="G1580" s="280">
        <v>538986</v>
      </c>
      <c r="H1580" s="280">
        <v>0</v>
      </c>
      <c r="I1580" s="281">
        <v>538986</v>
      </c>
      <c r="J1580" s="282"/>
      <c r="K1580" s="7"/>
    </row>
    <row r="1581" spans="1:11" ht="14.4" hidden="1" customHeight="1" x14ac:dyDescent="0.3">
      <c r="A1581" s="278" t="s">
        <v>1350</v>
      </c>
      <c r="B1581" s="279">
        <v>89</v>
      </c>
      <c r="C1581" s="278" t="s">
        <v>121</v>
      </c>
      <c r="D1581" s="279" t="s">
        <v>422</v>
      </c>
      <c r="E1581" s="278"/>
      <c r="F1581" s="278" t="s">
        <v>1491</v>
      </c>
      <c r="G1581" s="280">
        <v>1339004</v>
      </c>
      <c r="H1581" s="280">
        <v>0</v>
      </c>
      <c r="I1581" s="281">
        <v>1339004</v>
      </c>
      <c r="J1581" s="282"/>
      <c r="K1581" s="7"/>
    </row>
    <row r="1582" spans="1:11" ht="14.4" hidden="1" customHeight="1" x14ac:dyDescent="0.3">
      <c r="A1582" s="278" t="s">
        <v>1350</v>
      </c>
      <c r="B1582" s="279">
        <v>89</v>
      </c>
      <c r="C1582" s="278" t="s">
        <v>121</v>
      </c>
      <c r="D1582" s="279" t="s">
        <v>422</v>
      </c>
      <c r="E1582" s="278"/>
      <c r="F1582" s="278" t="s">
        <v>1492</v>
      </c>
      <c r="G1582" s="280">
        <v>1339333</v>
      </c>
      <c r="H1582" s="280">
        <v>0</v>
      </c>
      <c r="I1582" s="281">
        <v>1339333</v>
      </c>
      <c r="J1582" s="282"/>
      <c r="K1582" s="7"/>
    </row>
    <row r="1583" spans="1:11" ht="22.8" hidden="1" customHeight="1" x14ac:dyDescent="0.3">
      <c r="A1583" s="278" t="s">
        <v>1350</v>
      </c>
      <c r="B1583" s="279">
        <v>89</v>
      </c>
      <c r="C1583" s="278" t="s">
        <v>121</v>
      </c>
      <c r="D1583" s="279" t="s">
        <v>422</v>
      </c>
      <c r="E1583" s="278"/>
      <c r="F1583" s="278" t="s">
        <v>1493</v>
      </c>
      <c r="G1583" s="280">
        <v>4229602</v>
      </c>
      <c r="H1583" s="280">
        <v>0</v>
      </c>
      <c r="I1583" s="281">
        <v>4229602</v>
      </c>
      <c r="J1583" s="282"/>
      <c r="K1583" s="7"/>
    </row>
    <row r="1584" spans="1:11" ht="14.4" hidden="1" customHeight="1" x14ac:dyDescent="0.3">
      <c r="A1584" s="278" t="s">
        <v>1350</v>
      </c>
      <c r="B1584" s="279">
        <v>89</v>
      </c>
      <c r="C1584" s="278" t="s">
        <v>121</v>
      </c>
      <c r="D1584" s="279" t="s">
        <v>422</v>
      </c>
      <c r="E1584" s="278"/>
      <c r="F1584" s="278" t="s">
        <v>1494</v>
      </c>
      <c r="G1584" s="280">
        <v>610756</v>
      </c>
      <c r="H1584" s="280">
        <v>0</v>
      </c>
      <c r="I1584" s="281">
        <v>610756</v>
      </c>
      <c r="J1584" s="282"/>
      <c r="K1584" s="7"/>
    </row>
    <row r="1585" spans="1:11" ht="14.4" hidden="1" customHeight="1" x14ac:dyDescent="0.3">
      <c r="A1585" s="288" t="s">
        <v>1350</v>
      </c>
      <c r="B1585" s="288">
        <v>89</v>
      </c>
      <c r="C1585" s="289" t="s">
        <v>121</v>
      </c>
      <c r="D1585" s="288" t="s">
        <v>320</v>
      </c>
      <c r="E1585" s="290"/>
      <c r="F1585" s="289" t="s">
        <v>321</v>
      </c>
      <c r="G1585" s="291">
        <v>13658850</v>
      </c>
      <c r="H1585" s="291">
        <v>0</v>
      </c>
      <c r="I1585" s="292">
        <v>13658850</v>
      </c>
      <c r="J1585" s="292">
        <v>13658850</v>
      </c>
      <c r="K1585" s="293">
        <v>0</v>
      </c>
    </row>
    <row r="1586" spans="1:11" ht="14.4" hidden="1" customHeight="1" x14ac:dyDescent="0.3">
      <c r="A1586" s="278" t="s">
        <v>1350</v>
      </c>
      <c r="B1586" s="279">
        <v>90</v>
      </c>
      <c r="C1586" s="278" t="s">
        <v>123</v>
      </c>
      <c r="D1586" s="279" t="s">
        <v>422</v>
      </c>
      <c r="E1586" s="278"/>
      <c r="F1586" s="278" t="s">
        <v>1495</v>
      </c>
      <c r="G1586" s="280">
        <v>200082</v>
      </c>
      <c r="H1586" s="280">
        <v>0</v>
      </c>
      <c r="I1586" s="281">
        <v>200082</v>
      </c>
      <c r="J1586" s="282"/>
      <c r="K1586" s="7"/>
    </row>
    <row r="1587" spans="1:11" ht="22.8" hidden="1" customHeight="1" x14ac:dyDescent="0.3">
      <c r="A1587" s="278" t="s">
        <v>1350</v>
      </c>
      <c r="B1587" s="279">
        <v>90</v>
      </c>
      <c r="C1587" s="278" t="s">
        <v>123</v>
      </c>
      <c r="D1587" s="279" t="s">
        <v>422</v>
      </c>
      <c r="E1587" s="278"/>
      <c r="F1587" s="278" t="s">
        <v>1496</v>
      </c>
      <c r="G1587" s="280">
        <v>337489</v>
      </c>
      <c r="H1587" s="280">
        <v>0</v>
      </c>
      <c r="I1587" s="281">
        <v>337489</v>
      </c>
      <c r="J1587" s="282"/>
      <c r="K1587" s="7"/>
    </row>
    <row r="1588" spans="1:11" ht="14.4" hidden="1" customHeight="1" x14ac:dyDescent="0.3">
      <c r="A1588" s="288" t="s">
        <v>1350</v>
      </c>
      <c r="B1588" s="288">
        <v>90</v>
      </c>
      <c r="C1588" s="289" t="s">
        <v>123</v>
      </c>
      <c r="D1588" s="288" t="s">
        <v>320</v>
      </c>
      <c r="E1588" s="290"/>
      <c r="F1588" s="289" t="s">
        <v>321</v>
      </c>
      <c r="G1588" s="291">
        <v>537571</v>
      </c>
      <c r="H1588" s="291">
        <v>0</v>
      </c>
      <c r="I1588" s="292">
        <v>537571</v>
      </c>
      <c r="J1588" s="292">
        <v>537571</v>
      </c>
      <c r="K1588" s="293">
        <v>0</v>
      </c>
    </row>
    <row r="1589" spans="1:11" ht="14.4" hidden="1" customHeight="1" x14ac:dyDescent="0.3">
      <c r="A1589" s="278" t="s">
        <v>1350</v>
      </c>
      <c r="B1589" s="279">
        <v>95</v>
      </c>
      <c r="C1589" s="278" t="s">
        <v>129</v>
      </c>
      <c r="D1589" s="279" t="s">
        <v>503</v>
      </c>
      <c r="E1589" s="278" t="s">
        <v>504</v>
      </c>
      <c r="F1589" s="278" t="s">
        <v>1497</v>
      </c>
      <c r="G1589" s="280">
        <v>6620000</v>
      </c>
      <c r="H1589" s="280">
        <v>0</v>
      </c>
      <c r="I1589" s="281">
        <v>6620000</v>
      </c>
      <c r="J1589" s="282"/>
      <c r="K1589" s="7"/>
    </row>
    <row r="1590" spans="1:11" ht="14.4" hidden="1" customHeight="1" x14ac:dyDescent="0.3">
      <c r="A1590" s="288" t="s">
        <v>1350</v>
      </c>
      <c r="B1590" s="288">
        <v>95</v>
      </c>
      <c r="C1590" s="289" t="s">
        <v>129</v>
      </c>
      <c r="D1590" s="288" t="s">
        <v>320</v>
      </c>
      <c r="E1590" s="290"/>
      <c r="F1590" s="289" t="s">
        <v>321</v>
      </c>
      <c r="G1590" s="291">
        <v>6620000</v>
      </c>
      <c r="H1590" s="291">
        <v>0</v>
      </c>
      <c r="I1590" s="292">
        <v>6620000</v>
      </c>
      <c r="J1590" s="292">
        <v>6620000</v>
      </c>
      <c r="K1590" s="293">
        <v>0</v>
      </c>
    </row>
    <row r="1591" spans="1:11" ht="14.4" hidden="1" customHeight="1" x14ac:dyDescent="0.3">
      <c r="A1591" s="278" t="s">
        <v>1350</v>
      </c>
      <c r="B1591" s="279">
        <v>97</v>
      </c>
      <c r="C1591" s="278" t="s">
        <v>133</v>
      </c>
      <c r="D1591" s="279" t="s">
        <v>222</v>
      </c>
      <c r="E1591" s="278" t="s">
        <v>514</v>
      </c>
      <c r="F1591" s="278" t="s">
        <v>1498</v>
      </c>
      <c r="G1591" s="280">
        <v>257900</v>
      </c>
      <c r="H1591" s="280">
        <v>0</v>
      </c>
      <c r="I1591" s="281">
        <v>257900</v>
      </c>
      <c r="J1591" s="282"/>
      <c r="K1591" s="7"/>
    </row>
    <row r="1592" spans="1:11" ht="14.4" hidden="1" customHeight="1" x14ac:dyDescent="0.3">
      <c r="A1592" s="288" t="s">
        <v>1350</v>
      </c>
      <c r="B1592" s="288">
        <v>97</v>
      </c>
      <c r="C1592" s="289" t="s">
        <v>133</v>
      </c>
      <c r="D1592" s="288" t="s">
        <v>320</v>
      </c>
      <c r="E1592" s="290"/>
      <c r="F1592" s="289" t="s">
        <v>321</v>
      </c>
      <c r="G1592" s="291">
        <v>257900</v>
      </c>
      <c r="H1592" s="291">
        <v>0</v>
      </c>
      <c r="I1592" s="292">
        <v>257900</v>
      </c>
      <c r="J1592" s="292">
        <v>257900</v>
      </c>
      <c r="K1592" s="293">
        <v>0</v>
      </c>
    </row>
    <row r="1593" spans="1:11" ht="14.4" hidden="1" customHeight="1" x14ac:dyDescent="0.3">
      <c r="A1593" s="278" t="s">
        <v>1350</v>
      </c>
      <c r="B1593" s="279">
        <v>98</v>
      </c>
      <c r="C1593" s="278" t="s">
        <v>135</v>
      </c>
      <c r="D1593" s="279" t="s">
        <v>509</v>
      </c>
      <c r="E1593" s="278" t="s">
        <v>1499</v>
      </c>
      <c r="F1593" s="278" t="s">
        <v>1500</v>
      </c>
      <c r="G1593" s="280">
        <v>208275</v>
      </c>
      <c r="H1593" s="280">
        <v>0</v>
      </c>
      <c r="I1593" s="281">
        <v>208275</v>
      </c>
      <c r="J1593" s="282"/>
      <c r="K1593" s="7"/>
    </row>
    <row r="1594" spans="1:11" ht="14.4" hidden="1" customHeight="1" x14ac:dyDescent="0.3">
      <c r="A1594" s="278" t="s">
        <v>1350</v>
      </c>
      <c r="B1594" s="279">
        <v>98</v>
      </c>
      <c r="C1594" s="278" t="s">
        <v>135</v>
      </c>
      <c r="D1594" s="279" t="s">
        <v>509</v>
      </c>
      <c r="E1594" s="278" t="s">
        <v>1499</v>
      </c>
      <c r="F1594" s="278" t="s">
        <v>1500</v>
      </c>
      <c r="G1594" s="280">
        <v>266300</v>
      </c>
      <c r="H1594" s="280">
        <v>0</v>
      </c>
      <c r="I1594" s="281">
        <v>266300</v>
      </c>
      <c r="J1594" s="282"/>
      <c r="K1594" s="7"/>
    </row>
    <row r="1595" spans="1:11" ht="14.4" hidden="1" customHeight="1" x14ac:dyDescent="0.3">
      <c r="A1595" s="288" t="s">
        <v>1350</v>
      </c>
      <c r="B1595" s="288">
        <v>98</v>
      </c>
      <c r="C1595" s="289" t="s">
        <v>135</v>
      </c>
      <c r="D1595" s="288" t="s">
        <v>320</v>
      </c>
      <c r="E1595" s="290"/>
      <c r="F1595" s="289" t="s">
        <v>321</v>
      </c>
      <c r="G1595" s="291">
        <v>474575</v>
      </c>
      <c r="H1595" s="291">
        <v>0</v>
      </c>
      <c r="I1595" s="292">
        <v>474575</v>
      </c>
      <c r="J1595" s="292">
        <v>474575</v>
      </c>
      <c r="K1595" s="293">
        <v>0</v>
      </c>
    </row>
    <row r="1596" spans="1:11" ht="14.4" hidden="1" customHeight="1" x14ac:dyDescent="0.3">
      <c r="A1596" s="278" t="s">
        <v>1350</v>
      </c>
      <c r="B1596" s="279">
        <v>101</v>
      </c>
      <c r="C1596" s="278" t="s">
        <v>139</v>
      </c>
      <c r="D1596" s="279" t="s">
        <v>222</v>
      </c>
      <c r="E1596" s="278"/>
      <c r="F1596" s="278" t="s">
        <v>1501</v>
      </c>
      <c r="G1596" s="280">
        <v>30000</v>
      </c>
      <c r="H1596" s="280">
        <v>0</v>
      </c>
      <c r="I1596" s="281">
        <v>30000</v>
      </c>
      <c r="J1596" s="282"/>
      <c r="K1596" s="7"/>
    </row>
    <row r="1597" spans="1:11" ht="14.4" hidden="1" customHeight="1" x14ac:dyDescent="0.3">
      <c r="A1597" s="288" t="s">
        <v>1350</v>
      </c>
      <c r="B1597" s="288">
        <v>101</v>
      </c>
      <c r="C1597" s="289" t="s">
        <v>139</v>
      </c>
      <c r="D1597" s="288" t="s">
        <v>320</v>
      </c>
      <c r="E1597" s="290"/>
      <c r="F1597" s="289" t="s">
        <v>321</v>
      </c>
      <c r="G1597" s="291">
        <v>30000</v>
      </c>
      <c r="H1597" s="291">
        <v>0</v>
      </c>
      <c r="I1597" s="292">
        <v>30000</v>
      </c>
      <c r="J1597" s="292">
        <v>30000</v>
      </c>
      <c r="K1597" s="293">
        <v>0</v>
      </c>
    </row>
    <row r="1598" spans="1:11" ht="14.4" hidden="1" customHeight="1" x14ac:dyDescent="0.3">
      <c r="A1598" s="278" t="s">
        <v>1350</v>
      </c>
      <c r="B1598" s="279">
        <v>107</v>
      </c>
      <c r="C1598" s="278" t="s">
        <v>149</v>
      </c>
      <c r="D1598" s="279" t="s">
        <v>516</v>
      </c>
      <c r="E1598" s="278"/>
      <c r="F1598" s="278" t="s">
        <v>1502</v>
      </c>
      <c r="G1598" s="280">
        <v>96733698.299999997</v>
      </c>
      <c r="H1598" s="280">
        <v>0</v>
      </c>
      <c r="I1598" s="281">
        <v>96733698.299999997</v>
      </c>
      <c r="J1598" s="282"/>
      <c r="K1598" s="7"/>
    </row>
    <row r="1599" spans="1:11" ht="14.4" hidden="1" customHeight="1" x14ac:dyDescent="0.3">
      <c r="A1599" s="278" t="s">
        <v>1350</v>
      </c>
      <c r="B1599" s="279">
        <v>107</v>
      </c>
      <c r="C1599" s="278" t="s">
        <v>149</v>
      </c>
      <c r="D1599" s="279" t="s">
        <v>518</v>
      </c>
      <c r="E1599" s="278"/>
      <c r="F1599" s="278" t="s">
        <v>1502</v>
      </c>
      <c r="G1599" s="280">
        <v>24062852.079999998</v>
      </c>
      <c r="H1599" s="280">
        <v>0</v>
      </c>
      <c r="I1599" s="281">
        <v>24062852.079999998</v>
      </c>
      <c r="J1599" s="282"/>
      <c r="K1599" s="7"/>
    </row>
    <row r="1600" spans="1:11" ht="14.4" hidden="1" customHeight="1" x14ac:dyDescent="0.3">
      <c r="A1600" s="288" t="s">
        <v>1350</v>
      </c>
      <c r="B1600" s="288">
        <v>107</v>
      </c>
      <c r="C1600" s="289" t="s">
        <v>149</v>
      </c>
      <c r="D1600" s="288" t="s">
        <v>320</v>
      </c>
      <c r="E1600" s="290"/>
      <c r="F1600" s="289" t="s">
        <v>321</v>
      </c>
      <c r="G1600" s="291">
        <v>120796550.38</v>
      </c>
      <c r="H1600" s="291">
        <v>0</v>
      </c>
      <c r="I1600" s="292">
        <v>120796550.38</v>
      </c>
      <c r="J1600" s="292">
        <v>120796550.38</v>
      </c>
      <c r="K1600" s="293">
        <v>0</v>
      </c>
    </row>
    <row r="1601" spans="1:11" ht="14.4" hidden="1" customHeight="1" x14ac:dyDescent="0.3">
      <c r="A1601" s="278" t="s">
        <v>1350</v>
      </c>
      <c r="B1601" s="279">
        <v>108</v>
      </c>
      <c r="C1601" s="278" t="s">
        <v>153</v>
      </c>
      <c r="D1601" s="279" t="s">
        <v>516</v>
      </c>
      <c r="E1601" s="278"/>
      <c r="F1601" s="278" t="s">
        <v>1503</v>
      </c>
      <c r="G1601" s="280">
        <v>7974265.6100000003</v>
      </c>
      <c r="H1601" s="280">
        <v>0</v>
      </c>
      <c r="I1601" s="281">
        <v>7974265.6100000003</v>
      </c>
      <c r="J1601" s="282"/>
      <c r="K1601" s="7"/>
    </row>
    <row r="1602" spans="1:11" ht="14.4" hidden="1" customHeight="1" x14ac:dyDescent="0.3">
      <c r="A1602" s="278" t="s">
        <v>1350</v>
      </c>
      <c r="B1602" s="279">
        <v>108</v>
      </c>
      <c r="C1602" s="278" t="s">
        <v>153</v>
      </c>
      <c r="D1602" s="279" t="s">
        <v>518</v>
      </c>
      <c r="E1602" s="278"/>
      <c r="F1602" s="278" t="s">
        <v>1503</v>
      </c>
      <c r="G1602" s="280">
        <v>1913823.75</v>
      </c>
      <c r="H1602" s="280">
        <v>0</v>
      </c>
      <c r="I1602" s="281">
        <v>1913823.75</v>
      </c>
      <c r="J1602" s="282"/>
      <c r="K1602" s="7"/>
    </row>
    <row r="1603" spans="1:11" ht="14.4" hidden="1" customHeight="1" x14ac:dyDescent="0.3">
      <c r="A1603" s="288" t="s">
        <v>1350</v>
      </c>
      <c r="B1603" s="288">
        <v>108</v>
      </c>
      <c r="C1603" s="289" t="s">
        <v>153</v>
      </c>
      <c r="D1603" s="288" t="s">
        <v>320</v>
      </c>
      <c r="E1603" s="290"/>
      <c r="F1603" s="289" t="s">
        <v>321</v>
      </c>
      <c r="G1603" s="291">
        <v>9888089.3599999994</v>
      </c>
      <c r="H1603" s="291">
        <v>0</v>
      </c>
      <c r="I1603" s="292">
        <v>9888089.3599999994</v>
      </c>
      <c r="J1603" s="292">
        <v>9888089.3599999994</v>
      </c>
      <c r="K1603" s="293">
        <v>0</v>
      </c>
    </row>
    <row r="1604" spans="1:11" ht="14.4" hidden="1" customHeight="1" x14ac:dyDescent="0.3">
      <c r="A1604" s="278" t="s">
        <v>1350</v>
      </c>
      <c r="B1604" s="279">
        <v>109</v>
      </c>
      <c r="C1604" s="278" t="s">
        <v>154</v>
      </c>
      <c r="D1604" s="279" t="s">
        <v>516</v>
      </c>
      <c r="E1604" s="278"/>
      <c r="F1604" s="278" t="s">
        <v>1504</v>
      </c>
      <c r="G1604" s="280">
        <v>6425143.9800000004</v>
      </c>
      <c r="H1604" s="280">
        <v>0</v>
      </c>
      <c r="I1604" s="281">
        <v>6425143.9800000004</v>
      </c>
      <c r="J1604" s="282"/>
      <c r="K1604" s="7"/>
    </row>
    <row r="1605" spans="1:11" ht="14.4" hidden="1" customHeight="1" x14ac:dyDescent="0.3">
      <c r="A1605" s="278" t="s">
        <v>1350</v>
      </c>
      <c r="B1605" s="279">
        <v>109</v>
      </c>
      <c r="C1605" s="278" t="s">
        <v>154</v>
      </c>
      <c r="D1605" s="279" t="s">
        <v>518</v>
      </c>
      <c r="E1605" s="278"/>
      <c r="F1605" s="278" t="s">
        <v>1504</v>
      </c>
      <c r="G1605" s="280">
        <v>1542034.55</v>
      </c>
      <c r="H1605" s="280">
        <v>0</v>
      </c>
      <c r="I1605" s="281">
        <v>1542034.55</v>
      </c>
      <c r="J1605" s="282"/>
      <c r="K1605" s="7"/>
    </row>
    <row r="1606" spans="1:11" ht="14.4" hidden="1" customHeight="1" x14ac:dyDescent="0.3">
      <c r="A1606" s="288" t="s">
        <v>1350</v>
      </c>
      <c r="B1606" s="288">
        <v>109</v>
      </c>
      <c r="C1606" s="289" t="s">
        <v>154</v>
      </c>
      <c r="D1606" s="288" t="s">
        <v>320</v>
      </c>
      <c r="E1606" s="290"/>
      <c r="F1606" s="289" t="s">
        <v>321</v>
      </c>
      <c r="G1606" s="291">
        <v>7967178.5300000003</v>
      </c>
      <c r="H1606" s="291">
        <v>0</v>
      </c>
      <c r="I1606" s="292">
        <v>7967178.5300000003</v>
      </c>
      <c r="J1606" s="292">
        <v>7967178.5300000003</v>
      </c>
      <c r="K1606" s="293">
        <v>0</v>
      </c>
    </row>
    <row r="1607" spans="1:11" ht="14.4" hidden="1" customHeight="1" x14ac:dyDescent="0.3">
      <c r="A1607" s="278" t="s">
        <v>1350</v>
      </c>
      <c r="B1607" s="279">
        <v>110</v>
      </c>
      <c r="C1607" s="278" t="s">
        <v>155</v>
      </c>
      <c r="D1607" s="279" t="s">
        <v>516</v>
      </c>
      <c r="E1607" s="278"/>
      <c r="F1607" s="278" t="s">
        <v>1505</v>
      </c>
      <c r="G1607" s="280">
        <v>485721.7</v>
      </c>
      <c r="H1607" s="280">
        <v>0</v>
      </c>
      <c r="I1607" s="281">
        <v>485721.7</v>
      </c>
      <c r="J1607" s="282"/>
      <c r="K1607" s="7"/>
    </row>
    <row r="1608" spans="1:11" ht="14.4" hidden="1" customHeight="1" x14ac:dyDescent="0.3">
      <c r="A1608" s="278" t="s">
        <v>1350</v>
      </c>
      <c r="B1608" s="279">
        <v>110</v>
      </c>
      <c r="C1608" s="278" t="s">
        <v>155</v>
      </c>
      <c r="D1608" s="279" t="s">
        <v>518</v>
      </c>
      <c r="E1608" s="278"/>
      <c r="F1608" s="278" t="s">
        <v>1505</v>
      </c>
      <c r="G1608" s="280">
        <v>116573.21</v>
      </c>
      <c r="H1608" s="280">
        <v>0</v>
      </c>
      <c r="I1608" s="281">
        <v>116573.21</v>
      </c>
      <c r="J1608" s="282"/>
      <c r="K1608" s="7"/>
    </row>
    <row r="1609" spans="1:11" ht="14.4" hidden="1" customHeight="1" x14ac:dyDescent="0.3">
      <c r="A1609" s="288" t="s">
        <v>1350</v>
      </c>
      <c r="B1609" s="288">
        <v>110</v>
      </c>
      <c r="C1609" s="289" t="s">
        <v>155</v>
      </c>
      <c r="D1609" s="288" t="s">
        <v>320</v>
      </c>
      <c r="E1609" s="290"/>
      <c r="F1609" s="289" t="s">
        <v>321</v>
      </c>
      <c r="G1609" s="291">
        <v>602294.91</v>
      </c>
      <c r="H1609" s="291">
        <v>0</v>
      </c>
      <c r="I1609" s="292">
        <v>602294.91</v>
      </c>
      <c r="J1609" s="292">
        <v>602294.91</v>
      </c>
      <c r="K1609" s="293">
        <v>0</v>
      </c>
    </row>
    <row r="1610" spans="1:11" ht="14.4" hidden="1" customHeight="1" x14ac:dyDescent="0.3">
      <c r="A1610" s="278" t="s">
        <v>1350</v>
      </c>
      <c r="B1610" s="279">
        <v>111</v>
      </c>
      <c r="C1610" s="278" t="s">
        <v>156</v>
      </c>
      <c r="D1610" s="279" t="s">
        <v>522</v>
      </c>
      <c r="E1610" s="278" t="s">
        <v>523</v>
      </c>
      <c r="F1610" s="278" t="s">
        <v>1506</v>
      </c>
      <c r="G1610" s="280">
        <v>328089.44</v>
      </c>
      <c r="H1610" s="280">
        <v>0</v>
      </c>
      <c r="I1610" s="281">
        <v>328089.44</v>
      </c>
      <c r="J1610" s="282"/>
      <c r="K1610" s="7"/>
    </row>
    <row r="1611" spans="1:11" ht="14.4" hidden="1" customHeight="1" x14ac:dyDescent="0.3">
      <c r="A1611" s="278" t="s">
        <v>1350</v>
      </c>
      <c r="B1611" s="279">
        <v>111</v>
      </c>
      <c r="C1611" s="278" t="s">
        <v>156</v>
      </c>
      <c r="D1611" s="279" t="s">
        <v>522</v>
      </c>
      <c r="E1611" s="278" t="s">
        <v>523</v>
      </c>
      <c r="F1611" s="278" t="s">
        <v>1506</v>
      </c>
      <c r="G1611" s="280">
        <v>9709639.1400000006</v>
      </c>
      <c r="H1611" s="280">
        <v>0</v>
      </c>
      <c r="I1611" s="281">
        <v>9709639.1400000006</v>
      </c>
      <c r="J1611" s="282"/>
      <c r="K1611" s="7"/>
    </row>
    <row r="1612" spans="1:11" ht="14.4" hidden="1" customHeight="1" x14ac:dyDescent="0.3">
      <c r="A1612" s="278" t="s">
        <v>1350</v>
      </c>
      <c r="B1612" s="279">
        <v>111</v>
      </c>
      <c r="C1612" s="278" t="s">
        <v>156</v>
      </c>
      <c r="D1612" s="279" t="s">
        <v>522</v>
      </c>
      <c r="E1612" s="278" t="s">
        <v>523</v>
      </c>
      <c r="F1612" s="278" t="s">
        <v>1507</v>
      </c>
      <c r="G1612" s="280">
        <v>0</v>
      </c>
      <c r="H1612" s="280">
        <v>4140804.45</v>
      </c>
      <c r="I1612" s="281">
        <v>-4140804.45</v>
      </c>
      <c r="J1612" s="282"/>
      <c r="K1612" s="7"/>
    </row>
    <row r="1613" spans="1:11" ht="14.4" hidden="1" customHeight="1" x14ac:dyDescent="0.3">
      <c r="A1613" s="278" t="s">
        <v>1350</v>
      </c>
      <c r="B1613" s="279">
        <v>111</v>
      </c>
      <c r="C1613" s="278" t="s">
        <v>156</v>
      </c>
      <c r="D1613" s="279" t="s">
        <v>522</v>
      </c>
      <c r="E1613" s="278" t="s">
        <v>523</v>
      </c>
      <c r="F1613" s="278" t="s">
        <v>1508</v>
      </c>
      <c r="G1613" s="280">
        <v>329894.40000000002</v>
      </c>
      <c r="H1613" s="280">
        <v>0</v>
      </c>
      <c r="I1613" s="281">
        <v>329894.40000000002</v>
      </c>
      <c r="J1613" s="282"/>
      <c r="K1613" s="7"/>
    </row>
    <row r="1614" spans="1:11" ht="14.4" hidden="1" customHeight="1" x14ac:dyDescent="0.3">
      <c r="A1614" s="278" t="s">
        <v>1350</v>
      </c>
      <c r="B1614" s="279">
        <v>111</v>
      </c>
      <c r="C1614" s="278" t="s">
        <v>156</v>
      </c>
      <c r="D1614" s="279" t="s">
        <v>522</v>
      </c>
      <c r="E1614" s="278" t="s">
        <v>523</v>
      </c>
      <c r="F1614" s="278" t="s">
        <v>1508</v>
      </c>
      <c r="G1614" s="280">
        <v>6511.68</v>
      </c>
      <c r="H1614" s="280">
        <v>0</v>
      </c>
      <c r="I1614" s="281">
        <v>6511.68</v>
      </c>
      <c r="J1614" s="282"/>
      <c r="K1614" s="7"/>
    </row>
    <row r="1615" spans="1:11" ht="14.4" hidden="1" customHeight="1" x14ac:dyDescent="0.3">
      <c r="A1615" s="278" t="s">
        <v>1350</v>
      </c>
      <c r="B1615" s="279">
        <v>111</v>
      </c>
      <c r="C1615" s="278" t="s">
        <v>156</v>
      </c>
      <c r="D1615" s="279" t="s">
        <v>522</v>
      </c>
      <c r="E1615" s="278" t="s">
        <v>523</v>
      </c>
      <c r="F1615" s="278" t="s">
        <v>1509</v>
      </c>
      <c r="G1615" s="280">
        <v>142041.39000000001</v>
      </c>
      <c r="H1615" s="280">
        <v>0</v>
      </c>
      <c r="I1615" s="281">
        <v>142041.39000000001</v>
      </c>
      <c r="J1615" s="282"/>
      <c r="K1615" s="7"/>
    </row>
    <row r="1616" spans="1:11" ht="14.4" hidden="1" customHeight="1" x14ac:dyDescent="0.3">
      <c r="A1616" s="288" t="s">
        <v>1350</v>
      </c>
      <c r="B1616" s="288">
        <v>111</v>
      </c>
      <c r="C1616" s="289" t="s">
        <v>156</v>
      </c>
      <c r="D1616" s="288" t="s">
        <v>320</v>
      </c>
      <c r="E1616" s="290"/>
      <c r="F1616" s="289" t="s">
        <v>321</v>
      </c>
      <c r="G1616" s="291">
        <v>10516176.050000001</v>
      </c>
      <c r="H1616" s="291">
        <v>4140804.45</v>
      </c>
      <c r="I1616" s="292">
        <v>6375371.6000000006</v>
      </c>
      <c r="J1616" s="292">
        <v>6375371.5999999996</v>
      </c>
      <c r="K1616" s="293">
        <v>0</v>
      </c>
    </row>
    <row r="1617" spans="1:11" ht="14.4" hidden="1" customHeight="1" x14ac:dyDescent="0.3">
      <c r="A1617" s="278" t="s">
        <v>1350</v>
      </c>
      <c r="B1617" s="279">
        <v>112</v>
      </c>
      <c r="C1617" s="278" t="s">
        <v>157</v>
      </c>
      <c r="D1617" s="279" t="s">
        <v>522</v>
      </c>
      <c r="E1617" s="278" t="s">
        <v>791</v>
      </c>
      <c r="F1617" s="278" t="s">
        <v>1510</v>
      </c>
      <c r="G1617" s="280">
        <v>1047199.39</v>
      </c>
      <c r="H1617" s="280">
        <v>0</v>
      </c>
      <c r="I1617" s="281">
        <v>1047199.39</v>
      </c>
      <c r="J1617" s="282"/>
      <c r="K1617" s="7"/>
    </row>
    <row r="1618" spans="1:11" ht="14.4" hidden="1" customHeight="1" x14ac:dyDescent="0.3">
      <c r="A1618" s="278" t="s">
        <v>1350</v>
      </c>
      <c r="B1618" s="279">
        <v>112</v>
      </c>
      <c r="C1618" s="278" t="s">
        <v>157</v>
      </c>
      <c r="D1618" s="279" t="s">
        <v>522</v>
      </c>
      <c r="E1618" s="278"/>
      <c r="F1618" s="278" t="s">
        <v>1511</v>
      </c>
      <c r="G1618" s="280">
        <v>0</v>
      </c>
      <c r="H1618" s="280">
        <v>1300000</v>
      </c>
      <c r="I1618" s="281">
        <v>-1300000</v>
      </c>
      <c r="J1618" s="282"/>
      <c r="K1618" s="7"/>
    </row>
    <row r="1619" spans="1:11" ht="14.4" hidden="1" customHeight="1" x14ac:dyDescent="0.3">
      <c r="A1619" s="278" t="s">
        <v>1350</v>
      </c>
      <c r="B1619" s="279">
        <v>112</v>
      </c>
      <c r="C1619" s="278" t="s">
        <v>157</v>
      </c>
      <c r="D1619" s="279" t="s">
        <v>522</v>
      </c>
      <c r="E1619" s="278" t="s">
        <v>791</v>
      </c>
      <c r="F1619" s="278" t="s">
        <v>1512</v>
      </c>
      <c r="G1619" s="280">
        <v>1034326.7</v>
      </c>
      <c r="H1619" s="280">
        <v>0</v>
      </c>
      <c r="I1619" s="281">
        <v>1034326.7</v>
      </c>
      <c r="J1619" s="282"/>
      <c r="K1619" s="7"/>
    </row>
    <row r="1620" spans="1:11" ht="14.4" hidden="1" customHeight="1" x14ac:dyDescent="0.3">
      <c r="A1620" s="278" t="s">
        <v>1350</v>
      </c>
      <c r="B1620" s="279">
        <v>112</v>
      </c>
      <c r="C1620" s="278" t="s">
        <v>157</v>
      </c>
      <c r="D1620" s="279" t="s">
        <v>522</v>
      </c>
      <c r="E1620" s="278" t="s">
        <v>791</v>
      </c>
      <c r="F1620" s="278" t="s">
        <v>1513</v>
      </c>
      <c r="G1620" s="280">
        <v>965725.63</v>
      </c>
      <c r="H1620" s="280">
        <v>0</v>
      </c>
      <c r="I1620" s="281">
        <v>965725.63</v>
      </c>
      <c r="J1620" s="282"/>
      <c r="K1620" s="7"/>
    </row>
    <row r="1621" spans="1:11" ht="14.4" hidden="1" customHeight="1" x14ac:dyDescent="0.3">
      <c r="A1621" s="288" t="s">
        <v>1350</v>
      </c>
      <c r="B1621" s="288">
        <v>112</v>
      </c>
      <c r="C1621" s="289" t="s">
        <v>157</v>
      </c>
      <c r="D1621" s="288" t="s">
        <v>320</v>
      </c>
      <c r="E1621" s="290"/>
      <c r="F1621" s="289" t="s">
        <v>321</v>
      </c>
      <c r="G1621" s="291">
        <v>3047251.72</v>
      </c>
      <c r="H1621" s="291">
        <v>1300000</v>
      </c>
      <c r="I1621" s="292">
        <v>1747251.72</v>
      </c>
      <c r="J1621" s="292">
        <v>1747251.72</v>
      </c>
      <c r="K1621" s="293">
        <v>0</v>
      </c>
    </row>
    <row r="1622" spans="1:11" ht="14.4" hidden="1" customHeight="1" x14ac:dyDescent="0.3">
      <c r="A1622" s="278" t="s">
        <v>1350</v>
      </c>
      <c r="B1622" s="279">
        <v>114</v>
      </c>
      <c r="C1622" s="278" t="s">
        <v>160</v>
      </c>
      <c r="D1622" s="279" t="s">
        <v>527</v>
      </c>
      <c r="E1622" s="278" t="s">
        <v>1033</v>
      </c>
      <c r="F1622" s="278" t="s">
        <v>1514</v>
      </c>
      <c r="G1622" s="280">
        <v>1521520</v>
      </c>
      <c r="H1622" s="280">
        <v>0</v>
      </c>
      <c r="I1622" s="281">
        <v>1521520</v>
      </c>
      <c r="J1622" s="282"/>
      <c r="K1622" s="7"/>
    </row>
    <row r="1623" spans="1:11" ht="14.4" hidden="1" customHeight="1" x14ac:dyDescent="0.3">
      <c r="A1623" s="288" t="s">
        <v>1350</v>
      </c>
      <c r="B1623" s="288">
        <v>114</v>
      </c>
      <c r="C1623" s="289" t="s">
        <v>160</v>
      </c>
      <c r="D1623" s="288" t="s">
        <v>320</v>
      </c>
      <c r="E1623" s="290"/>
      <c r="F1623" s="289" t="s">
        <v>321</v>
      </c>
      <c r="G1623" s="291">
        <v>1521520</v>
      </c>
      <c r="H1623" s="291">
        <v>0</v>
      </c>
      <c r="I1623" s="292">
        <v>1521520</v>
      </c>
      <c r="J1623" s="292">
        <v>1521520</v>
      </c>
      <c r="K1623" s="293">
        <v>0</v>
      </c>
    </row>
    <row r="1624" spans="1:11" ht="14.4" hidden="1" customHeight="1" x14ac:dyDescent="0.3">
      <c r="A1624" s="278" t="s">
        <v>1350</v>
      </c>
      <c r="B1624" s="279">
        <v>115</v>
      </c>
      <c r="C1624" s="278" t="s">
        <v>162</v>
      </c>
      <c r="D1624" s="279" t="s">
        <v>529</v>
      </c>
      <c r="E1624" s="278" t="s">
        <v>530</v>
      </c>
      <c r="F1624" s="278" t="s">
        <v>1515</v>
      </c>
      <c r="G1624" s="280">
        <v>27615</v>
      </c>
      <c r="H1624" s="280">
        <v>0</v>
      </c>
      <c r="I1624" s="281">
        <v>27615</v>
      </c>
      <c r="J1624" s="282"/>
      <c r="K1624" s="7"/>
    </row>
    <row r="1625" spans="1:11" ht="14.4" hidden="1" customHeight="1" x14ac:dyDescent="0.3">
      <c r="A1625" s="278" t="s">
        <v>1350</v>
      </c>
      <c r="B1625" s="279">
        <v>115</v>
      </c>
      <c r="C1625" s="278" t="s">
        <v>162</v>
      </c>
      <c r="D1625" s="279" t="s">
        <v>529</v>
      </c>
      <c r="E1625" s="278" t="s">
        <v>530</v>
      </c>
      <c r="F1625" s="278" t="s">
        <v>1516</v>
      </c>
      <c r="G1625" s="280">
        <v>952176.48</v>
      </c>
      <c r="H1625" s="280">
        <v>0</v>
      </c>
      <c r="I1625" s="281">
        <v>952176.48</v>
      </c>
      <c r="J1625" s="282"/>
      <c r="K1625" s="7"/>
    </row>
    <row r="1626" spans="1:11" ht="14.4" hidden="1" customHeight="1" x14ac:dyDescent="0.3">
      <c r="A1626" s="278" t="s">
        <v>1350</v>
      </c>
      <c r="B1626" s="279">
        <v>115</v>
      </c>
      <c r="C1626" s="278" t="s">
        <v>162</v>
      </c>
      <c r="D1626" s="279" t="s">
        <v>529</v>
      </c>
      <c r="E1626" s="278" t="s">
        <v>530</v>
      </c>
      <c r="F1626" s="278" t="s">
        <v>1516</v>
      </c>
      <c r="G1626" s="280">
        <v>196938.25</v>
      </c>
      <c r="H1626" s="280">
        <v>0</v>
      </c>
      <c r="I1626" s="281">
        <v>196938.25</v>
      </c>
      <c r="J1626" s="282"/>
      <c r="K1626" s="7"/>
    </row>
    <row r="1627" spans="1:11" ht="14.4" hidden="1" customHeight="1" x14ac:dyDescent="0.3">
      <c r="A1627" s="288" t="s">
        <v>1350</v>
      </c>
      <c r="B1627" s="288">
        <v>115</v>
      </c>
      <c r="C1627" s="289" t="s">
        <v>162</v>
      </c>
      <c r="D1627" s="288" t="s">
        <v>320</v>
      </c>
      <c r="E1627" s="290"/>
      <c r="F1627" s="289" t="s">
        <v>321</v>
      </c>
      <c r="G1627" s="291">
        <v>1176729.73</v>
      </c>
      <c r="H1627" s="291">
        <v>0</v>
      </c>
      <c r="I1627" s="292">
        <v>1176729.73</v>
      </c>
      <c r="J1627" s="292">
        <v>1176729.73</v>
      </c>
      <c r="K1627" s="293">
        <v>0</v>
      </c>
    </row>
    <row r="1628" spans="1:11" ht="14.4" hidden="1" customHeight="1" x14ac:dyDescent="0.3">
      <c r="A1628" s="278" t="s">
        <v>1350</v>
      </c>
      <c r="B1628" s="279">
        <v>117</v>
      </c>
      <c r="C1628" s="278" t="s">
        <v>165</v>
      </c>
      <c r="D1628" s="279" t="s">
        <v>534</v>
      </c>
      <c r="E1628" s="278" t="s">
        <v>535</v>
      </c>
      <c r="F1628" s="278" t="s">
        <v>1517</v>
      </c>
      <c r="G1628" s="280">
        <v>283000</v>
      </c>
      <c r="H1628" s="280">
        <v>0</v>
      </c>
      <c r="I1628" s="281">
        <v>283000</v>
      </c>
      <c r="J1628" s="282"/>
      <c r="K1628" s="7"/>
    </row>
    <row r="1629" spans="1:11" ht="14.4" hidden="1" customHeight="1" x14ac:dyDescent="0.3">
      <c r="A1629" s="288" t="s">
        <v>1350</v>
      </c>
      <c r="B1629" s="288">
        <v>117</v>
      </c>
      <c r="C1629" s="289" t="s">
        <v>165</v>
      </c>
      <c r="D1629" s="288" t="s">
        <v>320</v>
      </c>
      <c r="E1629" s="290"/>
      <c r="F1629" s="289" t="s">
        <v>321</v>
      </c>
      <c r="G1629" s="291">
        <v>283000</v>
      </c>
      <c r="H1629" s="291">
        <v>0</v>
      </c>
      <c r="I1629" s="292">
        <v>283000</v>
      </c>
      <c r="J1629" s="292">
        <v>283000</v>
      </c>
      <c r="K1629" s="293">
        <v>0</v>
      </c>
    </row>
    <row r="1630" spans="1:11" ht="14.4" hidden="1" customHeight="1" x14ac:dyDescent="0.3">
      <c r="A1630" s="278" t="s">
        <v>1350</v>
      </c>
      <c r="B1630" s="279">
        <v>118</v>
      </c>
      <c r="C1630" s="278" t="s">
        <v>167</v>
      </c>
      <c r="D1630" s="279" t="s">
        <v>537</v>
      </c>
      <c r="E1630" s="278" t="s">
        <v>438</v>
      </c>
      <c r="F1630" s="278" t="s">
        <v>1518</v>
      </c>
      <c r="G1630" s="280">
        <v>123918.39999999999</v>
      </c>
      <c r="H1630" s="280">
        <v>0</v>
      </c>
      <c r="I1630" s="281">
        <v>123918.39999999999</v>
      </c>
      <c r="J1630" s="282"/>
      <c r="K1630" s="7"/>
    </row>
    <row r="1631" spans="1:11" ht="14.4" hidden="1" customHeight="1" x14ac:dyDescent="0.3">
      <c r="A1631" s="278" t="s">
        <v>1350</v>
      </c>
      <c r="B1631" s="279">
        <v>118</v>
      </c>
      <c r="C1631" s="278" t="s">
        <v>167</v>
      </c>
      <c r="D1631" s="279" t="s">
        <v>537</v>
      </c>
      <c r="E1631" s="278" t="s">
        <v>438</v>
      </c>
      <c r="F1631" s="278" t="s">
        <v>1519</v>
      </c>
      <c r="G1631" s="280">
        <v>224264.46</v>
      </c>
      <c r="H1631" s="280">
        <v>0</v>
      </c>
      <c r="I1631" s="281">
        <v>224264.46</v>
      </c>
      <c r="J1631" s="282"/>
      <c r="K1631" s="7"/>
    </row>
    <row r="1632" spans="1:11" ht="14.4" hidden="1" customHeight="1" x14ac:dyDescent="0.3">
      <c r="A1632" s="278" t="s">
        <v>1350</v>
      </c>
      <c r="B1632" s="279">
        <v>118</v>
      </c>
      <c r="C1632" s="278" t="s">
        <v>167</v>
      </c>
      <c r="D1632" s="279" t="s">
        <v>537</v>
      </c>
      <c r="E1632" s="278" t="s">
        <v>438</v>
      </c>
      <c r="F1632" s="278" t="s">
        <v>1520</v>
      </c>
      <c r="G1632" s="280">
        <v>274020.7</v>
      </c>
      <c r="H1632" s="280">
        <v>0</v>
      </c>
      <c r="I1632" s="281">
        <v>274020.7</v>
      </c>
      <c r="J1632" s="282"/>
      <c r="K1632" s="7"/>
    </row>
    <row r="1633" spans="1:11" ht="14.4" hidden="1" customHeight="1" x14ac:dyDescent="0.3">
      <c r="A1633" s="278" t="s">
        <v>1350</v>
      </c>
      <c r="B1633" s="279">
        <v>118</v>
      </c>
      <c r="C1633" s="278" t="s">
        <v>167</v>
      </c>
      <c r="D1633" s="279" t="s">
        <v>540</v>
      </c>
      <c r="E1633" s="278" t="s">
        <v>438</v>
      </c>
      <c r="F1633" s="278" t="s">
        <v>1521</v>
      </c>
      <c r="G1633" s="280">
        <v>10500</v>
      </c>
      <c r="H1633" s="280">
        <v>0</v>
      </c>
      <c r="I1633" s="281">
        <v>10500</v>
      </c>
      <c r="J1633" s="282"/>
      <c r="K1633" s="7"/>
    </row>
    <row r="1634" spans="1:11" ht="14.4" hidden="1" customHeight="1" x14ac:dyDescent="0.3">
      <c r="A1634" s="278" t="s">
        <v>1350</v>
      </c>
      <c r="B1634" s="279">
        <v>118</v>
      </c>
      <c r="C1634" s="278" t="s">
        <v>167</v>
      </c>
      <c r="D1634" s="279" t="s">
        <v>540</v>
      </c>
      <c r="E1634" s="278" t="s">
        <v>438</v>
      </c>
      <c r="F1634" s="278" t="s">
        <v>1522</v>
      </c>
      <c r="G1634" s="280">
        <v>15995</v>
      </c>
      <c r="H1634" s="280">
        <v>0</v>
      </c>
      <c r="I1634" s="281">
        <v>15995</v>
      </c>
      <c r="J1634" s="282"/>
      <c r="K1634" s="7"/>
    </row>
    <row r="1635" spans="1:11" ht="14.4" hidden="1" customHeight="1" x14ac:dyDescent="0.3">
      <c r="A1635" s="288" t="s">
        <v>1350</v>
      </c>
      <c r="B1635" s="288">
        <v>118</v>
      </c>
      <c r="C1635" s="289" t="s">
        <v>167</v>
      </c>
      <c r="D1635" s="288" t="s">
        <v>320</v>
      </c>
      <c r="E1635" s="290"/>
      <c r="F1635" s="289" t="s">
        <v>321</v>
      </c>
      <c r="G1635" s="291">
        <v>648698.56000000006</v>
      </c>
      <c r="H1635" s="291">
        <v>0</v>
      </c>
      <c r="I1635" s="292">
        <v>648698.56000000006</v>
      </c>
      <c r="J1635" s="292">
        <v>648698.56000000006</v>
      </c>
      <c r="K1635" s="293">
        <v>0</v>
      </c>
    </row>
    <row r="1636" spans="1:11" ht="14.4" hidden="1" customHeight="1" x14ac:dyDescent="0.3">
      <c r="A1636" s="278" t="s">
        <v>1350</v>
      </c>
      <c r="B1636" s="279">
        <v>119</v>
      </c>
      <c r="C1636" s="278" t="s">
        <v>169</v>
      </c>
      <c r="D1636" s="279" t="s">
        <v>542</v>
      </c>
      <c r="E1636" s="278" t="s">
        <v>438</v>
      </c>
      <c r="F1636" s="278" t="s">
        <v>1523</v>
      </c>
      <c r="G1636" s="280">
        <v>78100</v>
      </c>
      <c r="H1636" s="280">
        <v>0</v>
      </c>
      <c r="I1636" s="281">
        <v>78100</v>
      </c>
      <c r="J1636" s="282"/>
      <c r="K1636" s="7"/>
    </row>
    <row r="1637" spans="1:11" ht="14.4" hidden="1" customHeight="1" x14ac:dyDescent="0.3">
      <c r="A1637" s="278" t="s">
        <v>1350</v>
      </c>
      <c r="B1637" s="279">
        <v>119</v>
      </c>
      <c r="C1637" s="278" t="s">
        <v>169</v>
      </c>
      <c r="D1637" s="279" t="s">
        <v>542</v>
      </c>
      <c r="E1637" s="278" t="s">
        <v>438</v>
      </c>
      <c r="F1637" s="278" t="s">
        <v>1524</v>
      </c>
      <c r="G1637" s="280">
        <v>121900</v>
      </c>
      <c r="H1637" s="280">
        <v>0</v>
      </c>
      <c r="I1637" s="281">
        <v>121900</v>
      </c>
      <c r="J1637" s="282"/>
      <c r="K1637" s="7"/>
    </row>
    <row r="1638" spans="1:11" ht="14.4" hidden="1" customHeight="1" x14ac:dyDescent="0.3">
      <c r="A1638" s="278" t="s">
        <v>1350</v>
      </c>
      <c r="B1638" s="279">
        <v>119</v>
      </c>
      <c r="C1638" s="278" t="s">
        <v>169</v>
      </c>
      <c r="D1638" s="279" t="s">
        <v>542</v>
      </c>
      <c r="E1638" s="278" t="s">
        <v>438</v>
      </c>
      <c r="F1638" s="278" t="s">
        <v>1525</v>
      </c>
      <c r="G1638" s="280">
        <v>71660</v>
      </c>
      <c r="H1638" s="280">
        <v>0</v>
      </c>
      <c r="I1638" s="281">
        <v>71660</v>
      </c>
      <c r="J1638" s="282"/>
      <c r="K1638" s="7"/>
    </row>
    <row r="1639" spans="1:11" ht="14.4" hidden="1" customHeight="1" x14ac:dyDescent="0.3">
      <c r="A1639" s="288" t="s">
        <v>1350</v>
      </c>
      <c r="B1639" s="288">
        <v>119</v>
      </c>
      <c r="C1639" s="289" t="s">
        <v>169</v>
      </c>
      <c r="D1639" s="288" t="s">
        <v>320</v>
      </c>
      <c r="E1639" s="290"/>
      <c r="F1639" s="289" t="s">
        <v>321</v>
      </c>
      <c r="G1639" s="291">
        <v>271660</v>
      </c>
      <c r="H1639" s="291">
        <v>0</v>
      </c>
      <c r="I1639" s="292">
        <v>271660</v>
      </c>
      <c r="J1639" s="292">
        <v>271660</v>
      </c>
      <c r="K1639" s="293">
        <v>0</v>
      </c>
    </row>
    <row r="1640" spans="1:11" ht="14.4" hidden="1" customHeight="1" x14ac:dyDescent="0.3">
      <c r="A1640" s="278" t="s">
        <v>1350</v>
      </c>
      <c r="B1640" s="279">
        <v>120</v>
      </c>
      <c r="C1640" s="278" t="s">
        <v>171</v>
      </c>
      <c r="D1640" s="279" t="s">
        <v>1049</v>
      </c>
      <c r="E1640" s="278" t="s">
        <v>1050</v>
      </c>
      <c r="F1640" s="278" t="s">
        <v>1526</v>
      </c>
      <c r="G1640" s="280">
        <v>48930</v>
      </c>
      <c r="H1640" s="280">
        <v>0</v>
      </c>
      <c r="I1640" s="281">
        <v>48930</v>
      </c>
      <c r="J1640" s="282"/>
      <c r="K1640" s="7"/>
    </row>
    <row r="1641" spans="1:11" ht="14.4" hidden="1" customHeight="1" x14ac:dyDescent="0.3">
      <c r="A1641" s="288" t="s">
        <v>1350</v>
      </c>
      <c r="B1641" s="288">
        <v>120</v>
      </c>
      <c r="C1641" s="289" t="s">
        <v>171</v>
      </c>
      <c r="D1641" s="288" t="s">
        <v>320</v>
      </c>
      <c r="E1641" s="290"/>
      <c r="F1641" s="289" t="s">
        <v>321</v>
      </c>
      <c r="G1641" s="291">
        <v>48930</v>
      </c>
      <c r="H1641" s="291">
        <v>0</v>
      </c>
      <c r="I1641" s="292">
        <v>48930</v>
      </c>
      <c r="J1641" s="292">
        <v>48930</v>
      </c>
      <c r="K1641" s="293">
        <v>0</v>
      </c>
    </row>
    <row r="1642" spans="1:11" ht="14.4" hidden="1" customHeight="1" x14ac:dyDescent="0.3">
      <c r="A1642" s="278" t="s">
        <v>1350</v>
      </c>
      <c r="B1642" s="279">
        <v>121</v>
      </c>
      <c r="C1642" s="278" t="s">
        <v>173</v>
      </c>
      <c r="D1642" s="279" t="s">
        <v>1049</v>
      </c>
      <c r="E1642" s="278" t="s">
        <v>173</v>
      </c>
      <c r="F1642" s="278" t="s">
        <v>1527</v>
      </c>
      <c r="G1642" s="280">
        <v>0</v>
      </c>
      <c r="H1642" s="280">
        <v>4500000</v>
      </c>
      <c r="I1642" s="281">
        <v>-4500000</v>
      </c>
      <c r="J1642" s="282"/>
      <c r="K1642" s="7"/>
    </row>
    <row r="1643" spans="1:11" ht="14.4" hidden="1" customHeight="1" x14ac:dyDescent="0.3">
      <c r="A1643" s="278" t="s">
        <v>1350</v>
      </c>
      <c r="B1643" s="279">
        <v>121</v>
      </c>
      <c r="C1643" s="278" t="s">
        <v>173</v>
      </c>
      <c r="D1643" s="279" t="s">
        <v>1049</v>
      </c>
      <c r="E1643" s="278" t="s">
        <v>173</v>
      </c>
      <c r="F1643" s="278" t="s">
        <v>1528</v>
      </c>
      <c r="G1643" s="280">
        <v>0.6</v>
      </c>
      <c r="H1643" s="280">
        <v>0</v>
      </c>
      <c r="I1643" s="281">
        <v>0.6</v>
      </c>
      <c r="J1643" s="282"/>
      <c r="K1643" s="7"/>
    </row>
    <row r="1644" spans="1:11" ht="14.4" hidden="1" customHeight="1" x14ac:dyDescent="0.3">
      <c r="A1644" s="288" t="s">
        <v>1350</v>
      </c>
      <c r="B1644" s="288">
        <v>121</v>
      </c>
      <c r="C1644" s="289" t="s">
        <v>173</v>
      </c>
      <c r="D1644" s="288" t="s">
        <v>320</v>
      </c>
      <c r="E1644" s="290"/>
      <c r="F1644" s="289" t="s">
        <v>321</v>
      </c>
      <c r="G1644" s="291">
        <v>0.6</v>
      </c>
      <c r="H1644" s="291">
        <v>4500000</v>
      </c>
      <c r="I1644" s="292">
        <v>-4499999.4000000004</v>
      </c>
      <c r="J1644" s="292">
        <v>-4499999.4000000004</v>
      </c>
      <c r="K1644" s="293">
        <v>0</v>
      </c>
    </row>
    <row r="1645" spans="1:11" ht="22.8" hidden="1" customHeight="1" x14ac:dyDescent="0.3">
      <c r="A1645" s="278" t="s">
        <v>1350</v>
      </c>
      <c r="B1645" s="279">
        <v>122</v>
      </c>
      <c r="C1645" s="278" t="s">
        <v>175</v>
      </c>
      <c r="D1645" s="279" t="s">
        <v>549</v>
      </c>
      <c r="E1645" s="278" t="s">
        <v>1529</v>
      </c>
      <c r="F1645" s="278" t="s">
        <v>1530</v>
      </c>
      <c r="G1645" s="280">
        <v>155958.01999999999</v>
      </c>
      <c r="H1645" s="280">
        <v>0</v>
      </c>
      <c r="I1645" s="281">
        <v>155958.01999999999</v>
      </c>
      <c r="J1645" s="282"/>
      <c r="K1645" s="7"/>
    </row>
    <row r="1646" spans="1:11" ht="22.8" hidden="1" customHeight="1" x14ac:dyDescent="0.3">
      <c r="A1646" s="278" t="s">
        <v>1350</v>
      </c>
      <c r="B1646" s="279">
        <v>122</v>
      </c>
      <c r="C1646" s="278" t="s">
        <v>175</v>
      </c>
      <c r="D1646" s="279" t="s">
        <v>549</v>
      </c>
      <c r="E1646" s="278" t="s">
        <v>1529</v>
      </c>
      <c r="F1646" s="278" t="s">
        <v>1530</v>
      </c>
      <c r="G1646" s="280">
        <v>5425.09</v>
      </c>
      <c r="H1646" s="280">
        <v>0</v>
      </c>
      <c r="I1646" s="281">
        <v>5425.09</v>
      </c>
      <c r="J1646" s="282"/>
      <c r="K1646" s="7"/>
    </row>
    <row r="1647" spans="1:11" ht="14.4" hidden="1" customHeight="1" x14ac:dyDescent="0.3">
      <c r="A1647" s="278" t="s">
        <v>1350</v>
      </c>
      <c r="B1647" s="279">
        <v>122</v>
      </c>
      <c r="C1647" s="278" t="s">
        <v>175</v>
      </c>
      <c r="D1647" s="279" t="s">
        <v>549</v>
      </c>
      <c r="E1647" s="278"/>
      <c r="F1647" s="278" t="s">
        <v>1531</v>
      </c>
      <c r="G1647" s="280">
        <v>432412</v>
      </c>
      <c r="H1647" s="280">
        <v>0</v>
      </c>
      <c r="I1647" s="281">
        <v>432412</v>
      </c>
      <c r="J1647" s="282"/>
      <c r="K1647" s="7"/>
    </row>
    <row r="1648" spans="1:11" ht="14.4" hidden="1" customHeight="1" x14ac:dyDescent="0.3">
      <c r="A1648" s="288" t="s">
        <v>1350</v>
      </c>
      <c r="B1648" s="288">
        <v>122</v>
      </c>
      <c r="C1648" s="289" t="s">
        <v>175</v>
      </c>
      <c r="D1648" s="288" t="s">
        <v>320</v>
      </c>
      <c r="E1648" s="290"/>
      <c r="F1648" s="289" t="s">
        <v>321</v>
      </c>
      <c r="G1648" s="291">
        <v>593795.11</v>
      </c>
      <c r="H1648" s="291">
        <v>0</v>
      </c>
      <c r="I1648" s="292">
        <v>593795.11</v>
      </c>
      <c r="J1648" s="292">
        <v>593795.11</v>
      </c>
      <c r="K1648" s="293">
        <v>0</v>
      </c>
    </row>
    <row r="1649" spans="1:11" ht="14.4" hidden="1" customHeight="1" x14ac:dyDescent="0.3">
      <c r="A1649" s="278" t="s">
        <v>1350</v>
      </c>
      <c r="B1649" s="279">
        <v>123</v>
      </c>
      <c r="C1649" s="278" t="s">
        <v>177</v>
      </c>
      <c r="D1649" s="279" t="s">
        <v>551</v>
      </c>
      <c r="E1649" s="278" t="s">
        <v>552</v>
      </c>
      <c r="F1649" s="278" t="s">
        <v>1532</v>
      </c>
      <c r="G1649" s="280">
        <v>2118364.65</v>
      </c>
      <c r="H1649" s="280">
        <v>0</v>
      </c>
      <c r="I1649" s="281">
        <v>2118364.65</v>
      </c>
      <c r="J1649" s="282"/>
      <c r="K1649" s="7"/>
    </row>
    <row r="1650" spans="1:11" ht="14.4" hidden="1" customHeight="1" x14ac:dyDescent="0.3">
      <c r="A1650" s="288" t="s">
        <v>1350</v>
      </c>
      <c r="B1650" s="288">
        <v>123</v>
      </c>
      <c r="C1650" s="289" t="s">
        <v>177</v>
      </c>
      <c r="D1650" s="288" t="s">
        <v>320</v>
      </c>
      <c r="E1650" s="290"/>
      <c r="F1650" s="289" t="s">
        <v>321</v>
      </c>
      <c r="G1650" s="291">
        <v>2118364.65</v>
      </c>
      <c r="H1650" s="291">
        <v>0</v>
      </c>
      <c r="I1650" s="292">
        <v>2118364.65</v>
      </c>
      <c r="J1650" s="292">
        <v>2118364.65</v>
      </c>
      <c r="K1650" s="293">
        <v>0</v>
      </c>
    </row>
    <row r="1651" spans="1:11" ht="14.4" hidden="1" customHeight="1" x14ac:dyDescent="0.3">
      <c r="A1651" s="278" t="s">
        <v>1350</v>
      </c>
      <c r="B1651" s="279">
        <v>124</v>
      </c>
      <c r="C1651" s="278" t="s">
        <v>179</v>
      </c>
      <c r="D1651" s="279" t="s">
        <v>551</v>
      </c>
      <c r="E1651" s="278"/>
      <c r="F1651" s="278" t="s">
        <v>1533</v>
      </c>
      <c r="G1651" s="280">
        <v>0</v>
      </c>
      <c r="H1651" s="280">
        <v>2895200</v>
      </c>
      <c r="I1651" s="281">
        <v>-2895200</v>
      </c>
      <c r="J1651" s="282"/>
      <c r="K1651" s="7"/>
    </row>
    <row r="1652" spans="1:11" ht="14.4" hidden="1" customHeight="1" x14ac:dyDescent="0.3">
      <c r="A1652" s="278" t="s">
        <v>1350</v>
      </c>
      <c r="B1652" s="279">
        <v>124</v>
      </c>
      <c r="C1652" s="278" t="s">
        <v>179</v>
      </c>
      <c r="D1652" s="279" t="s">
        <v>551</v>
      </c>
      <c r="E1652" s="278" t="s">
        <v>1276</v>
      </c>
      <c r="F1652" s="278" t="s">
        <v>1534</v>
      </c>
      <c r="G1652" s="280">
        <v>2985200</v>
      </c>
      <c r="H1652" s="280">
        <v>0</v>
      </c>
      <c r="I1652" s="281">
        <v>2985200</v>
      </c>
      <c r="J1652" s="282"/>
      <c r="K1652" s="7"/>
    </row>
    <row r="1653" spans="1:11" ht="14.4" hidden="1" customHeight="1" x14ac:dyDescent="0.3">
      <c r="A1653" s="278" t="s">
        <v>1350</v>
      </c>
      <c r="B1653" s="279">
        <v>124</v>
      </c>
      <c r="C1653" s="278" t="s">
        <v>179</v>
      </c>
      <c r="D1653" s="279" t="s">
        <v>551</v>
      </c>
      <c r="E1653" s="278" t="s">
        <v>1276</v>
      </c>
      <c r="F1653" s="278" t="s">
        <v>1535</v>
      </c>
      <c r="G1653" s="280">
        <v>0</v>
      </c>
      <c r="H1653" s="280">
        <v>2985200</v>
      </c>
      <c r="I1653" s="281">
        <v>-2985200</v>
      </c>
      <c r="J1653" s="282"/>
      <c r="K1653" s="7"/>
    </row>
    <row r="1654" spans="1:11" ht="14.4" hidden="1" customHeight="1" x14ac:dyDescent="0.3">
      <c r="A1654" s="278" t="s">
        <v>1350</v>
      </c>
      <c r="B1654" s="279">
        <v>124</v>
      </c>
      <c r="C1654" s="278" t="s">
        <v>179</v>
      </c>
      <c r="D1654" s="279" t="s">
        <v>551</v>
      </c>
      <c r="E1654" s="278" t="s">
        <v>1276</v>
      </c>
      <c r="F1654" s="278" t="s">
        <v>1536</v>
      </c>
      <c r="G1654" s="280">
        <v>2895200</v>
      </c>
      <c r="H1654" s="280">
        <v>0</v>
      </c>
      <c r="I1654" s="281">
        <v>2895200</v>
      </c>
      <c r="J1654" s="282"/>
      <c r="K1654" s="7"/>
    </row>
    <row r="1655" spans="1:11" ht="14.4" hidden="1" customHeight="1" x14ac:dyDescent="0.3">
      <c r="A1655" s="278" t="s">
        <v>1350</v>
      </c>
      <c r="B1655" s="279">
        <v>124</v>
      </c>
      <c r="C1655" s="278" t="s">
        <v>179</v>
      </c>
      <c r="D1655" s="279" t="s">
        <v>551</v>
      </c>
      <c r="E1655" s="278" t="s">
        <v>1276</v>
      </c>
      <c r="F1655" s="278" t="s">
        <v>1537</v>
      </c>
      <c r="G1655" s="280">
        <v>2895200</v>
      </c>
      <c r="H1655" s="280">
        <v>0</v>
      </c>
      <c r="I1655" s="281">
        <v>2895200</v>
      </c>
      <c r="J1655" s="282"/>
      <c r="K1655" s="7"/>
    </row>
    <row r="1656" spans="1:11" ht="14.4" hidden="1" customHeight="1" x14ac:dyDescent="0.3">
      <c r="A1656" s="288" t="s">
        <v>1350</v>
      </c>
      <c r="B1656" s="288">
        <v>124</v>
      </c>
      <c r="C1656" s="289" t="s">
        <v>179</v>
      </c>
      <c r="D1656" s="288" t="s">
        <v>320</v>
      </c>
      <c r="E1656" s="290"/>
      <c r="F1656" s="289" t="s">
        <v>321</v>
      </c>
      <c r="G1656" s="291">
        <v>8775600</v>
      </c>
      <c r="H1656" s="291">
        <v>5880400</v>
      </c>
      <c r="I1656" s="292">
        <v>2895200</v>
      </c>
      <c r="J1656" s="292">
        <v>2895200</v>
      </c>
      <c r="K1656" s="293">
        <v>0</v>
      </c>
    </row>
    <row r="1657" spans="1:11" ht="14.4" hidden="1" customHeight="1" x14ac:dyDescent="0.3">
      <c r="A1657" s="278" t="s">
        <v>1350</v>
      </c>
      <c r="B1657" s="279">
        <v>129</v>
      </c>
      <c r="C1657" s="278" t="s">
        <v>183</v>
      </c>
      <c r="D1657" s="279" t="s">
        <v>553</v>
      </c>
      <c r="E1657" s="278" t="s">
        <v>554</v>
      </c>
      <c r="F1657" s="278" t="s">
        <v>1538</v>
      </c>
      <c r="G1657" s="280">
        <v>4498369</v>
      </c>
      <c r="H1657" s="280">
        <v>0</v>
      </c>
      <c r="I1657" s="281">
        <v>4498369</v>
      </c>
      <c r="J1657" s="282"/>
      <c r="K1657" s="7"/>
    </row>
    <row r="1658" spans="1:11" ht="14.4" hidden="1" customHeight="1" x14ac:dyDescent="0.3">
      <c r="A1658" s="288" t="s">
        <v>1350</v>
      </c>
      <c r="B1658" s="288">
        <v>129</v>
      </c>
      <c r="C1658" s="289" t="s">
        <v>183</v>
      </c>
      <c r="D1658" s="288" t="s">
        <v>320</v>
      </c>
      <c r="E1658" s="290"/>
      <c r="F1658" s="289" t="s">
        <v>321</v>
      </c>
      <c r="G1658" s="291">
        <v>4498369</v>
      </c>
      <c r="H1658" s="291">
        <v>0</v>
      </c>
      <c r="I1658" s="292">
        <v>4498369</v>
      </c>
      <c r="J1658" s="292">
        <v>4498369</v>
      </c>
      <c r="K1658" s="293">
        <v>0</v>
      </c>
    </row>
    <row r="1659" spans="1:11" ht="22.8" hidden="1" customHeight="1" x14ac:dyDescent="0.3">
      <c r="A1659" s="278" t="s">
        <v>1350</v>
      </c>
      <c r="B1659" s="279">
        <v>130</v>
      </c>
      <c r="C1659" s="278" t="s">
        <v>186</v>
      </c>
      <c r="D1659" s="279" t="s">
        <v>553</v>
      </c>
      <c r="E1659" s="278" t="s">
        <v>557</v>
      </c>
      <c r="F1659" s="278" t="s">
        <v>1539</v>
      </c>
      <c r="G1659" s="280">
        <v>1321016.0900000001</v>
      </c>
      <c r="H1659" s="280">
        <v>0</v>
      </c>
      <c r="I1659" s="281">
        <v>1321016.0900000001</v>
      </c>
      <c r="J1659" s="282"/>
      <c r="K1659" s="7"/>
    </row>
    <row r="1660" spans="1:11" ht="22.8" hidden="1" customHeight="1" x14ac:dyDescent="0.3">
      <c r="A1660" s="278" t="s">
        <v>1350</v>
      </c>
      <c r="B1660" s="279">
        <v>130</v>
      </c>
      <c r="C1660" s="278" t="s">
        <v>186</v>
      </c>
      <c r="D1660" s="279" t="s">
        <v>553</v>
      </c>
      <c r="E1660" s="278"/>
      <c r="F1660" s="278" t="s">
        <v>1540</v>
      </c>
      <c r="G1660" s="280">
        <v>0</v>
      </c>
      <c r="H1660" s="280">
        <v>1300000</v>
      </c>
      <c r="I1660" s="281">
        <v>-1300000</v>
      </c>
      <c r="J1660" s="282"/>
      <c r="K1660" s="7"/>
    </row>
    <row r="1661" spans="1:11" ht="14.4" hidden="1" customHeight="1" x14ac:dyDescent="0.3">
      <c r="A1661" s="278" t="s">
        <v>1350</v>
      </c>
      <c r="B1661" s="279">
        <v>130</v>
      </c>
      <c r="C1661" s="278" t="s">
        <v>186</v>
      </c>
      <c r="D1661" s="279" t="s">
        <v>553</v>
      </c>
      <c r="E1661" s="278"/>
      <c r="F1661" s="278" t="s">
        <v>1541</v>
      </c>
      <c r="G1661" s="280">
        <v>1353500</v>
      </c>
      <c r="H1661" s="280">
        <v>0</v>
      </c>
      <c r="I1661" s="281">
        <v>1353500</v>
      </c>
      <c r="J1661" s="282"/>
      <c r="K1661" s="7"/>
    </row>
    <row r="1662" spans="1:11" ht="14.4" hidden="1" customHeight="1" x14ac:dyDescent="0.3">
      <c r="A1662" s="288" t="s">
        <v>1350</v>
      </c>
      <c r="B1662" s="288">
        <v>130</v>
      </c>
      <c r="C1662" s="289" t="s">
        <v>186</v>
      </c>
      <c r="D1662" s="288" t="s">
        <v>320</v>
      </c>
      <c r="E1662" s="290"/>
      <c r="F1662" s="289" t="s">
        <v>321</v>
      </c>
      <c r="G1662" s="291">
        <v>2674516.09</v>
      </c>
      <c r="H1662" s="291">
        <v>1300000</v>
      </c>
      <c r="I1662" s="292">
        <v>1374516.09</v>
      </c>
      <c r="J1662" s="292">
        <v>1374516.09</v>
      </c>
      <c r="K1662" s="293">
        <v>0</v>
      </c>
    </row>
    <row r="1663" spans="1:11" ht="14.4" hidden="1" customHeight="1" x14ac:dyDescent="0.3">
      <c r="A1663" s="278" t="s">
        <v>1350</v>
      </c>
      <c r="B1663" s="279">
        <v>131</v>
      </c>
      <c r="C1663" s="278" t="s">
        <v>188</v>
      </c>
      <c r="D1663" s="279" t="s">
        <v>560</v>
      </c>
      <c r="E1663" s="278" t="s">
        <v>438</v>
      </c>
      <c r="F1663" s="278" t="s">
        <v>1542</v>
      </c>
      <c r="G1663" s="280">
        <v>6221</v>
      </c>
      <c r="H1663" s="280">
        <v>0</v>
      </c>
      <c r="I1663" s="281">
        <v>6221</v>
      </c>
      <c r="J1663" s="282"/>
      <c r="K1663" s="7"/>
    </row>
    <row r="1664" spans="1:11" ht="14.4" hidden="1" customHeight="1" x14ac:dyDescent="0.3">
      <c r="A1664" s="278" t="s">
        <v>1350</v>
      </c>
      <c r="B1664" s="279">
        <v>131</v>
      </c>
      <c r="C1664" s="278" t="s">
        <v>188</v>
      </c>
      <c r="D1664" s="279" t="s">
        <v>560</v>
      </c>
      <c r="E1664" s="278" t="s">
        <v>438</v>
      </c>
      <c r="F1664" s="278" t="s">
        <v>1543</v>
      </c>
      <c r="G1664" s="280">
        <v>6221</v>
      </c>
      <c r="H1664" s="280">
        <v>0</v>
      </c>
      <c r="I1664" s="281">
        <v>6221</v>
      </c>
      <c r="J1664" s="282"/>
      <c r="K1664" s="7"/>
    </row>
    <row r="1665" spans="1:11" ht="14.4" hidden="1" customHeight="1" x14ac:dyDescent="0.3">
      <c r="A1665" s="278" t="s">
        <v>1350</v>
      </c>
      <c r="B1665" s="279">
        <v>131</v>
      </c>
      <c r="C1665" s="278" t="s">
        <v>188</v>
      </c>
      <c r="D1665" s="279" t="s">
        <v>560</v>
      </c>
      <c r="E1665" s="278" t="s">
        <v>438</v>
      </c>
      <c r="F1665" s="278" t="s">
        <v>1544</v>
      </c>
      <c r="G1665" s="280">
        <v>362473</v>
      </c>
      <c r="H1665" s="280">
        <v>0</v>
      </c>
      <c r="I1665" s="281">
        <v>362473</v>
      </c>
      <c r="J1665" s="282"/>
      <c r="K1665" s="7"/>
    </row>
    <row r="1666" spans="1:11" ht="14.4" hidden="1" customHeight="1" x14ac:dyDescent="0.3">
      <c r="A1666" s="278" t="s">
        <v>1350</v>
      </c>
      <c r="B1666" s="279">
        <v>131</v>
      </c>
      <c r="C1666" s="278" t="s">
        <v>188</v>
      </c>
      <c r="D1666" s="279" t="s">
        <v>560</v>
      </c>
      <c r="E1666" s="278" t="s">
        <v>438</v>
      </c>
      <c r="F1666" s="278" t="s">
        <v>1545</v>
      </c>
      <c r="G1666" s="280">
        <v>6968</v>
      </c>
      <c r="H1666" s="280">
        <v>0</v>
      </c>
      <c r="I1666" s="281">
        <v>6968</v>
      </c>
      <c r="J1666" s="282"/>
      <c r="K1666" s="7"/>
    </row>
    <row r="1667" spans="1:11" ht="14.4" hidden="1" customHeight="1" x14ac:dyDescent="0.3">
      <c r="A1667" s="288" t="s">
        <v>1350</v>
      </c>
      <c r="B1667" s="288">
        <v>131</v>
      </c>
      <c r="C1667" s="289" t="s">
        <v>188</v>
      </c>
      <c r="D1667" s="288" t="s">
        <v>320</v>
      </c>
      <c r="E1667" s="290"/>
      <c r="F1667" s="289" t="s">
        <v>321</v>
      </c>
      <c r="G1667" s="291">
        <v>381883</v>
      </c>
      <c r="H1667" s="291">
        <v>0</v>
      </c>
      <c r="I1667" s="292">
        <v>381883</v>
      </c>
      <c r="J1667" s="292">
        <v>381883</v>
      </c>
      <c r="K1667" s="293">
        <v>0</v>
      </c>
    </row>
    <row r="1668" spans="1:11" ht="14.4" hidden="1" customHeight="1" x14ac:dyDescent="0.3">
      <c r="A1668" s="278" t="s">
        <v>1350</v>
      </c>
      <c r="B1668" s="279">
        <v>132</v>
      </c>
      <c r="C1668" s="278" t="s">
        <v>190</v>
      </c>
      <c r="D1668" s="279" t="s">
        <v>565</v>
      </c>
      <c r="E1668" s="278"/>
      <c r="F1668" s="278" t="s">
        <v>1546</v>
      </c>
      <c r="G1668" s="280">
        <v>0</v>
      </c>
      <c r="H1668" s="280">
        <v>808076</v>
      </c>
      <c r="I1668" s="281">
        <v>-808076</v>
      </c>
      <c r="J1668" s="282"/>
      <c r="K1668" s="7"/>
    </row>
    <row r="1669" spans="1:11" ht="14.4" hidden="1" customHeight="1" x14ac:dyDescent="0.3">
      <c r="A1669" s="278" t="s">
        <v>1350</v>
      </c>
      <c r="B1669" s="279">
        <v>132</v>
      </c>
      <c r="C1669" s="278" t="s">
        <v>190</v>
      </c>
      <c r="D1669" s="279" t="s">
        <v>565</v>
      </c>
      <c r="E1669" s="278" t="s">
        <v>566</v>
      </c>
      <c r="F1669" s="278" t="s">
        <v>1547</v>
      </c>
      <c r="G1669" s="280">
        <v>808066.1</v>
      </c>
      <c r="H1669" s="280">
        <v>0</v>
      </c>
      <c r="I1669" s="281">
        <v>808066.1</v>
      </c>
      <c r="J1669" s="282"/>
      <c r="K1669" s="7"/>
    </row>
    <row r="1670" spans="1:11" ht="14.4" hidden="1" customHeight="1" x14ac:dyDescent="0.3">
      <c r="A1670" s="278" t="s">
        <v>1350</v>
      </c>
      <c r="B1670" s="279">
        <v>132</v>
      </c>
      <c r="C1670" s="278" t="s">
        <v>190</v>
      </c>
      <c r="D1670" s="279" t="s">
        <v>565</v>
      </c>
      <c r="E1670" s="278"/>
      <c r="F1670" s="278" t="s">
        <v>1548</v>
      </c>
      <c r="G1670" s="280">
        <v>774540</v>
      </c>
      <c r="H1670" s="280">
        <v>0</v>
      </c>
      <c r="I1670" s="281">
        <v>774540</v>
      </c>
      <c r="J1670" s="282"/>
      <c r="K1670" s="7"/>
    </row>
    <row r="1671" spans="1:11" ht="14.4" hidden="1" customHeight="1" x14ac:dyDescent="0.3">
      <c r="A1671" s="288" t="s">
        <v>1350</v>
      </c>
      <c r="B1671" s="288">
        <v>132</v>
      </c>
      <c r="C1671" s="289" t="s">
        <v>190</v>
      </c>
      <c r="D1671" s="288" t="s">
        <v>320</v>
      </c>
      <c r="E1671" s="290"/>
      <c r="F1671" s="289" t="s">
        <v>321</v>
      </c>
      <c r="G1671" s="291">
        <v>1582606.1</v>
      </c>
      <c r="H1671" s="291">
        <v>808076</v>
      </c>
      <c r="I1671" s="292">
        <v>774530.10000000009</v>
      </c>
      <c r="J1671" s="292">
        <v>774530.1</v>
      </c>
      <c r="K1671" s="293">
        <v>0</v>
      </c>
    </row>
    <row r="1672" spans="1:11" ht="14.4" hidden="1" customHeight="1" x14ac:dyDescent="0.3">
      <c r="A1672" s="278" t="s">
        <v>1350</v>
      </c>
      <c r="B1672" s="279">
        <v>133</v>
      </c>
      <c r="C1672" s="278" t="s">
        <v>192</v>
      </c>
      <c r="D1672" s="279" t="s">
        <v>571</v>
      </c>
      <c r="E1672" s="278" t="s">
        <v>572</v>
      </c>
      <c r="F1672" s="278" t="s">
        <v>1549</v>
      </c>
      <c r="G1672" s="280">
        <v>91890</v>
      </c>
      <c r="H1672" s="280">
        <v>0</v>
      </c>
      <c r="I1672" s="281">
        <v>91890</v>
      </c>
      <c r="J1672" s="282"/>
      <c r="K1672" s="7"/>
    </row>
    <row r="1673" spans="1:11" ht="14.4" hidden="1" customHeight="1" x14ac:dyDescent="0.3">
      <c r="A1673" s="278" t="s">
        <v>1350</v>
      </c>
      <c r="B1673" s="279">
        <v>133</v>
      </c>
      <c r="C1673" s="278" t="s">
        <v>192</v>
      </c>
      <c r="D1673" s="279" t="s">
        <v>571</v>
      </c>
      <c r="E1673" s="278"/>
      <c r="F1673" s="278" t="s">
        <v>1550</v>
      </c>
      <c r="G1673" s="280">
        <v>0</v>
      </c>
      <c r="H1673" s="280">
        <v>32000</v>
      </c>
      <c r="I1673" s="281">
        <v>-32000</v>
      </c>
      <c r="J1673" s="282"/>
      <c r="K1673" s="7"/>
    </row>
    <row r="1674" spans="1:11" ht="14.4" hidden="1" customHeight="1" x14ac:dyDescent="0.3">
      <c r="A1674" s="278" t="s">
        <v>1350</v>
      </c>
      <c r="B1674" s="279">
        <v>133</v>
      </c>
      <c r="C1674" s="278" t="s">
        <v>192</v>
      </c>
      <c r="D1674" s="279" t="s">
        <v>571</v>
      </c>
      <c r="E1674" s="278"/>
      <c r="F1674" s="278" t="s">
        <v>1551</v>
      </c>
      <c r="G1674" s="280">
        <v>35000</v>
      </c>
      <c r="H1674" s="280">
        <v>0</v>
      </c>
      <c r="I1674" s="281">
        <v>35000</v>
      </c>
      <c r="J1674" s="282"/>
      <c r="K1674" s="7"/>
    </row>
    <row r="1675" spans="1:11" ht="14.4" hidden="1" customHeight="1" x14ac:dyDescent="0.3">
      <c r="A1675" s="288" t="s">
        <v>1350</v>
      </c>
      <c r="B1675" s="288">
        <v>133</v>
      </c>
      <c r="C1675" s="289" t="s">
        <v>192</v>
      </c>
      <c r="D1675" s="288" t="s">
        <v>320</v>
      </c>
      <c r="E1675" s="290"/>
      <c r="F1675" s="289" t="s">
        <v>321</v>
      </c>
      <c r="G1675" s="291">
        <v>126890</v>
      </c>
      <c r="H1675" s="291">
        <v>32000</v>
      </c>
      <c r="I1675" s="292">
        <v>94890</v>
      </c>
      <c r="J1675" s="292">
        <v>94890</v>
      </c>
      <c r="K1675" s="293">
        <v>0</v>
      </c>
    </row>
    <row r="1676" spans="1:11" ht="22.8" hidden="1" customHeight="1" x14ac:dyDescent="0.3">
      <c r="A1676" s="278" t="s">
        <v>1350</v>
      </c>
      <c r="B1676" s="279">
        <v>135</v>
      </c>
      <c r="C1676" s="278" t="s">
        <v>196</v>
      </c>
      <c r="D1676" s="279" t="s">
        <v>571</v>
      </c>
      <c r="E1676" s="278" t="s">
        <v>575</v>
      </c>
      <c r="F1676" s="278" t="s">
        <v>1552</v>
      </c>
      <c r="G1676" s="280">
        <v>32312.07</v>
      </c>
      <c r="H1676" s="280">
        <v>0</v>
      </c>
      <c r="I1676" s="281">
        <v>32312.07</v>
      </c>
      <c r="J1676" s="282"/>
      <c r="K1676" s="7"/>
    </row>
    <row r="1677" spans="1:11" ht="22.8" hidden="1" customHeight="1" x14ac:dyDescent="0.3">
      <c r="A1677" s="278" t="s">
        <v>1350</v>
      </c>
      <c r="B1677" s="279">
        <v>135</v>
      </c>
      <c r="C1677" s="278" t="s">
        <v>196</v>
      </c>
      <c r="D1677" s="279" t="s">
        <v>571</v>
      </c>
      <c r="E1677" s="278" t="s">
        <v>575</v>
      </c>
      <c r="F1677" s="278" t="s">
        <v>1552</v>
      </c>
      <c r="G1677" s="280">
        <v>203.25</v>
      </c>
      <c r="H1677" s="280">
        <v>0</v>
      </c>
      <c r="I1677" s="281">
        <v>203.25</v>
      </c>
      <c r="J1677" s="282"/>
      <c r="K1677" s="7"/>
    </row>
    <row r="1678" spans="1:11" ht="14.4" hidden="1" customHeight="1" x14ac:dyDescent="0.3">
      <c r="A1678" s="288" t="s">
        <v>1350</v>
      </c>
      <c r="B1678" s="288">
        <v>135</v>
      </c>
      <c r="C1678" s="289" t="s">
        <v>196</v>
      </c>
      <c r="D1678" s="288" t="s">
        <v>320</v>
      </c>
      <c r="E1678" s="290"/>
      <c r="F1678" s="289" t="s">
        <v>321</v>
      </c>
      <c r="G1678" s="291">
        <v>32515.32</v>
      </c>
      <c r="H1678" s="291">
        <v>0</v>
      </c>
      <c r="I1678" s="292">
        <v>32515.32</v>
      </c>
      <c r="J1678" s="292">
        <v>32515.32</v>
      </c>
      <c r="K1678" s="293">
        <v>0</v>
      </c>
    </row>
    <row r="1679" spans="1:11" ht="14.4" hidden="1" customHeight="1" x14ac:dyDescent="0.3">
      <c r="A1679" s="278" t="s">
        <v>1350</v>
      </c>
      <c r="B1679" s="279">
        <v>136</v>
      </c>
      <c r="C1679" s="278" t="s">
        <v>198</v>
      </c>
      <c r="D1679" s="279" t="s">
        <v>222</v>
      </c>
      <c r="E1679" s="278" t="s">
        <v>577</v>
      </c>
      <c r="F1679" s="278" t="s">
        <v>1553</v>
      </c>
      <c r="G1679" s="280">
        <v>145236</v>
      </c>
      <c r="H1679" s="280">
        <v>0</v>
      </c>
      <c r="I1679" s="281">
        <v>145236</v>
      </c>
      <c r="J1679" s="282"/>
      <c r="K1679" s="7"/>
    </row>
    <row r="1680" spans="1:11" ht="14.4" hidden="1" customHeight="1" x14ac:dyDescent="0.3">
      <c r="A1680" s="288" t="s">
        <v>1350</v>
      </c>
      <c r="B1680" s="288">
        <v>136</v>
      </c>
      <c r="C1680" s="289" t="s">
        <v>198</v>
      </c>
      <c r="D1680" s="288" t="s">
        <v>320</v>
      </c>
      <c r="E1680" s="290"/>
      <c r="F1680" s="289" t="s">
        <v>321</v>
      </c>
      <c r="G1680" s="291">
        <v>145236</v>
      </c>
      <c r="H1680" s="291">
        <v>0</v>
      </c>
      <c r="I1680" s="292">
        <v>145236</v>
      </c>
      <c r="J1680" s="292">
        <v>145236</v>
      </c>
      <c r="K1680" s="293">
        <v>0</v>
      </c>
    </row>
    <row r="1681" spans="1:11" ht="14.4" hidden="1" customHeight="1" x14ac:dyDescent="0.3">
      <c r="A1681" s="278" t="s">
        <v>1350</v>
      </c>
      <c r="B1681" s="279">
        <v>137</v>
      </c>
      <c r="C1681" s="278" t="s">
        <v>200</v>
      </c>
      <c r="D1681" s="279" t="s">
        <v>222</v>
      </c>
      <c r="E1681" s="278" t="s">
        <v>438</v>
      </c>
      <c r="F1681" s="278" t="s">
        <v>1554</v>
      </c>
      <c r="G1681" s="280">
        <v>184339.46</v>
      </c>
      <c r="H1681" s="280">
        <v>0</v>
      </c>
      <c r="I1681" s="281">
        <v>184339.46</v>
      </c>
      <c r="J1681" s="282"/>
      <c r="K1681" s="7"/>
    </row>
    <row r="1682" spans="1:11" ht="14.4" hidden="1" customHeight="1" x14ac:dyDescent="0.3">
      <c r="A1682" s="278" t="s">
        <v>1350</v>
      </c>
      <c r="B1682" s="279">
        <v>137</v>
      </c>
      <c r="C1682" s="278" t="s">
        <v>200</v>
      </c>
      <c r="D1682" s="279" t="s">
        <v>222</v>
      </c>
      <c r="E1682" s="278" t="s">
        <v>438</v>
      </c>
      <c r="F1682" s="278" t="s">
        <v>1555</v>
      </c>
      <c r="G1682" s="280">
        <v>151755.32999999999</v>
      </c>
      <c r="H1682" s="280">
        <v>0</v>
      </c>
      <c r="I1682" s="281">
        <v>151755.32999999999</v>
      </c>
      <c r="J1682" s="282"/>
      <c r="K1682" s="7"/>
    </row>
    <row r="1683" spans="1:11" ht="14.4" hidden="1" customHeight="1" x14ac:dyDescent="0.3">
      <c r="A1683" s="278" t="s">
        <v>1350</v>
      </c>
      <c r="B1683" s="279">
        <v>137</v>
      </c>
      <c r="C1683" s="278" t="s">
        <v>200</v>
      </c>
      <c r="D1683" s="279" t="s">
        <v>222</v>
      </c>
      <c r="E1683" s="278" t="s">
        <v>438</v>
      </c>
      <c r="F1683" s="278" t="s">
        <v>1556</v>
      </c>
      <c r="G1683" s="280">
        <v>778100</v>
      </c>
      <c r="H1683" s="280">
        <v>0</v>
      </c>
      <c r="I1683" s="281">
        <v>778100</v>
      </c>
      <c r="J1683" s="282"/>
      <c r="K1683" s="7"/>
    </row>
    <row r="1684" spans="1:11" ht="14.4" hidden="1" customHeight="1" x14ac:dyDescent="0.3">
      <c r="A1684" s="278" t="s">
        <v>1350</v>
      </c>
      <c r="B1684" s="279">
        <v>137</v>
      </c>
      <c r="C1684" s="278" t="s">
        <v>200</v>
      </c>
      <c r="D1684" s="279" t="s">
        <v>582</v>
      </c>
      <c r="E1684" s="278"/>
      <c r="F1684" s="278" t="s">
        <v>1557</v>
      </c>
      <c r="G1684" s="280">
        <v>0</v>
      </c>
      <c r="H1684" s="280">
        <v>1599.96</v>
      </c>
      <c r="I1684" s="281">
        <v>-1599.96</v>
      </c>
      <c r="J1684" s="282"/>
      <c r="K1684" s="7"/>
    </row>
    <row r="1685" spans="1:11" ht="14.4" hidden="1" customHeight="1" x14ac:dyDescent="0.3">
      <c r="A1685" s="278" t="s">
        <v>1350</v>
      </c>
      <c r="B1685" s="279">
        <v>137</v>
      </c>
      <c r="C1685" s="278" t="s">
        <v>200</v>
      </c>
      <c r="D1685" s="279" t="s">
        <v>582</v>
      </c>
      <c r="E1685" s="278" t="s">
        <v>438</v>
      </c>
      <c r="F1685" s="278" t="s">
        <v>1558</v>
      </c>
      <c r="G1685" s="280">
        <v>455675.43</v>
      </c>
      <c r="H1685" s="280">
        <v>0</v>
      </c>
      <c r="I1685" s="281">
        <v>455675.43</v>
      </c>
      <c r="J1685" s="282"/>
      <c r="K1685" s="7"/>
    </row>
    <row r="1686" spans="1:11" ht="14.4" hidden="1" customHeight="1" x14ac:dyDescent="0.3">
      <c r="A1686" s="278" t="s">
        <v>1350</v>
      </c>
      <c r="B1686" s="279">
        <v>137</v>
      </c>
      <c r="C1686" s="278" t="s">
        <v>200</v>
      </c>
      <c r="D1686" s="279" t="s">
        <v>582</v>
      </c>
      <c r="E1686" s="278" t="s">
        <v>438</v>
      </c>
      <c r="F1686" s="278" t="s">
        <v>1559</v>
      </c>
      <c r="G1686" s="280">
        <v>151820</v>
      </c>
      <c r="H1686" s="280">
        <v>0</v>
      </c>
      <c r="I1686" s="281">
        <v>151820</v>
      </c>
      <c r="J1686" s="282"/>
      <c r="K1686" s="7"/>
    </row>
    <row r="1687" spans="1:11" ht="14.4" hidden="1" customHeight="1" x14ac:dyDescent="0.3">
      <c r="A1687" s="288" t="s">
        <v>1350</v>
      </c>
      <c r="B1687" s="288">
        <v>137</v>
      </c>
      <c r="C1687" s="289" t="s">
        <v>200</v>
      </c>
      <c r="D1687" s="288" t="s">
        <v>320</v>
      </c>
      <c r="E1687" s="290"/>
      <c r="F1687" s="289" t="s">
        <v>321</v>
      </c>
      <c r="G1687" s="291">
        <v>1721690.22</v>
      </c>
      <c r="H1687" s="291">
        <v>1599.96</v>
      </c>
      <c r="I1687" s="292">
        <v>1720090.26</v>
      </c>
      <c r="J1687" s="292">
        <v>1720090.26</v>
      </c>
      <c r="K1687" s="293">
        <v>0</v>
      </c>
    </row>
    <row r="1688" spans="1:11" ht="14.4" hidden="1" customHeight="1" x14ac:dyDescent="0.3">
      <c r="A1688" s="278" t="s">
        <v>1350</v>
      </c>
      <c r="B1688" s="279">
        <v>138</v>
      </c>
      <c r="C1688" s="278" t="s">
        <v>202</v>
      </c>
      <c r="D1688" s="279" t="s">
        <v>222</v>
      </c>
      <c r="E1688" s="278" t="s">
        <v>586</v>
      </c>
      <c r="F1688" s="278" t="s">
        <v>1560</v>
      </c>
      <c r="G1688" s="280">
        <v>30263</v>
      </c>
      <c r="H1688" s="280">
        <v>0</v>
      </c>
      <c r="I1688" s="281">
        <v>30263</v>
      </c>
      <c r="J1688" s="282"/>
      <c r="K1688" s="7"/>
    </row>
    <row r="1689" spans="1:11" ht="14.4" hidden="1" customHeight="1" x14ac:dyDescent="0.3">
      <c r="A1689" s="288" t="s">
        <v>1350</v>
      </c>
      <c r="B1689" s="288">
        <v>138</v>
      </c>
      <c r="C1689" s="289" t="s">
        <v>202</v>
      </c>
      <c r="D1689" s="288" t="s">
        <v>320</v>
      </c>
      <c r="E1689" s="290"/>
      <c r="F1689" s="289" t="s">
        <v>321</v>
      </c>
      <c r="G1689" s="291">
        <v>30263</v>
      </c>
      <c r="H1689" s="291">
        <v>0</v>
      </c>
      <c r="I1689" s="292">
        <v>30263</v>
      </c>
      <c r="J1689" s="292">
        <v>30263</v>
      </c>
      <c r="K1689" s="293">
        <v>0</v>
      </c>
    </row>
    <row r="1690" spans="1:11" ht="22.8" hidden="1" customHeight="1" x14ac:dyDescent="0.3">
      <c r="A1690" s="278" t="s">
        <v>1350</v>
      </c>
      <c r="B1690" s="279">
        <v>139</v>
      </c>
      <c r="C1690" s="278" t="s">
        <v>204</v>
      </c>
      <c r="D1690" s="279" t="s">
        <v>588</v>
      </c>
      <c r="E1690" s="278"/>
      <c r="F1690" s="278" t="s">
        <v>1561</v>
      </c>
      <c r="G1690" s="280">
        <v>108223.17</v>
      </c>
      <c r="H1690" s="280">
        <v>0</v>
      </c>
      <c r="I1690" s="281">
        <v>108223.17</v>
      </c>
      <c r="J1690" s="282"/>
      <c r="K1690" s="7"/>
    </row>
    <row r="1691" spans="1:11" ht="14.4" hidden="1" customHeight="1" x14ac:dyDescent="0.3">
      <c r="A1691" s="278" t="s">
        <v>1350</v>
      </c>
      <c r="B1691" s="279">
        <v>139</v>
      </c>
      <c r="C1691" s="278" t="s">
        <v>204</v>
      </c>
      <c r="D1691" s="279" t="s">
        <v>588</v>
      </c>
      <c r="E1691" s="278"/>
      <c r="F1691" s="278" t="s">
        <v>1562</v>
      </c>
      <c r="G1691" s="280">
        <v>14714</v>
      </c>
      <c r="H1691" s="280">
        <v>0</v>
      </c>
      <c r="I1691" s="281">
        <v>14714</v>
      </c>
      <c r="J1691" s="282"/>
      <c r="K1691" s="7"/>
    </row>
    <row r="1692" spans="1:11" ht="14.4" hidden="1" customHeight="1" x14ac:dyDescent="0.3">
      <c r="A1692" s="278" t="s">
        <v>1350</v>
      </c>
      <c r="B1692" s="279">
        <v>139</v>
      </c>
      <c r="C1692" s="278" t="s">
        <v>204</v>
      </c>
      <c r="D1692" s="279" t="s">
        <v>588</v>
      </c>
      <c r="E1692" s="278"/>
      <c r="F1692" s="278" t="s">
        <v>1563</v>
      </c>
      <c r="G1692" s="280">
        <v>44676.47</v>
      </c>
      <c r="H1692" s="280">
        <v>0</v>
      </c>
      <c r="I1692" s="281">
        <v>44676.47</v>
      </c>
      <c r="J1692" s="282"/>
      <c r="K1692" s="7"/>
    </row>
    <row r="1693" spans="1:11" ht="14.4" hidden="1" customHeight="1" x14ac:dyDescent="0.3">
      <c r="A1693" s="278" t="s">
        <v>1350</v>
      </c>
      <c r="B1693" s="279">
        <v>139</v>
      </c>
      <c r="C1693" s="278" t="s">
        <v>204</v>
      </c>
      <c r="D1693" s="279" t="s">
        <v>588</v>
      </c>
      <c r="E1693" s="278"/>
      <c r="F1693" s="278" t="s">
        <v>1564</v>
      </c>
      <c r="G1693" s="280">
        <v>96029.57</v>
      </c>
      <c r="H1693" s="280">
        <v>0</v>
      </c>
      <c r="I1693" s="281">
        <v>96029.57</v>
      </c>
      <c r="J1693" s="282"/>
      <c r="K1693" s="7"/>
    </row>
    <row r="1694" spans="1:11" ht="14.4" hidden="1" customHeight="1" x14ac:dyDescent="0.3">
      <c r="A1694" s="278" t="s">
        <v>1350</v>
      </c>
      <c r="B1694" s="279">
        <v>139</v>
      </c>
      <c r="C1694" s="278" t="s">
        <v>204</v>
      </c>
      <c r="D1694" s="279" t="s">
        <v>588</v>
      </c>
      <c r="E1694" s="278"/>
      <c r="F1694" s="278" t="s">
        <v>1565</v>
      </c>
      <c r="G1694" s="280">
        <v>118150.72</v>
      </c>
      <c r="H1694" s="280">
        <v>0</v>
      </c>
      <c r="I1694" s="281">
        <v>118150.72</v>
      </c>
      <c r="J1694" s="282"/>
      <c r="K1694" s="7"/>
    </row>
    <row r="1695" spans="1:11" ht="14.4" hidden="1" customHeight="1" x14ac:dyDescent="0.3">
      <c r="A1695" s="278" t="s">
        <v>1350</v>
      </c>
      <c r="B1695" s="279">
        <v>139</v>
      </c>
      <c r="C1695" s="278" t="s">
        <v>204</v>
      </c>
      <c r="D1695" s="279" t="s">
        <v>588</v>
      </c>
      <c r="E1695" s="278"/>
      <c r="F1695" s="278" t="s">
        <v>1566</v>
      </c>
      <c r="G1695" s="280">
        <v>84273.2</v>
      </c>
      <c r="H1695" s="280">
        <v>0</v>
      </c>
      <c r="I1695" s="281">
        <v>84273.2</v>
      </c>
      <c r="J1695" s="282"/>
      <c r="K1695" s="7"/>
    </row>
    <row r="1696" spans="1:11" ht="14.4" hidden="1" customHeight="1" x14ac:dyDescent="0.3">
      <c r="A1696" s="278" t="s">
        <v>1350</v>
      </c>
      <c r="B1696" s="279">
        <v>139</v>
      </c>
      <c r="C1696" s="278" t="s">
        <v>204</v>
      </c>
      <c r="D1696" s="279" t="s">
        <v>588</v>
      </c>
      <c r="E1696" s="278"/>
      <c r="F1696" s="278" t="s">
        <v>1567</v>
      </c>
      <c r="G1696" s="280">
        <v>44260.69</v>
      </c>
      <c r="H1696" s="280">
        <v>0</v>
      </c>
      <c r="I1696" s="281">
        <v>44260.69</v>
      </c>
      <c r="J1696" s="282"/>
      <c r="K1696" s="7"/>
    </row>
    <row r="1697" spans="1:11" ht="14.4" hidden="1" customHeight="1" x14ac:dyDescent="0.3">
      <c r="A1697" s="278" t="s">
        <v>1350</v>
      </c>
      <c r="B1697" s="279">
        <v>139</v>
      </c>
      <c r="C1697" s="278" t="s">
        <v>204</v>
      </c>
      <c r="D1697" s="279" t="s">
        <v>588</v>
      </c>
      <c r="E1697" s="278"/>
      <c r="F1697" s="278" t="s">
        <v>1568</v>
      </c>
      <c r="G1697" s="280">
        <v>144680</v>
      </c>
      <c r="H1697" s="280">
        <v>0</v>
      </c>
      <c r="I1697" s="281">
        <v>144680</v>
      </c>
      <c r="J1697" s="282"/>
      <c r="K1697" s="7"/>
    </row>
    <row r="1698" spans="1:11" ht="14.4" hidden="1" customHeight="1" x14ac:dyDescent="0.3">
      <c r="A1698" s="278" t="s">
        <v>1350</v>
      </c>
      <c r="B1698" s="279">
        <v>139</v>
      </c>
      <c r="C1698" s="278" t="s">
        <v>204</v>
      </c>
      <c r="D1698" s="279" t="s">
        <v>588</v>
      </c>
      <c r="E1698" s="278"/>
      <c r="F1698" s="278" t="s">
        <v>1569</v>
      </c>
      <c r="G1698" s="280">
        <v>149628</v>
      </c>
      <c r="H1698" s="280">
        <v>0</v>
      </c>
      <c r="I1698" s="281">
        <v>149628</v>
      </c>
      <c r="J1698" s="282"/>
      <c r="K1698" s="7"/>
    </row>
    <row r="1699" spans="1:11" ht="14.4" hidden="1" customHeight="1" x14ac:dyDescent="0.3">
      <c r="A1699" s="288" t="s">
        <v>1350</v>
      </c>
      <c r="B1699" s="288">
        <v>139</v>
      </c>
      <c r="C1699" s="289" t="s">
        <v>204</v>
      </c>
      <c r="D1699" s="288" t="s">
        <v>320</v>
      </c>
      <c r="E1699" s="290"/>
      <c r="F1699" s="289" t="s">
        <v>321</v>
      </c>
      <c r="G1699" s="291">
        <v>804635.82000000007</v>
      </c>
      <c r="H1699" s="291">
        <v>0</v>
      </c>
      <c r="I1699" s="292">
        <v>804635.82000000007</v>
      </c>
      <c r="J1699" s="292">
        <v>804635.82000000007</v>
      </c>
      <c r="K1699" s="293">
        <v>0</v>
      </c>
    </row>
    <row r="1700" spans="1:11" ht="14.4" hidden="1" customHeight="1" x14ac:dyDescent="0.3">
      <c r="A1700" s="278" t="s">
        <v>1350</v>
      </c>
      <c r="B1700" s="279">
        <v>141</v>
      </c>
      <c r="C1700" s="278" t="s">
        <v>208</v>
      </c>
      <c r="D1700" s="279" t="s">
        <v>1570</v>
      </c>
      <c r="E1700" s="278" t="s">
        <v>438</v>
      </c>
      <c r="F1700" s="278" t="s">
        <v>1571</v>
      </c>
      <c r="G1700" s="280">
        <v>1823250</v>
      </c>
      <c r="H1700" s="280">
        <v>0</v>
      </c>
      <c r="I1700" s="281">
        <v>1823250</v>
      </c>
      <c r="J1700" s="282"/>
      <c r="K1700" s="7"/>
    </row>
    <row r="1701" spans="1:11" ht="14.4" hidden="1" customHeight="1" x14ac:dyDescent="0.3">
      <c r="A1701" s="288" t="s">
        <v>1350</v>
      </c>
      <c r="B1701" s="288">
        <v>141</v>
      </c>
      <c r="C1701" s="289" t="s">
        <v>208</v>
      </c>
      <c r="D1701" s="288" t="s">
        <v>320</v>
      </c>
      <c r="E1701" s="290"/>
      <c r="F1701" s="289" t="s">
        <v>321</v>
      </c>
      <c r="G1701" s="291">
        <v>1823250</v>
      </c>
      <c r="H1701" s="291">
        <v>0</v>
      </c>
      <c r="I1701" s="292">
        <v>1823250</v>
      </c>
      <c r="J1701" s="292">
        <v>1823250</v>
      </c>
      <c r="K1701" s="293">
        <v>0</v>
      </c>
    </row>
    <row r="1702" spans="1:11" ht="14.4" hidden="1" customHeight="1" x14ac:dyDescent="0.3">
      <c r="A1702" s="278" t="s">
        <v>1350</v>
      </c>
      <c r="B1702" s="279">
        <v>147</v>
      </c>
      <c r="C1702" s="278" t="s">
        <v>217</v>
      </c>
      <c r="D1702" s="279" t="s">
        <v>549</v>
      </c>
      <c r="E1702" s="278"/>
      <c r="F1702" s="278" t="s">
        <v>1572</v>
      </c>
      <c r="G1702" s="280">
        <v>128926</v>
      </c>
      <c r="H1702" s="280">
        <v>0</v>
      </c>
      <c r="I1702" s="281">
        <v>128926</v>
      </c>
      <c r="J1702" s="282"/>
      <c r="K1702" s="7"/>
    </row>
    <row r="1703" spans="1:11" ht="14.4" hidden="1" customHeight="1" x14ac:dyDescent="0.3">
      <c r="A1703" s="288" t="s">
        <v>1350</v>
      </c>
      <c r="B1703" s="288">
        <v>147</v>
      </c>
      <c r="C1703" s="289" t="s">
        <v>217</v>
      </c>
      <c r="D1703" s="288" t="s">
        <v>320</v>
      </c>
      <c r="E1703" s="290"/>
      <c r="F1703" s="289" t="s">
        <v>321</v>
      </c>
      <c r="G1703" s="291">
        <v>128926</v>
      </c>
      <c r="H1703" s="291">
        <v>0</v>
      </c>
      <c r="I1703" s="292">
        <v>128926</v>
      </c>
      <c r="J1703" s="292">
        <v>128926</v>
      </c>
      <c r="K1703" s="293">
        <v>0</v>
      </c>
    </row>
    <row r="1704" spans="1:11" ht="22.8" hidden="1" customHeight="1" x14ac:dyDescent="0.3">
      <c r="A1704" s="278" t="s">
        <v>1350</v>
      </c>
      <c r="B1704" s="279">
        <v>149</v>
      </c>
      <c r="C1704" s="278" t="s">
        <v>221</v>
      </c>
      <c r="D1704" s="279" t="s">
        <v>222</v>
      </c>
      <c r="E1704" s="278" t="s">
        <v>1325</v>
      </c>
      <c r="F1704" s="278" t="s">
        <v>1573</v>
      </c>
      <c r="G1704" s="280">
        <v>300000</v>
      </c>
      <c r="H1704" s="280">
        <v>0</v>
      </c>
      <c r="I1704" s="281">
        <v>300000</v>
      </c>
      <c r="J1704" s="282"/>
      <c r="K1704" s="7"/>
    </row>
    <row r="1705" spans="1:11" ht="14.4" hidden="1" customHeight="1" x14ac:dyDescent="0.3">
      <c r="A1705" s="288" t="s">
        <v>1350</v>
      </c>
      <c r="B1705" s="288">
        <v>149</v>
      </c>
      <c r="C1705" s="289" t="s">
        <v>221</v>
      </c>
      <c r="D1705" s="288" t="s">
        <v>320</v>
      </c>
      <c r="E1705" s="290"/>
      <c r="F1705" s="289" t="s">
        <v>321</v>
      </c>
      <c r="G1705" s="291">
        <v>300000</v>
      </c>
      <c r="H1705" s="291">
        <v>0</v>
      </c>
      <c r="I1705" s="292">
        <v>300000</v>
      </c>
      <c r="J1705" s="292">
        <v>300000</v>
      </c>
      <c r="K1705" s="293">
        <v>0</v>
      </c>
    </row>
    <row r="1706" spans="1:11" ht="14.4" hidden="1" customHeight="1" x14ac:dyDescent="0.3">
      <c r="A1706" s="278" t="s">
        <v>1350</v>
      </c>
      <c r="B1706" s="279">
        <v>150</v>
      </c>
      <c r="C1706" s="278" t="s">
        <v>224</v>
      </c>
      <c r="D1706" s="279" t="s">
        <v>596</v>
      </c>
      <c r="E1706" s="278" t="s">
        <v>852</v>
      </c>
      <c r="F1706" s="278" t="s">
        <v>1574</v>
      </c>
      <c r="G1706" s="280">
        <v>318504.92</v>
      </c>
      <c r="H1706" s="280">
        <v>0</v>
      </c>
      <c r="I1706" s="281">
        <v>318504.92</v>
      </c>
      <c r="J1706" s="282"/>
      <c r="K1706" s="7"/>
    </row>
    <row r="1707" spans="1:11" ht="14.4" hidden="1" customHeight="1" x14ac:dyDescent="0.3">
      <c r="A1707" s="288" t="s">
        <v>1350</v>
      </c>
      <c r="B1707" s="288">
        <v>150</v>
      </c>
      <c r="C1707" s="289" t="s">
        <v>224</v>
      </c>
      <c r="D1707" s="288" t="s">
        <v>320</v>
      </c>
      <c r="E1707" s="290"/>
      <c r="F1707" s="289" t="s">
        <v>321</v>
      </c>
      <c r="G1707" s="291">
        <v>318504.92</v>
      </c>
      <c r="H1707" s="291">
        <v>0</v>
      </c>
      <c r="I1707" s="292">
        <v>318504.92</v>
      </c>
      <c r="J1707" s="292">
        <v>318504.92</v>
      </c>
      <c r="K1707" s="293">
        <v>0</v>
      </c>
    </row>
    <row r="1708" spans="1:11" ht="14.4" hidden="1" customHeight="1" x14ac:dyDescent="0.3">
      <c r="A1708" s="278" t="s">
        <v>1350</v>
      </c>
      <c r="B1708" s="279">
        <v>152</v>
      </c>
      <c r="C1708" s="278" t="s">
        <v>226</v>
      </c>
      <c r="D1708" s="279" t="s">
        <v>600</v>
      </c>
      <c r="E1708" s="278"/>
      <c r="F1708" s="278" t="s">
        <v>1575</v>
      </c>
      <c r="G1708" s="280">
        <v>13847239.65</v>
      </c>
      <c r="H1708" s="280">
        <v>0</v>
      </c>
      <c r="I1708" s="281">
        <v>13847239.65</v>
      </c>
      <c r="J1708" s="282"/>
      <c r="K1708" s="7"/>
    </row>
    <row r="1709" spans="1:11" ht="14.4" hidden="1" customHeight="1" x14ac:dyDescent="0.3">
      <c r="A1709" s="288" t="s">
        <v>1350</v>
      </c>
      <c r="B1709" s="288">
        <v>152</v>
      </c>
      <c r="C1709" s="289" t="s">
        <v>226</v>
      </c>
      <c r="D1709" s="288" t="s">
        <v>320</v>
      </c>
      <c r="E1709" s="290"/>
      <c r="F1709" s="289" t="s">
        <v>321</v>
      </c>
      <c r="G1709" s="291">
        <v>13847239.65</v>
      </c>
      <c r="H1709" s="291">
        <v>0</v>
      </c>
      <c r="I1709" s="292">
        <v>13847239.65</v>
      </c>
      <c r="J1709" s="292">
        <v>13847239.65</v>
      </c>
      <c r="K1709" s="293">
        <v>0</v>
      </c>
    </row>
    <row r="1710" spans="1:11" ht="14.4" hidden="1" customHeight="1" x14ac:dyDescent="0.3">
      <c r="A1710" s="278" t="s">
        <v>1350</v>
      </c>
      <c r="B1710" s="279">
        <v>155</v>
      </c>
      <c r="C1710" s="278" t="s">
        <v>227</v>
      </c>
      <c r="D1710" s="279" t="s">
        <v>1576</v>
      </c>
      <c r="E1710" s="278" t="s">
        <v>438</v>
      </c>
      <c r="F1710" s="278" t="s">
        <v>1577</v>
      </c>
      <c r="G1710" s="280">
        <v>10385583.83</v>
      </c>
      <c r="H1710" s="280">
        <v>0</v>
      </c>
      <c r="I1710" s="281">
        <v>10385583.83</v>
      </c>
      <c r="J1710" s="282"/>
      <c r="K1710" s="7"/>
    </row>
    <row r="1711" spans="1:11" ht="14.4" hidden="1" customHeight="1" x14ac:dyDescent="0.3">
      <c r="A1711" s="278" t="s">
        <v>1350</v>
      </c>
      <c r="B1711" s="279">
        <v>155</v>
      </c>
      <c r="C1711" s="278" t="s">
        <v>227</v>
      </c>
      <c r="D1711" s="279" t="s">
        <v>1576</v>
      </c>
      <c r="E1711" s="278" t="s">
        <v>438</v>
      </c>
      <c r="F1711" s="278" t="s">
        <v>1578</v>
      </c>
      <c r="G1711" s="280">
        <v>17084615.329999998</v>
      </c>
      <c r="H1711" s="280">
        <v>0</v>
      </c>
      <c r="I1711" s="281">
        <v>17084615.329999998</v>
      </c>
      <c r="J1711" s="282"/>
      <c r="K1711" s="7"/>
    </row>
    <row r="1712" spans="1:11" ht="14.4" hidden="1" customHeight="1" x14ac:dyDescent="0.3">
      <c r="A1712" s="288" t="s">
        <v>1350</v>
      </c>
      <c r="B1712" s="288">
        <v>155</v>
      </c>
      <c r="C1712" s="289" t="s">
        <v>227</v>
      </c>
      <c r="D1712" s="288" t="s">
        <v>320</v>
      </c>
      <c r="E1712" s="290"/>
      <c r="F1712" s="289" t="s">
        <v>321</v>
      </c>
      <c r="G1712" s="291">
        <v>27470199.16</v>
      </c>
      <c r="H1712" s="291">
        <v>0</v>
      </c>
      <c r="I1712" s="292">
        <v>27470199.16</v>
      </c>
      <c r="J1712" s="292">
        <v>27470199.16</v>
      </c>
      <c r="K1712" s="293">
        <v>0</v>
      </c>
    </row>
    <row r="1713" spans="1:11" ht="14.4" customHeight="1" x14ac:dyDescent="0.3">
      <c r="A1713" s="278" t="s">
        <v>1350</v>
      </c>
      <c r="B1713" s="279">
        <v>158</v>
      </c>
      <c r="C1713" s="278" t="s">
        <v>229</v>
      </c>
      <c r="D1713" s="279" t="s">
        <v>602</v>
      </c>
      <c r="E1713" s="278"/>
      <c r="F1713" s="278" t="s">
        <v>1579</v>
      </c>
      <c r="G1713" s="280">
        <v>0</v>
      </c>
      <c r="H1713" s="280">
        <v>213200000</v>
      </c>
      <c r="I1713" s="281">
        <v>-213200000</v>
      </c>
      <c r="J1713" s="282"/>
      <c r="K1713" s="7"/>
    </row>
    <row r="1714" spans="1:11" ht="14.4" customHeight="1" x14ac:dyDescent="0.3">
      <c r="A1714" s="278" t="s">
        <v>1350</v>
      </c>
      <c r="B1714" s="279">
        <v>158</v>
      </c>
      <c r="C1714" s="278" t="s">
        <v>229</v>
      </c>
      <c r="D1714" s="279" t="s">
        <v>602</v>
      </c>
      <c r="E1714" s="278" t="s">
        <v>604</v>
      </c>
      <c r="F1714" s="278" t="s">
        <v>1580</v>
      </c>
      <c r="G1714" s="280">
        <v>213848868.44</v>
      </c>
      <c r="H1714" s="280">
        <v>0</v>
      </c>
      <c r="I1714" s="281">
        <v>213848868.44</v>
      </c>
      <c r="J1714" s="282"/>
      <c r="K1714" s="7"/>
    </row>
    <row r="1715" spans="1:11" ht="22.8" customHeight="1" x14ac:dyDescent="0.3">
      <c r="A1715" s="278" t="s">
        <v>1350</v>
      </c>
      <c r="B1715" s="279">
        <v>158</v>
      </c>
      <c r="C1715" s="278" t="s">
        <v>229</v>
      </c>
      <c r="D1715" s="279" t="s">
        <v>602</v>
      </c>
      <c r="E1715" s="278"/>
      <c r="F1715" s="278" t="s">
        <v>1581</v>
      </c>
      <c r="G1715" s="280">
        <v>219080675.13</v>
      </c>
      <c r="H1715" s="280">
        <v>0</v>
      </c>
      <c r="I1715" s="281">
        <v>219080675.13</v>
      </c>
      <c r="J1715" s="282"/>
      <c r="K1715" s="7"/>
    </row>
    <row r="1716" spans="1:11" ht="14.4" customHeight="1" x14ac:dyDescent="0.3">
      <c r="A1716" s="278" t="s">
        <v>1350</v>
      </c>
      <c r="B1716" s="279">
        <v>158</v>
      </c>
      <c r="C1716" s="278" t="s">
        <v>229</v>
      </c>
      <c r="D1716" s="279" t="s">
        <v>607</v>
      </c>
      <c r="E1716" s="278"/>
      <c r="F1716" s="278" t="s">
        <v>1582</v>
      </c>
      <c r="G1716" s="280">
        <v>0</v>
      </c>
      <c r="H1716" s="280">
        <v>150000000</v>
      </c>
      <c r="I1716" s="281">
        <v>-150000000</v>
      </c>
      <c r="J1716" s="282"/>
      <c r="K1716" s="7"/>
    </row>
    <row r="1717" spans="1:11" ht="14.4" customHeight="1" x14ac:dyDescent="0.3">
      <c r="A1717" s="278" t="s">
        <v>1350</v>
      </c>
      <c r="B1717" s="279">
        <v>158</v>
      </c>
      <c r="C1717" s="278" t="s">
        <v>229</v>
      </c>
      <c r="D1717" s="279" t="s">
        <v>607</v>
      </c>
      <c r="E1717" s="278" t="s">
        <v>604</v>
      </c>
      <c r="F1717" s="278" t="s">
        <v>1583</v>
      </c>
      <c r="G1717" s="280">
        <v>150000000</v>
      </c>
      <c r="H1717" s="280">
        <v>0</v>
      </c>
      <c r="I1717" s="281">
        <v>150000000</v>
      </c>
      <c r="J1717" s="282"/>
      <c r="K1717" s="7"/>
    </row>
    <row r="1718" spans="1:11" ht="22.8" customHeight="1" x14ac:dyDescent="0.3">
      <c r="A1718" s="278" t="s">
        <v>1350</v>
      </c>
      <c r="B1718" s="279">
        <v>158</v>
      </c>
      <c r="C1718" s="278" t="s">
        <v>229</v>
      </c>
      <c r="D1718" s="279" t="s">
        <v>607</v>
      </c>
      <c r="E1718" s="278"/>
      <c r="F1718" s="278" t="s">
        <v>1581</v>
      </c>
      <c r="G1718" s="280">
        <v>150000000</v>
      </c>
      <c r="H1718" s="280">
        <v>0</v>
      </c>
      <c r="I1718" s="281">
        <v>150000000</v>
      </c>
      <c r="J1718" s="282"/>
      <c r="K1718" s="7"/>
    </row>
    <row r="1719" spans="1:11" ht="14.4" customHeight="1" x14ac:dyDescent="0.3">
      <c r="A1719" s="288" t="s">
        <v>1350</v>
      </c>
      <c r="B1719" s="288">
        <v>158</v>
      </c>
      <c r="C1719" s="289" t="s">
        <v>229</v>
      </c>
      <c r="D1719" s="288" t="s">
        <v>320</v>
      </c>
      <c r="E1719" s="290"/>
      <c r="F1719" s="289" t="s">
        <v>321</v>
      </c>
      <c r="G1719" s="291">
        <v>732929543.56999993</v>
      </c>
      <c r="H1719" s="291">
        <v>363200000</v>
      </c>
      <c r="I1719" s="292">
        <v>369729543.56999987</v>
      </c>
      <c r="J1719" s="292">
        <v>369729543.56999999</v>
      </c>
      <c r="K1719" s="293">
        <v>0</v>
      </c>
    </row>
    <row r="1720" spans="1:11" ht="14.4" customHeight="1" x14ac:dyDescent="0.3">
      <c r="A1720" s="278" t="s">
        <v>1350</v>
      </c>
      <c r="B1720" s="279">
        <v>159</v>
      </c>
      <c r="C1720" s="278" t="s">
        <v>230</v>
      </c>
      <c r="D1720" s="279" t="s">
        <v>602</v>
      </c>
      <c r="E1720" s="278"/>
      <c r="F1720" s="278" t="s">
        <v>1584</v>
      </c>
      <c r="G1720" s="280">
        <v>11400000</v>
      </c>
      <c r="H1720" s="280">
        <v>0</v>
      </c>
      <c r="I1720" s="281">
        <v>11400000</v>
      </c>
      <c r="J1720" s="282"/>
      <c r="K1720" s="7"/>
    </row>
    <row r="1721" spans="1:11" ht="22.8" customHeight="1" x14ac:dyDescent="0.3">
      <c r="A1721" s="278" t="s">
        <v>1350</v>
      </c>
      <c r="B1721" s="279">
        <v>159</v>
      </c>
      <c r="C1721" s="278" t="s">
        <v>230</v>
      </c>
      <c r="D1721" s="279" t="s">
        <v>602</v>
      </c>
      <c r="E1721" s="278"/>
      <c r="F1721" s="278" t="s">
        <v>1585</v>
      </c>
      <c r="G1721" s="280">
        <v>125231.1</v>
      </c>
      <c r="H1721" s="280">
        <v>0</v>
      </c>
      <c r="I1721" s="281">
        <v>125231.1</v>
      </c>
      <c r="J1721" s="282"/>
      <c r="K1721" s="7"/>
    </row>
    <row r="1722" spans="1:11" ht="14.4" customHeight="1" x14ac:dyDescent="0.3">
      <c r="A1722" s="288" t="s">
        <v>1350</v>
      </c>
      <c r="B1722" s="288">
        <v>159</v>
      </c>
      <c r="C1722" s="289" t="s">
        <v>230</v>
      </c>
      <c r="D1722" s="288" t="s">
        <v>320</v>
      </c>
      <c r="E1722" s="290"/>
      <c r="F1722" s="289" t="s">
        <v>321</v>
      </c>
      <c r="G1722" s="291">
        <v>11525231.1</v>
      </c>
      <c r="H1722" s="291">
        <v>0</v>
      </c>
      <c r="I1722" s="292">
        <v>11525231.1</v>
      </c>
      <c r="J1722" s="292">
        <v>11525231.1</v>
      </c>
      <c r="K1722" s="293">
        <v>0</v>
      </c>
    </row>
    <row r="1723" spans="1:11" ht="22.8" customHeight="1" x14ac:dyDescent="0.3">
      <c r="A1723" s="278" t="s">
        <v>1350</v>
      </c>
      <c r="B1723" s="279">
        <v>160</v>
      </c>
      <c r="C1723" s="278" t="s">
        <v>230</v>
      </c>
      <c r="D1723" s="279" t="s">
        <v>602</v>
      </c>
      <c r="E1723" s="278"/>
      <c r="F1723" s="278" t="s">
        <v>1586</v>
      </c>
      <c r="G1723" s="280">
        <v>2572500</v>
      </c>
      <c r="H1723" s="280">
        <v>0</v>
      </c>
      <c r="I1723" s="281">
        <v>2572500</v>
      </c>
      <c r="J1723" s="282"/>
      <c r="K1723" s="7"/>
    </row>
    <row r="1724" spans="1:11" ht="14.4" customHeight="1" x14ac:dyDescent="0.3">
      <c r="A1724" s="288" t="s">
        <v>1350</v>
      </c>
      <c r="B1724" s="288">
        <v>160</v>
      </c>
      <c r="C1724" s="289" t="s">
        <v>230</v>
      </c>
      <c r="D1724" s="288" t="s">
        <v>320</v>
      </c>
      <c r="E1724" s="290"/>
      <c r="F1724" s="289" t="s">
        <v>321</v>
      </c>
      <c r="G1724" s="291">
        <v>2572500</v>
      </c>
      <c r="H1724" s="291">
        <v>0</v>
      </c>
      <c r="I1724" s="292">
        <v>2572500</v>
      </c>
      <c r="J1724" s="292">
        <v>2572500</v>
      </c>
      <c r="K1724" s="293">
        <v>0</v>
      </c>
    </row>
    <row r="1725" spans="1:11" ht="14.4" customHeight="1" x14ac:dyDescent="0.3">
      <c r="A1725" s="278" t="s">
        <v>1350</v>
      </c>
      <c r="B1725" s="279">
        <v>161</v>
      </c>
      <c r="C1725" s="278" t="s">
        <v>233</v>
      </c>
      <c r="D1725" s="279" t="s">
        <v>602</v>
      </c>
      <c r="E1725" s="278"/>
      <c r="F1725" s="278" t="s">
        <v>1587</v>
      </c>
      <c r="G1725" s="280">
        <v>211013.86</v>
      </c>
      <c r="H1725" s="280">
        <v>0</v>
      </c>
      <c r="I1725" s="281">
        <v>211013.86</v>
      </c>
      <c r="J1725" s="282"/>
      <c r="K1725" s="7"/>
    </row>
    <row r="1726" spans="1:11" ht="14.4" customHeight="1" x14ac:dyDescent="0.3">
      <c r="A1726" s="288" t="s">
        <v>1350</v>
      </c>
      <c r="B1726" s="288">
        <v>161</v>
      </c>
      <c r="C1726" s="289" t="s">
        <v>233</v>
      </c>
      <c r="D1726" s="288" t="s">
        <v>320</v>
      </c>
      <c r="E1726" s="290"/>
      <c r="F1726" s="289" t="s">
        <v>321</v>
      </c>
      <c r="G1726" s="291">
        <v>211013.86</v>
      </c>
      <c r="H1726" s="291">
        <v>0</v>
      </c>
      <c r="I1726" s="292">
        <v>211013.86</v>
      </c>
      <c r="J1726" s="292">
        <v>211013.86</v>
      </c>
      <c r="K1726" s="293">
        <v>0</v>
      </c>
    </row>
    <row r="1727" spans="1:11" ht="22.8" customHeight="1" x14ac:dyDescent="0.3">
      <c r="A1727" s="278" t="s">
        <v>1350</v>
      </c>
      <c r="B1727" s="279">
        <v>163</v>
      </c>
      <c r="C1727" s="278" t="s">
        <v>236</v>
      </c>
      <c r="D1727" s="279" t="s">
        <v>602</v>
      </c>
      <c r="E1727" s="278"/>
      <c r="F1727" s="278" t="s">
        <v>1588</v>
      </c>
      <c r="G1727" s="280">
        <v>600000</v>
      </c>
      <c r="H1727" s="280">
        <v>0</v>
      </c>
      <c r="I1727" s="281">
        <v>600000</v>
      </c>
      <c r="J1727" s="282"/>
      <c r="K1727" s="7"/>
    </row>
    <row r="1728" spans="1:11" ht="14.4" customHeight="1" x14ac:dyDescent="0.3">
      <c r="A1728" s="288" t="s">
        <v>1350</v>
      </c>
      <c r="B1728" s="288">
        <v>163</v>
      </c>
      <c r="C1728" s="289" t="s">
        <v>236</v>
      </c>
      <c r="D1728" s="288" t="s">
        <v>320</v>
      </c>
      <c r="E1728" s="290"/>
      <c r="F1728" s="289" t="s">
        <v>321</v>
      </c>
      <c r="G1728" s="291">
        <v>600000</v>
      </c>
      <c r="H1728" s="291">
        <v>0</v>
      </c>
      <c r="I1728" s="292">
        <v>600000</v>
      </c>
      <c r="J1728" s="292">
        <v>600000</v>
      </c>
      <c r="K1728" s="293">
        <v>0</v>
      </c>
    </row>
    <row r="1729" spans="1:11" ht="22.8" customHeight="1" x14ac:dyDescent="0.3">
      <c r="A1729" s="278" t="s">
        <v>1350</v>
      </c>
      <c r="B1729" s="279">
        <v>164</v>
      </c>
      <c r="C1729" s="278" t="s">
        <v>238</v>
      </c>
      <c r="D1729" s="279" t="s">
        <v>602</v>
      </c>
      <c r="E1729" s="278"/>
      <c r="F1729" s="278" t="s">
        <v>1589</v>
      </c>
      <c r="G1729" s="280">
        <v>22500000</v>
      </c>
      <c r="H1729" s="280">
        <v>0</v>
      </c>
      <c r="I1729" s="281">
        <v>22500000</v>
      </c>
      <c r="J1729" s="282"/>
      <c r="K1729" s="7"/>
    </row>
    <row r="1730" spans="1:11" ht="14.4" customHeight="1" x14ac:dyDescent="0.3">
      <c r="A1730" s="288" t="s">
        <v>1350</v>
      </c>
      <c r="B1730" s="288">
        <v>164</v>
      </c>
      <c r="C1730" s="289" t="s">
        <v>238</v>
      </c>
      <c r="D1730" s="288" t="s">
        <v>320</v>
      </c>
      <c r="E1730" s="290"/>
      <c r="F1730" s="289" t="s">
        <v>321</v>
      </c>
      <c r="G1730" s="291">
        <v>22500000</v>
      </c>
      <c r="H1730" s="291">
        <v>0</v>
      </c>
      <c r="I1730" s="292">
        <v>22500000</v>
      </c>
      <c r="J1730" s="292">
        <v>22500000</v>
      </c>
      <c r="K1730" s="293">
        <v>0</v>
      </c>
    </row>
    <row r="1731" spans="1:11" ht="14.4" hidden="1" customHeight="1" x14ac:dyDescent="0.3">
      <c r="A1731" s="278" t="s">
        <v>1350</v>
      </c>
      <c r="B1731" s="279">
        <v>174</v>
      </c>
      <c r="C1731" s="278" t="s">
        <v>248</v>
      </c>
      <c r="D1731" s="279" t="s">
        <v>534</v>
      </c>
      <c r="E1731" s="278" t="s">
        <v>611</v>
      </c>
      <c r="F1731" s="278" t="s">
        <v>1590</v>
      </c>
      <c r="G1731" s="280">
        <v>65000</v>
      </c>
      <c r="H1731" s="280">
        <v>0</v>
      </c>
      <c r="I1731" s="281">
        <v>65000</v>
      </c>
      <c r="J1731" s="282"/>
      <c r="K1731" s="7"/>
    </row>
    <row r="1732" spans="1:11" ht="14.4" hidden="1" customHeight="1" x14ac:dyDescent="0.3">
      <c r="A1732" s="288" t="s">
        <v>1350</v>
      </c>
      <c r="B1732" s="288">
        <v>174</v>
      </c>
      <c r="C1732" s="289" t="s">
        <v>248</v>
      </c>
      <c r="D1732" s="288" t="s">
        <v>320</v>
      </c>
      <c r="E1732" s="290"/>
      <c r="F1732" s="289" t="s">
        <v>321</v>
      </c>
      <c r="G1732" s="291">
        <v>65000</v>
      </c>
      <c r="H1732" s="291">
        <v>0</v>
      </c>
      <c r="I1732" s="292">
        <v>65000</v>
      </c>
      <c r="J1732" s="292">
        <v>65000</v>
      </c>
      <c r="K1732" s="293">
        <v>0</v>
      </c>
    </row>
    <row r="1733" spans="1:11" ht="14.4" hidden="1" customHeight="1" x14ac:dyDescent="0.3">
      <c r="A1733" s="278" t="s">
        <v>1350</v>
      </c>
      <c r="B1733" s="279">
        <v>176</v>
      </c>
      <c r="C1733" s="278" t="s">
        <v>250</v>
      </c>
      <c r="D1733" s="279" t="s">
        <v>613</v>
      </c>
      <c r="E1733" s="278" t="s">
        <v>614</v>
      </c>
      <c r="F1733" s="278" t="s">
        <v>1591</v>
      </c>
      <c r="G1733" s="280">
        <v>40748.400000000001</v>
      </c>
      <c r="H1733" s="280">
        <v>0</v>
      </c>
      <c r="I1733" s="281">
        <v>40748.400000000001</v>
      </c>
      <c r="J1733" s="282"/>
      <c r="K1733" s="7"/>
    </row>
    <row r="1734" spans="1:11" ht="14.4" hidden="1" customHeight="1" x14ac:dyDescent="0.3">
      <c r="A1734" s="278" t="s">
        <v>1350</v>
      </c>
      <c r="B1734" s="279">
        <v>176</v>
      </c>
      <c r="C1734" s="278" t="s">
        <v>250</v>
      </c>
      <c r="D1734" s="279" t="s">
        <v>613</v>
      </c>
      <c r="E1734" s="278" t="s">
        <v>433</v>
      </c>
      <c r="F1734" s="278" t="s">
        <v>1592</v>
      </c>
      <c r="G1734" s="280">
        <v>15671.6</v>
      </c>
      <c r="H1734" s="280">
        <v>0</v>
      </c>
      <c r="I1734" s="281">
        <v>15671.6</v>
      </c>
      <c r="J1734" s="282"/>
      <c r="K1734" s="7"/>
    </row>
    <row r="1735" spans="1:11" ht="14.4" hidden="1" customHeight="1" x14ac:dyDescent="0.3">
      <c r="A1735" s="278" t="s">
        <v>1350</v>
      </c>
      <c r="B1735" s="279">
        <v>176</v>
      </c>
      <c r="C1735" s="278" t="s">
        <v>250</v>
      </c>
      <c r="D1735" s="279" t="s">
        <v>613</v>
      </c>
      <c r="E1735" s="278" t="s">
        <v>535</v>
      </c>
      <c r="F1735" s="278" t="s">
        <v>1593</v>
      </c>
      <c r="G1735" s="280">
        <v>2420</v>
      </c>
      <c r="H1735" s="280">
        <v>0</v>
      </c>
      <c r="I1735" s="281">
        <v>2420</v>
      </c>
      <c r="J1735" s="282"/>
      <c r="K1735" s="7"/>
    </row>
    <row r="1736" spans="1:11" ht="14.4" hidden="1" customHeight="1" x14ac:dyDescent="0.3">
      <c r="A1736" s="288" t="s">
        <v>1350</v>
      </c>
      <c r="B1736" s="288">
        <v>176</v>
      </c>
      <c r="C1736" s="289" t="s">
        <v>250</v>
      </c>
      <c r="D1736" s="288" t="s">
        <v>320</v>
      </c>
      <c r="E1736" s="290"/>
      <c r="F1736" s="289" t="s">
        <v>321</v>
      </c>
      <c r="G1736" s="291">
        <v>58840</v>
      </c>
      <c r="H1736" s="291">
        <v>0</v>
      </c>
      <c r="I1736" s="292">
        <v>58840</v>
      </c>
      <c r="J1736" s="292">
        <v>58840</v>
      </c>
      <c r="K1736" s="293">
        <v>0</v>
      </c>
    </row>
    <row r="1737" spans="1:11" ht="14.4" hidden="1" customHeight="1" x14ac:dyDescent="0.3">
      <c r="A1737" s="278" t="s">
        <v>1350</v>
      </c>
      <c r="B1737" s="279">
        <v>178</v>
      </c>
      <c r="C1737" s="278" t="s">
        <v>251</v>
      </c>
      <c r="D1737" s="279" t="s">
        <v>618</v>
      </c>
      <c r="E1737" s="278"/>
      <c r="F1737" s="278" t="s">
        <v>1594</v>
      </c>
      <c r="G1737" s="280">
        <v>0</v>
      </c>
      <c r="H1737" s="280">
        <v>64854678.899999999</v>
      </c>
      <c r="I1737" s="281">
        <v>-64854678.899999999</v>
      </c>
      <c r="J1737" s="282"/>
      <c r="K1737" s="7"/>
    </row>
    <row r="1738" spans="1:11" ht="14.4" hidden="1" customHeight="1" x14ac:dyDescent="0.3">
      <c r="A1738" s="278" t="s">
        <v>1350</v>
      </c>
      <c r="B1738" s="279">
        <v>178</v>
      </c>
      <c r="C1738" s="278" t="s">
        <v>251</v>
      </c>
      <c r="D1738" s="279" t="s">
        <v>620</v>
      </c>
      <c r="E1738" s="278"/>
      <c r="F1738" s="278" t="s">
        <v>1595</v>
      </c>
      <c r="G1738" s="280">
        <v>0</v>
      </c>
      <c r="H1738" s="280">
        <v>4456889.8499999996</v>
      </c>
      <c r="I1738" s="281">
        <v>-4456889.8499999996</v>
      </c>
      <c r="J1738" s="282"/>
      <c r="K1738" s="7"/>
    </row>
    <row r="1739" spans="1:11" ht="14.4" hidden="1" customHeight="1" x14ac:dyDescent="0.3">
      <c r="A1739" s="278" t="s">
        <v>1350</v>
      </c>
      <c r="B1739" s="279">
        <v>178</v>
      </c>
      <c r="C1739" s="278" t="s">
        <v>251</v>
      </c>
      <c r="D1739" s="279" t="s">
        <v>1596</v>
      </c>
      <c r="E1739" s="278"/>
      <c r="F1739" s="278" t="s">
        <v>1597</v>
      </c>
      <c r="G1739" s="280">
        <v>0</v>
      </c>
      <c r="H1739" s="280">
        <v>2982769.83</v>
      </c>
      <c r="I1739" s="281">
        <v>-2982769.83</v>
      </c>
      <c r="J1739" s="282"/>
      <c r="K1739" s="7"/>
    </row>
    <row r="1740" spans="1:11" ht="14.4" hidden="1" customHeight="1" x14ac:dyDescent="0.3">
      <c r="A1740" s="288" t="s">
        <v>1350</v>
      </c>
      <c r="B1740" s="288">
        <v>178</v>
      </c>
      <c r="C1740" s="289" t="s">
        <v>251</v>
      </c>
      <c r="D1740" s="288" t="s">
        <v>320</v>
      </c>
      <c r="E1740" s="290"/>
      <c r="F1740" s="289" t="s">
        <v>321</v>
      </c>
      <c r="G1740" s="291">
        <v>0</v>
      </c>
      <c r="H1740" s="291">
        <v>72294338.579999998</v>
      </c>
      <c r="I1740" s="292">
        <v>-72294338.579999998</v>
      </c>
      <c r="J1740" s="292">
        <v>-72294338.579999998</v>
      </c>
      <c r="K1740" s="293">
        <v>0</v>
      </c>
    </row>
    <row r="1741" spans="1:11" ht="14.4" hidden="1" customHeight="1" x14ac:dyDescent="0.3">
      <c r="A1741" s="278" t="s">
        <v>1350</v>
      </c>
      <c r="B1741" s="279">
        <v>182</v>
      </c>
      <c r="C1741" s="278" t="s">
        <v>255</v>
      </c>
      <c r="D1741" s="279" t="s">
        <v>624</v>
      </c>
      <c r="E1741" s="278" t="s">
        <v>438</v>
      </c>
      <c r="F1741" s="278" t="s">
        <v>1598</v>
      </c>
      <c r="G1741" s="280">
        <v>2345250</v>
      </c>
      <c r="H1741" s="280">
        <v>0</v>
      </c>
      <c r="I1741" s="281">
        <v>2345250</v>
      </c>
      <c r="J1741" s="282"/>
      <c r="K1741" s="7"/>
    </row>
    <row r="1742" spans="1:11" ht="14.4" hidden="1" customHeight="1" x14ac:dyDescent="0.3">
      <c r="A1742" s="278" t="s">
        <v>1350</v>
      </c>
      <c r="B1742" s="279">
        <v>182</v>
      </c>
      <c r="C1742" s="278" t="s">
        <v>255</v>
      </c>
      <c r="D1742" s="279" t="s">
        <v>624</v>
      </c>
      <c r="E1742" s="278"/>
      <c r="F1742" s="278" t="s">
        <v>1599</v>
      </c>
      <c r="G1742" s="280">
        <v>2367047.21</v>
      </c>
      <c r="H1742" s="280">
        <v>0</v>
      </c>
      <c r="I1742" s="281">
        <v>2367047.21</v>
      </c>
      <c r="J1742" s="282"/>
      <c r="K1742" s="7"/>
    </row>
    <row r="1743" spans="1:11" ht="14.4" hidden="1" customHeight="1" x14ac:dyDescent="0.3">
      <c r="A1743" s="278" t="s">
        <v>1350</v>
      </c>
      <c r="B1743" s="279">
        <v>182</v>
      </c>
      <c r="C1743" s="278" t="s">
        <v>255</v>
      </c>
      <c r="D1743" s="279" t="s">
        <v>624</v>
      </c>
      <c r="E1743" s="278"/>
      <c r="F1743" s="278" t="s">
        <v>1600</v>
      </c>
      <c r="G1743" s="280">
        <v>0</v>
      </c>
      <c r="H1743" s="280">
        <v>2350694.71</v>
      </c>
      <c r="I1743" s="281">
        <v>-2350694.71</v>
      </c>
      <c r="J1743" s="282"/>
      <c r="K1743" s="7"/>
    </row>
    <row r="1744" spans="1:11" ht="14.4" hidden="1" customHeight="1" x14ac:dyDescent="0.3">
      <c r="A1744" s="288" t="s">
        <v>1350</v>
      </c>
      <c r="B1744" s="288">
        <v>182</v>
      </c>
      <c r="C1744" s="289" t="s">
        <v>255</v>
      </c>
      <c r="D1744" s="288" t="s">
        <v>320</v>
      </c>
      <c r="E1744" s="290"/>
      <c r="F1744" s="289" t="s">
        <v>321</v>
      </c>
      <c r="G1744" s="291">
        <v>4712297.21</v>
      </c>
      <c r="H1744" s="291">
        <v>2350694.71</v>
      </c>
      <c r="I1744" s="292">
        <v>2361602.5</v>
      </c>
      <c r="J1744" s="292">
        <v>2361602.5</v>
      </c>
      <c r="K1744" s="293">
        <v>0</v>
      </c>
    </row>
    <row r="1745" spans="1:11" ht="14.4" hidden="1" customHeight="1" x14ac:dyDescent="0.3">
      <c r="A1745" s="278" t="s">
        <v>1350</v>
      </c>
      <c r="B1745" s="279">
        <v>184</v>
      </c>
      <c r="C1745" s="278" t="s">
        <v>256</v>
      </c>
      <c r="D1745" s="279" t="s">
        <v>626</v>
      </c>
      <c r="E1745" s="278"/>
      <c r="F1745" s="278" t="s">
        <v>1601</v>
      </c>
      <c r="G1745" s="280">
        <v>0</v>
      </c>
      <c r="H1745" s="280">
        <v>696907.63</v>
      </c>
      <c r="I1745" s="281">
        <v>-696907.63</v>
      </c>
      <c r="J1745" s="282"/>
      <c r="K1745" s="7"/>
    </row>
    <row r="1746" spans="1:11" ht="14.4" hidden="1" x14ac:dyDescent="0.3">
      <c r="A1746" s="278" t="s">
        <v>1350</v>
      </c>
      <c r="B1746" s="279">
        <v>184</v>
      </c>
      <c r="C1746" s="278" t="s">
        <v>256</v>
      </c>
      <c r="D1746" s="279" t="s">
        <v>626</v>
      </c>
      <c r="E1746" s="278"/>
      <c r="F1746" s="278" t="s">
        <v>1602</v>
      </c>
      <c r="G1746" s="280">
        <v>278167951.63999999</v>
      </c>
      <c r="H1746" s="280">
        <v>0</v>
      </c>
      <c r="I1746" s="281">
        <v>278167951.63999999</v>
      </c>
      <c r="J1746" s="282"/>
      <c r="K1746" s="7"/>
    </row>
    <row r="1747" spans="1:11" ht="14.4" hidden="1" x14ac:dyDescent="0.3">
      <c r="A1747" s="288" t="s">
        <v>1350</v>
      </c>
      <c r="B1747" s="288">
        <v>184</v>
      </c>
      <c r="C1747" s="289" t="s">
        <v>256</v>
      </c>
      <c r="D1747" s="288" t="s">
        <v>320</v>
      </c>
      <c r="E1747" s="290"/>
      <c r="F1747" s="289" t="s">
        <v>321</v>
      </c>
      <c r="G1747" s="291">
        <v>278167951.63999999</v>
      </c>
      <c r="H1747" s="291">
        <v>696907.63</v>
      </c>
      <c r="I1747" s="292">
        <v>277471044.00999999</v>
      </c>
      <c r="J1747" s="292">
        <v>277471044.00999999</v>
      </c>
      <c r="K1747" s="293">
        <v>0</v>
      </c>
    </row>
  </sheetData>
  <autoFilter ref="A6:K1747" xr:uid="{00000000-0009-0000-0000-000001000000}">
    <filterColumn colId="2">
      <filters>
        <filter val="Agencia Digital"/>
        <filter val="Cloud Hesive"/>
        <filter val="Comercialización"/>
        <filter val="Management"/>
        <filter val="Netactis"/>
      </filters>
    </filterColumn>
  </autoFilter>
  <mergeCells count="3">
    <mergeCell ref="A2:K2"/>
    <mergeCell ref="A1:K1"/>
    <mergeCell ref="B4:C4"/>
  </mergeCells>
  <dataValidations count="1">
    <dataValidation type="list" allowBlank="1" sqref="E3" xr:uid="{00000000-0002-0000-0100-000000000000}">
      <formula1>"Ene,Feb,Mar,Abr,May"</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AB1000"/>
  <sheetViews>
    <sheetView showGridLines="0" workbookViewId="0"/>
  </sheetViews>
  <sheetFormatPr baseColWidth="10" defaultColWidth="12.6640625" defaultRowHeight="15" customHeight="1" x14ac:dyDescent="0.3"/>
  <cols>
    <col min="1" max="1" width="26.44140625" customWidth="1"/>
    <col min="2" max="3" width="15" customWidth="1"/>
    <col min="4" max="4" width="11.109375" customWidth="1"/>
    <col min="5" max="5" width="12.88671875" customWidth="1"/>
    <col min="6" max="6" width="11.109375" customWidth="1"/>
    <col min="7" max="7" width="6.77734375" customWidth="1"/>
    <col min="8" max="8" width="27.44140625" customWidth="1"/>
    <col min="9" max="10" width="15.21875" customWidth="1"/>
    <col min="11" max="11" width="11.6640625" customWidth="1"/>
    <col min="12" max="12" width="12.88671875" customWidth="1"/>
    <col min="13" max="13" width="12" customWidth="1"/>
    <col min="14" max="26" width="10.6640625" customWidth="1"/>
  </cols>
  <sheetData>
    <row r="1" spans="1:28" ht="7.5" customHeight="1" x14ac:dyDescent="0.3">
      <c r="A1" s="7"/>
      <c r="B1" s="7"/>
      <c r="C1" s="7"/>
      <c r="D1" s="295"/>
      <c r="E1" s="295"/>
      <c r="F1" s="295"/>
      <c r="G1" s="7"/>
      <c r="H1" s="7"/>
      <c r="I1" s="7"/>
      <c r="J1" s="7"/>
      <c r="K1" s="295"/>
      <c r="L1" s="295"/>
      <c r="M1" s="295"/>
      <c r="N1" s="7"/>
      <c r="O1" s="7"/>
      <c r="P1" s="7"/>
      <c r="Q1" s="7"/>
      <c r="R1" s="7"/>
      <c r="S1" s="7"/>
      <c r="T1" s="7"/>
      <c r="U1" s="7"/>
      <c r="V1" s="7"/>
      <c r="W1" s="7"/>
      <c r="X1" s="7"/>
      <c r="Y1" s="7"/>
      <c r="Z1" s="7"/>
      <c r="AA1" s="7"/>
      <c r="AB1" s="7"/>
    </row>
    <row r="2" spans="1:28" ht="14.25" hidden="1" customHeight="1" x14ac:dyDescent="0.3">
      <c r="A2" s="7"/>
      <c r="B2" s="7"/>
      <c r="C2" s="296" t="s">
        <v>1603</v>
      </c>
      <c r="D2" s="295"/>
      <c r="E2" s="295"/>
      <c r="F2" s="295"/>
      <c r="G2" s="7"/>
      <c r="H2" s="7"/>
      <c r="I2" s="296" t="s">
        <v>1603</v>
      </c>
      <c r="J2" s="7"/>
      <c r="K2" s="295"/>
      <c r="L2" s="295"/>
      <c r="M2" s="297"/>
      <c r="N2" s="53"/>
      <c r="O2" s="7"/>
      <c r="P2" s="7"/>
      <c r="Q2" s="7"/>
      <c r="R2" s="7"/>
      <c r="S2" s="7"/>
      <c r="T2" s="7"/>
      <c r="U2" s="7"/>
      <c r="V2" s="7"/>
      <c r="W2" s="7"/>
      <c r="X2" s="7"/>
      <c r="Y2" s="7"/>
      <c r="Z2" s="7"/>
      <c r="AA2" s="7"/>
      <c r="AB2" s="7"/>
    </row>
    <row r="3" spans="1:28" ht="6" hidden="1" customHeight="1" x14ac:dyDescent="0.3">
      <c r="A3" s="7"/>
      <c r="B3" s="7"/>
      <c r="C3" s="7"/>
      <c r="D3" s="295"/>
      <c r="E3" s="295"/>
      <c r="F3" s="295"/>
      <c r="G3" s="7"/>
      <c r="H3" s="7"/>
      <c r="I3" s="7"/>
      <c r="J3" s="7"/>
      <c r="K3" s="295"/>
      <c r="L3" s="295"/>
      <c r="M3" s="297"/>
      <c r="N3" s="53"/>
      <c r="O3" s="7"/>
      <c r="P3" s="7"/>
      <c r="Q3" s="7"/>
      <c r="R3" s="7"/>
      <c r="S3" s="7"/>
      <c r="T3" s="7"/>
      <c r="U3" s="7"/>
      <c r="V3" s="7"/>
      <c r="W3" s="7"/>
      <c r="X3" s="7"/>
      <c r="Y3" s="7"/>
      <c r="Z3" s="7"/>
      <c r="AA3" s="7"/>
      <c r="AB3" s="7"/>
    </row>
    <row r="4" spans="1:28" ht="14.25" hidden="1" customHeight="1" x14ac:dyDescent="0.3">
      <c r="A4" s="198" t="s">
        <v>1604</v>
      </c>
      <c r="B4" s="298" t="s">
        <v>1605</v>
      </c>
      <c r="C4" s="298" t="s">
        <v>1606</v>
      </c>
      <c r="D4" s="299" t="s">
        <v>1607</v>
      </c>
      <c r="E4" s="299" t="s">
        <v>1608</v>
      </c>
      <c r="F4" s="300" t="s">
        <v>1609</v>
      </c>
      <c r="G4" s="7"/>
      <c r="H4" s="198" t="s">
        <v>1604</v>
      </c>
      <c r="I4" s="298" t="s">
        <v>1606</v>
      </c>
      <c r="J4" s="298" t="s">
        <v>1605</v>
      </c>
      <c r="K4" s="299" t="s">
        <v>1607</v>
      </c>
      <c r="L4" s="299" t="s">
        <v>1608</v>
      </c>
      <c r="M4" s="297"/>
      <c r="N4" s="7"/>
      <c r="O4" s="7"/>
      <c r="P4" s="7"/>
      <c r="Q4" s="7"/>
      <c r="R4" s="7"/>
      <c r="S4" s="7"/>
      <c r="T4" s="7"/>
      <c r="U4" s="7"/>
      <c r="V4" s="7"/>
      <c r="W4" s="7"/>
      <c r="X4" s="7"/>
      <c r="Y4" s="7"/>
      <c r="Z4" s="7"/>
      <c r="AA4" s="7"/>
      <c r="AB4" s="7"/>
    </row>
    <row r="5" spans="1:28" ht="14.25" hidden="1" customHeight="1" x14ac:dyDescent="0.3">
      <c r="A5" s="296" t="s">
        <v>1610</v>
      </c>
      <c r="B5" s="301" t="s">
        <v>6</v>
      </c>
      <c r="C5" s="301" t="s">
        <v>1611</v>
      </c>
      <c r="D5" s="302" t="s">
        <v>1609</v>
      </c>
      <c r="E5" s="299" t="s">
        <v>1612</v>
      </c>
      <c r="F5" s="303" t="s">
        <v>1613</v>
      </c>
      <c r="G5" s="7"/>
      <c r="H5" s="296" t="s">
        <v>1610</v>
      </c>
      <c r="I5" s="301" t="s">
        <v>1611</v>
      </c>
      <c r="J5" s="301" t="s">
        <v>1611</v>
      </c>
      <c r="K5" s="302" t="s">
        <v>1609</v>
      </c>
      <c r="L5" s="299" t="s">
        <v>1614</v>
      </c>
      <c r="M5" s="297"/>
      <c r="N5" s="7"/>
      <c r="O5" s="7"/>
      <c r="P5" s="7"/>
      <c r="Q5" s="7"/>
      <c r="R5" s="7"/>
      <c r="S5" s="7"/>
      <c r="T5" s="7"/>
      <c r="U5" s="7"/>
      <c r="V5" s="7"/>
      <c r="W5" s="7"/>
      <c r="X5" s="7"/>
      <c r="Y5" s="7"/>
      <c r="Z5" s="7"/>
      <c r="AA5" s="7"/>
      <c r="AB5" s="7"/>
    </row>
    <row r="6" spans="1:28" ht="14.25" hidden="1" customHeight="1" x14ac:dyDescent="0.3">
      <c r="A6" s="304" t="s">
        <v>9</v>
      </c>
      <c r="B6" s="305">
        <f>+'REAL-BDGT2026'!V7</f>
        <v>9934014963.0401993</v>
      </c>
      <c r="C6" s="305" t="e">
        <f>+'REAL-BDGT2026'!#REF!</f>
        <v>#REF!</v>
      </c>
      <c r="D6" s="306" t="e">
        <f>+B6/C6-1</f>
        <v>#REF!</v>
      </c>
      <c r="E6" s="306">
        <v>0.1956</v>
      </c>
      <c r="F6" s="307" t="e">
        <f>(+D6-$E$6)</f>
        <v>#REF!</v>
      </c>
      <c r="G6" s="7"/>
      <c r="H6" s="304" t="s">
        <v>9</v>
      </c>
      <c r="I6" s="305" t="e">
        <f>+C6</f>
        <v>#REF!</v>
      </c>
      <c r="J6" s="305" t="e">
        <f>+'REAL-BDGT2026'!#REF!</f>
        <v>#REF!</v>
      </c>
      <c r="K6" s="307" t="e">
        <f>+I6/J6-1</f>
        <v>#REF!</v>
      </c>
      <c r="L6" s="306">
        <v>0.29820000000000002</v>
      </c>
      <c r="M6" s="306"/>
      <c r="N6" s="7"/>
      <c r="O6" s="7"/>
      <c r="P6" s="7"/>
      <c r="Q6" s="7"/>
      <c r="R6" s="7"/>
      <c r="S6" s="7"/>
      <c r="T6" s="7"/>
      <c r="U6" s="7"/>
      <c r="V6" s="7"/>
      <c r="W6" s="7"/>
      <c r="X6" s="7"/>
      <c r="Y6" s="7"/>
      <c r="Z6" s="7"/>
      <c r="AA6" s="7"/>
      <c r="AB6" s="7"/>
    </row>
    <row r="7" spans="1:28" ht="14.25" hidden="1" customHeight="1" x14ac:dyDescent="0.3">
      <c r="A7" s="304" t="s">
        <v>20</v>
      </c>
      <c r="B7" s="308">
        <f>+'REAL-BDGT2026'!V20</f>
        <v>696000622.09000003</v>
      </c>
      <c r="C7" s="308" t="e">
        <f>+'REAL-BDGT2026'!#REF!</f>
        <v>#REF!</v>
      </c>
      <c r="D7" s="306" t="e">
        <f>+B7/C7-1</f>
        <v>#REF!</v>
      </c>
      <c r="E7" s="295"/>
      <c r="F7" s="307" t="e">
        <f>(+D7-$E$6)</f>
        <v>#REF!</v>
      </c>
      <c r="G7" s="7"/>
      <c r="H7" s="304" t="s">
        <v>20</v>
      </c>
      <c r="I7" s="305" t="e">
        <f>+C7</f>
        <v>#REF!</v>
      </c>
      <c r="J7" s="305" t="e">
        <f>+'REAL-BDGT2026'!#REF!</f>
        <v>#REF!</v>
      </c>
      <c r="K7" s="307" t="e">
        <f>+I7/J7-1</f>
        <v>#REF!</v>
      </c>
      <c r="L7" s="295"/>
      <c r="M7" s="306"/>
      <c r="N7" s="7"/>
      <c r="O7" s="7"/>
      <c r="P7" s="7"/>
      <c r="Q7" s="7"/>
      <c r="R7" s="7"/>
      <c r="S7" s="7"/>
      <c r="T7" s="7"/>
      <c r="U7" s="7"/>
      <c r="V7" s="7"/>
      <c r="W7" s="7"/>
      <c r="X7" s="7"/>
      <c r="Y7" s="7"/>
      <c r="Z7" s="7"/>
      <c r="AA7" s="7"/>
      <c r="AB7" s="7"/>
    </row>
    <row r="8" spans="1:28" ht="14.25" hidden="1" customHeight="1" x14ac:dyDescent="0.3">
      <c r="A8" s="304" t="s">
        <v>38</v>
      </c>
      <c r="B8" s="308">
        <f>+'REAL-BDGT2026'!V37</f>
        <v>62455971.540000007</v>
      </c>
      <c r="C8" s="308" t="e">
        <f>+'REAL-BDGT2026'!#REF!</f>
        <v>#REF!</v>
      </c>
      <c r="D8" s="306" t="e">
        <f>+B8/C8-1</f>
        <v>#REF!</v>
      </c>
      <c r="E8" s="295"/>
      <c r="F8" s="307" t="e">
        <f>(+D8-$E$6)</f>
        <v>#REF!</v>
      </c>
      <c r="G8" s="7"/>
      <c r="H8" s="304" t="s">
        <v>38</v>
      </c>
      <c r="I8" s="305" t="e">
        <f>+C8</f>
        <v>#REF!</v>
      </c>
      <c r="J8" s="305" t="e">
        <f>+'REAL-BDGT2026'!#REF!</f>
        <v>#REF!</v>
      </c>
      <c r="K8" s="307" t="e">
        <f>+I8/J8-1</f>
        <v>#REF!</v>
      </c>
      <c r="L8" s="295"/>
      <c r="M8" s="306"/>
      <c r="N8" s="7"/>
      <c r="O8" s="7"/>
      <c r="P8" s="7"/>
      <c r="Q8" s="7"/>
      <c r="R8" s="7"/>
      <c r="S8" s="7"/>
      <c r="T8" s="7"/>
      <c r="U8" s="7"/>
      <c r="V8" s="7"/>
      <c r="W8" s="7"/>
      <c r="X8" s="7"/>
      <c r="Y8" s="7"/>
      <c r="Z8" s="7"/>
      <c r="AA8" s="7"/>
      <c r="AB8" s="7"/>
    </row>
    <row r="9" spans="1:28" ht="14.25" hidden="1" customHeight="1" x14ac:dyDescent="0.3">
      <c r="A9" s="309" t="s">
        <v>1615</v>
      </c>
      <c r="B9" s="310">
        <f>SUM(B6:B8)</f>
        <v>10692471556.6702</v>
      </c>
      <c r="C9" s="310" t="e">
        <f>SUM(C6:C8)</f>
        <v>#REF!</v>
      </c>
      <c r="D9" s="306" t="e">
        <f>+B9/C9-1</f>
        <v>#REF!</v>
      </c>
      <c r="E9" s="295"/>
      <c r="F9" s="307" t="e">
        <f>(+D9-$E$6)</f>
        <v>#REF!</v>
      </c>
      <c r="G9" s="7"/>
      <c r="H9" s="309" t="s">
        <v>1615</v>
      </c>
      <c r="I9" s="310" t="e">
        <f>SUM(I6:I8)</f>
        <v>#REF!</v>
      </c>
      <c r="J9" s="310" t="e">
        <f>SUM(J6:J8)</f>
        <v>#REF!</v>
      </c>
      <c r="K9" s="307" t="e">
        <f>+I9/J9-1</f>
        <v>#REF!</v>
      </c>
      <c r="L9" s="295"/>
      <c r="M9" s="306"/>
      <c r="N9" s="7"/>
      <c r="O9" s="7"/>
      <c r="P9" s="7"/>
      <c r="Q9" s="7"/>
      <c r="R9" s="7"/>
      <c r="S9" s="7"/>
      <c r="T9" s="7"/>
      <c r="U9" s="7"/>
      <c r="V9" s="7"/>
      <c r="W9" s="7"/>
      <c r="X9" s="7"/>
      <c r="Y9" s="7"/>
      <c r="Z9" s="7"/>
      <c r="AA9" s="7"/>
      <c r="AB9" s="7"/>
    </row>
    <row r="10" spans="1:28" ht="21" hidden="1" customHeight="1" x14ac:dyDescent="0.3">
      <c r="A10" s="198" t="s">
        <v>1616</v>
      </c>
      <c r="B10" s="7"/>
      <c r="C10" s="7"/>
      <c r="D10" s="295"/>
      <c r="E10" s="295"/>
      <c r="F10" s="311"/>
      <c r="G10" s="7"/>
      <c r="H10" s="198" t="s">
        <v>1616</v>
      </c>
      <c r="I10" s="7"/>
      <c r="J10" s="312"/>
      <c r="K10" s="311"/>
      <c r="L10" s="295"/>
      <c r="M10" s="295"/>
      <c r="N10" s="7"/>
      <c r="O10" s="7"/>
      <c r="P10" s="7"/>
      <c r="Q10" s="7"/>
      <c r="R10" s="7"/>
      <c r="S10" s="7"/>
      <c r="T10" s="7"/>
      <c r="U10" s="7"/>
      <c r="V10" s="7"/>
      <c r="W10" s="7"/>
      <c r="X10" s="7"/>
      <c r="Y10" s="7"/>
      <c r="Z10" s="7"/>
      <c r="AA10" s="7"/>
      <c r="AB10" s="7"/>
    </row>
    <row r="11" spans="1:28" ht="14.25" hidden="1" customHeight="1" x14ac:dyDescent="0.3">
      <c r="A11" s="313" t="s">
        <v>49</v>
      </c>
      <c r="B11" s="308">
        <f>+'REAL-BDGT2026'!V46</f>
        <v>175539475.16</v>
      </c>
      <c r="C11" s="308" t="e">
        <f>+'REAL-BDGT2026'!#REF!</f>
        <v>#REF!</v>
      </c>
      <c r="D11" s="306" t="e">
        <f t="shared" ref="D11:D21" si="0">+B11/C11-1</f>
        <v>#REF!</v>
      </c>
      <c r="E11" s="295"/>
      <c r="F11" s="307" t="e">
        <f t="shared" ref="F11:F21" si="1">(+D11-$E$6)</f>
        <v>#REF!</v>
      </c>
      <c r="G11" s="7"/>
      <c r="H11" s="313" t="s">
        <v>49</v>
      </c>
      <c r="I11" s="308" t="e">
        <f t="shared" ref="I11:I24" si="2">+C11</f>
        <v>#REF!</v>
      </c>
      <c r="J11" s="308" t="e">
        <f>+'REAL-BDGT2026'!#REF!</f>
        <v>#REF!</v>
      </c>
      <c r="K11" s="307" t="e">
        <f>+I11/J11-1</f>
        <v>#REF!</v>
      </c>
      <c r="L11" s="295"/>
      <c r="M11" s="306"/>
      <c r="N11" s="7"/>
      <c r="O11" s="7"/>
      <c r="P11" s="7"/>
      <c r="Q11" s="7"/>
      <c r="R11" s="7"/>
      <c r="S11" s="7"/>
      <c r="T11" s="7"/>
      <c r="U11" s="7"/>
      <c r="V11" s="7"/>
      <c r="W11" s="7"/>
      <c r="X11" s="7"/>
      <c r="Y11" s="7"/>
      <c r="Z11" s="7"/>
      <c r="AA11" s="7"/>
      <c r="AB11" s="7"/>
    </row>
    <row r="12" spans="1:28" ht="14.25" hidden="1" customHeight="1" x14ac:dyDescent="0.3">
      <c r="A12" s="313" t="s">
        <v>65</v>
      </c>
      <c r="B12" s="308">
        <f>+'REAL-BDGT2026'!V58</f>
        <v>25116866.630000003</v>
      </c>
      <c r="C12" s="308" t="e">
        <f>+'REAL-BDGT2026'!#REF!</f>
        <v>#REF!</v>
      </c>
      <c r="D12" s="306" t="e">
        <f t="shared" si="0"/>
        <v>#REF!</v>
      </c>
      <c r="E12" s="295"/>
      <c r="F12" s="307" t="e">
        <f t="shared" si="1"/>
        <v>#REF!</v>
      </c>
      <c r="G12" s="7"/>
      <c r="H12" s="313" t="s">
        <v>65</v>
      </c>
      <c r="I12" s="305" t="e">
        <f t="shared" si="2"/>
        <v>#REF!</v>
      </c>
      <c r="J12" s="305" t="e">
        <f>+'REAL-BDGT2026'!#REF!</f>
        <v>#REF!</v>
      </c>
      <c r="K12" s="307" t="e">
        <f>+I12/J12-1</f>
        <v>#REF!</v>
      </c>
      <c r="L12" s="295"/>
      <c r="M12" s="306"/>
      <c r="N12" s="7"/>
      <c r="O12" s="7"/>
      <c r="P12" s="7"/>
      <c r="Q12" s="7"/>
      <c r="R12" s="7"/>
      <c r="S12" s="7"/>
      <c r="T12" s="7"/>
      <c r="U12" s="7"/>
      <c r="V12" s="7"/>
      <c r="W12" s="7"/>
      <c r="X12" s="7"/>
      <c r="Y12" s="7"/>
      <c r="Z12" s="7"/>
      <c r="AA12" s="7"/>
      <c r="AB12" s="7"/>
    </row>
    <row r="13" spans="1:28" ht="14.25" hidden="1" customHeight="1" x14ac:dyDescent="0.3">
      <c r="A13" s="313" t="s">
        <v>88</v>
      </c>
      <c r="B13" s="308">
        <f>+'REAL-BDGT2026'!V70</f>
        <v>26615603.199999999</v>
      </c>
      <c r="C13" s="308" t="e">
        <f>+'REAL-BDGT2026'!#REF!</f>
        <v>#REF!</v>
      </c>
      <c r="D13" s="306" t="e">
        <f t="shared" si="0"/>
        <v>#REF!</v>
      </c>
      <c r="E13" s="295"/>
      <c r="F13" s="307" t="e">
        <f t="shared" si="1"/>
        <v>#REF!</v>
      </c>
      <c r="G13" s="7"/>
      <c r="H13" s="313" t="s">
        <v>88</v>
      </c>
      <c r="I13" s="305" t="e">
        <f t="shared" si="2"/>
        <v>#REF!</v>
      </c>
      <c r="J13" s="305" t="e">
        <f>+'REAL-BDGT2026'!#REF!</f>
        <v>#REF!</v>
      </c>
      <c r="K13" s="307">
        <v>1</v>
      </c>
      <c r="L13" s="295"/>
      <c r="M13" s="306"/>
      <c r="N13" s="7"/>
      <c r="O13" s="7"/>
      <c r="P13" s="7"/>
      <c r="Q13" s="7"/>
      <c r="R13" s="7"/>
      <c r="S13" s="7"/>
      <c r="T13" s="7"/>
      <c r="U13" s="7"/>
      <c r="V13" s="7"/>
      <c r="W13" s="7"/>
      <c r="X13" s="7"/>
      <c r="Y13" s="7"/>
      <c r="Z13" s="7"/>
      <c r="AA13" s="7"/>
      <c r="AB13" s="7"/>
    </row>
    <row r="14" spans="1:28" ht="14.25" hidden="1" customHeight="1" x14ac:dyDescent="0.3">
      <c r="A14" s="313" t="s">
        <v>91</v>
      </c>
      <c r="B14" s="308">
        <f>+'REAL-BDGT2026'!V73</f>
        <v>9867000</v>
      </c>
      <c r="C14" s="308" t="e">
        <f>+'REAL-BDGT2026'!#REF!</f>
        <v>#REF!</v>
      </c>
      <c r="D14" s="306" t="e">
        <f t="shared" si="0"/>
        <v>#REF!</v>
      </c>
      <c r="E14" s="295"/>
      <c r="F14" s="307" t="e">
        <f t="shared" si="1"/>
        <v>#REF!</v>
      </c>
      <c r="G14" s="7"/>
      <c r="H14" s="313" t="s">
        <v>91</v>
      </c>
      <c r="I14" s="305" t="e">
        <f t="shared" si="2"/>
        <v>#REF!</v>
      </c>
      <c r="J14" s="305" t="e">
        <f>+'REAL-BDGT2026'!#REF!</f>
        <v>#REF!</v>
      </c>
      <c r="K14" s="307">
        <v>1</v>
      </c>
      <c r="L14" s="295"/>
      <c r="M14" s="306"/>
      <c r="N14" s="7"/>
      <c r="O14" s="7"/>
      <c r="P14" s="7"/>
      <c r="Q14" s="7"/>
      <c r="R14" s="7"/>
      <c r="S14" s="7"/>
      <c r="T14" s="7"/>
      <c r="U14" s="7"/>
      <c r="V14" s="7"/>
      <c r="W14" s="7"/>
      <c r="X14" s="7"/>
      <c r="Y14" s="7"/>
      <c r="Z14" s="7"/>
      <c r="AA14" s="7"/>
      <c r="AB14" s="7"/>
    </row>
    <row r="15" spans="1:28" ht="14.25" hidden="1" customHeight="1" x14ac:dyDescent="0.3">
      <c r="A15" s="313" t="s">
        <v>95</v>
      </c>
      <c r="B15" s="308">
        <f>+'REAL-BDGT2026'!V75</f>
        <v>66742930.949999996</v>
      </c>
      <c r="C15" s="308" t="e">
        <f>+'REAL-BDGT2026'!#REF!</f>
        <v>#REF!</v>
      </c>
      <c r="D15" s="306" t="e">
        <f t="shared" si="0"/>
        <v>#REF!</v>
      </c>
      <c r="E15" s="295"/>
      <c r="F15" s="307" t="e">
        <f t="shared" si="1"/>
        <v>#REF!</v>
      </c>
      <c r="G15" s="7"/>
      <c r="H15" s="313" t="s">
        <v>95</v>
      </c>
      <c r="I15" s="305" t="e">
        <f t="shared" si="2"/>
        <v>#REF!</v>
      </c>
      <c r="J15" s="305" t="e">
        <f>+'REAL-BDGT2026'!#REF!</f>
        <v>#REF!</v>
      </c>
      <c r="K15" s="307" t="e">
        <f t="shared" ref="K15:K20" si="3">+I15/J15-1</f>
        <v>#REF!</v>
      </c>
      <c r="L15" s="295"/>
      <c r="M15" s="306"/>
      <c r="N15" s="7"/>
      <c r="O15" s="7"/>
      <c r="P15" s="7"/>
      <c r="Q15" s="7"/>
      <c r="R15" s="7"/>
      <c r="S15" s="7"/>
      <c r="T15" s="7"/>
      <c r="U15" s="7"/>
      <c r="V15" s="7"/>
      <c r="W15" s="7"/>
      <c r="X15" s="7"/>
      <c r="Y15" s="7"/>
      <c r="Z15" s="7"/>
      <c r="AA15" s="7"/>
      <c r="AB15" s="7"/>
    </row>
    <row r="16" spans="1:28" ht="14.25" hidden="1" customHeight="1" x14ac:dyDescent="0.3">
      <c r="A16" s="313" t="s">
        <v>103</v>
      </c>
      <c r="B16" s="308">
        <f>+'REAL-BDGT2026'!V81</f>
        <v>143722872.38</v>
      </c>
      <c r="C16" s="308" t="e">
        <f>+'REAL-BDGT2026'!#REF!</f>
        <v>#REF!</v>
      </c>
      <c r="D16" s="306" t="e">
        <f t="shared" si="0"/>
        <v>#REF!</v>
      </c>
      <c r="E16" s="295"/>
      <c r="F16" s="307" t="e">
        <f t="shared" si="1"/>
        <v>#REF!</v>
      </c>
      <c r="G16" s="7"/>
      <c r="H16" s="313" t="s">
        <v>103</v>
      </c>
      <c r="I16" s="305" t="e">
        <f t="shared" si="2"/>
        <v>#REF!</v>
      </c>
      <c r="J16" s="305" t="e">
        <f>+'REAL-BDGT2026'!#REF!</f>
        <v>#REF!</v>
      </c>
      <c r="K16" s="307" t="e">
        <f t="shared" si="3"/>
        <v>#REF!</v>
      </c>
      <c r="L16" s="295"/>
      <c r="M16" s="306"/>
      <c r="N16" s="7"/>
      <c r="O16" s="7"/>
      <c r="P16" s="7"/>
      <c r="Q16" s="7"/>
      <c r="R16" s="7"/>
      <c r="S16" s="7"/>
      <c r="T16" s="7"/>
      <c r="U16" s="7"/>
      <c r="V16" s="7"/>
      <c r="W16" s="7"/>
      <c r="X16" s="7"/>
      <c r="Y16" s="7"/>
      <c r="Z16" s="7"/>
      <c r="AA16" s="7"/>
      <c r="AB16" s="7"/>
    </row>
    <row r="17" spans="1:28" ht="14.25" hidden="1" customHeight="1" x14ac:dyDescent="0.3">
      <c r="A17" s="313" t="s">
        <v>118</v>
      </c>
      <c r="B17" s="308">
        <f>+'REAL-BDGT2026'!V87</f>
        <v>612523819.67999995</v>
      </c>
      <c r="C17" s="308" t="e">
        <f>+'REAL-BDGT2026'!#REF!</f>
        <v>#REF!</v>
      </c>
      <c r="D17" s="306" t="e">
        <f t="shared" si="0"/>
        <v>#REF!</v>
      </c>
      <c r="E17" s="295"/>
      <c r="F17" s="307" t="e">
        <f t="shared" si="1"/>
        <v>#REF!</v>
      </c>
      <c r="G17" s="7"/>
      <c r="H17" s="313" t="s">
        <v>118</v>
      </c>
      <c r="I17" s="305" t="e">
        <f t="shared" si="2"/>
        <v>#REF!</v>
      </c>
      <c r="J17" s="305" t="e">
        <f>+'REAL-BDGT2026'!#REF!</f>
        <v>#REF!</v>
      </c>
      <c r="K17" s="307" t="e">
        <f t="shared" si="3"/>
        <v>#REF!</v>
      </c>
      <c r="L17" s="295"/>
      <c r="M17" s="306"/>
      <c r="N17" s="7"/>
      <c r="O17" s="7"/>
      <c r="P17" s="7"/>
      <c r="Q17" s="7"/>
      <c r="R17" s="7"/>
      <c r="S17" s="7"/>
      <c r="T17" s="7"/>
      <c r="U17" s="7"/>
      <c r="V17" s="7"/>
      <c r="W17" s="7"/>
      <c r="X17" s="7"/>
      <c r="Y17" s="7"/>
      <c r="Z17" s="7"/>
      <c r="AA17" s="7"/>
      <c r="AB17" s="7"/>
    </row>
    <row r="18" spans="1:28" ht="14.25" hidden="1" customHeight="1" x14ac:dyDescent="0.3">
      <c r="A18" s="313" t="s">
        <v>125</v>
      </c>
      <c r="B18" s="308">
        <f>+'REAL-BDGT2026'!V93</f>
        <v>35942677</v>
      </c>
      <c r="C18" s="308" t="e">
        <f>+'REAL-BDGT2026'!#REF!</f>
        <v>#REF!</v>
      </c>
      <c r="D18" s="306" t="e">
        <f t="shared" si="0"/>
        <v>#REF!</v>
      </c>
      <c r="E18" s="295"/>
      <c r="F18" s="307" t="e">
        <f t="shared" si="1"/>
        <v>#REF!</v>
      </c>
      <c r="G18" s="7"/>
      <c r="H18" s="313" t="s">
        <v>125</v>
      </c>
      <c r="I18" s="305" t="e">
        <f t="shared" si="2"/>
        <v>#REF!</v>
      </c>
      <c r="J18" s="305" t="e">
        <f>+'REAL-BDGT2026'!#REF!</f>
        <v>#REF!</v>
      </c>
      <c r="K18" s="307" t="e">
        <f t="shared" si="3"/>
        <v>#REF!</v>
      </c>
      <c r="L18" s="295"/>
      <c r="M18" s="306"/>
      <c r="N18" s="7"/>
      <c r="O18" s="7"/>
      <c r="P18" s="7"/>
      <c r="Q18" s="7"/>
      <c r="R18" s="7"/>
      <c r="S18" s="7"/>
      <c r="T18" s="7"/>
      <c r="U18" s="7"/>
      <c r="V18" s="7"/>
      <c r="W18" s="7"/>
      <c r="X18" s="7"/>
      <c r="Y18" s="7"/>
      <c r="Z18" s="7"/>
      <c r="AA18" s="7"/>
      <c r="AB18" s="7"/>
    </row>
    <row r="19" spans="1:28" ht="14.25" hidden="1" customHeight="1" x14ac:dyDescent="0.3">
      <c r="A19" s="313" t="s">
        <v>148</v>
      </c>
      <c r="B19" s="308">
        <f>+'REAL-BDGT2026'!V106</f>
        <v>753681010.51999998</v>
      </c>
      <c r="C19" s="308" t="e">
        <f>+'REAL-BDGT2026'!#REF!</f>
        <v>#REF!</v>
      </c>
      <c r="D19" s="306" t="e">
        <f t="shared" si="0"/>
        <v>#REF!</v>
      </c>
      <c r="E19" s="306"/>
      <c r="F19" s="307" t="e">
        <f t="shared" si="1"/>
        <v>#REF!</v>
      </c>
      <c r="G19" s="7"/>
      <c r="H19" s="313" t="s">
        <v>148</v>
      </c>
      <c r="I19" s="305" t="e">
        <f t="shared" si="2"/>
        <v>#REF!</v>
      </c>
      <c r="J19" s="305" t="e">
        <f>+'REAL-BDGT2026'!#REF!</f>
        <v>#REF!</v>
      </c>
      <c r="K19" s="307" t="e">
        <f t="shared" si="3"/>
        <v>#REF!</v>
      </c>
      <c r="L19" s="306"/>
      <c r="M19" s="306"/>
      <c r="N19" s="7"/>
      <c r="O19" s="7"/>
      <c r="P19" s="7"/>
      <c r="Q19" s="7"/>
      <c r="R19" s="7"/>
      <c r="S19" s="7"/>
      <c r="T19" s="7"/>
      <c r="U19" s="7"/>
      <c r="V19" s="7"/>
      <c r="W19" s="7"/>
      <c r="X19" s="7"/>
      <c r="Y19" s="7"/>
      <c r="Z19" s="7"/>
      <c r="AA19" s="7"/>
      <c r="AB19" s="7"/>
    </row>
    <row r="20" spans="1:28" ht="14.25" hidden="1" customHeight="1" x14ac:dyDescent="0.3">
      <c r="A20" s="313" t="s">
        <v>182</v>
      </c>
      <c r="B20" s="308">
        <f>+'REAL-BDGT2026'!V128</f>
        <v>55829452.619999997</v>
      </c>
      <c r="C20" s="308" t="e">
        <f>+'REAL-BDGT2026'!#REF!</f>
        <v>#REF!</v>
      </c>
      <c r="D20" s="306" t="e">
        <f t="shared" si="0"/>
        <v>#REF!</v>
      </c>
      <c r="E20" s="306"/>
      <c r="F20" s="307" t="e">
        <f t="shared" si="1"/>
        <v>#REF!</v>
      </c>
      <c r="G20" s="7"/>
      <c r="H20" s="313" t="s">
        <v>182</v>
      </c>
      <c r="I20" s="305" t="e">
        <f t="shared" si="2"/>
        <v>#REF!</v>
      </c>
      <c r="J20" s="305" t="e">
        <f>+'REAL-BDGT2026'!#REF!</f>
        <v>#REF!</v>
      </c>
      <c r="K20" s="307" t="e">
        <f t="shared" si="3"/>
        <v>#REF!</v>
      </c>
      <c r="L20" s="306"/>
      <c r="M20" s="306"/>
      <c r="N20" s="7"/>
      <c r="O20" s="7"/>
      <c r="P20" s="7"/>
      <c r="Q20" s="7"/>
      <c r="R20" s="7"/>
      <c r="S20" s="7"/>
      <c r="T20" s="7"/>
      <c r="U20" s="7"/>
      <c r="V20" s="7"/>
      <c r="W20" s="7"/>
      <c r="X20" s="7"/>
      <c r="Y20" s="7"/>
      <c r="Z20" s="7"/>
      <c r="AA20" s="7"/>
      <c r="AB20" s="7"/>
    </row>
    <row r="21" spans="1:28" ht="14.25" hidden="1" customHeight="1" x14ac:dyDescent="0.3">
      <c r="A21" s="313" t="s">
        <v>226</v>
      </c>
      <c r="B21" s="308">
        <f>+'REAL-BDGT2026'!V151</f>
        <v>69236198.25</v>
      </c>
      <c r="C21" s="308" t="e">
        <f>+'REAL-BDGT2026'!#REF!</f>
        <v>#REF!</v>
      </c>
      <c r="D21" s="306" t="e">
        <f t="shared" si="0"/>
        <v>#REF!</v>
      </c>
      <c r="E21" s="306"/>
      <c r="F21" s="307" t="e">
        <f t="shared" si="1"/>
        <v>#REF!</v>
      </c>
      <c r="G21" s="7"/>
      <c r="H21" s="313" t="s">
        <v>226</v>
      </c>
      <c r="I21" s="305" t="e">
        <f t="shared" si="2"/>
        <v>#REF!</v>
      </c>
      <c r="J21" s="305" t="e">
        <f>+'REAL-BDGT2026'!#REF!</f>
        <v>#REF!</v>
      </c>
      <c r="K21" s="307">
        <v>1</v>
      </c>
      <c r="L21" s="306"/>
      <c r="M21" s="306"/>
      <c r="N21" s="7"/>
      <c r="O21" s="7"/>
      <c r="P21" s="7"/>
      <c r="Q21" s="7"/>
      <c r="R21" s="7"/>
      <c r="S21" s="7"/>
      <c r="T21" s="7"/>
      <c r="U21" s="7"/>
      <c r="V21" s="7"/>
      <c r="W21" s="7"/>
      <c r="X21" s="7"/>
      <c r="Y21" s="7"/>
      <c r="Z21" s="7"/>
      <c r="AA21" s="7"/>
      <c r="AB21" s="7"/>
    </row>
    <row r="22" spans="1:28" ht="14.25" hidden="1" customHeight="1" x14ac:dyDescent="0.3">
      <c r="A22" s="313" t="s">
        <v>227</v>
      </c>
      <c r="B22" s="308">
        <f>+'REAL-BDGT2026'!V154</f>
        <v>27470199.16</v>
      </c>
      <c r="C22" s="308" t="e">
        <f>+'REAL-BDGT2026'!#REF!</f>
        <v>#REF!</v>
      </c>
      <c r="D22" s="306"/>
      <c r="E22" s="306"/>
      <c r="F22" s="311"/>
      <c r="G22" s="7"/>
      <c r="H22" s="313" t="s">
        <v>227</v>
      </c>
      <c r="I22" s="305" t="e">
        <f t="shared" si="2"/>
        <v>#REF!</v>
      </c>
      <c r="J22" s="305" t="e">
        <f>+'REAL-BDGT2026'!#REF!</f>
        <v>#REF!</v>
      </c>
      <c r="K22" s="307" t="e">
        <f>+I22/J22-1</f>
        <v>#REF!</v>
      </c>
      <c r="L22" s="306"/>
      <c r="M22" s="297"/>
      <c r="N22" s="7"/>
      <c r="O22" s="7"/>
      <c r="P22" s="7"/>
      <c r="Q22" s="7"/>
      <c r="R22" s="7"/>
      <c r="S22" s="7"/>
      <c r="T22" s="7"/>
      <c r="U22" s="7"/>
      <c r="V22" s="7"/>
      <c r="W22" s="7"/>
      <c r="X22" s="7"/>
      <c r="Y22" s="7"/>
      <c r="Z22" s="7"/>
      <c r="AA22" s="7"/>
      <c r="AB22" s="7"/>
    </row>
    <row r="23" spans="1:28" ht="14.25" hidden="1" customHeight="1" x14ac:dyDescent="0.3">
      <c r="A23" s="313" t="s">
        <v>1617</v>
      </c>
      <c r="B23" s="308">
        <f>+'REAL-BDGT2026'!V157</f>
        <v>1866120725.45</v>
      </c>
      <c r="C23" s="308" t="e">
        <f>+'REAL-BDGT2026'!#REF!</f>
        <v>#REF!</v>
      </c>
      <c r="D23" s="306" t="e">
        <f>+B23/C23-1</f>
        <v>#REF!</v>
      </c>
      <c r="E23" s="306"/>
      <c r="F23" s="307" t="e">
        <f>(+D23-$E$6)</f>
        <v>#REF!</v>
      </c>
      <c r="G23" s="314"/>
      <c r="H23" s="313" t="s">
        <v>1617</v>
      </c>
      <c r="I23" s="305" t="e">
        <f t="shared" si="2"/>
        <v>#REF!</v>
      </c>
      <c r="J23" s="305" t="e">
        <f>+'REAL-BDGT2026'!#REF!</f>
        <v>#REF!</v>
      </c>
      <c r="K23" s="307" t="e">
        <f>+I23/J23-1</f>
        <v>#REF!</v>
      </c>
      <c r="L23" s="306"/>
      <c r="M23" s="306"/>
      <c r="N23" s="7"/>
      <c r="O23" s="7"/>
      <c r="P23" s="7"/>
      <c r="Q23" s="7"/>
      <c r="R23" s="7"/>
      <c r="S23" s="7"/>
      <c r="T23" s="7"/>
      <c r="U23" s="7"/>
      <c r="V23" s="7"/>
      <c r="W23" s="7"/>
      <c r="X23" s="7"/>
      <c r="Y23" s="7"/>
      <c r="Z23" s="7"/>
      <c r="AA23" s="7"/>
      <c r="AB23" s="7"/>
    </row>
    <row r="24" spans="1:28" ht="14.25" hidden="1" customHeight="1" x14ac:dyDescent="0.3">
      <c r="A24" s="313" t="s">
        <v>240</v>
      </c>
      <c r="B24" s="308">
        <f>+'REAL-BDGT2026'!V168</f>
        <v>0</v>
      </c>
      <c r="C24" s="308" t="e">
        <f>+'REAL-BDGT2026'!#REF!</f>
        <v>#REF!</v>
      </c>
      <c r="D24" s="306"/>
      <c r="E24" s="306"/>
      <c r="F24" s="311"/>
      <c r="G24" s="314"/>
      <c r="H24" s="313" t="s">
        <v>240</v>
      </c>
      <c r="I24" s="305" t="e">
        <f t="shared" si="2"/>
        <v>#REF!</v>
      </c>
      <c r="J24" s="305" t="e">
        <f>+'REAL-BDGT2026'!#REF!</f>
        <v>#REF!</v>
      </c>
      <c r="K24" s="307"/>
      <c r="L24" s="306"/>
      <c r="M24" s="297"/>
      <c r="N24" s="7"/>
      <c r="O24" s="7"/>
      <c r="P24" s="7"/>
      <c r="Q24" s="7"/>
      <c r="R24" s="7"/>
      <c r="S24" s="7"/>
      <c r="T24" s="7"/>
      <c r="U24" s="7"/>
      <c r="V24" s="7"/>
      <c r="W24" s="7"/>
      <c r="X24" s="7"/>
      <c r="Y24" s="7"/>
      <c r="Z24" s="7"/>
      <c r="AA24" s="7"/>
      <c r="AB24" s="7"/>
    </row>
    <row r="25" spans="1:28" ht="14.25" hidden="1" customHeight="1" x14ac:dyDescent="0.3">
      <c r="A25" s="309" t="s">
        <v>1618</v>
      </c>
      <c r="B25" s="310">
        <f>SUM(B11:B24)</f>
        <v>3868408831</v>
      </c>
      <c r="C25" s="310" t="e">
        <f>SUM(C11:C24)</f>
        <v>#REF!</v>
      </c>
      <c r="D25" s="306" t="e">
        <f>+B25/C25-1</f>
        <v>#REF!</v>
      </c>
      <c r="E25" s="295"/>
      <c r="F25" s="307" t="e">
        <f>(+D25-$E$6)</f>
        <v>#REF!</v>
      </c>
      <c r="G25" s="314"/>
      <c r="H25" s="309" t="s">
        <v>1618</v>
      </c>
      <c r="I25" s="310" t="e">
        <f>SUM(I11:I24)</f>
        <v>#REF!</v>
      </c>
      <c r="J25" s="310" t="e">
        <f>SUM(J11:J24)</f>
        <v>#REF!</v>
      </c>
      <c r="K25" s="307" t="e">
        <f>+I25/J25-1</f>
        <v>#REF!</v>
      </c>
      <c r="L25" s="295"/>
      <c r="M25" s="306"/>
      <c r="N25" s="53"/>
      <c r="O25" s="7"/>
      <c r="P25" s="7"/>
      <c r="Q25" s="7"/>
      <c r="R25" s="7"/>
      <c r="S25" s="7"/>
      <c r="T25" s="7"/>
      <c r="U25" s="7"/>
      <c r="V25" s="7"/>
      <c r="W25" s="7"/>
      <c r="X25" s="7"/>
      <c r="Y25" s="7"/>
      <c r="Z25" s="7"/>
      <c r="AA25" s="7"/>
      <c r="AB25" s="7"/>
    </row>
    <row r="26" spans="1:28" ht="14.25" hidden="1" customHeight="1" x14ac:dyDescent="0.3">
      <c r="A26" s="269"/>
      <c r="B26" s="315"/>
      <c r="C26" s="315"/>
      <c r="D26" s="295"/>
      <c r="E26" s="295"/>
      <c r="F26" s="297"/>
      <c r="G26" s="314"/>
      <c r="H26" s="316"/>
      <c r="I26" s="316"/>
      <c r="J26" s="315"/>
      <c r="K26" s="295"/>
      <c r="L26" s="295"/>
      <c r="M26" s="295"/>
      <c r="N26" s="7"/>
      <c r="O26" s="7"/>
      <c r="P26" s="7"/>
      <c r="Q26" s="7"/>
      <c r="R26" s="7"/>
      <c r="S26" s="7"/>
      <c r="T26" s="7"/>
      <c r="U26" s="7"/>
      <c r="V26" s="7"/>
      <c r="W26" s="7"/>
      <c r="X26" s="7"/>
      <c r="Y26" s="7"/>
      <c r="Z26" s="7"/>
      <c r="AA26" s="7"/>
      <c r="AB26" s="7"/>
    </row>
    <row r="27" spans="1:28" ht="14.25" customHeight="1" x14ac:dyDescent="0.3">
      <c r="A27" s="269"/>
      <c r="B27" s="315"/>
      <c r="C27" s="315"/>
      <c r="D27" s="295"/>
      <c r="E27" s="295"/>
      <c r="F27" s="297"/>
      <c r="G27" s="314"/>
      <c r="H27" s="316"/>
      <c r="I27" s="316"/>
      <c r="J27" s="315"/>
      <c r="K27" s="295"/>
      <c r="L27" s="295"/>
      <c r="M27" s="295"/>
      <c r="N27" s="7"/>
      <c r="O27" s="7"/>
      <c r="P27" s="7"/>
      <c r="Q27" s="7"/>
      <c r="R27" s="7"/>
      <c r="S27" s="7"/>
      <c r="T27" s="7"/>
      <c r="U27" s="7"/>
      <c r="V27" s="7"/>
      <c r="W27" s="7"/>
      <c r="X27" s="7"/>
      <c r="Y27" s="7"/>
      <c r="Z27" s="7"/>
      <c r="AA27" s="7"/>
      <c r="AB27" s="7"/>
    </row>
    <row r="28" spans="1:28" ht="14.25" customHeight="1" x14ac:dyDescent="0.3">
      <c r="A28" s="317" t="s">
        <v>1619</v>
      </c>
      <c r="B28" s="315"/>
      <c r="C28" s="315"/>
      <c r="D28" s="295"/>
      <c r="E28" s="295"/>
      <c r="F28" s="297"/>
      <c r="G28" s="314"/>
      <c r="H28" s="316"/>
      <c r="I28" s="316"/>
      <c r="J28" s="315"/>
      <c r="K28" s="295"/>
      <c r="L28" s="295"/>
      <c r="M28" s="295"/>
      <c r="N28" s="7"/>
      <c r="O28" s="7"/>
      <c r="P28" s="7"/>
      <c r="Q28" s="7"/>
      <c r="R28" s="7"/>
      <c r="S28" s="7"/>
      <c r="T28" s="7"/>
      <c r="U28" s="7"/>
      <c r="V28" s="7"/>
      <c r="W28" s="7"/>
      <c r="X28" s="7"/>
      <c r="Y28" s="7"/>
      <c r="Z28" s="7"/>
      <c r="AA28" s="7"/>
      <c r="AB28" s="7"/>
    </row>
    <row r="29" spans="1:28" ht="14.25" customHeight="1" x14ac:dyDescent="0.3">
      <c r="A29" s="317"/>
      <c r="B29" s="315"/>
      <c r="C29" s="315"/>
      <c r="D29" s="295"/>
      <c r="E29" s="295"/>
      <c r="F29" s="297"/>
      <c r="G29" s="314"/>
      <c r="H29" s="316"/>
      <c r="I29" s="316"/>
      <c r="J29" s="315"/>
      <c r="K29" s="295"/>
      <c r="L29" s="295"/>
      <c r="M29" s="295"/>
      <c r="N29" s="7"/>
      <c r="O29" s="7"/>
      <c r="P29" s="7"/>
      <c r="Q29" s="7"/>
      <c r="R29" s="7"/>
      <c r="S29" s="7"/>
      <c r="T29" s="7"/>
      <c r="U29" s="7"/>
      <c r="V29" s="7"/>
      <c r="W29" s="7"/>
      <c r="X29" s="7"/>
      <c r="Y29" s="7"/>
      <c r="Z29" s="7"/>
      <c r="AA29" s="7"/>
      <c r="AB29" s="7"/>
    </row>
    <row r="30" spans="1:28" ht="14.25" customHeight="1" x14ac:dyDescent="0.3">
      <c r="A30" s="317" t="s">
        <v>1620</v>
      </c>
      <c r="B30" s="7"/>
      <c r="C30" s="7"/>
      <c r="D30" s="295"/>
      <c r="E30" s="295"/>
      <c r="F30" s="295"/>
      <c r="G30" s="7"/>
      <c r="H30" s="7"/>
      <c r="I30" s="7"/>
      <c r="J30" s="7"/>
      <c r="K30" s="295"/>
      <c r="L30" s="295"/>
      <c r="M30" s="295"/>
      <c r="N30" s="7"/>
      <c r="O30" s="7"/>
      <c r="P30" s="7"/>
      <c r="Q30" s="7"/>
      <c r="R30" s="7"/>
      <c r="S30" s="7"/>
      <c r="T30" s="7"/>
      <c r="U30" s="7"/>
      <c r="V30" s="7"/>
      <c r="W30" s="7"/>
      <c r="X30" s="7"/>
      <c r="Y30" s="7"/>
      <c r="Z30" s="7"/>
      <c r="AA30" s="7"/>
      <c r="AB30" s="7"/>
    </row>
    <row r="31" spans="1:28" ht="14.25" customHeight="1" x14ac:dyDescent="0.3">
      <c r="A31" s="7" t="s">
        <v>1621</v>
      </c>
      <c r="B31" s="7"/>
      <c r="C31" s="7"/>
      <c r="D31" s="295"/>
      <c r="E31" s="295" t="s">
        <v>1622</v>
      </c>
      <c r="F31" s="295"/>
      <c r="G31" s="7"/>
      <c r="H31" s="7"/>
      <c r="I31" s="7"/>
      <c r="J31" s="7"/>
      <c r="K31" s="295"/>
      <c r="L31" s="295"/>
      <c r="M31" s="295"/>
      <c r="N31" s="7"/>
      <c r="O31" s="7"/>
      <c r="P31" s="7"/>
      <c r="Q31" s="7"/>
      <c r="R31" s="7"/>
      <c r="S31" s="7"/>
      <c r="T31" s="7"/>
      <c r="U31" s="7"/>
      <c r="V31" s="7"/>
      <c r="W31" s="7"/>
      <c r="X31" s="7"/>
      <c r="Y31" s="7"/>
      <c r="Z31" s="7"/>
      <c r="AA31" s="7"/>
      <c r="AB31" s="7"/>
    </row>
    <row r="32" spans="1:28" ht="14.25" customHeight="1" x14ac:dyDescent="0.3">
      <c r="A32" s="7" t="s">
        <v>1623</v>
      </c>
      <c r="B32" s="7"/>
      <c r="C32" s="7"/>
      <c r="D32" s="295"/>
      <c r="E32" s="295" t="s">
        <v>1624</v>
      </c>
      <c r="F32" s="295"/>
      <c r="G32" s="164">
        <f>+dolarbnaene</f>
        <v>1415</v>
      </c>
      <c r="H32" s="7" t="s">
        <v>1625</v>
      </c>
      <c r="I32" s="164">
        <f>+usddic</f>
        <v>1531.5859798044553</v>
      </c>
      <c r="J32" s="7"/>
      <c r="K32" s="295"/>
      <c r="L32" s="295"/>
      <c r="M32" s="295"/>
      <c r="N32" s="7"/>
      <c r="O32" s="7"/>
      <c r="P32" s="7"/>
      <c r="Q32" s="7"/>
      <c r="R32" s="7"/>
      <c r="S32" s="7"/>
      <c r="T32" s="7"/>
      <c r="U32" s="7"/>
      <c r="V32" s="7"/>
      <c r="W32" s="7"/>
      <c r="X32" s="7"/>
      <c r="Y32" s="7"/>
      <c r="Z32" s="7"/>
      <c r="AA32" s="7"/>
      <c r="AB32" s="7"/>
    </row>
    <row r="33" spans="1:28" ht="14.25" customHeight="1" x14ac:dyDescent="0.3">
      <c r="A33" s="7" t="s">
        <v>1626</v>
      </c>
      <c r="B33" s="7"/>
      <c r="C33" s="7"/>
      <c r="D33" s="295"/>
      <c r="E33" s="295" t="s">
        <v>1627</v>
      </c>
      <c r="F33" s="295"/>
      <c r="G33" s="164">
        <f>+dolarmepene</f>
        <v>1460.32</v>
      </c>
      <c r="H33" s="7" t="s">
        <v>1628</v>
      </c>
      <c r="I33" s="164">
        <f>+'REAL-BDGT2026'!T202</f>
        <v>0</v>
      </c>
      <c r="J33" s="7"/>
      <c r="K33" s="295"/>
      <c r="L33" s="295"/>
      <c r="M33" s="295"/>
      <c r="N33" s="7"/>
      <c r="O33" s="7"/>
      <c r="P33" s="7"/>
      <c r="Q33" s="7"/>
      <c r="R33" s="7"/>
      <c r="S33" s="7"/>
      <c r="T33" s="7"/>
      <c r="U33" s="7"/>
      <c r="V33" s="7"/>
      <c r="W33" s="7"/>
      <c r="X33" s="7"/>
      <c r="Y33" s="7"/>
      <c r="Z33" s="7"/>
      <c r="AA33" s="7"/>
      <c r="AB33" s="7"/>
    </row>
    <row r="34" spans="1:28" ht="14.25" customHeight="1" x14ac:dyDescent="0.3">
      <c r="A34" s="7"/>
      <c r="B34" s="7"/>
      <c r="C34" s="7"/>
      <c r="D34" s="295"/>
      <c r="E34" s="295"/>
      <c r="F34" s="295"/>
      <c r="G34" s="7"/>
      <c r="H34" s="7"/>
      <c r="I34" s="7"/>
      <c r="J34" s="7"/>
      <c r="K34" s="295"/>
      <c r="L34" s="295"/>
      <c r="M34" s="295"/>
      <c r="N34" s="7"/>
      <c r="O34" s="7"/>
      <c r="P34" s="7"/>
      <c r="Q34" s="7"/>
      <c r="R34" s="7"/>
      <c r="S34" s="7"/>
      <c r="T34" s="7"/>
      <c r="U34" s="7"/>
      <c r="V34" s="7"/>
      <c r="W34" s="7"/>
      <c r="X34" s="7"/>
      <c r="Y34" s="7"/>
      <c r="Z34" s="7"/>
      <c r="AA34" s="7"/>
      <c r="AB34" s="7"/>
    </row>
    <row r="35" spans="1:28" ht="14.25" customHeight="1" x14ac:dyDescent="0.3">
      <c r="A35" s="317" t="s">
        <v>1629</v>
      </c>
      <c r="B35" s="7"/>
      <c r="C35" s="7"/>
      <c r="D35" s="295"/>
      <c r="E35" s="295"/>
      <c r="F35" s="295"/>
      <c r="G35" s="7"/>
      <c r="H35" s="7"/>
      <c r="I35" s="7"/>
      <c r="J35" s="7"/>
      <c r="K35" s="295"/>
      <c r="L35" s="295"/>
      <c r="M35" s="295"/>
      <c r="N35" s="7"/>
      <c r="O35" s="7"/>
      <c r="P35" s="7"/>
      <c r="Q35" s="7"/>
      <c r="R35" s="7"/>
      <c r="S35" s="7"/>
      <c r="T35" s="7"/>
      <c r="U35" s="7"/>
      <c r="V35" s="7"/>
      <c r="W35" s="7"/>
      <c r="X35" s="7"/>
      <c r="Y35" s="7"/>
      <c r="Z35" s="7"/>
      <c r="AA35" s="7"/>
      <c r="AB35" s="7"/>
    </row>
    <row r="36" spans="1:28" ht="14.25" customHeight="1" x14ac:dyDescent="0.3">
      <c r="A36" s="7" t="s">
        <v>1630</v>
      </c>
      <c r="B36" s="7"/>
      <c r="C36" s="7"/>
      <c r="D36" s="295"/>
      <c r="E36" s="295"/>
      <c r="F36" s="295"/>
      <c r="G36" s="7"/>
      <c r="H36" s="7"/>
      <c r="I36" s="7"/>
      <c r="J36" s="7"/>
      <c r="K36" s="295"/>
      <c r="L36" s="295"/>
      <c r="M36" s="295"/>
      <c r="N36" s="7"/>
      <c r="O36" s="7"/>
      <c r="P36" s="7"/>
      <c r="Q36" s="7"/>
      <c r="R36" s="7"/>
      <c r="S36" s="7"/>
      <c r="T36" s="7"/>
      <c r="U36" s="7"/>
      <c r="V36" s="7"/>
      <c r="W36" s="7"/>
      <c r="X36" s="7"/>
      <c r="Y36" s="7"/>
      <c r="Z36" s="7"/>
      <c r="AA36" s="7"/>
      <c r="AB36" s="7"/>
    </row>
    <row r="37" spans="1:28" ht="14.25" customHeight="1" x14ac:dyDescent="0.3">
      <c r="A37" s="7" t="s">
        <v>1631</v>
      </c>
      <c r="B37" s="7"/>
      <c r="C37" s="7"/>
      <c r="D37" s="295"/>
      <c r="E37" s="295"/>
      <c r="F37" s="295"/>
      <c r="G37" s="7"/>
      <c r="H37" s="7"/>
      <c r="I37" s="7"/>
      <c r="J37" s="7"/>
      <c r="K37" s="295"/>
      <c r="L37" s="295"/>
      <c r="M37" s="295"/>
      <c r="N37" s="7"/>
      <c r="O37" s="7"/>
      <c r="P37" s="7"/>
      <c r="Q37" s="7"/>
      <c r="R37" s="7"/>
      <c r="S37" s="7"/>
      <c r="T37" s="7"/>
      <c r="U37" s="7"/>
      <c r="V37" s="7"/>
      <c r="W37" s="7"/>
      <c r="X37" s="7"/>
      <c r="Y37" s="7"/>
      <c r="Z37" s="7"/>
      <c r="AA37" s="7"/>
      <c r="AB37" s="7"/>
    </row>
    <row r="38" spans="1:28" ht="14.25" customHeight="1" x14ac:dyDescent="0.3">
      <c r="A38" s="7" t="s">
        <v>1632</v>
      </c>
      <c r="B38" s="7"/>
      <c r="C38" s="7"/>
      <c r="D38" s="295"/>
      <c r="E38" s="295"/>
      <c r="F38" s="295"/>
      <c r="G38" s="7"/>
      <c r="H38" s="7"/>
      <c r="I38" s="7"/>
      <c r="J38" s="7"/>
      <c r="K38" s="295"/>
      <c r="L38" s="295"/>
      <c r="M38" s="295"/>
      <c r="N38" s="7"/>
      <c r="O38" s="7"/>
      <c r="P38" s="7"/>
      <c r="Q38" s="7"/>
      <c r="R38" s="7"/>
      <c r="S38" s="7"/>
      <c r="T38" s="7"/>
      <c r="U38" s="7"/>
      <c r="V38" s="7"/>
      <c r="W38" s="7"/>
      <c r="X38" s="7"/>
      <c r="Y38" s="7"/>
      <c r="Z38" s="7"/>
      <c r="AA38" s="7"/>
      <c r="AB38" s="7"/>
    </row>
    <row r="39" spans="1:28" ht="14.25" customHeight="1" x14ac:dyDescent="0.3">
      <c r="A39" s="7"/>
      <c r="B39" s="7"/>
      <c r="C39" s="7"/>
      <c r="D39" s="295"/>
      <c r="E39" s="295"/>
      <c r="F39" s="295"/>
      <c r="G39" s="7"/>
      <c r="H39" s="7"/>
      <c r="I39" s="7"/>
      <c r="J39" s="7"/>
      <c r="K39" s="295"/>
      <c r="L39" s="295"/>
      <c r="M39" s="295"/>
      <c r="N39" s="7"/>
      <c r="O39" s="7"/>
      <c r="P39" s="7"/>
      <c r="Q39" s="7"/>
      <c r="R39" s="7"/>
      <c r="S39" s="7"/>
      <c r="T39" s="7"/>
      <c r="U39" s="7"/>
      <c r="V39" s="7"/>
      <c r="W39" s="7"/>
      <c r="X39" s="7"/>
      <c r="Y39" s="7"/>
      <c r="Z39" s="7"/>
      <c r="AA39" s="7"/>
      <c r="AB39" s="7"/>
    </row>
    <row r="40" spans="1:28" ht="14.25" customHeight="1" x14ac:dyDescent="0.3">
      <c r="A40" s="317" t="s">
        <v>1633</v>
      </c>
      <c r="B40" s="7"/>
      <c r="C40" s="7"/>
      <c r="D40" s="295"/>
      <c r="E40" s="295"/>
      <c r="F40" s="295"/>
      <c r="G40" s="7"/>
      <c r="H40" s="7"/>
      <c r="I40" s="7"/>
      <c r="J40" s="7"/>
      <c r="K40" s="295"/>
      <c r="L40" s="295"/>
      <c r="M40" s="295"/>
      <c r="N40" s="7"/>
      <c r="O40" s="7"/>
      <c r="P40" s="7"/>
      <c r="Q40" s="7"/>
      <c r="R40" s="7"/>
      <c r="S40" s="7"/>
      <c r="T40" s="7"/>
      <c r="U40" s="7"/>
      <c r="V40" s="7"/>
      <c r="W40" s="7"/>
      <c r="X40" s="7"/>
      <c r="Y40" s="7"/>
      <c r="Z40" s="7"/>
      <c r="AA40" s="7"/>
      <c r="AB40" s="7"/>
    </row>
    <row r="41" spans="1:28" ht="14.25" customHeight="1" x14ac:dyDescent="0.3">
      <c r="A41" s="7" t="s">
        <v>1634</v>
      </c>
      <c r="B41" s="7"/>
      <c r="C41" s="7"/>
      <c r="D41" s="295"/>
      <c r="E41" s="295"/>
      <c r="F41" s="295"/>
      <c r="G41" s="7"/>
      <c r="H41" s="7"/>
      <c r="I41" s="7"/>
      <c r="J41" s="7"/>
      <c r="K41" s="295"/>
      <c r="L41" s="295"/>
      <c r="M41" s="295"/>
      <c r="N41" s="7"/>
      <c r="O41" s="7"/>
      <c r="P41" s="7"/>
      <c r="Q41" s="7"/>
      <c r="R41" s="7"/>
      <c r="S41" s="7"/>
      <c r="T41" s="7"/>
      <c r="U41" s="7"/>
      <c r="V41" s="7"/>
      <c r="W41" s="7"/>
      <c r="X41" s="7"/>
      <c r="Y41" s="7"/>
      <c r="Z41" s="7"/>
      <c r="AA41" s="7"/>
      <c r="AB41" s="7"/>
    </row>
    <row r="42" spans="1:28" ht="14.25" customHeight="1" x14ac:dyDescent="0.3">
      <c r="A42" s="7" t="s">
        <v>1635</v>
      </c>
      <c r="B42" s="7"/>
      <c r="C42" s="7"/>
      <c r="D42" s="295"/>
      <c r="E42" s="295"/>
      <c r="F42" s="295"/>
      <c r="G42" s="7"/>
      <c r="H42" s="7"/>
      <c r="I42" s="7"/>
      <c r="J42" s="7"/>
      <c r="K42" s="295"/>
      <c r="L42" s="295"/>
      <c r="M42" s="295"/>
      <c r="N42" s="7"/>
      <c r="O42" s="7"/>
      <c r="P42" s="7"/>
      <c r="Q42" s="7"/>
      <c r="R42" s="7"/>
      <c r="S42" s="7"/>
      <c r="T42" s="7"/>
      <c r="U42" s="7"/>
      <c r="V42" s="7"/>
      <c r="W42" s="7"/>
      <c r="X42" s="7"/>
      <c r="Y42" s="7"/>
      <c r="Z42" s="7"/>
      <c r="AA42" s="7"/>
      <c r="AB42" s="7"/>
    </row>
    <row r="43" spans="1:28" ht="14.25" customHeight="1" x14ac:dyDescent="0.3">
      <c r="A43" s="7"/>
      <c r="B43" s="7"/>
      <c r="C43" s="7"/>
      <c r="D43" s="295"/>
      <c r="E43" s="295"/>
      <c r="F43" s="295"/>
      <c r="G43" s="7"/>
      <c r="H43" s="7"/>
      <c r="I43" s="7"/>
      <c r="J43" s="7"/>
      <c r="K43" s="295"/>
      <c r="L43" s="295"/>
      <c r="M43" s="295"/>
      <c r="N43" s="7"/>
      <c r="O43" s="7"/>
      <c r="P43" s="7"/>
      <c r="Q43" s="7"/>
      <c r="R43" s="7"/>
      <c r="S43" s="7"/>
      <c r="T43" s="7"/>
      <c r="U43" s="7"/>
      <c r="V43" s="7"/>
      <c r="W43" s="7"/>
      <c r="X43" s="7"/>
      <c r="Y43" s="7"/>
      <c r="Z43" s="7"/>
      <c r="AA43" s="7"/>
      <c r="AB43" s="7"/>
    </row>
    <row r="44" spans="1:28" ht="14.25" customHeight="1" x14ac:dyDescent="0.3">
      <c r="A44" s="317" t="s">
        <v>1636</v>
      </c>
      <c r="B44" s="7"/>
      <c r="C44" s="7"/>
      <c r="D44" s="295"/>
      <c r="E44" s="295"/>
      <c r="F44" s="295"/>
      <c r="G44" s="7"/>
      <c r="H44" s="7"/>
      <c r="I44" s="7"/>
      <c r="J44" s="7"/>
      <c r="K44" s="295"/>
      <c r="L44" s="295"/>
      <c r="M44" s="295"/>
      <c r="N44" s="7"/>
      <c r="O44" s="7"/>
      <c r="P44" s="7"/>
      <c r="Q44" s="7"/>
      <c r="R44" s="7"/>
      <c r="S44" s="7"/>
      <c r="T44" s="7"/>
      <c r="U44" s="7"/>
      <c r="V44" s="7"/>
      <c r="W44" s="7"/>
      <c r="X44" s="7"/>
      <c r="Y44" s="7"/>
      <c r="Z44" s="7"/>
      <c r="AA44" s="7"/>
      <c r="AB44" s="7"/>
    </row>
    <row r="45" spans="1:28" ht="14.25" customHeight="1" x14ac:dyDescent="0.3">
      <c r="A45" s="7" t="s">
        <v>1637</v>
      </c>
      <c r="B45" s="7"/>
      <c r="C45" s="7"/>
      <c r="D45" s="295"/>
      <c r="E45" s="295"/>
      <c r="F45" s="295"/>
      <c r="G45" s="7"/>
      <c r="H45" s="7"/>
      <c r="I45" s="7"/>
      <c r="J45" s="7"/>
      <c r="K45" s="295"/>
      <c r="L45" s="295"/>
      <c r="M45" s="295"/>
      <c r="N45" s="7"/>
      <c r="O45" s="7"/>
      <c r="P45" s="7"/>
      <c r="Q45" s="7"/>
      <c r="R45" s="7"/>
      <c r="S45" s="7"/>
      <c r="T45" s="7"/>
      <c r="U45" s="7"/>
      <c r="V45" s="7"/>
      <c r="W45" s="7"/>
      <c r="X45" s="7"/>
      <c r="Y45" s="7"/>
      <c r="Z45" s="7"/>
      <c r="AA45" s="7"/>
      <c r="AB45" s="7"/>
    </row>
    <row r="46" spans="1:28" ht="14.25" customHeight="1" x14ac:dyDescent="0.3">
      <c r="A46" s="7"/>
      <c r="B46" s="7"/>
      <c r="C46" s="7"/>
      <c r="D46" s="295"/>
      <c r="E46" s="295"/>
      <c r="F46" s="295"/>
      <c r="G46" s="7"/>
      <c r="H46" s="7"/>
      <c r="I46" s="7"/>
      <c r="J46" s="7"/>
      <c r="K46" s="295"/>
      <c r="L46" s="295"/>
      <c r="M46" s="295"/>
      <c r="N46" s="7"/>
      <c r="O46" s="7"/>
      <c r="P46" s="7"/>
      <c r="Q46" s="7"/>
      <c r="R46" s="7"/>
      <c r="S46" s="7"/>
      <c r="T46" s="7"/>
      <c r="U46" s="7"/>
      <c r="V46" s="7"/>
      <c r="W46" s="7"/>
      <c r="X46" s="7"/>
      <c r="Y46" s="7"/>
      <c r="Z46" s="7"/>
      <c r="AA46" s="7"/>
      <c r="AB46" s="7"/>
    </row>
    <row r="47" spans="1:28" ht="14.25" customHeight="1" x14ac:dyDescent="0.3">
      <c r="A47" s="7"/>
      <c r="B47" s="7"/>
      <c r="C47" s="7"/>
      <c r="D47" s="295"/>
      <c r="E47" s="295"/>
      <c r="F47" s="295"/>
      <c r="G47" s="7"/>
      <c r="H47" s="7"/>
      <c r="I47" s="7"/>
      <c r="J47" s="7"/>
      <c r="K47" s="295"/>
      <c r="L47" s="295"/>
      <c r="M47" s="295"/>
      <c r="N47" s="7"/>
      <c r="O47" s="7"/>
      <c r="P47" s="7"/>
      <c r="Q47" s="7"/>
      <c r="R47" s="7"/>
      <c r="S47" s="7"/>
      <c r="T47" s="7"/>
      <c r="U47" s="7"/>
      <c r="V47" s="7"/>
      <c r="W47" s="7"/>
      <c r="X47" s="7"/>
      <c r="Y47" s="7"/>
      <c r="Z47" s="7"/>
      <c r="AA47" s="7"/>
      <c r="AB47" s="7"/>
    </row>
    <row r="48" spans="1:28" ht="14.25" customHeight="1" x14ac:dyDescent="0.3">
      <c r="A48" s="7"/>
      <c r="B48" s="7"/>
      <c r="C48" s="7"/>
      <c r="D48" s="295"/>
      <c r="E48" s="295"/>
      <c r="F48" s="295"/>
      <c r="G48" s="7"/>
      <c r="H48" s="7"/>
      <c r="I48" s="7"/>
      <c r="J48" s="7"/>
      <c r="K48" s="295"/>
      <c r="L48" s="295"/>
      <c r="M48" s="295"/>
      <c r="N48" s="7"/>
      <c r="O48" s="7"/>
      <c r="P48" s="7"/>
      <c r="Q48" s="7"/>
      <c r="R48" s="7"/>
      <c r="S48" s="7"/>
      <c r="T48" s="7"/>
      <c r="U48" s="7"/>
      <c r="V48" s="7"/>
      <c r="W48" s="7"/>
      <c r="X48" s="7"/>
      <c r="Y48" s="7"/>
      <c r="Z48" s="7"/>
      <c r="AA48" s="7"/>
      <c r="AB48" s="7"/>
    </row>
    <row r="49" spans="1:28" ht="14.25" customHeight="1" x14ac:dyDescent="0.3">
      <c r="A49" s="7"/>
      <c r="B49" s="7"/>
      <c r="C49" s="7"/>
      <c r="D49" s="295"/>
      <c r="E49" s="295"/>
      <c r="F49" s="295"/>
      <c r="G49" s="7"/>
      <c r="H49" s="7"/>
      <c r="I49" s="7"/>
      <c r="J49" s="7"/>
      <c r="K49" s="295"/>
      <c r="L49" s="295"/>
      <c r="M49" s="295"/>
      <c r="N49" s="7"/>
      <c r="O49" s="7"/>
      <c r="P49" s="7"/>
      <c r="Q49" s="7"/>
      <c r="R49" s="7"/>
      <c r="S49" s="7"/>
      <c r="T49" s="7"/>
      <c r="U49" s="7"/>
      <c r="V49" s="7"/>
      <c r="W49" s="7"/>
      <c r="X49" s="7"/>
      <c r="Y49" s="7"/>
      <c r="Z49" s="7"/>
      <c r="AA49" s="7"/>
      <c r="AB49" s="7"/>
    </row>
    <row r="50" spans="1:28" ht="14.25" customHeight="1" x14ac:dyDescent="0.3">
      <c r="A50" s="7"/>
      <c r="B50" s="7"/>
      <c r="C50" s="7"/>
      <c r="D50" s="295"/>
      <c r="E50" s="295"/>
      <c r="F50" s="295"/>
      <c r="G50" s="7"/>
      <c r="H50" s="7"/>
      <c r="I50" s="7"/>
      <c r="J50" s="7"/>
      <c r="K50" s="295"/>
      <c r="L50" s="295"/>
      <c r="M50" s="295"/>
      <c r="N50" s="7"/>
      <c r="O50" s="7"/>
      <c r="P50" s="7"/>
      <c r="Q50" s="7"/>
      <c r="R50" s="7"/>
      <c r="S50" s="7"/>
      <c r="T50" s="7"/>
      <c r="U50" s="7"/>
      <c r="V50" s="7"/>
      <c r="W50" s="7"/>
      <c r="X50" s="7"/>
      <c r="Y50" s="7"/>
      <c r="Z50" s="7"/>
      <c r="AA50" s="7"/>
      <c r="AB50" s="7"/>
    </row>
    <row r="51" spans="1:28" ht="14.25" customHeight="1" x14ac:dyDescent="0.3">
      <c r="A51" s="7"/>
      <c r="B51" s="7"/>
      <c r="C51" s="7"/>
      <c r="D51" s="295"/>
      <c r="E51" s="295"/>
      <c r="F51" s="295"/>
      <c r="G51" s="7"/>
      <c r="H51" s="7"/>
      <c r="I51" s="7"/>
      <c r="J51" s="7"/>
      <c r="K51" s="295"/>
      <c r="L51" s="295"/>
      <c r="M51" s="295"/>
      <c r="N51" s="7"/>
      <c r="O51" s="7"/>
      <c r="P51" s="7"/>
      <c r="Q51" s="7"/>
      <c r="R51" s="7"/>
      <c r="S51" s="7"/>
      <c r="T51" s="7"/>
      <c r="U51" s="7"/>
      <c r="V51" s="7"/>
      <c r="W51" s="7"/>
      <c r="X51" s="7"/>
      <c r="Y51" s="7"/>
      <c r="Z51" s="7"/>
      <c r="AA51" s="7"/>
      <c r="AB51" s="7"/>
    </row>
    <row r="52" spans="1:28" ht="14.25" customHeight="1" x14ac:dyDescent="0.3">
      <c r="A52" s="7"/>
      <c r="B52" s="7"/>
      <c r="C52" s="7"/>
      <c r="D52" s="295"/>
      <c r="E52" s="295"/>
      <c r="F52" s="295"/>
      <c r="G52" s="7"/>
      <c r="H52" s="7"/>
      <c r="I52" s="7"/>
      <c r="J52" s="7"/>
      <c r="K52" s="295"/>
      <c r="L52" s="295"/>
      <c r="M52" s="295"/>
      <c r="N52" s="7"/>
      <c r="O52" s="7"/>
      <c r="P52" s="7"/>
      <c r="Q52" s="7"/>
      <c r="R52" s="7"/>
      <c r="S52" s="7"/>
      <c r="T52" s="7"/>
      <c r="U52" s="7"/>
      <c r="V52" s="7"/>
      <c r="W52" s="7"/>
      <c r="X52" s="7"/>
      <c r="Y52" s="7"/>
      <c r="Z52" s="7"/>
      <c r="AA52" s="7"/>
      <c r="AB52" s="7"/>
    </row>
    <row r="53" spans="1:28" ht="14.25" customHeight="1" x14ac:dyDescent="0.3">
      <c r="A53" s="7"/>
      <c r="B53" s="7"/>
      <c r="C53" s="7"/>
      <c r="D53" s="295"/>
      <c r="E53" s="295"/>
      <c r="F53" s="295"/>
      <c r="G53" s="7"/>
      <c r="H53" s="7"/>
      <c r="I53" s="7"/>
      <c r="J53" s="7"/>
      <c r="K53" s="295"/>
      <c r="L53" s="295"/>
      <c r="M53" s="295"/>
      <c r="N53" s="7"/>
      <c r="O53" s="7"/>
      <c r="P53" s="7"/>
      <c r="Q53" s="7"/>
      <c r="R53" s="7"/>
      <c r="S53" s="7"/>
      <c r="T53" s="7"/>
      <c r="U53" s="7"/>
      <c r="V53" s="7"/>
      <c r="W53" s="7"/>
      <c r="X53" s="7"/>
      <c r="Y53" s="7"/>
      <c r="Z53" s="7"/>
      <c r="AA53" s="7"/>
      <c r="AB53" s="7"/>
    </row>
    <row r="54" spans="1:28" ht="14.25" customHeight="1" x14ac:dyDescent="0.3">
      <c r="A54" s="7"/>
      <c r="B54" s="7"/>
      <c r="C54" s="7"/>
      <c r="D54" s="295"/>
      <c r="E54" s="295"/>
      <c r="F54" s="295"/>
      <c r="G54" s="7"/>
      <c r="H54" s="7"/>
      <c r="I54" s="7"/>
      <c r="J54" s="7"/>
      <c r="K54" s="295"/>
      <c r="L54" s="295"/>
      <c r="M54" s="295"/>
      <c r="N54" s="7"/>
      <c r="O54" s="7"/>
      <c r="P54" s="7"/>
      <c r="Q54" s="7"/>
      <c r="R54" s="7"/>
      <c r="S54" s="7"/>
      <c r="T54" s="7"/>
      <c r="U54" s="7"/>
      <c r="V54" s="7"/>
      <c r="W54" s="7"/>
      <c r="X54" s="7"/>
      <c r="Y54" s="7"/>
      <c r="Z54" s="7"/>
      <c r="AA54" s="7"/>
      <c r="AB54" s="7"/>
    </row>
    <row r="55" spans="1:28" ht="14.25" customHeight="1" x14ac:dyDescent="0.3">
      <c r="A55" s="7"/>
      <c r="B55" s="7"/>
      <c r="C55" s="7"/>
      <c r="D55" s="295"/>
      <c r="E55" s="295"/>
      <c r="F55" s="295"/>
      <c r="G55" s="7"/>
      <c r="H55" s="7"/>
      <c r="I55" s="7"/>
      <c r="J55" s="7"/>
      <c r="K55" s="295"/>
      <c r="L55" s="295"/>
      <c r="M55" s="295"/>
      <c r="N55" s="7"/>
      <c r="O55" s="7"/>
      <c r="P55" s="7"/>
      <c r="Q55" s="7"/>
      <c r="R55" s="7"/>
      <c r="S55" s="7"/>
      <c r="T55" s="7"/>
      <c r="U55" s="7"/>
      <c r="V55" s="7"/>
      <c r="W55" s="7"/>
      <c r="X55" s="7"/>
      <c r="Y55" s="7"/>
      <c r="Z55" s="7"/>
      <c r="AA55" s="7"/>
      <c r="AB55" s="7"/>
    </row>
    <row r="56" spans="1:28" ht="14.25" customHeight="1" x14ac:dyDescent="0.3">
      <c r="A56" s="7"/>
      <c r="B56" s="7"/>
      <c r="C56" s="7"/>
      <c r="D56" s="295"/>
      <c r="E56" s="295"/>
      <c r="F56" s="295"/>
      <c r="G56" s="7"/>
      <c r="H56" s="7"/>
      <c r="I56" s="7"/>
      <c r="J56" s="7"/>
      <c r="K56" s="295"/>
      <c r="L56" s="295"/>
      <c r="M56" s="295"/>
      <c r="N56" s="7"/>
      <c r="O56" s="7"/>
      <c r="P56" s="7"/>
      <c r="Q56" s="7"/>
      <c r="R56" s="7"/>
      <c r="S56" s="7"/>
      <c r="T56" s="7"/>
      <c r="U56" s="7"/>
      <c r="V56" s="7"/>
      <c r="W56" s="7"/>
      <c r="X56" s="7"/>
      <c r="Y56" s="7"/>
      <c r="Z56" s="7"/>
      <c r="AA56" s="7"/>
      <c r="AB56" s="7"/>
    </row>
    <row r="57" spans="1:28" ht="14.25" customHeight="1" x14ac:dyDescent="0.3">
      <c r="A57" s="7"/>
      <c r="B57" s="7"/>
      <c r="C57" s="7"/>
      <c r="D57" s="295"/>
      <c r="E57" s="295"/>
      <c r="F57" s="295"/>
      <c r="G57" s="7"/>
      <c r="H57" s="7"/>
      <c r="I57" s="7"/>
      <c r="J57" s="7"/>
      <c r="K57" s="295"/>
      <c r="L57" s="295"/>
      <c r="M57" s="295"/>
      <c r="N57" s="7"/>
      <c r="O57" s="7"/>
      <c r="P57" s="7"/>
      <c r="Q57" s="7"/>
      <c r="R57" s="7"/>
      <c r="S57" s="7"/>
      <c r="T57" s="7"/>
      <c r="U57" s="7"/>
      <c r="V57" s="7"/>
      <c r="W57" s="7"/>
      <c r="X57" s="7"/>
      <c r="Y57" s="7"/>
      <c r="Z57" s="7"/>
      <c r="AA57" s="7"/>
      <c r="AB57" s="7"/>
    </row>
    <row r="58" spans="1:28" ht="14.25" customHeight="1" x14ac:dyDescent="0.3">
      <c r="A58" s="7"/>
      <c r="B58" s="7"/>
      <c r="C58" s="7"/>
      <c r="D58" s="295"/>
      <c r="E58" s="295"/>
      <c r="F58" s="295"/>
      <c r="G58" s="7"/>
      <c r="H58" s="7"/>
      <c r="I58" s="7"/>
      <c r="J58" s="7"/>
      <c r="K58" s="295"/>
      <c r="L58" s="295"/>
      <c r="M58" s="295"/>
      <c r="N58" s="7"/>
      <c r="O58" s="7"/>
      <c r="P58" s="7"/>
      <c r="Q58" s="7"/>
      <c r="R58" s="7"/>
      <c r="S58" s="7"/>
      <c r="T58" s="7"/>
      <c r="U58" s="7"/>
      <c r="V58" s="7"/>
      <c r="W58" s="7"/>
      <c r="X58" s="7"/>
      <c r="Y58" s="7"/>
      <c r="Z58" s="7"/>
      <c r="AA58" s="7"/>
      <c r="AB58" s="7"/>
    </row>
    <row r="59" spans="1:28" ht="14.25" customHeight="1" x14ac:dyDescent="0.3">
      <c r="A59" s="7"/>
      <c r="B59" s="7"/>
      <c r="C59" s="7"/>
      <c r="D59" s="295"/>
      <c r="E59" s="295"/>
      <c r="F59" s="295"/>
      <c r="G59" s="7"/>
      <c r="H59" s="7"/>
      <c r="I59" s="7"/>
      <c r="J59" s="7"/>
      <c r="K59" s="295"/>
      <c r="L59" s="295"/>
      <c r="M59" s="295"/>
      <c r="N59" s="7"/>
      <c r="O59" s="7"/>
      <c r="P59" s="7"/>
      <c r="Q59" s="7"/>
      <c r="R59" s="7"/>
      <c r="S59" s="7"/>
      <c r="T59" s="7"/>
      <c r="U59" s="7"/>
      <c r="V59" s="7"/>
      <c r="W59" s="7"/>
      <c r="X59" s="7"/>
      <c r="Y59" s="7"/>
      <c r="Z59" s="7"/>
      <c r="AA59" s="7"/>
      <c r="AB59" s="7"/>
    </row>
    <row r="60" spans="1:28" ht="14.25" customHeight="1" x14ac:dyDescent="0.3">
      <c r="A60" s="7"/>
      <c r="B60" s="7"/>
      <c r="C60" s="7"/>
      <c r="D60" s="295"/>
      <c r="E60" s="295"/>
      <c r="F60" s="295"/>
      <c r="G60" s="7"/>
      <c r="H60" s="7"/>
      <c r="I60" s="7"/>
      <c r="J60" s="7"/>
      <c r="K60" s="295"/>
      <c r="L60" s="295"/>
      <c r="M60" s="295"/>
      <c r="N60" s="7"/>
      <c r="O60" s="7"/>
      <c r="P60" s="7"/>
      <c r="Q60" s="7"/>
      <c r="R60" s="7"/>
      <c r="S60" s="7"/>
      <c r="T60" s="7"/>
      <c r="U60" s="7"/>
      <c r="V60" s="7"/>
      <c r="W60" s="7"/>
      <c r="X60" s="7"/>
      <c r="Y60" s="7"/>
      <c r="Z60" s="7"/>
      <c r="AA60" s="7"/>
      <c r="AB60" s="7"/>
    </row>
    <row r="61" spans="1:28" ht="14.25" customHeight="1" x14ac:dyDescent="0.3">
      <c r="A61" s="7"/>
      <c r="B61" s="7"/>
      <c r="C61" s="7"/>
      <c r="D61" s="295"/>
      <c r="E61" s="295"/>
      <c r="F61" s="295"/>
      <c r="G61" s="7"/>
      <c r="H61" s="7"/>
      <c r="I61" s="7"/>
      <c r="J61" s="7"/>
      <c r="K61" s="295"/>
      <c r="L61" s="295"/>
      <c r="M61" s="295"/>
      <c r="N61" s="7"/>
      <c r="O61" s="7"/>
      <c r="P61" s="7"/>
      <c r="Q61" s="7"/>
      <c r="R61" s="7"/>
      <c r="S61" s="7"/>
      <c r="T61" s="7"/>
      <c r="U61" s="7"/>
      <c r="V61" s="7"/>
      <c r="W61" s="7"/>
      <c r="X61" s="7"/>
      <c r="Y61" s="7"/>
      <c r="Z61" s="7"/>
      <c r="AA61" s="7"/>
      <c r="AB61" s="7"/>
    </row>
    <row r="62" spans="1:28" ht="14.25" customHeight="1" x14ac:dyDescent="0.3">
      <c r="A62" s="7"/>
      <c r="B62" s="7"/>
      <c r="C62" s="7"/>
      <c r="D62" s="295"/>
      <c r="E62" s="295"/>
      <c r="F62" s="295"/>
      <c r="G62" s="7"/>
      <c r="H62" s="7"/>
      <c r="I62" s="7"/>
      <c r="J62" s="7"/>
      <c r="K62" s="295"/>
      <c r="L62" s="295"/>
      <c r="M62" s="295"/>
      <c r="N62" s="7"/>
      <c r="O62" s="7"/>
      <c r="P62" s="7"/>
      <c r="Q62" s="7"/>
      <c r="R62" s="7"/>
      <c r="S62" s="7"/>
      <c r="T62" s="7"/>
      <c r="U62" s="7"/>
      <c r="V62" s="7"/>
      <c r="W62" s="7"/>
      <c r="X62" s="7"/>
      <c r="Y62" s="7"/>
      <c r="Z62" s="7"/>
      <c r="AA62" s="7"/>
      <c r="AB62" s="7"/>
    </row>
    <row r="63" spans="1:28" ht="14.25" customHeight="1" x14ac:dyDescent="0.3">
      <c r="A63" s="7"/>
      <c r="B63" s="7"/>
      <c r="C63" s="7"/>
      <c r="D63" s="295"/>
      <c r="E63" s="295"/>
      <c r="F63" s="295"/>
      <c r="G63" s="7"/>
      <c r="H63" s="7"/>
      <c r="I63" s="7"/>
      <c r="J63" s="7"/>
      <c r="K63" s="295"/>
      <c r="L63" s="295"/>
      <c r="M63" s="295"/>
      <c r="N63" s="7"/>
      <c r="O63" s="7"/>
      <c r="P63" s="7"/>
      <c r="Q63" s="7"/>
      <c r="R63" s="7"/>
      <c r="S63" s="7"/>
      <c r="T63" s="7"/>
      <c r="U63" s="7"/>
      <c r="V63" s="7"/>
      <c r="W63" s="7"/>
      <c r="X63" s="7"/>
      <c r="Y63" s="7"/>
      <c r="Z63" s="7"/>
      <c r="AA63" s="7"/>
      <c r="AB63" s="7"/>
    </row>
    <row r="64" spans="1:28" ht="14.25" customHeight="1" x14ac:dyDescent="0.3">
      <c r="A64" s="7"/>
      <c r="B64" s="7"/>
      <c r="C64" s="7"/>
      <c r="D64" s="295"/>
      <c r="E64" s="295"/>
      <c r="F64" s="295"/>
      <c r="G64" s="7"/>
      <c r="H64" s="7"/>
      <c r="I64" s="7"/>
      <c r="J64" s="7"/>
      <c r="K64" s="295"/>
      <c r="L64" s="295"/>
      <c r="M64" s="295"/>
      <c r="N64" s="7"/>
      <c r="O64" s="7"/>
      <c r="P64" s="7"/>
      <c r="Q64" s="7"/>
      <c r="R64" s="7"/>
      <c r="S64" s="7"/>
      <c r="T64" s="7"/>
      <c r="U64" s="7"/>
      <c r="V64" s="7"/>
      <c r="W64" s="7"/>
      <c r="X64" s="7"/>
      <c r="Y64" s="7"/>
      <c r="Z64" s="7"/>
      <c r="AA64" s="7"/>
      <c r="AB64" s="7"/>
    </row>
    <row r="65" spans="1:28" ht="14.25" customHeight="1" x14ac:dyDescent="0.3">
      <c r="A65" s="7"/>
      <c r="B65" s="7"/>
      <c r="C65" s="7"/>
      <c r="D65" s="295"/>
      <c r="E65" s="295"/>
      <c r="F65" s="295"/>
      <c r="G65" s="7"/>
      <c r="H65" s="7"/>
      <c r="I65" s="7"/>
      <c r="J65" s="7"/>
      <c r="K65" s="295"/>
      <c r="L65" s="295"/>
      <c r="M65" s="295"/>
      <c r="N65" s="7"/>
      <c r="O65" s="7"/>
      <c r="P65" s="7"/>
      <c r="Q65" s="7"/>
      <c r="R65" s="7"/>
      <c r="S65" s="7"/>
      <c r="T65" s="7"/>
      <c r="U65" s="7"/>
      <c r="V65" s="7"/>
      <c r="W65" s="7"/>
      <c r="X65" s="7"/>
      <c r="Y65" s="7"/>
      <c r="Z65" s="7"/>
      <c r="AA65" s="7"/>
      <c r="AB65" s="7"/>
    </row>
    <row r="66" spans="1:28" ht="14.25" customHeight="1" x14ac:dyDescent="0.3">
      <c r="A66" s="7"/>
      <c r="B66" s="7"/>
      <c r="C66" s="7"/>
      <c r="D66" s="295"/>
      <c r="E66" s="295"/>
      <c r="F66" s="295"/>
      <c r="G66" s="7"/>
      <c r="H66" s="7"/>
      <c r="I66" s="7"/>
      <c r="J66" s="7"/>
      <c r="K66" s="295"/>
      <c r="L66" s="295"/>
      <c r="M66" s="295"/>
      <c r="N66" s="7"/>
      <c r="O66" s="7"/>
      <c r="P66" s="7"/>
      <c r="Q66" s="7"/>
      <c r="R66" s="7"/>
      <c r="S66" s="7"/>
      <c r="T66" s="7"/>
      <c r="U66" s="7"/>
      <c r="V66" s="7"/>
      <c r="W66" s="7"/>
      <c r="X66" s="7"/>
      <c r="Y66" s="7"/>
      <c r="Z66" s="7"/>
      <c r="AA66" s="7"/>
      <c r="AB66" s="7"/>
    </row>
    <row r="67" spans="1:28" ht="14.25" customHeight="1" x14ac:dyDescent="0.3">
      <c r="A67" s="7"/>
      <c r="B67" s="7"/>
      <c r="C67" s="7"/>
      <c r="D67" s="295"/>
      <c r="E67" s="295"/>
      <c r="F67" s="295"/>
      <c r="G67" s="7"/>
      <c r="H67" s="7"/>
      <c r="I67" s="7"/>
      <c r="J67" s="7"/>
      <c r="K67" s="295"/>
      <c r="L67" s="295"/>
      <c r="M67" s="295"/>
      <c r="N67" s="7"/>
      <c r="O67" s="7"/>
      <c r="P67" s="7"/>
      <c r="Q67" s="7"/>
      <c r="R67" s="7"/>
      <c r="S67" s="7"/>
      <c r="T67" s="7"/>
      <c r="U67" s="7"/>
      <c r="V67" s="7"/>
      <c r="W67" s="7"/>
      <c r="X67" s="7"/>
      <c r="Y67" s="7"/>
      <c r="Z67" s="7"/>
      <c r="AA67" s="7"/>
      <c r="AB67" s="7"/>
    </row>
    <row r="68" spans="1:28" ht="14.25" customHeight="1" x14ac:dyDescent="0.3">
      <c r="A68" s="7"/>
      <c r="B68" s="7"/>
      <c r="C68" s="7"/>
      <c r="D68" s="295"/>
      <c r="E68" s="295"/>
      <c r="F68" s="295"/>
      <c r="G68" s="7"/>
      <c r="H68" s="7"/>
      <c r="I68" s="7"/>
      <c r="J68" s="7"/>
      <c r="K68" s="295"/>
      <c r="L68" s="295"/>
      <c r="M68" s="295"/>
      <c r="N68" s="7"/>
      <c r="O68" s="7"/>
      <c r="P68" s="7"/>
      <c r="Q68" s="7"/>
      <c r="R68" s="7"/>
      <c r="S68" s="7"/>
      <c r="T68" s="7"/>
      <c r="U68" s="7"/>
      <c r="V68" s="7"/>
      <c r="W68" s="7"/>
      <c r="X68" s="7"/>
      <c r="Y68" s="7"/>
      <c r="Z68" s="7"/>
      <c r="AA68" s="7"/>
      <c r="AB68" s="7"/>
    </row>
    <row r="69" spans="1:28" ht="14.25" customHeight="1" x14ac:dyDescent="0.3">
      <c r="A69" s="7"/>
      <c r="B69" s="7"/>
      <c r="C69" s="7"/>
      <c r="D69" s="295"/>
      <c r="E69" s="295"/>
      <c r="F69" s="295"/>
      <c r="G69" s="7"/>
      <c r="H69" s="7"/>
      <c r="I69" s="7"/>
      <c r="J69" s="7"/>
      <c r="K69" s="295"/>
      <c r="L69" s="295"/>
      <c r="M69" s="295"/>
      <c r="N69" s="7"/>
      <c r="O69" s="7"/>
      <c r="P69" s="7"/>
      <c r="Q69" s="7"/>
      <c r="R69" s="7"/>
      <c r="S69" s="7"/>
      <c r="T69" s="7"/>
      <c r="U69" s="7"/>
      <c r="V69" s="7"/>
      <c r="W69" s="7"/>
      <c r="X69" s="7"/>
      <c r="Y69" s="7"/>
      <c r="Z69" s="7"/>
      <c r="AA69" s="7"/>
      <c r="AB69" s="7"/>
    </row>
    <row r="70" spans="1:28" ht="14.25" customHeight="1" x14ac:dyDescent="0.3">
      <c r="A70" s="7"/>
      <c r="B70" s="7"/>
      <c r="C70" s="7"/>
      <c r="D70" s="295"/>
      <c r="E70" s="295"/>
      <c r="F70" s="295"/>
      <c r="G70" s="7"/>
      <c r="H70" s="7"/>
      <c r="I70" s="7"/>
      <c r="J70" s="7"/>
      <c r="K70" s="295"/>
      <c r="L70" s="295"/>
      <c r="M70" s="295"/>
      <c r="N70" s="7"/>
      <c r="O70" s="7"/>
      <c r="P70" s="7"/>
      <c r="Q70" s="7"/>
      <c r="R70" s="7"/>
      <c r="S70" s="7"/>
      <c r="T70" s="7"/>
      <c r="U70" s="7"/>
      <c r="V70" s="7"/>
      <c r="W70" s="7"/>
      <c r="X70" s="7"/>
      <c r="Y70" s="7"/>
      <c r="Z70" s="7"/>
      <c r="AA70" s="7"/>
      <c r="AB70" s="7"/>
    </row>
    <row r="71" spans="1:28" ht="14.25" customHeight="1" x14ac:dyDescent="0.3">
      <c r="A71" s="7"/>
      <c r="B71" s="7"/>
      <c r="C71" s="7"/>
      <c r="D71" s="295"/>
      <c r="E71" s="295"/>
      <c r="F71" s="295"/>
      <c r="G71" s="7"/>
      <c r="H71" s="7"/>
      <c r="I71" s="7"/>
      <c r="J71" s="7"/>
      <c r="K71" s="295"/>
      <c r="L71" s="295"/>
      <c r="M71" s="295"/>
      <c r="N71" s="7"/>
      <c r="O71" s="7"/>
      <c r="P71" s="7"/>
      <c r="Q71" s="7"/>
      <c r="R71" s="7"/>
      <c r="S71" s="7"/>
      <c r="T71" s="7"/>
      <c r="U71" s="7"/>
      <c r="V71" s="7"/>
      <c r="W71" s="7"/>
      <c r="X71" s="7"/>
      <c r="Y71" s="7"/>
      <c r="Z71" s="7"/>
      <c r="AA71" s="7"/>
      <c r="AB71" s="7"/>
    </row>
    <row r="72" spans="1:28" ht="14.25" customHeight="1" x14ac:dyDescent="0.3">
      <c r="A72" s="7"/>
      <c r="B72" s="7"/>
      <c r="C72" s="7"/>
      <c r="D72" s="295"/>
      <c r="E72" s="295"/>
      <c r="F72" s="295"/>
      <c r="G72" s="7"/>
      <c r="H72" s="7"/>
      <c r="I72" s="7"/>
      <c r="J72" s="7"/>
      <c r="K72" s="295"/>
      <c r="L72" s="295"/>
      <c r="M72" s="295"/>
      <c r="N72" s="7"/>
      <c r="O72" s="7"/>
      <c r="P72" s="7"/>
      <c r="Q72" s="7"/>
      <c r="R72" s="7"/>
      <c r="S72" s="7"/>
      <c r="T72" s="7"/>
      <c r="U72" s="7"/>
      <c r="V72" s="7"/>
      <c r="W72" s="7"/>
      <c r="X72" s="7"/>
      <c r="Y72" s="7"/>
      <c r="Z72" s="7"/>
      <c r="AA72" s="7"/>
      <c r="AB72" s="7"/>
    </row>
    <row r="73" spans="1:28" ht="14.25" customHeight="1" x14ac:dyDescent="0.3">
      <c r="A73" s="7"/>
      <c r="B73" s="7"/>
      <c r="C73" s="7"/>
      <c r="D73" s="295"/>
      <c r="E73" s="295"/>
      <c r="F73" s="295"/>
      <c r="G73" s="7"/>
      <c r="H73" s="7"/>
      <c r="I73" s="7"/>
      <c r="J73" s="7"/>
      <c r="K73" s="295"/>
      <c r="L73" s="295"/>
      <c r="M73" s="295"/>
      <c r="N73" s="7"/>
      <c r="O73" s="7"/>
      <c r="P73" s="7"/>
      <c r="Q73" s="7"/>
      <c r="R73" s="7"/>
      <c r="S73" s="7"/>
      <c r="T73" s="7"/>
      <c r="U73" s="7"/>
      <c r="V73" s="7"/>
      <c r="W73" s="7"/>
      <c r="X73" s="7"/>
      <c r="Y73" s="7"/>
      <c r="Z73" s="7"/>
      <c r="AA73" s="7"/>
      <c r="AB73" s="7"/>
    </row>
    <row r="74" spans="1:28" ht="14.25" customHeight="1" x14ac:dyDescent="0.3">
      <c r="A74" s="7"/>
      <c r="B74" s="7"/>
      <c r="C74" s="7"/>
      <c r="D74" s="295"/>
      <c r="E74" s="295"/>
      <c r="F74" s="295"/>
      <c r="G74" s="7"/>
      <c r="H74" s="7"/>
      <c r="I74" s="7"/>
      <c r="J74" s="7"/>
      <c r="K74" s="295"/>
      <c r="L74" s="295"/>
      <c r="M74" s="295"/>
      <c r="N74" s="7"/>
      <c r="O74" s="7"/>
      <c r="P74" s="7"/>
      <c r="Q74" s="7"/>
      <c r="R74" s="7"/>
      <c r="S74" s="7"/>
      <c r="T74" s="7"/>
      <c r="U74" s="7"/>
      <c r="V74" s="7"/>
      <c r="W74" s="7"/>
      <c r="X74" s="7"/>
      <c r="Y74" s="7"/>
      <c r="Z74" s="7"/>
      <c r="AA74" s="7"/>
      <c r="AB74" s="7"/>
    </row>
    <row r="75" spans="1:28" ht="14.25" customHeight="1" x14ac:dyDescent="0.3">
      <c r="A75" s="7"/>
      <c r="B75" s="7"/>
      <c r="C75" s="7"/>
      <c r="D75" s="295"/>
      <c r="E75" s="295"/>
      <c r="F75" s="295"/>
      <c r="G75" s="7"/>
      <c r="H75" s="7"/>
      <c r="I75" s="7"/>
      <c r="J75" s="7"/>
      <c r="K75" s="295"/>
      <c r="L75" s="295"/>
      <c r="M75" s="295"/>
      <c r="N75" s="7"/>
      <c r="O75" s="7"/>
      <c r="P75" s="7"/>
      <c r="Q75" s="7"/>
      <c r="R75" s="7"/>
      <c r="S75" s="7"/>
      <c r="T75" s="7"/>
      <c r="U75" s="7"/>
      <c r="V75" s="7"/>
      <c r="W75" s="7"/>
      <c r="X75" s="7"/>
      <c r="Y75" s="7"/>
      <c r="Z75" s="7"/>
      <c r="AA75" s="7"/>
      <c r="AB75" s="7"/>
    </row>
    <row r="76" spans="1:28" ht="14.25" customHeight="1" x14ac:dyDescent="0.3">
      <c r="A76" s="7"/>
      <c r="B76" s="7"/>
      <c r="C76" s="7"/>
      <c r="D76" s="295"/>
      <c r="E76" s="295"/>
      <c r="F76" s="295"/>
      <c r="G76" s="7"/>
      <c r="H76" s="7"/>
      <c r="I76" s="7"/>
      <c r="J76" s="7"/>
      <c r="K76" s="295"/>
      <c r="L76" s="295"/>
      <c r="M76" s="295"/>
      <c r="N76" s="7"/>
      <c r="O76" s="7"/>
      <c r="P76" s="7"/>
      <c r="Q76" s="7"/>
      <c r="R76" s="7"/>
      <c r="S76" s="7"/>
      <c r="T76" s="7"/>
      <c r="U76" s="7"/>
      <c r="V76" s="7"/>
      <c r="W76" s="7"/>
      <c r="X76" s="7"/>
      <c r="Y76" s="7"/>
      <c r="Z76" s="7"/>
      <c r="AA76" s="7"/>
      <c r="AB76" s="7"/>
    </row>
    <row r="77" spans="1:28" ht="14.25" customHeight="1" x14ac:dyDescent="0.3">
      <c r="A77" s="7"/>
      <c r="B77" s="7"/>
      <c r="C77" s="7"/>
      <c r="D77" s="295"/>
      <c r="E77" s="295"/>
      <c r="F77" s="295"/>
      <c r="G77" s="7"/>
      <c r="H77" s="7"/>
      <c r="I77" s="7"/>
      <c r="J77" s="7"/>
      <c r="K77" s="295"/>
      <c r="L77" s="295"/>
      <c r="M77" s="295"/>
      <c r="N77" s="7"/>
      <c r="O77" s="7"/>
      <c r="P77" s="7"/>
      <c r="Q77" s="7"/>
      <c r="R77" s="7"/>
      <c r="S77" s="7"/>
      <c r="T77" s="7"/>
      <c r="U77" s="7"/>
      <c r="V77" s="7"/>
      <c r="W77" s="7"/>
      <c r="X77" s="7"/>
      <c r="Y77" s="7"/>
      <c r="Z77" s="7"/>
      <c r="AA77" s="7"/>
      <c r="AB77" s="7"/>
    </row>
    <row r="78" spans="1:28" ht="14.25" customHeight="1" x14ac:dyDescent="0.3">
      <c r="A78" s="7"/>
      <c r="B78" s="7"/>
      <c r="C78" s="7"/>
      <c r="D78" s="295"/>
      <c r="E78" s="295"/>
      <c r="F78" s="295"/>
      <c r="G78" s="7"/>
      <c r="H78" s="7"/>
      <c r="I78" s="7"/>
      <c r="J78" s="7"/>
      <c r="K78" s="295"/>
      <c r="L78" s="295"/>
      <c r="M78" s="295"/>
      <c r="N78" s="7"/>
      <c r="O78" s="7"/>
      <c r="P78" s="7"/>
      <c r="Q78" s="7"/>
      <c r="R78" s="7"/>
      <c r="S78" s="7"/>
      <c r="T78" s="7"/>
      <c r="U78" s="7"/>
      <c r="V78" s="7"/>
      <c r="W78" s="7"/>
      <c r="X78" s="7"/>
      <c r="Y78" s="7"/>
      <c r="Z78" s="7"/>
      <c r="AA78" s="7"/>
      <c r="AB78" s="7"/>
    </row>
    <row r="79" spans="1:28" ht="14.25" customHeight="1" x14ac:dyDescent="0.3">
      <c r="A79" s="7"/>
      <c r="B79" s="7"/>
      <c r="C79" s="7"/>
      <c r="D79" s="295"/>
      <c r="E79" s="295"/>
      <c r="F79" s="295"/>
      <c r="G79" s="7"/>
      <c r="H79" s="7"/>
      <c r="I79" s="7"/>
      <c r="J79" s="7"/>
      <c r="K79" s="295"/>
      <c r="L79" s="295"/>
      <c r="M79" s="295"/>
      <c r="N79" s="7"/>
      <c r="O79" s="7"/>
      <c r="P79" s="7"/>
      <c r="Q79" s="7"/>
      <c r="R79" s="7"/>
      <c r="S79" s="7"/>
      <c r="T79" s="7"/>
      <c r="U79" s="7"/>
      <c r="V79" s="7"/>
      <c r="W79" s="7"/>
      <c r="X79" s="7"/>
      <c r="Y79" s="7"/>
      <c r="Z79" s="7"/>
      <c r="AA79" s="7"/>
      <c r="AB79" s="7"/>
    </row>
    <row r="80" spans="1:28" ht="14.25" customHeight="1" x14ac:dyDescent="0.3">
      <c r="A80" s="7"/>
      <c r="B80" s="7"/>
      <c r="C80" s="7"/>
      <c r="D80" s="295"/>
      <c r="E80" s="295"/>
      <c r="F80" s="295"/>
      <c r="G80" s="7"/>
      <c r="H80" s="7"/>
      <c r="I80" s="7"/>
      <c r="J80" s="7"/>
      <c r="K80" s="295"/>
      <c r="L80" s="295"/>
      <c r="M80" s="295"/>
      <c r="N80" s="7"/>
      <c r="O80" s="7"/>
      <c r="P80" s="7"/>
      <c r="Q80" s="7"/>
      <c r="R80" s="7"/>
      <c r="S80" s="7"/>
      <c r="T80" s="7"/>
      <c r="U80" s="7"/>
      <c r="V80" s="7"/>
      <c r="W80" s="7"/>
      <c r="X80" s="7"/>
      <c r="Y80" s="7"/>
      <c r="Z80" s="7"/>
      <c r="AA80" s="7"/>
      <c r="AB80" s="7"/>
    </row>
    <row r="81" spans="1:28" ht="14.25" customHeight="1" x14ac:dyDescent="0.3">
      <c r="A81" s="7"/>
      <c r="B81" s="7"/>
      <c r="C81" s="7"/>
      <c r="D81" s="295"/>
      <c r="E81" s="295"/>
      <c r="F81" s="295"/>
      <c r="G81" s="7"/>
      <c r="H81" s="7"/>
      <c r="I81" s="7"/>
      <c r="J81" s="7"/>
      <c r="K81" s="295"/>
      <c r="L81" s="295"/>
      <c r="M81" s="295"/>
      <c r="N81" s="7"/>
      <c r="O81" s="7"/>
      <c r="P81" s="7"/>
      <c r="Q81" s="7"/>
      <c r="R81" s="7"/>
      <c r="S81" s="7"/>
      <c r="T81" s="7"/>
      <c r="U81" s="7"/>
      <c r="V81" s="7"/>
      <c r="W81" s="7"/>
      <c r="X81" s="7"/>
      <c r="Y81" s="7"/>
      <c r="Z81" s="7"/>
      <c r="AA81" s="7"/>
      <c r="AB81" s="7"/>
    </row>
    <row r="82" spans="1:28" ht="14.25" customHeight="1" x14ac:dyDescent="0.3">
      <c r="A82" s="7"/>
      <c r="B82" s="7"/>
      <c r="C82" s="7"/>
      <c r="D82" s="295"/>
      <c r="E82" s="295"/>
      <c r="F82" s="295"/>
      <c r="G82" s="7"/>
      <c r="H82" s="7"/>
      <c r="I82" s="7"/>
      <c r="J82" s="7"/>
      <c r="K82" s="295"/>
      <c r="L82" s="295"/>
      <c r="M82" s="295"/>
      <c r="N82" s="7"/>
      <c r="O82" s="7"/>
      <c r="P82" s="7"/>
      <c r="Q82" s="7"/>
      <c r="R82" s="7"/>
      <c r="S82" s="7"/>
      <c r="T82" s="7"/>
      <c r="U82" s="7"/>
      <c r="V82" s="7"/>
      <c r="W82" s="7"/>
      <c r="X82" s="7"/>
      <c r="Y82" s="7"/>
      <c r="Z82" s="7"/>
      <c r="AA82" s="7"/>
      <c r="AB82" s="7"/>
    </row>
    <row r="83" spans="1:28" ht="14.25" customHeight="1" x14ac:dyDescent="0.3">
      <c r="A83" s="7"/>
      <c r="B83" s="7"/>
      <c r="C83" s="7"/>
      <c r="D83" s="295"/>
      <c r="E83" s="295"/>
      <c r="F83" s="295"/>
      <c r="G83" s="7"/>
      <c r="H83" s="7"/>
      <c r="I83" s="7"/>
      <c r="J83" s="7"/>
      <c r="K83" s="295"/>
      <c r="L83" s="295"/>
      <c r="M83" s="295"/>
      <c r="N83" s="7"/>
      <c r="O83" s="7"/>
      <c r="P83" s="7"/>
      <c r="Q83" s="7"/>
      <c r="R83" s="7"/>
      <c r="S83" s="7"/>
      <c r="T83" s="7"/>
      <c r="U83" s="7"/>
      <c r="V83" s="7"/>
      <c r="W83" s="7"/>
      <c r="X83" s="7"/>
      <c r="Y83" s="7"/>
      <c r="Z83" s="7"/>
      <c r="AA83" s="7"/>
      <c r="AB83" s="7"/>
    </row>
    <row r="84" spans="1:28" ht="14.25" customHeight="1" x14ac:dyDescent="0.3">
      <c r="A84" s="7"/>
      <c r="B84" s="7"/>
      <c r="C84" s="7"/>
      <c r="D84" s="295"/>
      <c r="E84" s="295"/>
      <c r="F84" s="295"/>
      <c r="G84" s="7"/>
      <c r="H84" s="7"/>
      <c r="I84" s="7"/>
      <c r="J84" s="7"/>
      <c r="K84" s="295"/>
      <c r="L84" s="295"/>
      <c r="M84" s="295"/>
      <c r="N84" s="7"/>
      <c r="O84" s="7"/>
      <c r="P84" s="7"/>
      <c r="Q84" s="7"/>
      <c r="R84" s="7"/>
      <c r="S84" s="7"/>
      <c r="T84" s="7"/>
      <c r="U84" s="7"/>
      <c r="V84" s="7"/>
      <c r="W84" s="7"/>
      <c r="X84" s="7"/>
      <c r="Y84" s="7"/>
      <c r="Z84" s="7"/>
      <c r="AA84" s="7"/>
      <c r="AB84" s="7"/>
    </row>
    <row r="85" spans="1:28" ht="14.25" customHeight="1" x14ac:dyDescent="0.3">
      <c r="A85" s="7"/>
      <c r="B85" s="7"/>
      <c r="C85" s="7"/>
      <c r="D85" s="295"/>
      <c r="E85" s="295"/>
      <c r="F85" s="295"/>
      <c r="G85" s="7"/>
      <c r="H85" s="7"/>
      <c r="I85" s="7"/>
      <c r="J85" s="7"/>
      <c r="K85" s="295"/>
      <c r="L85" s="295"/>
      <c r="M85" s="295"/>
      <c r="N85" s="7"/>
      <c r="O85" s="7"/>
      <c r="P85" s="7"/>
      <c r="Q85" s="7"/>
      <c r="R85" s="7"/>
      <c r="S85" s="7"/>
      <c r="T85" s="7"/>
      <c r="U85" s="7"/>
      <c r="V85" s="7"/>
      <c r="W85" s="7"/>
      <c r="X85" s="7"/>
      <c r="Y85" s="7"/>
      <c r="Z85" s="7"/>
      <c r="AA85" s="7"/>
      <c r="AB85" s="7"/>
    </row>
    <row r="86" spans="1:28" ht="14.25" customHeight="1" x14ac:dyDescent="0.3">
      <c r="A86" s="7"/>
      <c r="B86" s="7"/>
      <c r="C86" s="7"/>
      <c r="D86" s="295"/>
      <c r="E86" s="295"/>
      <c r="F86" s="295"/>
      <c r="G86" s="7"/>
      <c r="H86" s="7"/>
      <c r="I86" s="7"/>
      <c r="J86" s="7"/>
      <c r="K86" s="295"/>
      <c r="L86" s="295"/>
      <c r="M86" s="295"/>
      <c r="N86" s="7"/>
      <c r="O86" s="7"/>
      <c r="P86" s="7"/>
      <c r="Q86" s="7"/>
      <c r="R86" s="7"/>
      <c r="S86" s="7"/>
      <c r="T86" s="7"/>
      <c r="U86" s="7"/>
      <c r="V86" s="7"/>
      <c r="W86" s="7"/>
      <c r="X86" s="7"/>
      <c r="Y86" s="7"/>
      <c r="Z86" s="7"/>
      <c r="AA86" s="7"/>
      <c r="AB86" s="7"/>
    </row>
    <row r="87" spans="1:28" ht="14.25" customHeight="1" x14ac:dyDescent="0.3">
      <c r="A87" s="7"/>
      <c r="B87" s="7"/>
      <c r="C87" s="7"/>
      <c r="D87" s="295"/>
      <c r="E87" s="295"/>
      <c r="F87" s="295"/>
      <c r="G87" s="7"/>
      <c r="H87" s="7"/>
      <c r="I87" s="7"/>
      <c r="J87" s="7"/>
      <c r="K87" s="295"/>
      <c r="L87" s="295"/>
      <c r="M87" s="295"/>
      <c r="N87" s="7"/>
      <c r="O87" s="7"/>
      <c r="P87" s="7"/>
      <c r="Q87" s="7"/>
      <c r="R87" s="7"/>
      <c r="S87" s="7"/>
      <c r="T87" s="7"/>
      <c r="U87" s="7"/>
      <c r="V87" s="7"/>
      <c r="W87" s="7"/>
      <c r="X87" s="7"/>
      <c r="Y87" s="7"/>
      <c r="Z87" s="7"/>
      <c r="AA87" s="7"/>
      <c r="AB87" s="7"/>
    </row>
    <row r="88" spans="1:28" ht="14.25" customHeight="1" x14ac:dyDescent="0.3">
      <c r="A88" s="7"/>
      <c r="B88" s="7"/>
      <c r="C88" s="7"/>
      <c r="D88" s="295"/>
      <c r="E88" s="295"/>
      <c r="F88" s="295"/>
      <c r="G88" s="7"/>
      <c r="H88" s="7"/>
      <c r="I88" s="7"/>
      <c r="J88" s="7"/>
      <c r="K88" s="295"/>
      <c r="L88" s="295"/>
      <c r="M88" s="295"/>
      <c r="N88" s="7"/>
      <c r="O88" s="7"/>
      <c r="P88" s="7"/>
      <c r="Q88" s="7"/>
      <c r="R88" s="7"/>
      <c r="S88" s="7"/>
      <c r="T88" s="7"/>
      <c r="U88" s="7"/>
      <c r="V88" s="7"/>
      <c r="W88" s="7"/>
      <c r="X88" s="7"/>
      <c r="Y88" s="7"/>
      <c r="Z88" s="7"/>
      <c r="AA88" s="7"/>
      <c r="AB88" s="7"/>
    </row>
    <row r="89" spans="1:28" ht="14.25" customHeight="1" x14ac:dyDescent="0.3">
      <c r="A89" s="7"/>
      <c r="B89" s="7"/>
      <c r="C89" s="7"/>
      <c r="D89" s="295"/>
      <c r="E89" s="295"/>
      <c r="F89" s="295"/>
      <c r="G89" s="7"/>
      <c r="H89" s="7"/>
      <c r="I89" s="7"/>
      <c r="J89" s="7"/>
      <c r="K89" s="295"/>
      <c r="L89" s="295"/>
      <c r="M89" s="295"/>
      <c r="N89" s="7"/>
      <c r="O89" s="7"/>
      <c r="P89" s="7"/>
      <c r="Q89" s="7"/>
      <c r="R89" s="7"/>
      <c r="S89" s="7"/>
      <c r="T89" s="7"/>
      <c r="U89" s="7"/>
      <c r="V89" s="7"/>
      <c r="W89" s="7"/>
      <c r="X89" s="7"/>
      <c r="Y89" s="7"/>
      <c r="Z89" s="7"/>
      <c r="AA89" s="7"/>
      <c r="AB89" s="7"/>
    </row>
    <row r="90" spans="1:28" ht="14.25" customHeight="1" x14ac:dyDescent="0.3">
      <c r="A90" s="7"/>
      <c r="B90" s="7"/>
      <c r="C90" s="7"/>
      <c r="D90" s="295"/>
      <c r="E90" s="295"/>
      <c r="F90" s="295"/>
      <c r="G90" s="7"/>
      <c r="H90" s="7"/>
      <c r="I90" s="7"/>
      <c r="J90" s="7"/>
      <c r="K90" s="295"/>
      <c r="L90" s="295"/>
      <c r="M90" s="295"/>
      <c r="N90" s="7"/>
      <c r="O90" s="7"/>
      <c r="P90" s="7"/>
      <c r="Q90" s="7"/>
      <c r="R90" s="7"/>
      <c r="S90" s="7"/>
      <c r="T90" s="7"/>
      <c r="U90" s="7"/>
      <c r="V90" s="7"/>
      <c r="W90" s="7"/>
      <c r="X90" s="7"/>
      <c r="Y90" s="7"/>
      <c r="Z90" s="7"/>
      <c r="AA90" s="7"/>
      <c r="AB90" s="7"/>
    </row>
    <row r="91" spans="1:28" ht="14.25" customHeight="1" x14ac:dyDescent="0.3">
      <c r="A91" s="7"/>
      <c r="B91" s="7"/>
      <c r="C91" s="7"/>
      <c r="D91" s="295"/>
      <c r="E91" s="295"/>
      <c r="F91" s="295"/>
      <c r="G91" s="7"/>
      <c r="H91" s="7"/>
      <c r="I91" s="7"/>
      <c r="J91" s="7"/>
      <c r="K91" s="295"/>
      <c r="L91" s="295"/>
      <c r="M91" s="295"/>
      <c r="N91" s="7"/>
      <c r="O91" s="7"/>
      <c r="P91" s="7"/>
      <c r="Q91" s="7"/>
      <c r="R91" s="7"/>
      <c r="S91" s="7"/>
      <c r="T91" s="7"/>
      <c r="U91" s="7"/>
      <c r="V91" s="7"/>
      <c r="W91" s="7"/>
      <c r="X91" s="7"/>
      <c r="Y91" s="7"/>
      <c r="Z91" s="7"/>
      <c r="AA91" s="7"/>
      <c r="AB91" s="7"/>
    </row>
    <row r="92" spans="1:28" ht="14.25" customHeight="1" x14ac:dyDescent="0.3">
      <c r="A92" s="7"/>
      <c r="B92" s="7"/>
      <c r="C92" s="7"/>
      <c r="D92" s="295"/>
      <c r="E92" s="295"/>
      <c r="F92" s="295"/>
      <c r="G92" s="7"/>
      <c r="H92" s="7"/>
      <c r="I92" s="7"/>
      <c r="J92" s="7"/>
      <c r="K92" s="295"/>
      <c r="L92" s="295"/>
      <c r="M92" s="295"/>
      <c r="N92" s="7"/>
      <c r="O92" s="7"/>
      <c r="P92" s="7"/>
      <c r="Q92" s="7"/>
      <c r="R92" s="7"/>
      <c r="S92" s="7"/>
      <c r="T92" s="7"/>
      <c r="U92" s="7"/>
      <c r="V92" s="7"/>
      <c r="W92" s="7"/>
      <c r="X92" s="7"/>
      <c r="Y92" s="7"/>
      <c r="Z92" s="7"/>
      <c r="AA92" s="7"/>
      <c r="AB92" s="7"/>
    </row>
    <row r="93" spans="1:28" ht="14.25" customHeight="1" x14ac:dyDescent="0.3">
      <c r="A93" s="7"/>
      <c r="B93" s="7"/>
      <c r="C93" s="7"/>
      <c r="D93" s="295"/>
      <c r="E93" s="295"/>
      <c r="F93" s="295"/>
      <c r="G93" s="7"/>
      <c r="H93" s="7"/>
      <c r="I93" s="7"/>
      <c r="J93" s="7"/>
      <c r="K93" s="295"/>
      <c r="L93" s="295"/>
      <c r="M93" s="295"/>
      <c r="N93" s="7"/>
      <c r="O93" s="7"/>
      <c r="P93" s="7"/>
      <c r="Q93" s="7"/>
      <c r="R93" s="7"/>
      <c r="S93" s="7"/>
      <c r="T93" s="7"/>
      <c r="U93" s="7"/>
      <c r="V93" s="7"/>
      <c r="W93" s="7"/>
      <c r="X93" s="7"/>
      <c r="Y93" s="7"/>
      <c r="Z93" s="7"/>
      <c r="AA93" s="7"/>
      <c r="AB93" s="7"/>
    </row>
    <row r="94" spans="1:28" ht="14.25" customHeight="1" x14ac:dyDescent="0.3">
      <c r="A94" s="7"/>
      <c r="B94" s="7"/>
      <c r="C94" s="7"/>
      <c r="D94" s="295"/>
      <c r="E94" s="295"/>
      <c r="F94" s="295"/>
      <c r="G94" s="7"/>
      <c r="H94" s="7"/>
      <c r="I94" s="7"/>
      <c r="J94" s="7"/>
      <c r="K94" s="295"/>
      <c r="L94" s="295"/>
      <c r="M94" s="295"/>
      <c r="N94" s="7"/>
      <c r="O94" s="7"/>
      <c r="P94" s="7"/>
      <c r="Q94" s="7"/>
      <c r="R94" s="7"/>
      <c r="S94" s="7"/>
      <c r="T94" s="7"/>
      <c r="U94" s="7"/>
      <c r="V94" s="7"/>
      <c r="W94" s="7"/>
      <c r="X94" s="7"/>
      <c r="Y94" s="7"/>
      <c r="Z94" s="7"/>
      <c r="AA94" s="7"/>
      <c r="AB94" s="7"/>
    </row>
    <row r="95" spans="1:28" ht="14.25" customHeight="1" x14ac:dyDescent="0.3">
      <c r="A95" s="7"/>
      <c r="B95" s="7"/>
      <c r="C95" s="7"/>
      <c r="D95" s="295"/>
      <c r="E95" s="295"/>
      <c r="F95" s="295"/>
      <c r="G95" s="7"/>
      <c r="H95" s="7"/>
      <c r="I95" s="7"/>
      <c r="J95" s="7"/>
      <c r="K95" s="295"/>
      <c r="L95" s="295"/>
      <c r="M95" s="295"/>
      <c r="N95" s="7"/>
      <c r="O95" s="7"/>
      <c r="P95" s="7"/>
      <c r="Q95" s="7"/>
      <c r="R95" s="7"/>
      <c r="S95" s="7"/>
      <c r="T95" s="7"/>
      <c r="U95" s="7"/>
      <c r="V95" s="7"/>
      <c r="W95" s="7"/>
      <c r="X95" s="7"/>
      <c r="Y95" s="7"/>
      <c r="Z95" s="7"/>
      <c r="AA95" s="7"/>
      <c r="AB95" s="7"/>
    </row>
    <row r="96" spans="1:28" ht="14.25" customHeight="1" x14ac:dyDescent="0.3">
      <c r="A96" s="7"/>
      <c r="B96" s="7"/>
      <c r="C96" s="7"/>
      <c r="D96" s="295"/>
      <c r="E96" s="295"/>
      <c r="F96" s="295"/>
      <c r="G96" s="7"/>
      <c r="H96" s="7"/>
      <c r="I96" s="7"/>
      <c r="J96" s="7"/>
      <c r="K96" s="295"/>
      <c r="L96" s="295"/>
      <c r="M96" s="295"/>
      <c r="N96" s="7"/>
      <c r="O96" s="7"/>
      <c r="P96" s="7"/>
      <c r="Q96" s="7"/>
      <c r="R96" s="7"/>
      <c r="S96" s="7"/>
      <c r="T96" s="7"/>
      <c r="U96" s="7"/>
      <c r="V96" s="7"/>
      <c r="W96" s="7"/>
      <c r="X96" s="7"/>
      <c r="Y96" s="7"/>
      <c r="Z96" s="7"/>
      <c r="AA96" s="7"/>
      <c r="AB96" s="7"/>
    </row>
    <row r="97" spans="1:28" ht="14.25" customHeight="1" x14ac:dyDescent="0.3">
      <c r="A97" s="7"/>
      <c r="B97" s="7"/>
      <c r="C97" s="7"/>
      <c r="D97" s="295"/>
      <c r="E97" s="295"/>
      <c r="F97" s="295"/>
      <c r="G97" s="7"/>
      <c r="H97" s="7"/>
      <c r="I97" s="7"/>
      <c r="J97" s="7"/>
      <c r="K97" s="295"/>
      <c r="L97" s="295"/>
      <c r="M97" s="295"/>
      <c r="N97" s="7"/>
      <c r="O97" s="7"/>
      <c r="P97" s="7"/>
      <c r="Q97" s="7"/>
      <c r="R97" s="7"/>
      <c r="S97" s="7"/>
      <c r="T97" s="7"/>
      <c r="U97" s="7"/>
      <c r="V97" s="7"/>
      <c r="W97" s="7"/>
      <c r="X97" s="7"/>
      <c r="Y97" s="7"/>
      <c r="Z97" s="7"/>
      <c r="AA97" s="7"/>
      <c r="AB97" s="7"/>
    </row>
    <row r="98" spans="1:28" ht="14.25" customHeight="1" x14ac:dyDescent="0.3">
      <c r="A98" s="7"/>
      <c r="B98" s="7"/>
      <c r="C98" s="7"/>
      <c r="D98" s="295"/>
      <c r="E98" s="295"/>
      <c r="F98" s="295"/>
      <c r="G98" s="7"/>
      <c r="H98" s="7"/>
      <c r="I98" s="7"/>
      <c r="J98" s="7"/>
      <c r="K98" s="295"/>
      <c r="L98" s="295"/>
      <c r="M98" s="295"/>
      <c r="N98" s="7"/>
      <c r="O98" s="7"/>
      <c r="P98" s="7"/>
      <c r="Q98" s="7"/>
      <c r="R98" s="7"/>
      <c r="S98" s="7"/>
      <c r="T98" s="7"/>
      <c r="U98" s="7"/>
      <c r="V98" s="7"/>
      <c r="W98" s="7"/>
      <c r="X98" s="7"/>
      <c r="Y98" s="7"/>
      <c r="Z98" s="7"/>
      <c r="AA98" s="7"/>
      <c r="AB98" s="7"/>
    </row>
    <row r="99" spans="1:28" ht="14.25" customHeight="1" x14ac:dyDescent="0.3">
      <c r="A99" s="7"/>
      <c r="B99" s="7"/>
      <c r="C99" s="7"/>
      <c r="D99" s="295"/>
      <c r="E99" s="295"/>
      <c r="F99" s="295"/>
      <c r="G99" s="7"/>
      <c r="H99" s="7"/>
      <c r="I99" s="7"/>
      <c r="J99" s="7"/>
      <c r="K99" s="295"/>
      <c r="L99" s="295"/>
      <c r="M99" s="295"/>
      <c r="N99" s="7"/>
      <c r="O99" s="7"/>
      <c r="P99" s="7"/>
      <c r="Q99" s="7"/>
      <c r="R99" s="7"/>
      <c r="S99" s="7"/>
      <c r="T99" s="7"/>
      <c r="U99" s="7"/>
      <c r="V99" s="7"/>
      <c r="W99" s="7"/>
      <c r="X99" s="7"/>
      <c r="Y99" s="7"/>
      <c r="Z99" s="7"/>
      <c r="AA99" s="7"/>
      <c r="AB99" s="7"/>
    </row>
    <row r="100" spans="1:28" ht="14.25" customHeight="1" x14ac:dyDescent="0.3">
      <c r="A100" s="7"/>
      <c r="B100" s="7"/>
      <c r="C100" s="7"/>
      <c r="D100" s="295"/>
      <c r="E100" s="295"/>
      <c r="F100" s="295"/>
      <c r="G100" s="7"/>
      <c r="H100" s="7"/>
      <c r="I100" s="7"/>
      <c r="J100" s="7"/>
      <c r="K100" s="295"/>
      <c r="L100" s="295"/>
      <c r="M100" s="295"/>
      <c r="N100" s="7"/>
      <c r="O100" s="7"/>
      <c r="P100" s="7"/>
      <c r="Q100" s="7"/>
      <c r="R100" s="7"/>
      <c r="S100" s="7"/>
      <c r="T100" s="7"/>
      <c r="U100" s="7"/>
      <c r="V100" s="7"/>
      <c r="W100" s="7"/>
      <c r="X100" s="7"/>
      <c r="Y100" s="7"/>
      <c r="Z100" s="7"/>
      <c r="AA100" s="7"/>
      <c r="AB100" s="7"/>
    </row>
    <row r="101" spans="1:28" ht="14.25" customHeight="1" x14ac:dyDescent="0.3">
      <c r="A101" s="7"/>
      <c r="B101" s="7"/>
      <c r="C101" s="7"/>
      <c r="D101" s="295"/>
      <c r="E101" s="295"/>
      <c r="F101" s="295"/>
      <c r="G101" s="7"/>
      <c r="H101" s="7"/>
      <c r="I101" s="7"/>
      <c r="J101" s="7"/>
      <c r="K101" s="295"/>
      <c r="L101" s="295"/>
      <c r="M101" s="295"/>
      <c r="N101" s="7"/>
      <c r="O101" s="7"/>
      <c r="P101" s="7"/>
      <c r="Q101" s="7"/>
      <c r="R101" s="7"/>
      <c r="S101" s="7"/>
      <c r="T101" s="7"/>
      <c r="U101" s="7"/>
      <c r="V101" s="7"/>
      <c r="W101" s="7"/>
      <c r="X101" s="7"/>
      <c r="Y101" s="7"/>
      <c r="Z101" s="7"/>
      <c r="AA101" s="7"/>
      <c r="AB101" s="7"/>
    </row>
    <row r="102" spans="1:28" ht="14.25" customHeight="1" x14ac:dyDescent="0.3">
      <c r="A102" s="7"/>
      <c r="B102" s="7"/>
      <c r="C102" s="7"/>
      <c r="D102" s="295"/>
      <c r="E102" s="295"/>
      <c r="F102" s="295"/>
      <c r="G102" s="7"/>
      <c r="H102" s="7"/>
      <c r="I102" s="7"/>
      <c r="J102" s="7"/>
      <c r="K102" s="295"/>
      <c r="L102" s="295"/>
      <c r="M102" s="295"/>
      <c r="N102" s="7"/>
      <c r="O102" s="7"/>
      <c r="P102" s="7"/>
      <c r="Q102" s="7"/>
      <c r="R102" s="7"/>
      <c r="S102" s="7"/>
      <c r="T102" s="7"/>
      <c r="U102" s="7"/>
      <c r="V102" s="7"/>
      <c r="W102" s="7"/>
      <c r="X102" s="7"/>
      <c r="Y102" s="7"/>
      <c r="Z102" s="7"/>
      <c r="AA102" s="7"/>
      <c r="AB102" s="7"/>
    </row>
    <row r="103" spans="1:28" ht="14.25" customHeight="1" x14ac:dyDescent="0.3">
      <c r="A103" s="7"/>
      <c r="B103" s="7"/>
      <c r="C103" s="7"/>
      <c r="D103" s="295"/>
      <c r="E103" s="295"/>
      <c r="F103" s="295"/>
      <c r="G103" s="7"/>
      <c r="H103" s="7"/>
      <c r="I103" s="7"/>
      <c r="J103" s="7"/>
      <c r="K103" s="295"/>
      <c r="L103" s="295"/>
      <c r="M103" s="295"/>
      <c r="N103" s="7"/>
      <c r="O103" s="7"/>
      <c r="P103" s="7"/>
      <c r="Q103" s="7"/>
      <c r="R103" s="7"/>
      <c r="S103" s="7"/>
      <c r="T103" s="7"/>
      <c r="U103" s="7"/>
      <c r="V103" s="7"/>
      <c r="W103" s="7"/>
      <c r="X103" s="7"/>
      <c r="Y103" s="7"/>
      <c r="Z103" s="7"/>
      <c r="AA103" s="7"/>
      <c r="AB103" s="7"/>
    </row>
    <row r="104" spans="1:28" ht="14.25" customHeight="1" x14ac:dyDescent="0.3">
      <c r="A104" s="7"/>
      <c r="B104" s="7"/>
      <c r="C104" s="7"/>
      <c r="D104" s="295"/>
      <c r="E104" s="295"/>
      <c r="F104" s="295"/>
      <c r="G104" s="7"/>
      <c r="H104" s="7"/>
      <c r="I104" s="7"/>
      <c r="J104" s="7"/>
      <c r="K104" s="295"/>
      <c r="L104" s="295"/>
      <c r="M104" s="295"/>
      <c r="N104" s="7"/>
      <c r="O104" s="7"/>
      <c r="P104" s="7"/>
      <c r="Q104" s="7"/>
      <c r="R104" s="7"/>
      <c r="S104" s="7"/>
      <c r="T104" s="7"/>
      <c r="U104" s="7"/>
      <c r="V104" s="7"/>
      <c r="W104" s="7"/>
      <c r="X104" s="7"/>
      <c r="Y104" s="7"/>
      <c r="Z104" s="7"/>
      <c r="AA104" s="7"/>
      <c r="AB104" s="7"/>
    </row>
    <row r="105" spans="1:28" ht="14.25" customHeight="1" x14ac:dyDescent="0.3">
      <c r="A105" s="7"/>
      <c r="B105" s="7"/>
      <c r="C105" s="7"/>
      <c r="D105" s="295"/>
      <c r="E105" s="295"/>
      <c r="F105" s="295"/>
      <c r="G105" s="7"/>
      <c r="H105" s="7"/>
      <c r="I105" s="7"/>
      <c r="J105" s="7"/>
      <c r="K105" s="295"/>
      <c r="L105" s="295"/>
      <c r="M105" s="295"/>
      <c r="N105" s="7"/>
      <c r="O105" s="7"/>
      <c r="P105" s="7"/>
      <c r="Q105" s="7"/>
      <c r="R105" s="7"/>
      <c r="S105" s="7"/>
      <c r="T105" s="7"/>
      <c r="U105" s="7"/>
      <c r="V105" s="7"/>
      <c r="W105" s="7"/>
      <c r="X105" s="7"/>
      <c r="Y105" s="7"/>
      <c r="Z105" s="7"/>
      <c r="AA105" s="7"/>
      <c r="AB105" s="7"/>
    </row>
    <row r="106" spans="1:28" ht="14.25" customHeight="1" x14ac:dyDescent="0.3">
      <c r="A106" s="7"/>
      <c r="B106" s="7"/>
      <c r="C106" s="7"/>
      <c r="D106" s="295"/>
      <c r="E106" s="295"/>
      <c r="F106" s="295"/>
      <c r="G106" s="7"/>
      <c r="H106" s="7"/>
      <c r="I106" s="7"/>
      <c r="J106" s="7"/>
      <c r="K106" s="295"/>
      <c r="L106" s="295"/>
      <c r="M106" s="295"/>
      <c r="N106" s="7"/>
      <c r="O106" s="7"/>
      <c r="P106" s="7"/>
      <c r="Q106" s="7"/>
      <c r="R106" s="7"/>
      <c r="S106" s="7"/>
      <c r="T106" s="7"/>
      <c r="U106" s="7"/>
      <c r="V106" s="7"/>
      <c r="W106" s="7"/>
      <c r="X106" s="7"/>
      <c r="Y106" s="7"/>
      <c r="Z106" s="7"/>
      <c r="AA106" s="7"/>
      <c r="AB106" s="7"/>
    </row>
    <row r="107" spans="1:28" ht="14.25" customHeight="1" x14ac:dyDescent="0.3">
      <c r="A107" s="7"/>
      <c r="B107" s="7"/>
      <c r="C107" s="7"/>
      <c r="D107" s="295"/>
      <c r="E107" s="295"/>
      <c r="F107" s="295"/>
      <c r="G107" s="7"/>
      <c r="H107" s="7"/>
      <c r="I107" s="7"/>
      <c r="J107" s="7"/>
      <c r="K107" s="295"/>
      <c r="L107" s="295"/>
      <c r="M107" s="295"/>
      <c r="N107" s="7"/>
      <c r="O107" s="7"/>
      <c r="P107" s="7"/>
      <c r="Q107" s="7"/>
      <c r="R107" s="7"/>
      <c r="S107" s="7"/>
      <c r="T107" s="7"/>
      <c r="U107" s="7"/>
      <c r="V107" s="7"/>
      <c r="W107" s="7"/>
      <c r="X107" s="7"/>
      <c r="Y107" s="7"/>
      <c r="Z107" s="7"/>
      <c r="AA107" s="7"/>
      <c r="AB107" s="7"/>
    </row>
    <row r="108" spans="1:28" ht="14.25" customHeight="1" x14ac:dyDescent="0.3">
      <c r="A108" s="7"/>
      <c r="B108" s="7"/>
      <c r="C108" s="7"/>
      <c r="D108" s="295"/>
      <c r="E108" s="295"/>
      <c r="F108" s="295"/>
      <c r="G108" s="7"/>
      <c r="H108" s="7"/>
      <c r="I108" s="7"/>
      <c r="J108" s="7"/>
      <c r="K108" s="295"/>
      <c r="L108" s="295"/>
      <c r="M108" s="295"/>
      <c r="N108" s="7"/>
      <c r="O108" s="7"/>
      <c r="P108" s="7"/>
      <c r="Q108" s="7"/>
      <c r="R108" s="7"/>
      <c r="S108" s="7"/>
      <c r="T108" s="7"/>
      <c r="U108" s="7"/>
      <c r="V108" s="7"/>
      <c r="W108" s="7"/>
      <c r="X108" s="7"/>
      <c r="Y108" s="7"/>
      <c r="Z108" s="7"/>
      <c r="AA108" s="7"/>
      <c r="AB108" s="7"/>
    </row>
    <row r="109" spans="1:28" ht="14.25" customHeight="1" x14ac:dyDescent="0.3">
      <c r="A109" s="7"/>
      <c r="B109" s="7"/>
      <c r="C109" s="7"/>
      <c r="D109" s="295"/>
      <c r="E109" s="295"/>
      <c r="F109" s="295"/>
      <c r="G109" s="7"/>
      <c r="H109" s="7"/>
      <c r="I109" s="7"/>
      <c r="J109" s="7"/>
      <c r="K109" s="295"/>
      <c r="L109" s="295"/>
      <c r="M109" s="295"/>
      <c r="N109" s="7"/>
      <c r="O109" s="7"/>
      <c r="P109" s="7"/>
      <c r="Q109" s="7"/>
      <c r="R109" s="7"/>
      <c r="S109" s="7"/>
      <c r="T109" s="7"/>
      <c r="U109" s="7"/>
      <c r="V109" s="7"/>
      <c r="W109" s="7"/>
      <c r="X109" s="7"/>
      <c r="Y109" s="7"/>
      <c r="Z109" s="7"/>
      <c r="AA109" s="7"/>
      <c r="AB109" s="7"/>
    </row>
    <row r="110" spans="1:28" ht="14.25" customHeight="1" x14ac:dyDescent="0.3">
      <c r="A110" s="7"/>
      <c r="B110" s="7"/>
      <c r="C110" s="7"/>
      <c r="D110" s="295"/>
      <c r="E110" s="295"/>
      <c r="F110" s="295"/>
      <c r="G110" s="7"/>
      <c r="H110" s="7"/>
      <c r="I110" s="7"/>
      <c r="J110" s="7"/>
      <c r="K110" s="295"/>
      <c r="L110" s="295"/>
      <c r="M110" s="295"/>
      <c r="N110" s="7"/>
      <c r="O110" s="7"/>
      <c r="P110" s="7"/>
      <c r="Q110" s="7"/>
      <c r="R110" s="7"/>
      <c r="S110" s="7"/>
      <c r="T110" s="7"/>
      <c r="U110" s="7"/>
      <c r="V110" s="7"/>
      <c r="W110" s="7"/>
      <c r="X110" s="7"/>
      <c r="Y110" s="7"/>
      <c r="Z110" s="7"/>
      <c r="AA110" s="7"/>
      <c r="AB110" s="7"/>
    </row>
    <row r="111" spans="1:28" ht="14.25" customHeight="1" x14ac:dyDescent="0.3">
      <c r="A111" s="7"/>
      <c r="B111" s="7"/>
      <c r="C111" s="7"/>
      <c r="D111" s="295"/>
      <c r="E111" s="295"/>
      <c r="F111" s="295"/>
      <c r="G111" s="7"/>
      <c r="H111" s="7"/>
      <c r="I111" s="7"/>
      <c r="J111" s="7"/>
      <c r="K111" s="295"/>
      <c r="L111" s="295"/>
      <c r="M111" s="295"/>
      <c r="N111" s="7"/>
      <c r="O111" s="7"/>
      <c r="P111" s="7"/>
      <c r="Q111" s="7"/>
      <c r="R111" s="7"/>
      <c r="S111" s="7"/>
      <c r="T111" s="7"/>
      <c r="U111" s="7"/>
      <c r="V111" s="7"/>
      <c r="W111" s="7"/>
      <c r="X111" s="7"/>
      <c r="Y111" s="7"/>
      <c r="Z111" s="7"/>
      <c r="AA111" s="7"/>
      <c r="AB111" s="7"/>
    </row>
    <row r="112" spans="1:28" ht="14.25" customHeight="1" x14ac:dyDescent="0.3">
      <c r="A112" s="7"/>
      <c r="B112" s="7"/>
      <c r="C112" s="7"/>
      <c r="D112" s="295"/>
      <c r="E112" s="295"/>
      <c r="F112" s="295"/>
      <c r="G112" s="7"/>
      <c r="H112" s="7"/>
      <c r="I112" s="7"/>
      <c r="J112" s="7"/>
      <c r="K112" s="295"/>
      <c r="L112" s="295"/>
      <c r="M112" s="295"/>
      <c r="N112" s="7"/>
      <c r="O112" s="7"/>
      <c r="P112" s="7"/>
      <c r="Q112" s="7"/>
      <c r="R112" s="7"/>
      <c r="S112" s="7"/>
      <c r="T112" s="7"/>
      <c r="U112" s="7"/>
      <c r="V112" s="7"/>
      <c r="W112" s="7"/>
      <c r="X112" s="7"/>
      <c r="Y112" s="7"/>
      <c r="Z112" s="7"/>
      <c r="AA112" s="7"/>
      <c r="AB112" s="7"/>
    </row>
    <row r="113" spans="1:28" ht="14.25" customHeight="1" x14ac:dyDescent="0.3">
      <c r="A113" s="7"/>
      <c r="B113" s="7"/>
      <c r="C113" s="7"/>
      <c r="D113" s="295"/>
      <c r="E113" s="295"/>
      <c r="F113" s="295"/>
      <c r="G113" s="7"/>
      <c r="H113" s="7"/>
      <c r="I113" s="7"/>
      <c r="J113" s="7"/>
      <c r="K113" s="295"/>
      <c r="L113" s="295"/>
      <c r="M113" s="295"/>
      <c r="N113" s="7"/>
      <c r="O113" s="7"/>
      <c r="P113" s="7"/>
      <c r="Q113" s="7"/>
      <c r="R113" s="7"/>
      <c r="S113" s="7"/>
      <c r="T113" s="7"/>
      <c r="U113" s="7"/>
      <c r="V113" s="7"/>
      <c r="W113" s="7"/>
      <c r="X113" s="7"/>
      <c r="Y113" s="7"/>
      <c r="Z113" s="7"/>
      <c r="AA113" s="7"/>
      <c r="AB113" s="7"/>
    </row>
    <row r="114" spans="1:28" ht="14.25" customHeight="1" x14ac:dyDescent="0.3">
      <c r="A114" s="7"/>
      <c r="B114" s="7"/>
      <c r="C114" s="7"/>
      <c r="D114" s="295"/>
      <c r="E114" s="295"/>
      <c r="F114" s="295"/>
      <c r="G114" s="7"/>
      <c r="H114" s="7"/>
      <c r="I114" s="7"/>
      <c r="J114" s="7"/>
      <c r="K114" s="295"/>
      <c r="L114" s="295"/>
      <c r="M114" s="295"/>
      <c r="N114" s="7"/>
      <c r="O114" s="7"/>
      <c r="P114" s="7"/>
      <c r="Q114" s="7"/>
      <c r="R114" s="7"/>
      <c r="S114" s="7"/>
      <c r="T114" s="7"/>
      <c r="U114" s="7"/>
      <c r="V114" s="7"/>
      <c r="W114" s="7"/>
      <c r="X114" s="7"/>
      <c r="Y114" s="7"/>
      <c r="Z114" s="7"/>
      <c r="AA114" s="7"/>
      <c r="AB114" s="7"/>
    </row>
    <row r="115" spans="1:28" ht="14.25" customHeight="1" x14ac:dyDescent="0.3">
      <c r="A115" s="7"/>
      <c r="B115" s="7"/>
      <c r="C115" s="7"/>
      <c r="D115" s="295"/>
      <c r="E115" s="295"/>
      <c r="F115" s="295"/>
      <c r="G115" s="7"/>
      <c r="H115" s="7"/>
      <c r="I115" s="7"/>
      <c r="J115" s="7"/>
      <c r="K115" s="295"/>
      <c r="L115" s="295"/>
      <c r="M115" s="295"/>
      <c r="N115" s="7"/>
      <c r="O115" s="7"/>
      <c r="P115" s="7"/>
      <c r="Q115" s="7"/>
      <c r="R115" s="7"/>
      <c r="S115" s="7"/>
      <c r="T115" s="7"/>
      <c r="U115" s="7"/>
      <c r="V115" s="7"/>
      <c r="W115" s="7"/>
      <c r="X115" s="7"/>
      <c r="Y115" s="7"/>
      <c r="Z115" s="7"/>
      <c r="AA115" s="7"/>
      <c r="AB115" s="7"/>
    </row>
    <row r="116" spans="1:28" ht="14.25" customHeight="1" x14ac:dyDescent="0.3">
      <c r="A116" s="7"/>
      <c r="B116" s="7"/>
      <c r="C116" s="7"/>
      <c r="D116" s="295"/>
      <c r="E116" s="295"/>
      <c r="F116" s="295"/>
      <c r="G116" s="7"/>
      <c r="H116" s="7"/>
      <c r="I116" s="7"/>
      <c r="J116" s="7"/>
      <c r="K116" s="295"/>
      <c r="L116" s="295"/>
      <c r="M116" s="295"/>
      <c r="N116" s="7"/>
      <c r="O116" s="7"/>
      <c r="P116" s="7"/>
      <c r="Q116" s="7"/>
      <c r="R116" s="7"/>
      <c r="S116" s="7"/>
      <c r="T116" s="7"/>
      <c r="U116" s="7"/>
      <c r="V116" s="7"/>
      <c r="W116" s="7"/>
      <c r="X116" s="7"/>
      <c r="Y116" s="7"/>
      <c r="Z116" s="7"/>
      <c r="AA116" s="7"/>
      <c r="AB116" s="7"/>
    </row>
    <row r="117" spans="1:28" ht="14.25" customHeight="1" x14ac:dyDescent="0.3">
      <c r="A117" s="7"/>
      <c r="B117" s="7"/>
      <c r="C117" s="7"/>
      <c r="D117" s="295"/>
      <c r="E117" s="295"/>
      <c r="F117" s="295"/>
      <c r="G117" s="7"/>
      <c r="H117" s="7"/>
      <c r="I117" s="7"/>
      <c r="J117" s="7"/>
      <c r="K117" s="295"/>
      <c r="L117" s="295"/>
      <c r="M117" s="295"/>
      <c r="N117" s="7"/>
      <c r="O117" s="7"/>
      <c r="P117" s="7"/>
      <c r="Q117" s="7"/>
      <c r="R117" s="7"/>
      <c r="S117" s="7"/>
      <c r="T117" s="7"/>
      <c r="U117" s="7"/>
      <c r="V117" s="7"/>
      <c r="W117" s="7"/>
      <c r="X117" s="7"/>
      <c r="Y117" s="7"/>
      <c r="Z117" s="7"/>
      <c r="AA117" s="7"/>
      <c r="AB117" s="7"/>
    </row>
    <row r="118" spans="1:28" ht="14.25" customHeight="1" x14ac:dyDescent="0.3">
      <c r="A118" s="7"/>
      <c r="B118" s="7"/>
      <c r="C118" s="7"/>
      <c r="D118" s="295"/>
      <c r="E118" s="295"/>
      <c r="F118" s="295"/>
      <c r="G118" s="7"/>
      <c r="H118" s="7"/>
      <c r="I118" s="7"/>
      <c r="J118" s="7"/>
      <c r="K118" s="295"/>
      <c r="L118" s="295"/>
      <c r="M118" s="295"/>
      <c r="N118" s="7"/>
      <c r="O118" s="7"/>
      <c r="P118" s="7"/>
      <c r="Q118" s="7"/>
      <c r="R118" s="7"/>
      <c r="S118" s="7"/>
      <c r="T118" s="7"/>
      <c r="U118" s="7"/>
      <c r="V118" s="7"/>
      <c r="W118" s="7"/>
      <c r="X118" s="7"/>
      <c r="Y118" s="7"/>
      <c r="Z118" s="7"/>
      <c r="AA118" s="7"/>
      <c r="AB118" s="7"/>
    </row>
    <row r="119" spans="1:28" ht="14.25" customHeight="1" x14ac:dyDescent="0.3">
      <c r="A119" s="7"/>
      <c r="B119" s="7"/>
      <c r="C119" s="7"/>
      <c r="D119" s="295"/>
      <c r="E119" s="295"/>
      <c r="F119" s="295"/>
      <c r="G119" s="7"/>
      <c r="H119" s="7"/>
      <c r="I119" s="7"/>
      <c r="J119" s="7"/>
      <c r="K119" s="295"/>
      <c r="L119" s="295"/>
      <c r="M119" s="295"/>
      <c r="N119" s="7"/>
      <c r="O119" s="7"/>
      <c r="P119" s="7"/>
      <c r="Q119" s="7"/>
      <c r="R119" s="7"/>
      <c r="S119" s="7"/>
      <c r="T119" s="7"/>
      <c r="U119" s="7"/>
      <c r="V119" s="7"/>
      <c r="W119" s="7"/>
      <c r="X119" s="7"/>
      <c r="Y119" s="7"/>
      <c r="Z119" s="7"/>
      <c r="AA119" s="7"/>
      <c r="AB119" s="7"/>
    </row>
    <row r="120" spans="1:28" ht="14.25" customHeight="1" x14ac:dyDescent="0.3">
      <c r="A120" s="7"/>
      <c r="B120" s="7"/>
      <c r="C120" s="7"/>
      <c r="D120" s="295"/>
      <c r="E120" s="295"/>
      <c r="F120" s="295"/>
      <c r="G120" s="7"/>
      <c r="H120" s="7"/>
      <c r="I120" s="7"/>
      <c r="J120" s="7"/>
      <c r="K120" s="295"/>
      <c r="L120" s="295"/>
      <c r="M120" s="295"/>
      <c r="N120" s="7"/>
      <c r="O120" s="7"/>
      <c r="P120" s="7"/>
      <c r="Q120" s="7"/>
      <c r="R120" s="7"/>
      <c r="S120" s="7"/>
      <c r="T120" s="7"/>
      <c r="U120" s="7"/>
      <c r="V120" s="7"/>
      <c r="W120" s="7"/>
      <c r="X120" s="7"/>
      <c r="Y120" s="7"/>
      <c r="Z120" s="7"/>
      <c r="AA120" s="7"/>
      <c r="AB120" s="7"/>
    </row>
    <row r="121" spans="1:28" ht="14.25" customHeight="1" x14ac:dyDescent="0.3">
      <c r="A121" s="7"/>
      <c r="B121" s="7"/>
      <c r="C121" s="7"/>
      <c r="D121" s="295"/>
      <c r="E121" s="295"/>
      <c r="F121" s="295"/>
      <c r="G121" s="7"/>
      <c r="H121" s="7"/>
      <c r="I121" s="7"/>
      <c r="J121" s="7"/>
      <c r="K121" s="295"/>
      <c r="L121" s="295"/>
      <c r="M121" s="295"/>
      <c r="N121" s="7"/>
      <c r="O121" s="7"/>
      <c r="P121" s="7"/>
      <c r="Q121" s="7"/>
      <c r="R121" s="7"/>
      <c r="S121" s="7"/>
      <c r="T121" s="7"/>
      <c r="U121" s="7"/>
      <c r="V121" s="7"/>
      <c r="W121" s="7"/>
      <c r="X121" s="7"/>
      <c r="Y121" s="7"/>
      <c r="Z121" s="7"/>
      <c r="AA121" s="7"/>
      <c r="AB121" s="7"/>
    </row>
    <row r="122" spans="1:28" ht="14.25" customHeight="1" x14ac:dyDescent="0.3">
      <c r="A122" s="7"/>
      <c r="B122" s="7"/>
      <c r="C122" s="7"/>
      <c r="D122" s="295"/>
      <c r="E122" s="295"/>
      <c r="F122" s="295"/>
      <c r="G122" s="7"/>
      <c r="H122" s="7"/>
      <c r="I122" s="7"/>
      <c r="J122" s="7"/>
      <c r="K122" s="295"/>
      <c r="L122" s="295"/>
      <c r="M122" s="295"/>
      <c r="N122" s="7"/>
      <c r="O122" s="7"/>
      <c r="P122" s="7"/>
      <c r="Q122" s="7"/>
      <c r="R122" s="7"/>
      <c r="S122" s="7"/>
      <c r="T122" s="7"/>
      <c r="U122" s="7"/>
      <c r="V122" s="7"/>
      <c r="W122" s="7"/>
      <c r="X122" s="7"/>
      <c r="Y122" s="7"/>
      <c r="Z122" s="7"/>
      <c r="AA122" s="7"/>
      <c r="AB122" s="7"/>
    </row>
    <row r="123" spans="1:28" ht="14.25" customHeight="1" x14ac:dyDescent="0.3">
      <c r="A123" s="7"/>
      <c r="B123" s="7"/>
      <c r="C123" s="7"/>
      <c r="D123" s="295"/>
      <c r="E123" s="295"/>
      <c r="F123" s="295"/>
      <c r="G123" s="7"/>
      <c r="H123" s="7"/>
      <c r="I123" s="7"/>
      <c r="J123" s="7"/>
      <c r="K123" s="295"/>
      <c r="L123" s="295"/>
      <c r="M123" s="295"/>
      <c r="N123" s="7"/>
      <c r="O123" s="7"/>
      <c r="P123" s="7"/>
      <c r="Q123" s="7"/>
      <c r="R123" s="7"/>
      <c r="S123" s="7"/>
      <c r="T123" s="7"/>
      <c r="U123" s="7"/>
      <c r="V123" s="7"/>
      <c r="W123" s="7"/>
      <c r="X123" s="7"/>
      <c r="Y123" s="7"/>
      <c r="Z123" s="7"/>
      <c r="AA123" s="7"/>
      <c r="AB123" s="7"/>
    </row>
    <row r="124" spans="1:28" ht="14.25" customHeight="1" x14ac:dyDescent="0.3">
      <c r="A124" s="7"/>
      <c r="B124" s="7"/>
      <c r="C124" s="7"/>
      <c r="D124" s="295"/>
      <c r="E124" s="295"/>
      <c r="F124" s="295"/>
      <c r="G124" s="7"/>
      <c r="H124" s="7"/>
      <c r="I124" s="7"/>
      <c r="J124" s="7"/>
      <c r="K124" s="295"/>
      <c r="L124" s="295"/>
      <c r="M124" s="295"/>
      <c r="N124" s="7"/>
      <c r="O124" s="7"/>
      <c r="P124" s="7"/>
      <c r="Q124" s="7"/>
      <c r="R124" s="7"/>
      <c r="S124" s="7"/>
      <c r="T124" s="7"/>
      <c r="U124" s="7"/>
      <c r="V124" s="7"/>
      <c r="W124" s="7"/>
      <c r="X124" s="7"/>
      <c r="Y124" s="7"/>
      <c r="Z124" s="7"/>
      <c r="AA124" s="7"/>
      <c r="AB124" s="7"/>
    </row>
    <row r="125" spans="1:28" ht="14.25" customHeight="1" x14ac:dyDescent="0.3">
      <c r="A125" s="7"/>
      <c r="B125" s="7"/>
      <c r="C125" s="7"/>
      <c r="D125" s="295"/>
      <c r="E125" s="295"/>
      <c r="F125" s="295"/>
      <c r="G125" s="7"/>
      <c r="H125" s="7"/>
      <c r="I125" s="7"/>
      <c r="J125" s="7"/>
      <c r="K125" s="295"/>
      <c r="L125" s="295"/>
      <c r="M125" s="295"/>
      <c r="N125" s="7"/>
      <c r="O125" s="7"/>
      <c r="P125" s="7"/>
      <c r="Q125" s="7"/>
      <c r="R125" s="7"/>
      <c r="S125" s="7"/>
      <c r="T125" s="7"/>
      <c r="U125" s="7"/>
      <c r="V125" s="7"/>
      <c r="W125" s="7"/>
      <c r="X125" s="7"/>
      <c r="Y125" s="7"/>
      <c r="Z125" s="7"/>
      <c r="AA125" s="7"/>
      <c r="AB125" s="7"/>
    </row>
    <row r="126" spans="1:28" ht="14.25" customHeight="1" x14ac:dyDescent="0.3">
      <c r="A126" s="7"/>
      <c r="B126" s="7"/>
      <c r="C126" s="7"/>
      <c r="D126" s="295"/>
      <c r="E126" s="295"/>
      <c r="F126" s="295"/>
      <c r="G126" s="7"/>
      <c r="H126" s="7"/>
      <c r="I126" s="7"/>
      <c r="J126" s="7"/>
      <c r="K126" s="295"/>
      <c r="L126" s="295"/>
      <c r="M126" s="295"/>
      <c r="N126" s="7"/>
      <c r="O126" s="7"/>
      <c r="P126" s="7"/>
      <c r="Q126" s="7"/>
      <c r="R126" s="7"/>
      <c r="S126" s="7"/>
      <c r="T126" s="7"/>
      <c r="U126" s="7"/>
      <c r="V126" s="7"/>
      <c r="W126" s="7"/>
      <c r="X126" s="7"/>
      <c r="Y126" s="7"/>
      <c r="Z126" s="7"/>
      <c r="AA126" s="7"/>
      <c r="AB126" s="7"/>
    </row>
    <row r="127" spans="1:28" ht="14.25" customHeight="1" x14ac:dyDescent="0.3">
      <c r="A127" s="7"/>
      <c r="B127" s="7"/>
      <c r="C127" s="7"/>
      <c r="D127" s="295"/>
      <c r="E127" s="295"/>
      <c r="F127" s="295"/>
      <c r="G127" s="7"/>
      <c r="H127" s="7"/>
      <c r="I127" s="7"/>
      <c r="J127" s="7"/>
      <c r="K127" s="295"/>
      <c r="L127" s="295"/>
      <c r="M127" s="295"/>
      <c r="N127" s="7"/>
      <c r="O127" s="7"/>
      <c r="P127" s="7"/>
      <c r="Q127" s="7"/>
      <c r="R127" s="7"/>
      <c r="S127" s="7"/>
      <c r="T127" s="7"/>
      <c r="U127" s="7"/>
      <c r="V127" s="7"/>
      <c r="W127" s="7"/>
      <c r="X127" s="7"/>
      <c r="Y127" s="7"/>
      <c r="Z127" s="7"/>
      <c r="AA127" s="7"/>
      <c r="AB127" s="7"/>
    </row>
    <row r="128" spans="1:28" ht="14.25" customHeight="1" x14ac:dyDescent="0.3">
      <c r="A128" s="7"/>
      <c r="B128" s="7"/>
      <c r="C128" s="7"/>
      <c r="D128" s="295"/>
      <c r="E128" s="295"/>
      <c r="F128" s="295"/>
      <c r="G128" s="7"/>
      <c r="H128" s="7"/>
      <c r="I128" s="7"/>
      <c r="J128" s="7"/>
      <c r="K128" s="295"/>
      <c r="L128" s="295"/>
      <c r="M128" s="295"/>
      <c r="N128" s="7"/>
      <c r="O128" s="7"/>
      <c r="P128" s="7"/>
      <c r="Q128" s="7"/>
      <c r="R128" s="7"/>
      <c r="S128" s="7"/>
      <c r="T128" s="7"/>
      <c r="U128" s="7"/>
      <c r="V128" s="7"/>
      <c r="W128" s="7"/>
      <c r="X128" s="7"/>
      <c r="Y128" s="7"/>
      <c r="Z128" s="7"/>
      <c r="AA128" s="7"/>
      <c r="AB128" s="7"/>
    </row>
    <row r="129" spans="1:28" ht="14.25" customHeight="1" x14ac:dyDescent="0.3">
      <c r="A129" s="7"/>
      <c r="B129" s="7"/>
      <c r="C129" s="7"/>
      <c r="D129" s="295"/>
      <c r="E129" s="295"/>
      <c r="F129" s="295"/>
      <c r="G129" s="7"/>
      <c r="H129" s="7"/>
      <c r="I129" s="7"/>
      <c r="J129" s="7"/>
      <c r="K129" s="295"/>
      <c r="L129" s="295"/>
      <c r="M129" s="295"/>
      <c r="N129" s="7"/>
      <c r="O129" s="7"/>
      <c r="P129" s="7"/>
      <c r="Q129" s="7"/>
      <c r="R129" s="7"/>
      <c r="S129" s="7"/>
      <c r="T129" s="7"/>
      <c r="U129" s="7"/>
      <c r="V129" s="7"/>
      <c r="W129" s="7"/>
      <c r="X129" s="7"/>
      <c r="Y129" s="7"/>
      <c r="Z129" s="7"/>
      <c r="AA129" s="7"/>
      <c r="AB129" s="7"/>
    </row>
    <row r="130" spans="1:28" ht="14.25" customHeight="1" x14ac:dyDescent="0.3">
      <c r="A130" s="7"/>
      <c r="B130" s="7"/>
      <c r="C130" s="7"/>
      <c r="D130" s="295"/>
      <c r="E130" s="295"/>
      <c r="F130" s="295"/>
      <c r="G130" s="7"/>
      <c r="H130" s="7"/>
      <c r="I130" s="7"/>
      <c r="J130" s="7"/>
      <c r="K130" s="295"/>
      <c r="L130" s="295"/>
      <c r="M130" s="295"/>
      <c r="N130" s="7"/>
      <c r="O130" s="7"/>
      <c r="P130" s="7"/>
      <c r="Q130" s="7"/>
      <c r="R130" s="7"/>
      <c r="S130" s="7"/>
      <c r="T130" s="7"/>
      <c r="U130" s="7"/>
      <c r="V130" s="7"/>
      <c r="W130" s="7"/>
      <c r="X130" s="7"/>
      <c r="Y130" s="7"/>
      <c r="Z130" s="7"/>
      <c r="AA130" s="7"/>
      <c r="AB130" s="7"/>
    </row>
    <row r="131" spans="1:28" ht="14.25" customHeight="1" x14ac:dyDescent="0.3">
      <c r="A131" s="7"/>
      <c r="B131" s="7"/>
      <c r="C131" s="7"/>
      <c r="D131" s="295"/>
      <c r="E131" s="295"/>
      <c r="F131" s="295"/>
      <c r="G131" s="7"/>
      <c r="H131" s="7"/>
      <c r="I131" s="7"/>
      <c r="J131" s="7"/>
      <c r="K131" s="295"/>
      <c r="L131" s="295"/>
      <c r="M131" s="295"/>
      <c r="N131" s="7"/>
      <c r="O131" s="7"/>
      <c r="P131" s="7"/>
      <c r="Q131" s="7"/>
      <c r="R131" s="7"/>
      <c r="S131" s="7"/>
      <c r="T131" s="7"/>
      <c r="U131" s="7"/>
      <c r="V131" s="7"/>
      <c r="W131" s="7"/>
      <c r="X131" s="7"/>
      <c r="Y131" s="7"/>
      <c r="Z131" s="7"/>
      <c r="AA131" s="7"/>
      <c r="AB131" s="7"/>
    </row>
    <row r="132" spans="1:28" ht="14.25" customHeight="1" x14ac:dyDescent="0.3">
      <c r="A132" s="7"/>
      <c r="B132" s="7"/>
      <c r="C132" s="7"/>
      <c r="D132" s="295"/>
      <c r="E132" s="295"/>
      <c r="F132" s="295"/>
      <c r="G132" s="7"/>
      <c r="H132" s="7"/>
      <c r="I132" s="7"/>
      <c r="J132" s="7"/>
      <c r="K132" s="295"/>
      <c r="L132" s="295"/>
      <c r="M132" s="295"/>
      <c r="N132" s="7"/>
      <c r="O132" s="7"/>
      <c r="P132" s="7"/>
      <c r="Q132" s="7"/>
      <c r="R132" s="7"/>
      <c r="S132" s="7"/>
      <c r="T132" s="7"/>
      <c r="U132" s="7"/>
      <c r="V132" s="7"/>
      <c r="W132" s="7"/>
      <c r="X132" s="7"/>
      <c r="Y132" s="7"/>
      <c r="Z132" s="7"/>
      <c r="AA132" s="7"/>
      <c r="AB132" s="7"/>
    </row>
    <row r="133" spans="1:28" ht="14.25" customHeight="1" x14ac:dyDescent="0.3">
      <c r="A133" s="7"/>
      <c r="B133" s="7"/>
      <c r="C133" s="7"/>
      <c r="D133" s="295"/>
      <c r="E133" s="295"/>
      <c r="F133" s="295"/>
      <c r="G133" s="7"/>
      <c r="H133" s="7"/>
      <c r="I133" s="7"/>
      <c r="J133" s="7"/>
      <c r="K133" s="295"/>
      <c r="L133" s="295"/>
      <c r="M133" s="295"/>
      <c r="N133" s="7"/>
      <c r="O133" s="7"/>
      <c r="P133" s="7"/>
      <c r="Q133" s="7"/>
      <c r="R133" s="7"/>
      <c r="S133" s="7"/>
      <c r="T133" s="7"/>
      <c r="U133" s="7"/>
      <c r="V133" s="7"/>
      <c r="W133" s="7"/>
      <c r="X133" s="7"/>
      <c r="Y133" s="7"/>
      <c r="Z133" s="7"/>
      <c r="AA133" s="7"/>
      <c r="AB133" s="7"/>
    </row>
    <row r="134" spans="1:28" ht="14.25" customHeight="1" x14ac:dyDescent="0.3">
      <c r="A134" s="7"/>
      <c r="B134" s="7"/>
      <c r="C134" s="7"/>
      <c r="D134" s="295"/>
      <c r="E134" s="295"/>
      <c r="F134" s="295"/>
      <c r="G134" s="7"/>
      <c r="H134" s="7"/>
      <c r="I134" s="7"/>
      <c r="J134" s="7"/>
      <c r="K134" s="295"/>
      <c r="L134" s="295"/>
      <c r="M134" s="295"/>
      <c r="N134" s="7"/>
      <c r="O134" s="7"/>
      <c r="P134" s="7"/>
      <c r="Q134" s="7"/>
      <c r="R134" s="7"/>
      <c r="S134" s="7"/>
      <c r="T134" s="7"/>
      <c r="U134" s="7"/>
      <c r="V134" s="7"/>
      <c r="W134" s="7"/>
      <c r="X134" s="7"/>
      <c r="Y134" s="7"/>
      <c r="Z134" s="7"/>
      <c r="AA134" s="7"/>
      <c r="AB134" s="7"/>
    </row>
    <row r="135" spans="1:28" ht="14.25" customHeight="1" x14ac:dyDescent="0.3">
      <c r="A135" s="7"/>
      <c r="B135" s="7"/>
      <c r="C135" s="7"/>
      <c r="D135" s="295"/>
      <c r="E135" s="295"/>
      <c r="F135" s="295"/>
      <c r="G135" s="7"/>
      <c r="H135" s="7"/>
      <c r="I135" s="7"/>
      <c r="J135" s="7"/>
      <c r="K135" s="295"/>
      <c r="L135" s="295"/>
      <c r="M135" s="295"/>
      <c r="N135" s="7"/>
      <c r="O135" s="7"/>
      <c r="P135" s="7"/>
      <c r="Q135" s="7"/>
      <c r="R135" s="7"/>
      <c r="S135" s="7"/>
      <c r="T135" s="7"/>
      <c r="U135" s="7"/>
      <c r="V135" s="7"/>
      <c r="W135" s="7"/>
      <c r="X135" s="7"/>
      <c r="Y135" s="7"/>
      <c r="Z135" s="7"/>
      <c r="AA135" s="7"/>
      <c r="AB135" s="7"/>
    </row>
    <row r="136" spans="1:28" ht="14.25" customHeight="1" x14ac:dyDescent="0.3">
      <c r="A136" s="7"/>
      <c r="B136" s="7"/>
      <c r="C136" s="7"/>
      <c r="D136" s="295"/>
      <c r="E136" s="295"/>
      <c r="F136" s="295"/>
      <c r="G136" s="7"/>
      <c r="H136" s="7"/>
      <c r="I136" s="7"/>
      <c r="J136" s="7"/>
      <c r="K136" s="295"/>
      <c r="L136" s="295"/>
      <c r="M136" s="295"/>
      <c r="N136" s="7"/>
      <c r="O136" s="7"/>
      <c r="P136" s="7"/>
      <c r="Q136" s="7"/>
      <c r="R136" s="7"/>
      <c r="S136" s="7"/>
      <c r="T136" s="7"/>
      <c r="U136" s="7"/>
      <c r="V136" s="7"/>
      <c r="W136" s="7"/>
      <c r="X136" s="7"/>
      <c r="Y136" s="7"/>
      <c r="Z136" s="7"/>
      <c r="AA136" s="7"/>
      <c r="AB136" s="7"/>
    </row>
    <row r="137" spans="1:28" ht="14.25" customHeight="1" x14ac:dyDescent="0.3">
      <c r="A137" s="7"/>
      <c r="B137" s="7"/>
      <c r="C137" s="7"/>
      <c r="D137" s="295"/>
      <c r="E137" s="295"/>
      <c r="F137" s="295"/>
      <c r="G137" s="7"/>
      <c r="H137" s="7"/>
      <c r="I137" s="7"/>
      <c r="J137" s="7"/>
      <c r="K137" s="295"/>
      <c r="L137" s="295"/>
      <c r="M137" s="295"/>
      <c r="N137" s="7"/>
      <c r="O137" s="7"/>
      <c r="P137" s="7"/>
      <c r="Q137" s="7"/>
      <c r="R137" s="7"/>
      <c r="S137" s="7"/>
      <c r="T137" s="7"/>
      <c r="U137" s="7"/>
      <c r="V137" s="7"/>
      <c r="W137" s="7"/>
      <c r="X137" s="7"/>
      <c r="Y137" s="7"/>
      <c r="Z137" s="7"/>
      <c r="AA137" s="7"/>
      <c r="AB137" s="7"/>
    </row>
    <row r="138" spans="1:28" ht="14.25" customHeight="1" x14ac:dyDescent="0.3">
      <c r="A138" s="7"/>
      <c r="B138" s="7"/>
      <c r="C138" s="7"/>
      <c r="D138" s="295"/>
      <c r="E138" s="295"/>
      <c r="F138" s="295"/>
      <c r="G138" s="7"/>
      <c r="H138" s="7"/>
      <c r="I138" s="7"/>
      <c r="J138" s="7"/>
      <c r="K138" s="295"/>
      <c r="L138" s="295"/>
      <c r="M138" s="295"/>
      <c r="N138" s="7"/>
      <c r="O138" s="7"/>
      <c r="P138" s="7"/>
      <c r="Q138" s="7"/>
      <c r="R138" s="7"/>
      <c r="S138" s="7"/>
      <c r="T138" s="7"/>
      <c r="U138" s="7"/>
      <c r="V138" s="7"/>
      <c r="W138" s="7"/>
      <c r="X138" s="7"/>
      <c r="Y138" s="7"/>
      <c r="Z138" s="7"/>
      <c r="AA138" s="7"/>
      <c r="AB138" s="7"/>
    </row>
    <row r="139" spans="1:28" ht="14.25" customHeight="1" x14ac:dyDescent="0.3">
      <c r="A139" s="7"/>
      <c r="B139" s="7"/>
      <c r="C139" s="7"/>
      <c r="D139" s="295"/>
      <c r="E139" s="295"/>
      <c r="F139" s="295"/>
      <c r="G139" s="7"/>
      <c r="H139" s="7"/>
      <c r="I139" s="7"/>
      <c r="J139" s="7"/>
      <c r="K139" s="295"/>
      <c r="L139" s="295"/>
      <c r="M139" s="295"/>
      <c r="N139" s="7"/>
      <c r="O139" s="7"/>
      <c r="P139" s="7"/>
      <c r="Q139" s="7"/>
      <c r="R139" s="7"/>
      <c r="S139" s="7"/>
      <c r="T139" s="7"/>
      <c r="U139" s="7"/>
      <c r="V139" s="7"/>
      <c r="W139" s="7"/>
      <c r="X139" s="7"/>
      <c r="Y139" s="7"/>
      <c r="Z139" s="7"/>
      <c r="AA139" s="7"/>
      <c r="AB139" s="7"/>
    </row>
    <row r="140" spans="1:28" ht="14.25" customHeight="1" x14ac:dyDescent="0.3">
      <c r="A140" s="7"/>
      <c r="B140" s="7"/>
      <c r="C140" s="7"/>
      <c r="D140" s="295"/>
      <c r="E140" s="295"/>
      <c r="F140" s="295"/>
      <c r="G140" s="7"/>
      <c r="H140" s="7"/>
      <c r="I140" s="7"/>
      <c r="J140" s="7"/>
      <c r="K140" s="295"/>
      <c r="L140" s="295"/>
      <c r="M140" s="295"/>
      <c r="N140" s="7"/>
      <c r="O140" s="7"/>
      <c r="P140" s="7"/>
      <c r="Q140" s="7"/>
      <c r="R140" s="7"/>
      <c r="S140" s="7"/>
      <c r="T140" s="7"/>
      <c r="U140" s="7"/>
      <c r="V140" s="7"/>
      <c r="W140" s="7"/>
      <c r="X140" s="7"/>
      <c r="Y140" s="7"/>
      <c r="Z140" s="7"/>
      <c r="AA140" s="7"/>
      <c r="AB140" s="7"/>
    </row>
    <row r="141" spans="1:28" ht="14.25" customHeight="1" x14ac:dyDescent="0.3">
      <c r="A141" s="7"/>
      <c r="B141" s="7"/>
      <c r="C141" s="7"/>
      <c r="D141" s="295"/>
      <c r="E141" s="295"/>
      <c r="F141" s="295"/>
      <c r="G141" s="7"/>
      <c r="H141" s="7"/>
      <c r="I141" s="7"/>
      <c r="J141" s="7"/>
      <c r="K141" s="295"/>
      <c r="L141" s="295"/>
      <c r="M141" s="295"/>
      <c r="N141" s="7"/>
      <c r="O141" s="7"/>
      <c r="P141" s="7"/>
      <c r="Q141" s="7"/>
      <c r="R141" s="7"/>
      <c r="S141" s="7"/>
      <c r="T141" s="7"/>
      <c r="U141" s="7"/>
      <c r="V141" s="7"/>
      <c r="W141" s="7"/>
      <c r="X141" s="7"/>
      <c r="Y141" s="7"/>
      <c r="Z141" s="7"/>
      <c r="AA141" s="7"/>
      <c r="AB141" s="7"/>
    </row>
    <row r="142" spans="1:28" ht="14.25" customHeight="1" x14ac:dyDescent="0.3">
      <c r="A142" s="7"/>
      <c r="B142" s="7"/>
      <c r="C142" s="7"/>
      <c r="D142" s="295"/>
      <c r="E142" s="295"/>
      <c r="F142" s="295"/>
      <c r="G142" s="7"/>
      <c r="H142" s="7"/>
      <c r="I142" s="7"/>
      <c r="J142" s="7"/>
      <c r="K142" s="295"/>
      <c r="L142" s="295"/>
      <c r="M142" s="295"/>
      <c r="N142" s="7"/>
      <c r="O142" s="7"/>
      <c r="P142" s="7"/>
      <c r="Q142" s="7"/>
      <c r="R142" s="7"/>
      <c r="S142" s="7"/>
      <c r="T142" s="7"/>
      <c r="U142" s="7"/>
      <c r="V142" s="7"/>
      <c r="W142" s="7"/>
      <c r="X142" s="7"/>
      <c r="Y142" s="7"/>
      <c r="Z142" s="7"/>
      <c r="AA142" s="7"/>
      <c r="AB142" s="7"/>
    </row>
    <row r="143" spans="1:28" ht="14.25" customHeight="1" x14ac:dyDescent="0.3">
      <c r="A143" s="7"/>
      <c r="B143" s="7"/>
      <c r="C143" s="7"/>
      <c r="D143" s="295"/>
      <c r="E143" s="295"/>
      <c r="F143" s="295"/>
      <c r="G143" s="7"/>
      <c r="H143" s="7"/>
      <c r="I143" s="7"/>
      <c r="J143" s="7"/>
      <c r="K143" s="295"/>
      <c r="L143" s="295"/>
      <c r="M143" s="295"/>
      <c r="N143" s="7"/>
      <c r="O143" s="7"/>
      <c r="P143" s="7"/>
      <c r="Q143" s="7"/>
      <c r="R143" s="7"/>
      <c r="S143" s="7"/>
      <c r="T143" s="7"/>
      <c r="U143" s="7"/>
      <c r="V143" s="7"/>
      <c r="W143" s="7"/>
      <c r="X143" s="7"/>
      <c r="Y143" s="7"/>
      <c r="Z143" s="7"/>
      <c r="AA143" s="7"/>
      <c r="AB143" s="7"/>
    </row>
    <row r="144" spans="1:28" ht="14.25" customHeight="1" x14ac:dyDescent="0.3">
      <c r="A144" s="7"/>
      <c r="B144" s="7"/>
      <c r="C144" s="7"/>
      <c r="D144" s="295"/>
      <c r="E144" s="295"/>
      <c r="F144" s="295"/>
      <c r="G144" s="7"/>
      <c r="H144" s="7"/>
      <c r="I144" s="7"/>
      <c r="J144" s="7"/>
      <c r="K144" s="295"/>
      <c r="L144" s="295"/>
      <c r="M144" s="295"/>
      <c r="N144" s="7"/>
      <c r="O144" s="7"/>
      <c r="P144" s="7"/>
      <c r="Q144" s="7"/>
      <c r="R144" s="7"/>
      <c r="S144" s="7"/>
      <c r="T144" s="7"/>
      <c r="U144" s="7"/>
      <c r="V144" s="7"/>
      <c r="W144" s="7"/>
      <c r="X144" s="7"/>
      <c r="Y144" s="7"/>
      <c r="Z144" s="7"/>
      <c r="AA144" s="7"/>
      <c r="AB144" s="7"/>
    </row>
    <row r="145" spans="1:28" ht="14.25" customHeight="1" x14ac:dyDescent="0.3">
      <c r="A145" s="7"/>
      <c r="B145" s="7"/>
      <c r="C145" s="7"/>
      <c r="D145" s="295"/>
      <c r="E145" s="295"/>
      <c r="F145" s="295"/>
      <c r="G145" s="7"/>
      <c r="H145" s="7"/>
      <c r="I145" s="7"/>
      <c r="J145" s="7"/>
      <c r="K145" s="295"/>
      <c r="L145" s="295"/>
      <c r="M145" s="295"/>
      <c r="N145" s="7"/>
      <c r="O145" s="7"/>
      <c r="P145" s="7"/>
      <c r="Q145" s="7"/>
      <c r="R145" s="7"/>
      <c r="S145" s="7"/>
      <c r="T145" s="7"/>
      <c r="U145" s="7"/>
      <c r="V145" s="7"/>
      <c r="W145" s="7"/>
      <c r="X145" s="7"/>
      <c r="Y145" s="7"/>
      <c r="Z145" s="7"/>
      <c r="AA145" s="7"/>
      <c r="AB145" s="7"/>
    </row>
    <row r="146" spans="1:28" ht="14.25" customHeight="1" x14ac:dyDescent="0.3">
      <c r="A146" s="7"/>
      <c r="B146" s="7"/>
      <c r="C146" s="7"/>
      <c r="D146" s="295"/>
      <c r="E146" s="295"/>
      <c r="F146" s="295"/>
      <c r="G146" s="7"/>
      <c r="H146" s="7"/>
      <c r="I146" s="7"/>
      <c r="J146" s="7"/>
      <c r="K146" s="295"/>
      <c r="L146" s="295"/>
      <c r="M146" s="295"/>
      <c r="N146" s="7"/>
      <c r="O146" s="7"/>
      <c r="P146" s="7"/>
      <c r="Q146" s="7"/>
      <c r="R146" s="7"/>
      <c r="S146" s="7"/>
      <c r="T146" s="7"/>
      <c r="U146" s="7"/>
      <c r="V146" s="7"/>
      <c r="W146" s="7"/>
      <c r="X146" s="7"/>
      <c r="Y146" s="7"/>
      <c r="Z146" s="7"/>
      <c r="AA146" s="7"/>
      <c r="AB146" s="7"/>
    </row>
    <row r="147" spans="1:28" ht="14.25" customHeight="1" x14ac:dyDescent="0.3">
      <c r="A147" s="7"/>
      <c r="B147" s="7"/>
      <c r="C147" s="7"/>
      <c r="D147" s="295"/>
      <c r="E147" s="295"/>
      <c r="F147" s="295"/>
      <c r="G147" s="7"/>
      <c r="H147" s="7"/>
      <c r="I147" s="7"/>
      <c r="J147" s="7"/>
      <c r="K147" s="295"/>
      <c r="L147" s="295"/>
      <c r="M147" s="295"/>
      <c r="N147" s="7"/>
      <c r="O147" s="7"/>
      <c r="P147" s="7"/>
      <c r="Q147" s="7"/>
      <c r="R147" s="7"/>
      <c r="S147" s="7"/>
      <c r="T147" s="7"/>
      <c r="U147" s="7"/>
      <c r="V147" s="7"/>
      <c r="W147" s="7"/>
      <c r="X147" s="7"/>
      <c r="Y147" s="7"/>
      <c r="Z147" s="7"/>
      <c r="AA147" s="7"/>
      <c r="AB147" s="7"/>
    </row>
    <row r="148" spans="1:28" ht="14.25" customHeight="1" x14ac:dyDescent="0.3">
      <c r="A148" s="7"/>
      <c r="B148" s="7"/>
      <c r="C148" s="7"/>
      <c r="D148" s="295"/>
      <c r="E148" s="295"/>
      <c r="F148" s="295"/>
      <c r="G148" s="7"/>
      <c r="H148" s="7"/>
      <c r="I148" s="7"/>
      <c r="J148" s="7"/>
      <c r="K148" s="295"/>
      <c r="L148" s="295"/>
      <c r="M148" s="295"/>
      <c r="N148" s="7"/>
      <c r="O148" s="7"/>
      <c r="P148" s="7"/>
      <c r="Q148" s="7"/>
      <c r="R148" s="7"/>
      <c r="S148" s="7"/>
      <c r="T148" s="7"/>
      <c r="U148" s="7"/>
      <c r="V148" s="7"/>
      <c r="W148" s="7"/>
      <c r="X148" s="7"/>
      <c r="Y148" s="7"/>
      <c r="Z148" s="7"/>
      <c r="AA148" s="7"/>
      <c r="AB148" s="7"/>
    </row>
    <row r="149" spans="1:28" ht="14.25" customHeight="1" x14ac:dyDescent="0.3">
      <c r="A149" s="7"/>
      <c r="B149" s="7"/>
      <c r="C149" s="7"/>
      <c r="D149" s="295"/>
      <c r="E149" s="295"/>
      <c r="F149" s="295"/>
      <c r="G149" s="7"/>
      <c r="H149" s="7"/>
      <c r="I149" s="7"/>
      <c r="J149" s="7"/>
      <c r="K149" s="295"/>
      <c r="L149" s="295"/>
      <c r="M149" s="295"/>
      <c r="N149" s="7"/>
      <c r="O149" s="7"/>
      <c r="P149" s="7"/>
      <c r="Q149" s="7"/>
      <c r="R149" s="7"/>
      <c r="S149" s="7"/>
      <c r="T149" s="7"/>
      <c r="U149" s="7"/>
      <c r="V149" s="7"/>
      <c r="W149" s="7"/>
      <c r="X149" s="7"/>
      <c r="Y149" s="7"/>
      <c r="Z149" s="7"/>
      <c r="AA149" s="7"/>
      <c r="AB149" s="7"/>
    </row>
    <row r="150" spans="1:28" ht="14.25" customHeight="1" x14ac:dyDescent="0.3">
      <c r="A150" s="7"/>
      <c r="B150" s="7"/>
      <c r="C150" s="7"/>
      <c r="D150" s="295"/>
      <c r="E150" s="295"/>
      <c r="F150" s="295"/>
      <c r="G150" s="7"/>
      <c r="H150" s="7"/>
      <c r="I150" s="7"/>
      <c r="J150" s="7"/>
      <c r="K150" s="295"/>
      <c r="L150" s="295"/>
      <c r="M150" s="295"/>
      <c r="N150" s="7"/>
      <c r="O150" s="7"/>
      <c r="P150" s="7"/>
      <c r="Q150" s="7"/>
      <c r="R150" s="7"/>
      <c r="S150" s="7"/>
      <c r="T150" s="7"/>
      <c r="U150" s="7"/>
      <c r="V150" s="7"/>
      <c r="W150" s="7"/>
      <c r="X150" s="7"/>
      <c r="Y150" s="7"/>
      <c r="Z150" s="7"/>
      <c r="AA150" s="7"/>
      <c r="AB150" s="7"/>
    </row>
    <row r="151" spans="1:28" ht="14.25" customHeight="1" x14ac:dyDescent="0.3">
      <c r="A151" s="7"/>
      <c r="B151" s="7"/>
      <c r="C151" s="7"/>
      <c r="D151" s="295"/>
      <c r="E151" s="295"/>
      <c r="F151" s="295"/>
      <c r="G151" s="7"/>
      <c r="H151" s="7"/>
      <c r="I151" s="7"/>
      <c r="J151" s="7"/>
      <c r="K151" s="295"/>
      <c r="L151" s="295"/>
      <c r="M151" s="295"/>
      <c r="N151" s="7"/>
      <c r="O151" s="7"/>
      <c r="P151" s="7"/>
      <c r="Q151" s="7"/>
      <c r="R151" s="7"/>
      <c r="S151" s="7"/>
      <c r="T151" s="7"/>
      <c r="U151" s="7"/>
      <c r="V151" s="7"/>
      <c r="W151" s="7"/>
      <c r="X151" s="7"/>
      <c r="Y151" s="7"/>
      <c r="Z151" s="7"/>
      <c r="AA151" s="7"/>
      <c r="AB151" s="7"/>
    </row>
    <row r="152" spans="1:28" ht="14.25" customHeight="1" x14ac:dyDescent="0.3">
      <c r="A152" s="7"/>
      <c r="B152" s="7"/>
      <c r="C152" s="7"/>
      <c r="D152" s="295"/>
      <c r="E152" s="295"/>
      <c r="F152" s="295"/>
      <c r="G152" s="7"/>
      <c r="H152" s="7"/>
      <c r="I152" s="7"/>
      <c r="J152" s="7"/>
      <c r="K152" s="295"/>
      <c r="L152" s="295"/>
      <c r="M152" s="295"/>
      <c r="N152" s="7"/>
      <c r="O152" s="7"/>
      <c r="P152" s="7"/>
      <c r="Q152" s="7"/>
      <c r="R152" s="7"/>
      <c r="S152" s="7"/>
      <c r="T152" s="7"/>
      <c r="U152" s="7"/>
      <c r="V152" s="7"/>
      <c r="W152" s="7"/>
      <c r="X152" s="7"/>
      <c r="Y152" s="7"/>
      <c r="Z152" s="7"/>
      <c r="AA152" s="7"/>
      <c r="AB152" s="7"/>
    </row>
    <row r="153" spans="1:28" ht="14.25" customHeight="1" x14ac:dyDescent="0.3">
      <c r="A153" s="7"/>
      <c r="B153" s="7"/>
      <c r="C153" s="7"/>
      <c r="D153" s="295"/>
      <c r="E153" s="295"/>
      <c r="F153" s="295"/>
      <c r="G153" s="7"/>
      <c r="H153" s="7"/>
      <c r="I153" s="7"/>
      <c r="J153" s="7"/>
      <c r="K153" s="295"/>
      <c r="L153" s="295"/>
      <c r="M153" s="295"/>
      <c r="N153" s="7"/>
      <c r="O153" s="7"/>
      <c r="P153" s="7"/>
      <c r="Q153" s="7"/>
      <c r="R153" s="7"/>
      <c r="S153" s="7"/>
      <c r="T153" s="7"/>
      <c r="U153" s="7"/>
      <c r="V153" s="7"/>
      <c r="W153" s="7"/>
      <c r="X153" s="7"/>
      <c r="Y153" s="7"/>
      <c r="Z153" s="7"/>
      <c r="AA153" s="7"/>
      <c r="AB153" s="7"/>
    </row>
    <row r="154" spans="1:28" ht="14.25" customHeight="1" x14ac:dyDescent="0.3">
      <c r="A154" s="7"/>
      <c r="B154" s="7"/>
      <c r="C154" s="7"/>
      <c r="D154" s="295"/>
      <c r="E154" s="295"/>
      <c r="F154" s="295"/>
      <c r="G154" s="7"/>
      <c r="H154" s="7"/>
      <c r="I154" s="7"/>
      <c r="J154" s="7"/>
      <c r="K154" s="295"/>
      <c r="L154" s="295"/>
      <c r="M154" s="295"/>
      <c r="N154" s="7"/>
      <c r="O154" s="7"/>
      <c r="P154" s="7"/>
      <c r="Q154" s="7"/>
      <c r="R154" s="7"/>
      <c r="S154" s="7"/>
      <c r="T154" s="7"/>
      <c r="U154" s="7"/>
      <c r="V154" s="7"/>
      <c r="W154" s="7"/>
      <c r="X154" s="7"/>
      <c r="Y154" s="7"/>
      <c r="Z154" s="7"/>
      <c r="AA154" s="7"/>
      <c r="AB154" s="7"/>
    </row>
    <row r="155" spans="1:28" ht="14.25" customHeight="1" x14ac:dyDescent="0.3">
      <c r="A155" s="7"/>
      <c r="B155" s="7"/>
      <c r="C155" s="7"/>
      <c r="D155" s="295"/>
      <c r="E155" s="295"/>
      <c r="F155" s="295"/>
      <c r="G155" s="7"/>
      <c r="H155" s="7"/>
      <c r="I155" s="7"/>
      <c r="J155" s="7"/>
      <c r="K155" s="295"/>
      <c r="L155" s="295"/>
      <c r="M155" s="295"/>
      <c r="N155" s="7"/>
      <c r="O155" s="7"/>
      <c r="P155" s="7"/>
      <c r="Q155" s="7"/>
      <c r="R155" s="7"/>
      <c r="S155" s="7"/>
      <c r="T155" s="7"/>
      <c r="U155" s="7"/>
      <c r="V155" s="7"/>
      <c r="W155" s="7"/>
      <c r="X155" s="7"/>
      <c r="Y155" s="7"/>
      <c r="Z155" s="7"/>
      <c r="AA155" s="7"/>
      <c r="AB155" s="7"/>
    </row>
    <row r="156" spans="1:28" ht="14.25" customHeight="1" x14ac:dyDescent="0.3">
      <c r="A156" s="7"/>
      <c r="B156" s="7"/>
      <c r="C156" s="7"/>
      <c r="D156" s="295"/>
      <c r="E156" s="295"/>
      <c r="F156" s="295"/>
      <c r="G156" s="7"/>
      <c r="H156" s="7"/>
      <c r="I156" s="7"/>
      <c r="J156" s="7"/>
      <c r="K156" s="295"/>
      <c r="L156" s="295"/>
      <c r="M156" s="295"/>
      <c r="N156" s="7"/>
      <c r="O156" s="7"/>
      <c r="P156" s="7"/>
      <c r="Q156" s="7"/>
      <c r="R156" s="7"/>
      <c r="S156" s="7"/>
      <c r="T156" s="7"/>
      <c r="U156" s="7"/>
      <c r="V156" s="7"/>
      <c r="W156" s="7"/>
      <c r="X156" s="7"/>
      <c r="Y156" s="7"/>
      <c r="Z156" s="7"/>
      <c r="AA156" s="7"/>
      <c r="AB156" s="7"/>
    </row>
    <row r="157" spans="1:28" ht="14.25" customHeight="1" x14ac:dyDescent="0.3">
      <c r="A157" s="7"/>
      <c r="B157" s="7"/>
      <c r="C157" s="7"/>
      <c r="D157" s="295"/>
      <c r="E157" s="295"/>
      <c r="F157" s="295"/>
      <c r="G157" s="7"/>
      <c r="H157" s="7"/>
      <c r="I157" s="7"/>
      <c r="J157" s="7"/>
      <c r="K157" s="295"/>
      <c r="L157" s="295"/>
      <c r="M157" s="295"/>
      <c r="N157" s="7"/>
      <c r="O157" s="7"/>
      <c r="P157" s="7"/>
      <c r="Q157" s="7"/>
      <c r="R157" s="7"/>
      <c r="S157" s="7"/>
      <c r="T157" s="7"/>
      <c r="U157" s="7"/>
      <c r="V157" s="7"/>
      <c r="W157" s="7"/>
      <c r="X157" s="7"/>
      <c r="Y157" s="7"/>
      <c r="Z157" s="7"/>
      <c r="AA157" s="7"/>
      <c r="AB157" s="7"/>
    </row>
    <row r="158" spans="1:28" ht="14.25" customHeight="1" x14ac:dyDescent="0.3">
      <c r="A158" s="7"/>
      <c r="B158" s="7"/>
      <c r="C158" s="7"/>
      <c r="D158" s="295"/>
      <c r="E158" s="295"/>
      <c r="F158" s="295"/>
      <c r="G158" s="7"/>
      <c r="H158" s="7"/>
      <c r="I158" s="7"/>
      <c r="J158" s="7"/>
      <c r="K158" s="295"/>
      <c r="L158" s="295"/>
      <c r="M158" s="295"/>
      <c r="N158" s="7"/>
      <c r="O158" s="7"/>
      <c r="P158" s="7"/>
      <c r="Q158" s="7"/>
      <c r="R158" s="7"/>
      <c r="S158" s="7"/>
      <c r="T158" s="7"/>
      <c r="U158" s="7"/>
      <c r="V158" s="7"/>
      <c r="W158" s="7"/>
      <c r="X158" s="7"/>
      <c r="Y158" s="7"/>
      <c r="Z158" s="7"/>
      <c r="AA158" s="7"/>
      <c r="AB158" s="7"/>
    </row>
    <row r="159" spans="1:28" ht="14.25" customHeight="1" x14ac:dyDescent="0.3">
      <c r="A159" s="7"/>
      <c r="B159" s="7"/>
      <c r="C159" s="7"/>
      <c r="D159" s="295"/>
      <c r="E159" s="295"/>
      <c r="F159" s="295"/>
      <c r="G159" s="7"/>
      <c r="H159" s="7"/>
      <c r="I159" s="7"/>
      <c r="J159" s="7"/>
      <c r="K159" s="295"/>
      <c r="L159" s="295"/>
      <c r="M159" s="295"/>
      <c r="N159" s="7"/>
      <c r="O159" s="7"/>
      <c r="P159" s="7"/>
      <c r="Q159" s="7"/>
      <c r="R159" s="7"/>
      <c r="S159" s="7"/>
      <c r="T159" s="7"/>
      <c r="U159" s="7"/>
      <c r="V159" s="7"/>
      <c r="W159" s="7"/>
      <c r="X159" s="7"/>
      <c r="Y159" s="7"/>
      <c r="Z159" s="7"/>
      <c r="AA159" s="7"/>
      <c r="AB159" s="7"/>
    </row>
    <row r="160" spans="1:28" ht="14.25" customHeight="1" x14ac:dyDescent="0.3">
      <c r="A160" s="7"/>
      <c r="B160" s="7"/>
      <c r="C160" s="7"/>
      <c r="D160" s="295"/>
      <c r="E160" s="295"/>
      <c r="F160" s="295"/>
      <c r="G160" s="7"/>
      <c r="H160" s="7"/>
      <c r="I160" s="7"/>
      <c r="J160" s="7"/>
      <c r="K160" s="295"/>
      <c r="L160" s="295"/>
      <c r="M160" s="295"/>
      <c r="N160" s="7"/>
      <c r="O160" s="7"/>
      <c r="P160" s="7"/>
      <c r="Q160" s="7"/>
      <c r="R160" s="7"/>
      <c r="S160" s="7"/>
      <c r="T160" s="7"/>
      <c r="U160" s="7"/>
      <c r="V160" s="7"/>
      <c r="W160" s="7"/>
      <c r="X160" s="7"/>
      <c r="Y160" s="7"/>
      <c r="Z160" s="7"/>
      <c r="AA160" s="7"/>
      <c r="AB160" s="7"/>
    </row>
    <row r="161" spans="1:28" ht="14.25" customHeight="1" x14ac:dyDescent="0.3">
      <c r="A161" s="7"/>
      <c r="B161" s="7"/>
      <c r="C161" s="7"/>
      <c r="D161" s="295"/>
      <c r="E161" s="295"/>
      <c r="F161" s="295"/>
      <c r="G161" s="7"/>
      <c r="H161" s="7"/>
      <c r="I161" s="7"/>
      <c r="J161" s="7"/>
      <c r="K161" s="295"/>
      <c r="L161" s="295"/>
      <c r="M161" s="295"/>
      <c r="N161" s="7"/>
      <c r="O161" s="7"/>
      <c r="P161" s="7"/>
      <c r="Q161" s="7"/>
      <c r="R161" s="7"/>
      <c r="S161" s="7"/>
      <c r="T161" s="7"/>
      <c r="U161" s="7"/>
      <c r="V161" s="7"/>
      <c r="W161" s="7"/>
      <c r="X161" s="7"/>
      <c r="Y161" s="7"/>
      <c r="Z161" s="7"/>
      <c r="AA161" s="7"/>
      <c r="AB161" s="7"/>
    </row>
    <row r="162" spans="1:28" ht="14.25" customHeight="1" x14ac:dyDescent="0.3">
      <c r="A162" s="7"/>
      <c r="B162" s="7"/>
      <c r="C162" s="7"/>
      <c r="D162" s="295"/>
      <c r="E162" s="295"/>
      <c r="F162" s="295"/>
      <c r="G162" s="7"/>
      <c r="H162" s="7"/>
      <c r="I162" s="7"/>
      <c r="J162" s="7"/>
      <c r="K162" s="295"/>
      <c r="L162" s="295"/>
      <c r="M162" s="295"/>
      <c r="N162" s="7"/>
      <c r="O162" s="7"/>
      <c r="P162" s="7"/>
      <c r="Q162" s="7"/>
      <c r="R162" s="7"/>
      <c r="S162" s="7"/>
      <c r="T162" s="7"/>
      <c r="U162" s="7"/>
      <c r="V162" s="7"/>
      <c r="W162" s="7"/>
      <c r="X162" s="7"/>
      <c r="Y162" s="7"/>
      <c r="Z162" s="7"/>
      <c r="AA162" s="7"/>
      <c r="AB162" s="7"/>
    </row>
    <row r="163" spans="1:28" ht="14.25" customHeight="1" x14ac:dyDescent="0.3">
      <c r="A163" s="7"/>
      <c r="B163" s="7"/>
      <c r="C163" s="7"/>
      <c r="D163" s="295"/>
      <c r="E163" s="295"/>
      <c r="F163" s="295"/>
      <c r="G163" s="7"/>
      <c r="H163" s="7"/>
      <c r="I163" s="7"/>
      <c r="J163" s="7"/>
      <c r="K163" s="295"/>
      <c r="L163" s="295"/>
      <c r="M163" s="295"/>
      <c r="N163" s="7"/>
      <c r="O163" s="7"/>
      <c r="P163" s="7"/>
      <c r="Q163" s="7"/>
      <c r="R163" s="7"/>
      <c r="S163" s="7"/>
      <c r="T163" s="7"/>
      <c r="U163" s="7"/>
      <c r="V163" s="7"/>
      <c r="W163" s="7"/>
      <c r="X163" s="7"/>
      <c r="Y163" s="7"/>
      <c r="Z163" s="7"/>
      <c r="AA163" s="7"/>
      <c r="AB163" s="7"/>
    </row>
    <row r="164" spans="1:28" ht="14.25" customHeight="1" x14ac:dyDescent="0.3">
      <c r="A164" s="7"/>
      <c r="B164" s="7"/>
      <c r="C164" s="7"/>
      <c r="D164" s="295"/>
      <c r="E164" s="295"/>
      <c r="F164" s="295"/>
      <c r="G164" s="7"/>
      <c r="H164" s="7"/>
      <c r="I164" s="7"/>
      <c r="J164" s="7"/>
      <c r="K164" s="295"/>
      <c r="L164" s="295"/>
      <c r="M164" s="295"/>
      <c r="N164" s="7"/>
      <c r="O164" s="7"/>
      <c r="P164" s="7"/>
      <c r="Q164" s="7"/>
      <c r="R164" s="7"/>
      <c r="S164" s="7"/>
      <c r="T164" s="7"/>
      <c r="U164" s="7"/>
      <c r="V164" s="7"/>
      <c r="W164" s="7"/>
      <c r="X164" s="7"/>
      <c r="Y164" s="7"/>
      <c r="Z164" s="7"/>
      <c r="AA164" s="7"/>
      <c r="AB164" s="7"/>
    </row>
    <row r="165" spans="1:28" ht="14.25" customHeight="1" x14ac:dyDescent="0.3">
      <c r="A165" s="7"/>
      <c r="B165" s="7"/>
      <c r="C165" s="7"/>
      <c r="D165" s="295"/>
      <c r="E165" s="295"/>
      <c r="F165" s="295"/>
      <c r="G165" s="7"/>
      <c r="H165" s="7"/>
      <c r="I165" s="7"/>
      <c r="J165" s="7"/>
      <c r="K165" s="295"/>
      <c r="L165" s="295"/>
      <c r="M165" s="295"/>
      <c r="N165" s="7"/>
      <c r="O165" s="7"/>
      <c r="P165" s="7"/>
      <c r="Q165" s="7"/>
      <c r="R165" s="7"/>
      <c r="S165" s="7"/>
      <c r="T165" s="7"/>
      <c r="U165" s="7"/>
      <c r="V165" s="7"/>
      <c r="W165" s="7"/>
      <c r="X165" s="7"/>
      <c r="Y165" s="7"/>
      <c r="Z165" s="7"/>
      <c r="AA165" s="7"/>
      <c r="AB165" s="7"/>
    </row>
    <row r="166" spans="1:28" ht="14.25" customHeight="1" x14ac:dyDescent="0.3">
      <c r="A166" s="7"/>
      <c r="B166" s="7"/>
      <c r="C166" s="7"/>
      <c r="D166" s="295"/>
      <c r="E166" s="295"/>
      <c r="F166" s="295"/>
      <c r="G166" s="7"/>
      <c r="H166" s="7"/>
      <c r="I166" s="7"/>
      <c r="J166" s="7"/>
      <c r="K166" s="295"/>
      <c r="L166" s="295"/>
      <c r="M166" s="295"/>
      <c r="N166" s="7"/>
      <c r="O166" s="7"/>
      <c r="P166" s="7"/>
      <c r="Q166" s="7"/>
      <c r="R166" s="7"/>
      <c r="S166" s="7"/>
      <c r="T166" s="7"/>
      <c r="U166" s="7"/>
      <c r="V166" s="7"/>
      <c r="W166" s="7"/>
      <c r="X166" s="7"/>
      <c r="Y166" s="7"/>
      <c r="Z166" s="7"/>
      <c r="AA166" s="7"/>
      <c r="AB166" s="7"/>
    </row>
    <row r="167" spans="1:28" ht="14.25" customHeight="1" x14ac:dyDescent="0.3">
      <c r="A167" s="7"/>
      <c r="B167" s="7"/>
      <c r="C167" s="7"/>
      <c r="D167" s="295"/>
      <c r="E167" s="295"/>
      <c r="F167" s="295"/>
      <c r="G167" s="7"/>
      <c r="H167" s="7"/>
      <c r="I167" s="7"/>
      <c r="J167" s="7"/>
      <c r="K167" s="295"/>
      <c r="L167" s="295"/>
      <c r="M167" s="295"/>
      <c r="N167" s="7"/>
      <c r="O167" s="7"/>
      <c r="P167" s="7"/>
      <c r="Q167" s="7"/>
      <c r="R167" s="7"/>
      <c r="S167" s="7"/>
      <c r="T167" s="7"/>
      <c r="U167" s="7"/>
      <c r="V167" s="7"/>
      <c r="W167" s="7"/>
      <c r="X167" s="7"/>
      <c r="Y167" s="7"/>
      <c r="Z167" s="7"/>
      <c r="AA167" s="7"/>
      <c r="AB167" s="7"/>
    </row>
    <row r="168" spans="1:28" ht="14.25" customHeight="1" x14ac:dyDescent="0.3">
      <c r="A168" s="7"/>
      <c r="B168" s="7"/>
      <c r="C168" s="7"/>
      <c r="D168" s="295"/>
      <c r="E168" s="295"/>
      <c r="F168" s="295"/>
      <c r="G168" s="7"/>
      <c r="H168" s="7"/>
      <c r="I168" s="7"/>
      <c r="J168" s="7"/>
      <c r="K168" s="295"/>
      <c r="L168" s="295"/>
      <c r="M168" s="295"/>
      <c r="N168" s="7"/>
      <c r="O168" s="7"/>
      <c r="P168" s="7"/>
      <c r="Q168" s="7"/>
      <c r="R168" s="7"/>
      <c r="S168" s="7"/>
      <c r="T168" s="7"/>
      <c r="U168" s="7"/>
      <c r="V168" s="7"/>
      <c r="W168" s="7"/>
      <c r="X168" s="7"/>
      <c r="Y168" s="7"/>
      <c r="Z168" s="7"/>
      <c r="AA168" s="7"/>
      <c r="AB168" s="7"/>
    </row>
    <row r="169" spans="1:28" ht="14.25" customHeight="1" x14ac:dyDescent="0.3">
      <c r="A169" s="7"/>
      <c r="B169" s="7"/>
      <c r="C169" s="7"/>
      <c r="D169" s="295"/>
      <c r="E169" s="295"/>
      <c r="F169" s="295"/>
      <c r="G169" s="7"/>
      <c r="H169" s="7"/>
      <c r="I169" s="7"/>
      <c r="J169" s="7"/>
      <c r="K169" s="295"/>
      <c r="L169" s="295"/>
      <c r="M169" s="295"/>
      <c r="N169" s="7"/>
      <c r="O169" s="7"/>
      <c r="P169" s="7"/>
      <c r="Q169" s="7"/>
      <c r="R169" s="7"/>
      <c r="S169" s="7"/>
      <c r="T169" s="7"/>
      <c r="U169" s="7"/>
      <c r="V169" s="7"/>
      <c r="W169" s="7"/>
      <c r="X169" s="7"/>
      <c r="Y169" s="7"/>
      <c r="Z169" s="7"/>
      <c r="AA169" s="7"/>
      <c r="AB169" s="7"/>
    </row>
    <row r="170" spans="1:28" ht="14.25" customHeight="1" x14ac:dyDescent="0.3">
      <c r="A170" s="7"/>
      <c r="B170" s="7"/>
      <c r="C170" s="7"/>
      <c r="D170" s="295"/>
      <c r="E170" s="295"/>
      <c r="F170" s="295"/>
      <c r="G170" s="7"/>
      <c r="H170" s="7"/>
      <c r="I170" s="7"/>
      <c r="J170" s="7"/>
      <c r="K170" s="295"/>
      <c r="L170" s="295"/>
      <c r="M170" s="295"/>
      <c r="N170" s="7"/>
      <c r="O170" s="7"/>
      <c r="P170" s="7"/>
      <c r="Q170" s="7"/>
      <c r="R170" s="7"/>
      <c r="S170" s="7"/>
      <c r="T170" s="7"/>
      <c r="U170" s="7"/>
      <c r="V170" s="7"/>
      <c r="W170" s="7"/>
      <c r="X170" s="7"/>
      <c r="Y170" s="7"/>
      <c r="Z170" s="7"/>
      <c r="AA170" s="7"/>
      <c r="AB170" s="7"/>
    </row>
    <row r="171" spans="1:28" ht="14.25" customHeight="1" x14ac:dyDescent="0.3">
      <c r="A171" s="7"/>
      <c r="B171" s="7"/>
      <c r="C171" s="7"/>
      <c r="D171" s="295"/>
      <c r="E171" s="295"/>
      <c r="F171" s="295"/>
      <c r="G171" s="7"/>
      <c r="H171" s="7"/>
      <c r="I171" s="7"/>
      <c r="J171" s="7"/>
      <c r="K171" s="295"/>
      <c r="L171" s="295"/>
      <c r="M171" s="295"/>
      <c r="N171" s="7"/>
      <c r="O171" s="7"/>
      <c r="P171" s="7"/>
      <c r="Q171" s="7"/>
      <c r="R171" s="7"/>
      <c r="S171" s="7"/>
      <c r="T171" s="7"/>
      <c r="U171" s="7"/>
      <c r="V171" s="7"/>
      <c r="W171" s="7"/>
      <c r="X171" s="7"/>
      <c r="Y171" s="7"/>
      <c r="Z171" s="7"/>
      <c r="AA171" s="7"/>
      <c r="AB171" s="7"/>
    </row>
    <row r="172" spans="1:28" ht="14.25" customHeight="1" x14ac:dyDescent="0.3">
      <c r="A172" s="7"/>
      <c r="B172" s="7"/>
      <c r="C172" s="7"/>
      <c r="D172" s="295"/>
      <c r="E172" s="295"/>
      <c r="F172" s="295"/>
      <c r="G172" s="7"/>
      <c r="H172" s="7"/>
      <c r="I172" s="7"/>
      <c r="J172" s="7"/>
      <c r="K172" s="295"/>
      <c r="L172" s="295"/>
      <c r="M172" s="295"/>
      <c r="N172" s="7"/>
      <c r="O172" s="7"/>
      <c r="P172" s="7"/>
      <c r="Q172" s="7"/>
      <c r="R172" s="7"/>
      <c r="S172" s="7"/>
      <c r="T172" s="7"/>
      <c r="U172" s="7"/>
      <c r="V172" s="7"/>
      <c r="W172" s="7"/>
      <c r="X172" s="7"/>
      <c r="Y172" s="7"/>
      <c r="Z172" s="7"/>
      <c r="AA172" s="7"/>
      <c r="AB172" s="7"/>
    </row>
    <row r="173" spans="1:28" ht="14.25" customHeight="1" x14ac:dyDescent="0.3">
      <c r="A173" s="7"/>
      <c r="B173" s="7"/>
      <c r="C173" s="7"/>
      <c r="D173" s="295"/>
      <c r="E173" s="295"/>
      <c r="F173" s="295"/>
      <c r="G173" s="7"/>
      <c r="H173" s="7"/>
      <c r="I173" s="7"/>
      <c r="J173" s="7"/>
      <c r="K173" s="295"/>
      <c r="L173" s="295"/>
      <c r="M173" s="295"/>
      <c r="N173" s="7"/>
      <c r="O173" s="7"/>
      <c r="P173" s="7"/>
      <c r="Q173" s="7"/>
      <c r="R173" s="7"/>
      <c r="S173" s="7"/>
      <c r="T173" s="7"/>
      <c r="U173" s="7"/>
      <c r="V173" s="7"/>
      <c r="W173" s="7"/>
      <c r="X173" s="7"/>
      <c r="Y173" s="7"/>
      <c r="Z173" s="7"/>
      <c r="AA173" s="7"/>
      <c r="AB173" s="7"/>
    </row>
    <row r="174" spans="1:28" ht="14.25" customHeight="1" x14ac:dyDescent="0.3">
      <c r="A174" s="7"/>
      <c r="B174" s="7"/>
      <c r="C174" s="7"/>
      <c r="D174" s="295"/>
      <c r="E174" s="295"/>
      <c r="F174" s="295"/>
      <c r="G174" s="7"/>
      <c r="H174" s="7"/>
      <c r="I174" s="7"/>
      <c r="J174" s="7"/>
      <c r="K174" s="295"/>
      <c r="L174" s="295"/>
      <c r="M174" s="295"/>
      <c r="N174" s="7"/>
      <c r="O174" s="7"/>
      <c r="P174" s="7"/>
      <c r="Q174" s="7"/>
      <c r="R174" s="7"/>
      <c r="S174" s="7"/>
      <c r="T174" s="7"/>
      <c r="U174" s="7"/>
      <c r="V174" s="7"/>
      <c r="W174" s="7"/>
      <c r="X174" s="7"/>
      <c r="Y174" s="7"/>
      <c r="Z174" s="7"/>
      <c r="AA174" s="7"/>
      <c r="AB174" s="7"/>
    </row>
    <row r="175" spans="1:28" ht="14.25" customHeight="1" x14ac:dyDescent="0.3">
      <c r="A175" s="7"/>
      <c r="B175" s="7"/>
      <c r="C175" s="7"/>
      <c r="D175" s="295"/>
      <c r="E175" s="295"/>
      <c r="F175" s="295"/>
      <c r="G175" s="7"/>
      <c r="H175" s="7"/>
      <c r="I175" s="7"/>
      <c r="J175" s="7"/>
      <c r="K175" s="295"/>
      <c r="L175" s="295"/>
      <c r="M175" s="295"/>
      <c r="N175" s="7"/>
      <c r="O175" s="7"/>
      <c r="P175" s="7"/>
      <c r="Q175" s="7"/>
      <c r="R175" s="7"/>
      <c r="S175" s="7"/>
      <c r="T175" s="7"/>
      <c r="U175" s="7"/>
      <c r="V175" s="7"/>
      <c r="W175" s="7"/>
      <c r="X175" s="7"/>
      <c r="Y175" s="7"/>
      <c r="Z175" s="7"/>
      <c r="AA175" s="7"/>
      <c r="AB175" s="7"/>
    </row>
    <row r="176" spans="1:28" ht="14.25" customHeight="1" x14ac:dyDescent="0.3">
      <c r="A176" s="7"/>
      <c r="B176" s="7"/>
      <c r="C176" s="7"/>
      <c r="D176" s="295"/>
      <c r="E176" s="295"/>
      <c r="F176" s="295"/>
      <c r="G176" s="7"/>
      <c r="H176" s="7"/>
      <c r="I176" s="7"/>
      <c r="J176" s="7"/>
      <c r="K176" s="295"/>
      <c r="L176" s="295"/>
      <c r="M176" s="295"/>
      <c r="N176" s="7"/>
      <c r="O176" s="7"/>
      <c r="P176" s="7"/>
      <c r="Q176" s="7"/>
      <c r="R176" s="7"/>
      <c r="S176" s="7"/>
      <c r="T176" s="7"/>
      <c r="U176" s="7"/>
      <c r="V176" s="7"/>
      <c r="W176" s="7"/>
      <c r="X176" s="7"/>
      <c r="Y176" s="7"/>
      <c r="Z176" s="7"/>
      <c r="AA176" s="7"/>
      <c r="AB176" s="7"/>
    </row>
    <row r="177" spans="1:28" ht="14.25" customHeight="1" x14ac:dyDescent="0.3">
      <c r="A177" s="7"/>
      <c r="B177" s="7"/>
      <c r="C177" s="7"/>
      <c r="D177" s="295"/>
      <c r="E177" s="295"/>
      <c r="F177" s="295"/>
      <c r="G177" s="7"/>
      <c r="H177" s="7"/>
      <c r="I177" s="7"/>
      <c r="J177" s="7"/>
      <c r="K177" s="295"/>
      <c r="L177" s="295"/>
      <c r="M177" s="295"/>
      <c r="N177" s="7"/>
      <c r="O177" s="7"/>
      <c r="P177" s="7"/>
      <c r="Q177" s="7"/>
      <c r="R177" s="7"/>
      <c r="S177" s="7"/>
      <c r="T177" s="7"/>
      <c r="U177" s="7"/>
      <c r="V177" s="7"/>
      <c r="W177" s="7"/>
      <c r="X177" s="7"/>
      <c r="Y177" s="7"/>
      <c r="Z177" s="7"/>
      <c r="AA177" s="7"/>
      <c r="AB177" s="7"/>
    </row>
    <row r="178" spans="1:28" ht="14.25" customHeight="1" x14ac:dyDescent="0.3">
      <c r="A178" s="7"/>
      <c r="B178" s="7"/>
      <c r="C178" s="7"/>
      <c r="D178" s="295"/>
      <c r="E178" s="295"/>
      <c r="F178" s="295"/>
      <c r="G178" s="7"/>
      <c r="H178" s="7"/>
      <c r="I178" s="7"/>
      <c r="J178" s="7"/>
      <c r="K178" s="295"/>
      <c r="L178" s="295"/>
      <c r="M178" s="295"/>
      <c r="N178" s="7"/>
      <c r="O178" s="7"/>
      <c r="P178" s="7"/>
      <c r="Q178" s="7"/>
      <c r="R178" s="7"/>
      <c r="S178" s="7"/>
      <c r="T178" s="7"/>
      <c r="U178" s="7"/>
      <c r="V178" s="7"/>
      <c r="W178" s="7"/>
      <c r="X178" s="7"/>
      <c r="Y178" s="7"/>
      <c r="Z178" s="7"/>
      <c r="AA178" s="7"/>
      <c r="AB178" s="7"/>
    </row>
    <row r="179" spans="1:28" ht="14.25" customHeight="1" x14ac:dyDescent="0.3">
      <c r="A179" s="7"/>
      <c r="B179" s="7"/>
      <c r="C179" s="7"/>
      <c r="D179" s="295"/>
      <c r="E179" s="295"/>
      <c r="F179" s="295"/>
      <c r="G179" s="7"/>
      <c r="H179" s="7"/>
      <c r="I179" s="7"/>
      <c r="J179" s="7"/>
      <c r="K179" s="295"/>
      <c r="L179" s="295"/>
      <c r="M179" s="295"/>
      <c r="N179" s="7"/>
      <c r="O179" s="7"/>
      <c r="P179" s="7"/>
      <c r="Q179" s="7"/>
      <c r="R179" s="7"/>
      <c r="S179" s="7"/>
      <c r="T179" s="7"/>
      <c r="U179" s="7"/>
      <c r="V179" s="7"/>
      <c r="W179" s="7"/>
      <c r="X179" s="7"/>
      <c r="Y179" s="7"/>
      <c r="Z179" s="7"/>
      <c r="AA179" s="7"/>
      <c r="AB179" s="7"/>
    </row>
    <row r="180" spans="1:28" ht="14.25" customHeight="1" x14ac:dyDescent="0.3">
      <c r="A180" s="7"/>
      <c r="B180" s="7"/>
      <c r="C180" s="7"/>
      <c r="D180" s="295"/>
      <c r="E180" s="295"/>
      <c r="F180" s="295"/>
      <c r="G180" s="7"/>
      <c r="H180" s="7"/>
      <c r="I180" s="7"/>
      <c r="J180" s="7"/>
      <c r="K180" s="295"/>
      <c r="L180" s="295"/>
      <c r="M180" s="295"/>
      <c r="N180" s="7"/>
      <c r="O180" s="7"/>
      <c r="P180" s="7"/>
      <c r="Q180" s="7"/>
      <c r="R180" s="7"/>
      <c r="S180" s="7"/>
      <c r="T180" s="7"/>
      <c r="U180" s="7"/>
      <c r="V180" s="7"/>
      <c r="W180" s="7"/>
      <c r="X180" s="7"/>
      <c r="Y180" s="7"/>
      <c r="Z180" s="7"/>
      <c r="AA180" s="7"/>
      <c r="AB180" s="7"/>
    </row>
    <row r="181" spans="1:28" ht="14.25" customHeight="1" x14ac:dyDescent="0.3">
      <c r="A181" s="7"/>
      <c r="B181" s="7"/>
      <c r="C181" s="7"/>
      <c r="D181" s="295"/>
      <c r="E181" s="295"/>
      <c r="F181" s="295"/>
      <c r="G181" s="7"/>
      <c r="H181" s="7"/>
      <c r="I181" s="7"/>
      <c r="J181" s="7"/>
      <c r="K181" s="295"/>
      <c r="L181" s="295"/>
      <c r="M181" s="295"/>
      <c r="N181" s="7"/>
      <c r="O181" s="7"/>
      <c r="P181" s="7"/>
      <c r="Q181" s="7"/>
      <c r="R181" s="7"/>
      <c r="S181" s="7"/>
      <c r="T181" s="7"/>
      <c r="U181" s="7"/>
      <c r="V181" s="7"/>
      <c r="W181" s="7"/>
      <c r="X181" s="7"/>
      <c r="Y181" s="7"/>
      <c r="Z181" s="7"/>
      <c r="AA181" s="7"/>
      <c r="AB181" s="7"/>
    </row>
    <row r="182" spans="1:28" ht="14.25" customHeight="1" x14ac:dyDescent="0.3">
      <c r="A182" s="7"/>
      <c r="B182" s="7"/>
      <c r="C182" s="7"/>
      <c r="D182" s="295"/>
      <c r="E182" s="295"/>
      <c r="F182" s="295"/>
      <c r="G182" s="7"/>
      <c r="H182" s="7"/>
      <c r="I182" s="7"/>
      <c r="J182" s="7"/>
      <c r="K182" s="295"/>
      <c r="L182" s="295"/>
      <c r="M182" s="295"/>
      <c r="N182" s="7"/>
      <c r="O182" s="7"/>
      <c r="P182" s="7"/>
      <c r="Q182" s="7"/>
      <c r="R182" s="7"/>
      <c r="S182" s="7"/>
      <c r="T182" s="7"/>
      <c r="U182" s="7"/>
      <c r="V182" s="7"/>
      <c r="W182" s="7"/>
      <c r="X182" s="7"/>
      <c r="Y182" s="7"/>
      <c r="Z182" s="7"/>
      <c r="AA182" s="7"/>
      <c r="AB182" s="7"/>
    </row>
    <row r="183" spans="1:28" ht="14.25" customHeight="1" x14ac:dyDescent="0.3">
      <c r="A183" s="7"/>
      <c r="B183" s="7"/>
      <c r="C183" s="7"/>
      <c r="D183" s="295"/>
      <c r="E183" s="295"/>
      <c r="F183" s="295"/>
      <c r="G183" s="7"/>
      <c r="H183" s="7"/>
      <c r="I183" s="7"/>
      <c r="J183" s="7"/>
      <c r="K183" s="295"/>
      <c r="L183" s="295"/>
      <c r="M183" s="295"/>
      <c r="N183" s="7"/>
      <c r="O183" s="7"/>
      <c r="P183" s="7"/>
      <c r="Q183" s="7"/>
      <c r="R183" s="7"/>
      <c r="S183" s="7"/>
      <c r="T183" s="7"/>
      <c r="U183" s="7"/>
      <c r="V183" s="7"/>
      <c r="W183" s="7"/>
      <c r="X183" s="7"/>
      <c r="Y183" s="7"/>
      <c r="Z183" s="7"/>
      <c r="AA183" s="7"/>
      <c r="AB183" s="7"/>
    </row>
    <row r="184" spans="1:28" ht="14.25" customHeight="1" x14ac:dyDescent="0.3">
      <c r="A184" s="7"/>
      <c r="B184" s="7"/>
      <c r="C184" s="7"/>
      <c r="D184" s="295"/>
      <c r="E184" s="295"/>
      <c r="F184" s="295"/>
      <c r="G184" s="7"/>
      <c r="H184" s="7"/>
      <c r="I184" s="7"/>
      <c r="J184" s="7"/>
      <c r="K184" s="295"/>
      <c r="L184" s="295"/>
      <c r="M184" s="295"/>
      <c r="N184" s="7"/>
      <c r="O184" s="7"/>
      <c r="P184" s="7"/>
      <c r="Q184" s="7"/>
      <c r="R184" s="7"/>
      <c r="S184" s="7"/>
      <c r="T184" s="7"/>
      <c r="U184" s="7"/>
      <c r="V184" s="7"/>
      <c r="W184" s="7"/>
      <c r="X184" s="7"/>
      <c r="Y184" s="7"/>
      <c r="Z184" s="7"/>
      <c r="AA184" s="7"/>
      <c r="AB184" s="7"/>
    </row>
    <row r="185" spans="1:28" ht="14.25" customHeight="1" x14ac:dyDescent="0.3">
      <c r="A185" s="7"/>
      <c r="B185" s="7"/>
      <c r="C185" s="7"/>
      <c r="D185" s="295"/>
      <c r="E185" s="295"/>
      <c r="F185" s="295"/>
      <c r="G185" s="7"/>
      <c r="H185" s="7"/>
      <c r="I185" s="7"/>
      <c r="J185" s="7"/>
      <c r="K185" s="295"/>
      <c r="L185" s="295"/>
      <c r="M185" s="295"/>
      <c r="N185" s="7"/>
      <c r="O185" s="7"/>
      <c r="P185" s="7"/>
      <c r="Q185" s="7"/>
      <c r="R185" s="7"/>
      <c r="S185" s="7"/>
      <c r="T185" s="7"/>
      <c r="U185" s="7"/>
      <c r="V185" s="7"/>
      <c r="W185" s="7"/>
      <c r="X185" s="7"/>
      <c r="Y185" s="7"/>
      <c r="Z185" s="7"/>
      <c r="AA185" s="7"/>
      <c r="AB185" s="7"/>
    </row>
    <row r="186" spans="1:28" ht="14.25" customHeight="1" x14ac:dyDescent="0.3">
      <c r="A186" s="7"/>
      <c r="B186" s="7"/>
      <c r="C186" s="7"/>
      <c r="D186" s="295"/>
      <c r="E186" s="295"/>
      <c r="F186" s="295"/>
      <c r="G186" s="7"/>
      <c r="H186" s="7"/>
      <c r="I186" s="7"/>
      <c r="J186" s="7"/>
      <c r="K186" s="295"/>
      <c r="L186" s="295"/>
      <c r="M186" s="295"/>
      <c r="N186" s="7"/>
      <c r="O186" s="7"/>
      <c r="P186" s="7"/>
      <c r="Q186" s="7"/>
      <c r="R186" s="7"/>
      <c r="S186" s="7"/>
      <c r="T186" s="7"/>
      <c r="U186" s="7"/>
      <c r="V186" s="7"/>
      <c r="W186" s="7"/>
      <c r="X186" s="7"/>
      <c r="Y186" s="7"/>
      <c r="Z186" s="7"/>
      <c r="AA186" s="7"/>
      <c r="AB186" s="7"/>
    </row>
    <row r="187" spans="1:28" ht="14.25" customHeight="1" x14ac:dyDescent="0.3">
      <c r="A187" s="7"/>
      <c r="B187" s="7"/>
      <c r="C187" s="7"/>
      <c r="D187" s="295"/>
      <c r="E187" s="295"/>
      <c r="F187" s="295"/>
      <c r="G187" s="7"/>
      <c r="H187" s="7"/>
      <c r="I187" s="7"/>
      <c r="J187" s="7"/>
      <c r="K187" s="295"/>
      <c r="L187" s="295"/>
      <c r="M187" s="295"/>
      <c r="N187" s="7"/>
      <c r="O187" s="7"/>
      <c r="P187" s="7"/>
      <c r="Q187" s="7"/>
      <c r="R187" s="7"/>
      <c r="S187" s="7"/>
      <c r="T187" s="7"/>
      <c r="U187" s="7"/>
      <c r="V187" s="7"/>
      <c r="W187" s="7"/>
      <c r="X187" s="7"/>
      <c r="Y187" s="7"/>
      <c r="Z187" s="7"/>
      <c r="AA187" s="7"/>
      <c r="AB187" s="7"/>
    </row>
    <row r="188" spans="1:28" ht="14.25" customHeight="1" x14ac:dyDescent="0.3">
      <c r="A188" s="7"/>
      <c r="B188" s="7"/>
      <c r="C188" s="7"/>
      <c r="D188" s="295"/>
      <c r="E188" s="295"/>
      <c r="F188" s="295"/>
      <c r="G188" s="7"/>
      <c r="H188" s="7"/>
      <c r="I188" s="7"/>
      <c r="J188" s="7"/>
      <c r="K188" s="295"/>
      <c r="L188" s="295"/>
      <c r="M188" s="295"/>
      <c r="N188" s="7"/>
      <c r="O188" s="7"/>
      <c r="P188" s="7"/>
      <c r="Q188" s="7"/>
      <c r="R188" s="7"/>
      <c r="S188" s="7"/>
      <c r="T188" s="7"/>
      <c r="U188" s="7"/>
      <c r="V188" s="7"/>
      <c r="W188" s="7"/>
      <c r="X188" s="7"/>
      <c r="Y188" s="7"/>
      <c r="Z188" s="7"/>
      <c r="AA188" s="7"/>
      <c r="AB188" s="7"/>
    </row>
    <row r="189" spans="1:28" ht="14.25" customHeight="1" x14ac:dyDescent="0.3">
      <c r="A189" s="7"/>
      <c r="B189" s="7"/>
      <c r="C189" s="7"/>
      <c r="D189" s="295"/>
      <c r="E189" s="295"/>
      <c r="F189" s="295"/>
      <c r="G189" s="7"/>
      <c r="H189" s="7"/>
      <c r="I189" s="7"/>
      <c r="J189" s="7"/>
      <c r="K189" s="295"/>
      <c r="L189" s="295"/>
      <c r="M189" s="295"/>
      <c r="N189" s="7"/>
      <c r="O189" s="7"/>
      <c r="P189" s="7"/>
      <c r="Q189" s="7"/>
      <c r="R189" s="7"/>
      <c r="S189" s="7"/>
      <c r="T189" s="7"/>
      <c r="U189" s="7"/>
      <c r="V189" s="7"/>
      <c r="W189" s="7"/>
      <c r="X189" s="7"/>
      <c r="Y189" s="7"/>
      <c r="Z189" s="7"/>
      <c r="AA189" s="7"/>
      <c r="AB189" s="7"/>
    </row>
    <row r="190" spans="1:28" ht="14.25" customHeight="1" x14ac:dyDescent="0.3">
      <c r="A190" s="7"/>
      <c r="B190" s="7"/>
      <c r="C190" s="7"/>
      <c r="D190" s="295"/>
      <c r="E190" s="295"/>
      <c r="F190" s="295"/>
      <c r="G190" s="7"/>
      <c r="H190" s="7"/>
      <c r="I190" s="7"/>
      <c r="J190" s="7"/>
      <c r="K190" s="295"/>
      <c r="L190" s="295"/>
      <c r="M190" s="295"/>
      <c r="N190" s="7"/>
      <c r="O190" s="7"/>
      <c r="P190" s="7"/>
      <c r="Q190" s="7"/>
      <c r="R190" s="7"/>
      <c r="S190" s="7"/>
      <c r="T190" s="7"/>
      <c r="U190" s="7"/>
      <c r="V190" s="7"/>
      <c r="W190" s="7"/>
      <c r="X190" s="7"/>
      <c r="Y190" s="7"/>
      <c r="Z190" s="7"/>
      <c r="AA190" s="7"/>
      <c r="AB190" s="7"/>
    </row>
    <row r="191" spans="1:28" ht="14.25" customHeight="1" x14ac:dyDescent="0.3">
      <c r="A191" s="7"/>
      <c r="B191" s="7"/>
      <c r="C191" s="7"/>
      <c r="D191" s="295"/>
      <c r="E191" s="295"/>
      <c r="F191" s="295"/>
      <c r="G191" s="7"/>
      <c r="H191" s="7"/>
      <c r="I191" s="7"/>
      <c r="J191" s="7"/>
      <c r="K191" s="295"/>
      <c r="L191" s="295"/>
      <c r="M191" s="295"/>
      <c r="N191" s="7"/>
      <c r="O191" s="7"/>
      <c r="P191" s="7"/>
      <c r="Q191" s="7"/>
      <c r="R191" s="7"/>
      <c r="S191" s="7"/>
      <c r="T191" s="7"/>
      <c r="U191" s="7"/>
      <c r="V191" s="7"/>
      <c r="W191" s="7"/>
      <c r="X191" s="7"/>
      <c r="Y191" s="7"/>
      <c r="Z191" s="7"/>
      <c r="AA191" s="7"/>
      <c r="AB191" s="7"/>
    </row>
    <row r="192" spans="1:28" ht="14.25" customHeight="1" x14ac:dyDescent="0.3">
      <c r="A192" s="7"/>
      <c r="B192" s="7"/>
      <c r="C192" s="7"/>
      <c r="D192" s="295"/>
      <c r="E192" s="295"/>
      <c r="F192" s="295"/>
      <c r="G192" s="7"/>
      <c r="H192" s="7"/>
      <c r="I192" s="7"/>
      <c r="J192" s="7"/>
      <c r="K192" s="295"/>
      <c r="L192" s="295"/>
      <c r="M192" s="295"/>
      <c r="N192" s="7"/>
      <c r="O192" s="7"/>
      <c r="P192" s="7"/>
      <c r="Q192" s="7"/>
      <c r="R192" s="7"/>
      <c r="S192" s="7"/>
      <c r="T192" s="7"/>
      <c r="U192" s="7"/>
      <c r="V192" s="7"/>
      <c r="W192" s="7"/>
      <c r="X192" s="7"/>
      <c r="Y192" s="7"/>
      <c r="Z192" s="7"/>
      <c r="AA192" s="7"/>
      <c r="AB192" s="7"/>
    </row>
    <row r="193" spans="1:28" ht="14.25" customHeight="1" x14ac:dyDescent="0.3">
      <c r="A193" s="7"/>
      <c r="B193" s="7"/>
      <c r="C193" s="7"/>
      <c r="D193" s="295"/>
      <c r="E193" s="295"/>
      <c r="F193" s="295"/>
      <c r="G193" s="7"/>
      <c r="H193" s="7"/>
      <c r="I193" s="7"/>
      <c r="J193" s="7"/>
      <c r="K193" s="295"/>
      <c r="L193" s="295"/>
      <c r="M193" s="295"/>
      <c r="N193" s="7"/>
      <c r="O193" s="7"/>
      <c r="P193" s="7"/>
      <c r="Q193" s="7"/>
      <c r="R193" s="7"/>
      <c r="S193" s="7"/>
      <c r="T193" s="7"/>
      <c r="U193" s="7"/>
      <c r="V193" s="7"/>
      <c r="W193" s="7"/>
      <c r="X193" s="7"/>
      <c r="Y193" s="7"/>
      <c r="Z193" s="7"/>
      <c r="AA193" s="7"/>
      <c r="AB193" s="7"/>
    </row>
    <row r="194" spans="1:28" ht="14.25" customHeight="1" x14ac:dyDescent="0.3">
      <c r="A194" s="7"/>
      <c r="B194" s="7"/>
      <c r="C194" s="7"/>
      <c r="D194" s="295"/>
      <c r="E194" s="295"/>
      <c r="F194" s="295"/>
      <c r="G194" s="7"/>
      <c r="H194" s="7"/>
      <c r="I194" s="7"/>
      <c r="J194" s="7"/>
      <c r="K194" s="295"/>
      <c r="L194" s="295"/>
      <c r="M194" s="295"/>
      <c r="N194" s="7"/>
      <c r="O194" s="7"/>
      <c r="P194" s="7"/>
      <c r="Q194" s="7"/>
      <c r="R194" s="7"/>
      <c r="S194" s="7"/>
      <c r="T194" s="7"/>
      <c r="U194" s="7"/>
      <c r="V194" s="7"/>
      <c r="W194" s="7"/>
      <c r="X194" s="7"/>
      <c r="Y194" s="7"/>
      <c r="Z194" s="7"/>
      <c r="AA194" s="7"/>
      <c r="AB194" s="7"/>
    </row>
    <row r="195" spans="1:28" ht="14.25" customHeight="1" x14ac:dyDescent="0.3">
      <c r="A195" s="7"/>
      <c r="B195" s="7"/>
      <c r="C195" s="7"/>
      <c r="D195" s="295"/>
      <c r="E195" s="295"/>
      <c r="F195" s="295"/>
      <c r="G195" s="7"/>
      <c r="H195" s="7"/>
      <c r="I195" s="7"/>
      <c r="J195" s="7"/>
      <c r="K195" s="295"/>
      <c r="L195" s="295"/>
      <c r="M195" s="295"/>
      <c r="N195" s="7"/>
      <c r="O195" s="7"/>
      <c r="P195" s="7"/>
      <c r="Q195" s="7"/>
      <c r="R195" s="7"/>
      <c r="S195" s="7"/>
      <c r="T195" s="7"/>
      <c r="U195" s="7"/>
      <c r="V195" s="7"/>
      <c r="W195" s="7"/>
      <c r="X195" s="7"/>
      <c r="Y195" s="7"/>
      <c r="Z195" s="7"/>
      <c r="AA195" s="7"/>
      <c r="AB195" s="7"/>
    </row>
    <row r="196" spans="1:28" ht="14.25" customHeight="1" x14ac:dyDescent="0.3">
      <c r="A196" s="7"/>
      <c r="B196" s="7"/>
      <c r="C196" s="7"/>
      <c r="D196" s="295"/>
      <c r="E196" s="295"/>
      <c r="F196" s="295"/>
      <c r="G196" s="7"/>
      <c r="H196" s="7"/>
      <c r="I196" s="7"/>
      <c r="J196" s="7"/>
      <c r="K196" s="295"/>
      <c r="L196" s="295"/>
      <c r="M196" s="295"/>
      <c r="N196" s="7"/>
      <c r="O196" s="7"/>
      <c r="P196" s="7"/>
      <c r="Q196" s="7"/>
      <c r="R196" s="7"/>
      <c r="S196" s="7"/>
      <c r="T196" s="7"/>
      <c r="U196" s="7"/>
      <c r="V196" s="7"/>
      <c r="W196" s="7"/>
      <c r="X196" s="7"/>
      <c r="Y196" s="7"/>
      <c r="Z196" s="7"/>
      <c r="AA196" s="7"/>
      <c r="AB196" s="7"/>
    </row>
    <row r="197" spans="1:28" ht="14.25" customHeight="1" x14ac:dyDescent="0.3">
      <c r="A197" s="7"/>
      <c r="B197" s="7"/>
      <c r="C197" s="7"/>
      <c r="D197" s="295"/>
      <c r="E197" s="295"/>
      <c r="F197" s="295"/>
      <c r="G197" s="7"/>
      <c r="H197" s="7"/>
      <c r="I197" s="7"/>
      <c r="J197" s="7"/>
      <c r="K197" s="295"/>
      <c r="L197" s="295"/>
      <c r="M197" s="295"/>
      <c r="N197" s="7"/>
      <c r="O197" s="7"/>
      <c r="P197" s="7"/>
      <c r="Q197" s="7"/>
      <c r="R197" s="7"/>
      <c r="S197" s="7"/>
      <c r="T197" s="7"/>
      <c r="U197" s="7"/>
      <c r="V197" s="7"/>
      <c r="W197" s="7"/>
      <c r="X197" s="7"/>
      <c r="Y197" s="7"/>
      <c r="Z197" s="7"/>
      <c r="AA197" s="7"/>
      <c r="AB197" s="7"/>
    </row>
    <row r="198" spans="1:28" ht="14.25" customHeight="1" x14ac:dyDescent="0.3">
      <c r="A198" s="7"/>
      <c r="B198" s="7"/>
      <c r="C198" s="7"/>
      <c r="D198" s="295"/>
      <c r="E198" s="295"/>
      <c r="F198" s="295"/>
      <c r="G198" s="7"/>
      <c r="H198" s="7"/>
      <c r="I198" s="7"/>
      <c r="J198" s="7"/>
      <c r="K198" s="295"/>
      <c r="L198" s="295"/>
      <c r="M198" s="295"/>
      <c r="N198" s="7"/>
      <c r="O198" s="7"/>
      <c r="P198" s="7"/>
      <c r="Q198" s="7"/>
      <c r="R198" s="7"/>
      <c r="S198" s="7"/>
      <c r="T198" s="7"/>
      <c r="U198" s="7"/>
      <c r="V198" s="7"/>
      <c r="W198" s="7"/>
      <c r="X198" s="7"/>
      <c r="Y198" s="7"/>
      <c r="Z198" s="7"/>
      <c r="AA198" s="7"/>
      <c r="AB198" s="7"/>
    </row>
    <row r="199" spans="1:28" ht="14.25" customHeight="1" x14ac:dyDescent="0.3">
      <c r="A199" s="7"/>
      <c r="B199" s="7"/>
      <c r="C199" s="7"/>
      <c r="D199" s="295"/>
      <c r="E199" s="295"/>
      <c r="F199" s="295"/>
      <c r="G199" s="7"/>
      <c r="H199" s="7"/>
      <c r="I199" s="7"/>
      <c r="J199" s="7"/>
      <c r="K199" s="295"/>
      <c r="L199" s="295"/>
      <c r="M199" s="295"/>
      <c r="N199" s="7"/>
      <c r="O199" s="7"/>
      <c r="P199" s="7"/>
      <c r="Q199" s="7"/>
      <c r="R199" s="7"/>
      <c r="S199" s="7"/>
      <c r="T199" s="7"/>
      <c r="U199" s="7"/>
      <c r="V199" s="7"/>
      <c r="W199" s="7"/>
      <c r="X199" s="7"/>
      <c r="Y199" s="7"/>
      <c r="Z199" s="7"/>
      <c r="AA199" s="7"/>
      <c r="AB199" s="7"/>
    </row>
    <row r="200" spans="1:28" ht="14.25" customHeight="1" x14ac:dyDescent="0.3">
      <c r="A200" s="7"/>
      <c r="B200" s="7"/>
      <c r="C200" s="7"/>
      <c r="D200" s="295"/>
      <c r="E200" s="295"/>
      <c r="F200" s="295"/>
      <c r="G200" s="7"/>
      <c r="H200" s="7"/>
      <c r="I200" s="7"/>
      <c r="J200" s="7"/>
      <c r="K200" s="295"/>
      <c r="L200" s="295"/>
      <c r="M200" s="295"/>
      <c r="N200" s="7"/>
      <c r="O200" s="7"/>
      <c r="P200" s="7"/>
      <c r="Q200" s="7"/>
      <c r="R200" s="7"/>
      <c r="S200" s="7"/>
      <c r="T200" s="7"/>
      <c r="U200" s="7"/>
      <c r="V200" s="7"/>
      <c r="W200" s="7"/>
      <c r="X200" s="7"/>
      <c r="Y200" s="7"/>
      <c r="Z200" s="7"/>
      <c r="AA200" s="7"/>
      <c r="AB200" s="7"/>
    </row>
    <row r="201" spans="1:28" ht="14.25" customHeight="1" x14ac:dyDescent="0.3">
      <c r="A201" s="7"/>
      <c r="B201" s="7"/>
      <c r="C201" s="7"/>
      <c r="D201" s="295"/>
      <c r="E201" s="295"/>
      <c r="F201" s="295"/>
      <c r="G201" s="7"/>
      <c r="H201" s="7"/>
      <c r="I201" s="7"/>
      <c r="J201" s="7"/>
      <c r="K201" s="295"/>
      <c r="L201" s="295"/>
      <c r="M201" s="295"/>
      <c r="N201" s="7"/>
      <c r="O201" s="7"/>
      <c r="P201" s="7"/>
      <c r="Q201" s="7"/>
      <c r="R201" s="7"/>
      <c r="S201" s="7"/>
      <c r="T201" s="7"/>
      <c r="U201" s="7"/>
      <c r="V201" s="7"/>
      <c r="W201" s="7"/>
      <c r="X201" s="7"/>
      <c r="Y201" s="7"/>
      <c r="Z201" s="7"/>
      <c r="AA201" s="7"/>
      <c r="AB201" s="7"/>
    </row>
    <row r="202" spans="1:28" ht="14.25" customHeight="1" x14ac:dyDescent="0.3">
      <c r="A202" s="7"/>
      <c r="B202" s="7"/>
      <c r="C202" s="7"/>
      <c r="D202" s="295"/>
      <c r="E202" s="295"/>
      <c r="F202" s="295"/>
      <c r="G202" s="7"/>
      <c r="H202" s="7"/>
      <c r="I202" s="7"/>
      <c r="J202" s="7"/>
      <c r="K202" s="295"/>
      <c r="L202" s="295"/>
      <c r="M202" s="295"/>
      <c r="N202" s="7"/>
      <c r="O202" s="7"/>
      <c r="P202" s="7"/>
      <c r="Q202" s="7"/>
      <c r="R202" s="7"/>
      <c r="S202" s="7"/>
      <c r="T202" s="7"/>
      <c r="U202" s="7"/>
      <c r="V202" s="7"/>
      <c r="W202" s="7"/>
      <c r="X202" s="7"/>
      <c r="Y202" s="7"/>
      <c r="Z202" s="7"/>
      <c r="AA202" s="7"/>
      <c r="AB202" s="7"/>
    </row>
    <row r="203" spans="1:28" ht="14.25" customHeight="1" x14ac:dyDescent="0.3">
      <c r="A203" s="7"/>
      <c r="B203" s="7"/>
      <c r="C203" s="7"/>
      <c r="D203" s="295"/>
      <c r="E203" s="295"/>
      <c r="F203" s="295"/>
      <c r="G203" s="7"/>
      <c r="H203" s="7"/>
      <c r="I203" s="7"/>
      <c r="J203" s="7"/>
      <c r="K203" s="295"/>
      <c r="L203" s="295"/>
      <c r="M203" s="295"/>
      <c r="N203" s="7"/>
      <c r="O203" s="7"/>
      <c r="P203" s="7"/>
      <c r="Q203" s="7"/>
      <c r="R203" s="7"/>
      <c r="S203" s="7"/>
      <c r="T203" s="7"/>
      <c r="U203" s="7"/>
      <c r="V203" s="7"/>
      <c r="W203" s="7"/>
      <c r="X203" s="7"/>
      <c r="Y203" s="7"/>
      <c r="Z203" s="7"/>
      <c r="AA203" s="7"/>
      <c r="AB203" s="7"/>
    </row>
    <row r="204" spans="1:28" ht="14.25" customHeight="1" x14ac:dyDescent="0.3">
      <c r="A204" s="7"/>
      <c r="B204" s="7"/>
      <c r="C204" s="7"/>
      <c r="D204" s="295"/>
      <c r="E204" s="295"/>
      <c r="F204" s="295"/>
      <c r="G204" s="7"/>
      <c r="H204" s="7"/>
      <c r="I204" s="7"/>
      <c r="J204" s="7"/>
      <c r="K204" s="295"/>
      <c r="L204" s="295"/>
      <c r="M204" s="295"/>
      <c r="N204" s="7"/>
      <c r="O204" s="7"/>
      <c r="P204" s="7"/>
      <c r="Q204" s="7"/>
      <c r="R204" s="7"/>
      <c r="S204" s="7"/>
      <c r="T204" s="7"/>
      <c r="U204" s="7"/>
      <c r="V204" s="7"/>
      <c r="W204" s="7"/>
      <c r="X204" s="7"/>
      <c r="Y204" s="7"/>
      <c r="Z204" s="7"/>
      <c r="AA204" s="7"/>
      <c r="AB204" s="7"/>
    </row>
    <row r="205" spans="1:28" ht="14.25" customHeight="1" x14ac:dyDescent="0.3">
      <c r="A205" s="7"/>
      <c r="B205" s="7"/>
      <c r="C205" s="7"/>
      <c r="D205" s="295"/>
      <c r="E205" s="295"/>
      <c r="F205" s="295"/>
      <c r="G205" s="7"/>
      <c r="H205" s="7"/>
      <c r="I205" s="7"/>
      <c r="J205" s="7"/>
      <c r="K205" s="295"/>
      <c r="L205" s="295"/>
      <c r="M205" s="295"/>
      <c r="N205" s="7"/>
      <c r="O205" s="7"/>
      <c r="P205" s="7"/>
      <c r="Q205" s="7"/>
      <c r="R205" s="7"/>
      <c r="S205" s="7"/>
      <c r="T205" s="7"/>
      <c r="U205" s="7"/>
      <c r="V205" s="7"/>
      <c r="W205" s="7"/>
      <c r="X205" s="7"/>
      <c r="Y205" s="7"/>
      <c r="Z205" s="7"/>
      <c r="AA205" s="7"/>
      <c r="AB205" s="7"/>
    </row>
    <row r="206" spans="1:28" ht="14.25" customHeight="1" x14ac:dyDescent="0.3">
      <c r="A206" s="7"/>
      <c r="B206" s="7"/>
      <c r="C206" s="7"/>
      <c r="D206" s="295"/>
      <c r="E206" s="295"/>
      <c r="F206" s="295"/>
      <c r="G206" s="7"/>
      <c r="H206" s="7"/>
      <c r="I206" s="7"/>
      <c r="J206" s="7"/>
      <c r="K206" s="295"/>
      <c r="L206" s="295"/>
      <c r="M206" s="295"/>
      <c r="N206" s="7"/>
      <c r="O206" s="7"/>
      <c r="P206" s="7"/>
      <c r="Q206" s="7"/>
      <c r="R206" s="7"/>
      <c r="S206" s="7"/>
      <c r="T206" s="7"/>
      <c r="U206" s="7"/>
      <c r="V206" s="7"/>
      <c r="W206" s="7"/>
      <c r="X206" s="7"/>
      <c r="Y206" s="7"/>
      <c r="Z206" s="7"/>
      <c r="AA206" s="7"/>
      <c r="AB206" s="7"/>
    </row>
    <row r="207" spans="1:28" ht="14.25" customHeight="1" x14ac:dyDescent="0.3">
      <c r="A207" s="7"/>
      <c r="B207" s="7"/>
      <c r="C207" s="7"/>
      <c r="D207" s="295"/>
      <c r="E207" s="295"/>
      <c r="F207" s="295"/>
      <c r="G207" s="7"/>
      <c r="H207" s="7"/>
      <c r="I207" s="7"/>
      <c r="J207" s="7"/>
      <c r="K207" s="295"/>
      <c r="L207" s="295"/>
      <c r="M207" s="295"/>
      <c r="N207" s="7"/>
      <c r="O207" s="7"/>
      <c r="P207" s="7"/>
      <c r="Q207" s="7"/>
      <c r="R207" s="7"/>
      <c r="S207" s="7"/>
      <c r="T207" s="7"/>
      <c r="U207" s="7"/>
      <c r="V207" s="7"/>
      <c r="W207" s="7"/>
      <c r="X207" s="7"/>
      <c r="Y207" s="7"/>
      <c r="Z207" s="7"/>
      <c r="AA207" s="7"/>
      <c r="AB207" s="7"/>
    </row>
    <row r="208" spans="1:28" ht="14.25" customHeight="1" x14ac:dyDescent="0.3">
      <c r="A208" s="7"/>
      <c r="B208" s="7"/>
      <c r="C208" s="7"/>
      <c r="D208" s="295"/>
      <c r="E208" s="295"/>
      <c r="F208" s="295"/>
      <c r="G208" s="7"/>
      <c r="H208" s="7"/>
      <c r="I208" s="7"/>
      <c r="J208" s="7"/>
      <c r="K208" s="295"/>
      <c r="L208" s="295"/>
      <c r="M208" s="295"/>
      <c r="N208" s="7"/>
      <c r="O208" s="7"/>
      <c r="P208" s="7"/>
      <c r="Q208" s="7"/>
      <c r="R208" s="7"/>
      <c r="S208" s="7"/>
      <c r="T208" s="7"/>
      <c r="U208" s="7"/>
      <c r="V208" s="7"/>
      <c r="W208" s="7"/>
      <c r="X208" s="7"/>
      <c r="Y208" s="7"/>
      <c r="Z208" s="7"/>
      <c r="AA208" s="7"/>
      <c r="AB208" s="7"/>
    </row>
    <row r="209" spans="1:28" ht="14.25" customHeight="1" x14ac:dyDescent="0.3">
      <c r="A209" s="7"/>
      <c r="B209" s="7"/>
      <c r="C209" s="7"/>
      <c r="D209" s="295"/>
      <c r="E209" s="295"/>
      <c r="F209" s="295"/>
      <c r="G209" s="7"/>
      <c r="H209" s="7"/>
      <c r="I209" s="7"/>
      <c r="J209" s="7"/>
      <c r="K209" s="295"/>
      <c r="L209" s="295"/>
      <c r="M209" s="295"/>
      <c r="N209" s="7"/>
      <c r="O209" s="7"/>
      <c r="P209" s="7"/>
      <c r="Q209" s="7"/>
      <c r="R209" s="7"/>
      <c r="S209" s="7"/>
      <c r="T209" s="7"/>
      <c r="U209" s="7"/>
      <c r="V209" s="7"/>
      <c r="W209" s="7"/>
      <c r="X209" s="7"/>
      <c r="Y209" s="7"/>
      <c r="Z209" s="7"/>
      <c r="AA209" s="7"/>
      <c r="AB209" s="7"/>
    </row>
    <row r="210" spans="1:28" ht="14.25" customHeight="1" x14ac:dyDescent="0.3">
      <c r="A210" s="7"/>
      <c r="B210" s="7"/>
      <c r="C210" s="7"/>
      <c r="D210" s="295"/>
      <c r="E210" s="295"/>
      <c r="F210" s="295"/>
      <c r="G210" s="7"/>
      <c r="H210" s="7"/>
      <c r="I210" s="7"/>
      <c r="J210" s="7"/>
      <c r="K210" s="295"/>
      <c r="L210" s="295"/>
      <c r="M210" s="295"/>
      <c r="N210" s="7"/>
      <c r="O210" s="7"/>
      <c r="P210" s="7"/>
      <c r="Q210" s="7"/>
      <c r="R210" s="7"/>
      <c r="S210" s="7"/>
      <c r="T210" s="7"/>
      <c r="U210" s="7"/>
      <c r="V210" s="7"/>
      <c r="W210" s="7"/>
      <c r="X210" s="7"/>
      <c r="Y210" s="7"/>
      <c r="Z210" s="7"/>
      <c r="AA210" s="7"/>
      <c r="AB210" s="7"/>
    </row>
    <row r="211" spans="1:28" ht="14.25" customHeight="1" x14ac:dyDescent="0.3">
      <c r="A211" s="7"/>
      <c r="B211" s="7"/>
      <c r="C211" s="7"/>
      <c r="D211" s="295"/>
      <c r="E211" s="295"/>
      <c r="F211" s="295"/>
      <c r="G211" s="7"/>
      <c r="H211" s="7"/>
      <c r="I211" s="7"/>
      <c r="J211" s="7"/>
      <c r="K211" s="295"/>
      <c r="L211" s="295"/>
      <c r="M211" s="295"/>
      <c r="N211" s="7"/>
      <c r="O211" s="7"/>
      <c r="P211" s="7"/>
      <c r="Q211" s="7"/>
      <c r="R211" s="7"/>
      <c r="S211" s="7"/>
      <c r="T211" s="7"/>
      <c r="U211" s="7"/>
      <c r="V211" s="7"/>
      <c r="W211" s="7"/>
      <c r="X211" s="7"/>
      <c r="Y211" s="7"/>
      <c r="Z211" s="7"/>
      <c r="AA211" s="7"/>
      <c r="AB211" s="7"/>
    </row>
    <row r="212" spans="1:28" ht="14.25" customHeight="1" x14ac:dyDescent="0.3">
      <c r="A212" s="7"/>
      <c r="B212" s="7"/>
      <c r="C212" s="7"/>
      <c r="D212" s="295"/>
      <c r="E212" s="295"/>
      <c r="F212" s="295"/>
      <c r="G212" s="7"/>
      <c r="H212" s="7"/>
      <c r="I212" s="7"/>
      <c r="J212" s="7"/>
      <c r="K212" s="295"/>
      <c r="L212" s="295"/>
      <c r="M212" s="295"/>
      <c r="N212" s="7"/>
      <c r="O212" s="7"/>
      <c r="P212" s="7"/>
      <c r="Q212" s="7"/>
      <c r="R212" s="7"/>
      <c r="S212" s="7"/>
      <c r="T212" s="7"/>
      <c r="U212" s="7"/>
      <c r="V212" s="7"/>
      <c r="W212" s="7"/>
      <c r="X212" s="7"/>
      <c r="Y212" s="7"/>
      <c r="Z212" s="7"/>
      <c r="AA212" s="7"/>
      <c r="AB212" s="7"/>
    </row>
    <row r="213" spans="1:28" ht="14.25" customHeight="1" x14ac:dyDescent="0.3">
      <c r="A213" s="7"/>
      <c r="B213" s="7"/>
      <c r="C213" s="7"/>
      <c r="D213" s="295"/>
      <c r="E213" s="295"/>
      <c r="F213" s="295"/>
      <c r="G213" s="7"/>
      <c r="H213" s="7"/>
      <c r="I213" s="7"/>
      <c r="J213" s="7"/>
      <c r="K213" s="295"/>
      <c r="L213" s="295"/>
      <c r="M213" s="295"/>
      <c r="N213" s="7"/>
      <c r="O213" s="7"/>
      <c r="P213" s="7"/>
      <c r="Q213" s="7"/>
      <c r="R213" s="7"/>
      <c r="S213" s="7"/>
      <c r="T213" s="7"/>
      <c r="U213" s="7"/>
      <c r="V213" s="7"/>
      <c r="W213" s="7"/>
      <c r="X213" s="7"/>
      <c r="Y213" s="7"/>
      <c r="Z213" s="7"/>
      <c r="AA213" s="7"/>
      <c r="AB213" s="7"/>
    </row>
    <row r="214" spans="1:28" ht="14.25" customHeight="1" x14ac:dyDescent="0.3">
      <c r="A214" s="7"/>
      <c r="B214" s="7"/>
      <c r="C214" s="7"/>
      <c r="D214" s="295"/>
      <c r="E214" s="295"/>
      <c r="F214" s="295"/>
      <c r="G214" s="7"/>
      <c r="H214" s="7"/>
      <c r="I214" s="7"/>
      <c r="J214" s="7"/>
      <c r="K214" s="295"/>
      <c r="L214" s="295"/>
      <c r="M214" s="295"/>
      <c r="N214" s="7"/>
      <c r="O214" s="7"/>
      <c r="P214" s="7"/>
      <c r="Q214" s="7"/>
      <c r="R214" s="7"/>
      <c r="S214" s="7"/>
      <c r="T214" s="7"/>
      <c r="U214" s="7"/>
      <c r="V214" s="7"/>
      <c r="W214" s="7"/>
      <c r="X214" s="7"/>
      <c r="Y214" s="7"/>
      <c r="Z214" s="7"/>
      <c r="AA214" s="7"/>
      <c r="AB214" s="7"/>
    </row>
    <row r="215" spans="1:28" ht="14.25" customHeight="1" x14ac:dyDescent="0.3">
      <c r="A215" s="7"/>
      <c r="B215" s="7"/>
      <c r="C215" s="7"/>
      <c r="D215" s="295"/>
      <c r="E215" s="295"/>
      <c r="F215" s="295"/>
      <c r="G215" s="7"/>
      <c r="H215" s="7"/>
      <c r="I215" s="7"/>
      <c r="J215" s="7"/>
      <c r="K215" s="295"/>
      <c r="L215" s="295"/>
      <c r="M215" s="295"/>
      <c r="N215" s="7"/>
      <c r="O215" s="7"/>
      <c r="P215" s="7"/>
      <c r="Q215" s="7"/>
      <c r="R215" s="7"/>
      <c r="S215" s="7"/>
      <c r="T215" s="7"/>
      <c r="U215" s="7"/>
      <c r="V215" s="7"/>
      <c r="W215" s="7"/>
      <c r="X215" s="7"/>
      <c r="Y215" s="7"/>
      <c r="Z215" s="7"/>
      <c r="AA215" s="7"/>
      <c r="AB215" s="7"/>
    </row>
    <row r="216" spans="1:28" ht="14.25" customHeight="1" x14ac:dyDescent="0.3">
      <c r="A216" s="7"/>
      <c r="B216" s="7"/>
      <c r="C216" s="7"/>
      <c r="D216" s="295"/>
      <c r="E216" s="295"/>
      <c r="F216" s="295"/>
      <c r="G216" s="7"/>
      <c r="H216" s="7"/>
      <c r="I216" s="7"/>
      <c r="J216" s="7"/>
      <c r="K216" s="295"/>
      <c r="L216" s="295"/>
      <c r="M216" s="295"/>
      <c r="N216" s="7"/>
      <c r="O216" s="7"/>
      <c r="P216" s="7"/>
      <c r="Q216" s="7"/>
      <c r="R216" s="7"/>
      <c r="S216" s="7"/>
      <c r="T216" s="7"/>
      <c r="U216" s="7"/>
      <c r="V216" s="7"/>
      <c r="W216" s="7"/>
      <c r="X216" s="7"/>
      <c r="Y216" s="7"/>
      <c r="Z216" s="7"/>
      <c r="AA216" s="7"/>
      <c r="AB216" s="7"/>
    </row>
    <row r="217" spans="1:28" ht="14.25" customHeight="1" x14ac:dyDescent="0.3">
      <c r="A217" s="7"/>
      <c r="B217" s="7"/>
      <c r="C217" s="7"/>
      <c r="D217" s="295"/>
      <c r="E217" s="295"/>
      <c r="F217" s="295"/>
      <c r="G217" s="7"/>
      <c r="H217" s="7"/>
      <c r="I217" s="7"/>
      <c r="J217" s="7"/>
      <c r="K217" s="295"/>
      <c r="L217" s="295"/>
      <c r="M217" s="295"/>
      <c r="N217" s="7"/>
      <c r="O217" s="7"/>
      <c r="P217" s="7"/>
      <c r="Q217" s="7"/>
      <c r="R217" s="7"/>
      <c r="S217" s="7"/>
      <c r="T217" s="7"/>
      <c r="U217" s="7"/>
      <c r="V217" s="7"/>
      <c r="W217" s="7"/>
      <c r="X217" s="7"/>
      <c r="Y217" s="7"/>
      <c r="Z217" s="7"/>
      <c r="AA217" s="7"/>
      <c r="AB217" s="7"/>
    </row>
    <row r="218" spans="1:28" ht="14.25" customHeight="1" x14ac:dyDescent="0.3">
      <c r="A218" s="7"/>
      <c r="B218" s="7"/>
      <c r="C218" s="7"/>
      <c r="D218" s="295"/>
      <c r="E218" s="295"/>
      <c r="F218" s="295"/>
      <c r="G218" s="7"/>
      <c r="H218" s="7"/>
      <c r="I218" s="7"/>
      <c r="J218" s="7"/>
      <c r="K218" s="295"/>
      <c r="L218" s="295"/>
      <c r="M218" s="295"/>
      <c r="N218" s="7"/>
      <c r="O218" s="7"/>
      <c r="P218" s="7"/>
      <c r="Q218" s="7"/>
      <c r="R218" s="7"/>
      <c r="S218" s="7"/>
      <c r="T218" s="7"/>
      <c r="U218" s="7"/>
      <c r="V218" s="7"/>
      <c r="W218" s="7"/>
      <c r="X218" s="7"/>
      <c r="Y218" s="7"/>
      <c r="Z218" s="7"/>
      <c r="AA218" s="7"/>
      <c r="AB218" s="7"/>
    </row>
    <row r="219" spans="1:28" ht="14.25" customHeight="1" x14ac:dyDescent="0.3">
      <c r="A219" s="7"/>
      <c r="B219" s="7"/>
      <c r="C219" s="7"/>
      <c r="D219" s="295"/>
      <c r="E219" s="295"/>
      <c r="F219" s="295"/>
      <c r="G219" s="7"/>
      <c r="H219" s="7"/>
      <c r="I219" s="7"/>
      <c r="J219" s="7"/>
      <c r="K219" s="295"/>
      <c r="L219" s="295"/>
      <c r="M219" s="295"/>
      <c r="N219" s="7"/>
      <c r="O219" s="7"/>
      <c r="P219" s="7"/>
      <c r="Q219" s="7"/>
      <c r="R219" s="7"/>
      <c r="S219" s="7"/>
      <c r="T219" s="7"/>
      <c r="U219" s="7"/>
      <c r="V219" s="7"/>
      <c r="W219" s="7"/>
      <c r="X219" s="7"/>
      <c r="Y219" s="7"/>
      <c r="Z219" s="7"/>
      <c r="AA219" s="7"/>
      <c r="AB219" s="7"/>
    </row>
    <row r="220" spans="1:28" ht="14.25" customHeight="1" x14ac:dyDescent="0.3">
      <c r="A220" s="7"/>
      <c r="B220" s="7"/>
      <c r="C220" s="7"/>
      <c r="D220" s="295"/>
      <c r="E220" s="295"/>
      <c r="F220" s="295"/>
      <c r="G220" s="7"/>
      <c r="H220" s="7"/>
      <c r="I220" s="7"/>
      <c r="J220" s="7"/>
      <c r="K220" s="295"/>
      <c r="L220" s="295"/>
      <c r="M220" s="295"/>
      <c r="N220" s="7"/>
      <c r="O220" s="7"/>
      <c r="P220" s="7"/>
      <c r="Q220" s="7"/>
      <c r="R220" s="7"/>
      <c r="S220" s="7"/>
      <c r="T220" s="7"/>
      <c r="U220" s="7"/>
      <c r="V220" s="7"/>
      <c r="W220" s="7"/>
      <c r="X220" s="7"/>
      <c r="Y220" s="7"/>
      <c r="Z220" s="7"/>
      <c r="AA220" s="7"/>
      <c r="AB220" s="7"/>
    </row>
    <row r="221" spans="1:28" ht="14.25" customHeight="1" x14ac:dyDescent="0.3">
      <c r="A221" s="7"/>
      <c r="B221" s="7"/>
      <c r="C221" s="7"/>
      <c r="D221" s="295"/>
      <c r="E221" s="295"/>
      <c r="F221" s="295"/>
      <c r="G221" s="7"/>
      <c r="H221" s="7"/>
      <c r="I221" s="7"/>
      <c r="J221" s="7"/>
      <c r="K221" s="295"/>
      <c r="L221" s="295"/>
      <c r="M221" s="295"/>
      <c r="N221" s="7"/>
      <c r="O221" s="7"/>
      <c r="P221" s="7"/>
      <c r="Q221" s="7"/>
      <c r="R221" s="7"/>
      <c r="S221" s="7"/>
      <c r="T221" s="7"/>
      <c r="U221" s="7"/>
      <c r="V221" s="7"/>
      <c r="W221" s="7"/>
      <c r="X221" s="7"/>
      <c r="Y221" s="7"/>
      <c r="Z221" s="7"/>
      <c r="AA221" s="7"/>
      <c r="AB221" s="7"/>
    </row>
    <row r="222" spans="1:28" ht="14.25" customHeight="1" x14ac:dyDescent="0.3">
      <c r="A222" s="7"/>
      <c r="B222" s="7"/>
      <c r="C222" s="7"/>
      <c r="D222" s="295"/>
      <c r="E222" s="295"/>
      <c r="F222" s="295"/>
      <c r="G222" s="7"/>
      <c r="H222" s="7"/>
      <c r="I222" s="7"/>
      <c r="J222" s="7"/>
      <c r="K222" s="295"/>
      <c r="L222" s="295"/>
      <c r="M222" s="295"/>
      <c r="N222" s="7"/>
      <c r="O222" s="7"/>
      <c r="P222" s="7"/>
      <c r="Q222" s="7"/>
      <c r="R222" s="7"/>
      <c r="S222" s="7"/>
      <c r="T222" s="7"/>
      <c r="U222" s="7"/>
      <c r="V222" s="7"/>
      <c r="W222" s="7"/>
      <c r="X222" s="7"/>
      <c r="Y222" s="7"/>
      <c r="Z222" s="7"/>
      <c r="AA222" s="7"/>
      <c r="AB222" s="7"/>
    </row>
    <row r="223" spans="1:28" ht="14.25" customHeight="1" x14ac:dyDescent="0.3">
      <c r="A223" s="7"/>
      <c r="B223" s="7"/>
      <c r="C223" s="7"/>
      <c r="D223" s="295"/>
      <c r="E223" s="295"/>
      <c r="F223" s="295"/>
      <c r="G223" s="7"/>
      <c r="H223" s="7"/>
      <c r="I223" s="7"/>
      <c r="J223" s="7"/>
      <c r="K223" s="295"/>
      <c r="L223" s="295"/>
      <c r="M223" s="295"/>
      <c r="N223" s="7"/>
      <c r="O223" s="7"/>
      <c r="P223" s="7"/>
      <c r="Q223" s="7"/>
      <c r="R223" s="7"/>
      <c r="S223" s="7"/>
      <c r="T223" s="7"/>
      <c r="U223" s="7"/>
      <c r="V223" s="7"/>
      <c r="W223" s="7"/>
      <c r="X223" s="7"/>
      <c r="Y223" s="7"/>
      <c r="Z223" s="7"/>
      <c r="AA223" s="7"/>
      <c r="AB223" s="7"/>
    </row>
    <row r="224" spans="1:28" ht="14.25" customHeight="1" x14ac:dyDescent="0.3">
      <c r="A224" s="7"/>
      <c r="B224" s="7"/>
      <c r="C224" s="7"/>
      <c r="D224" s="295"/>
      <c r="E224" s="295"/>
      <c r="F224" s="295"/>
      <c r="G224" s="7"/>
      <c r="H224" s="7"/>
      <c r="I224" s="7"/>
      <c r="J224" s="7"/>
      <c r="K224" s="295"/>
      <c r="L224" s="295"/>
      <c r="M224" s="295"/>
      <c r="N224" s="7"/>
      <c r="O224" s="7"/>
      <c r="P224" s="7"/>
      <c r="Q224" s="7"/>
      <c r="R224" s="7"/>
      <c r="S224" s="7"/>
      <c r="T224" s="7"/>
      <c r="U224" s="7"/>
      <c r="V224" s="7"/>
      <c r="W224" s="7"/>
      <c r="X224" s="7"/>
      <c r="Y224" s="7"/>
      <c r="Z224" s="7"/>
      <c r="AA224" s="7"/>
      <c r="AB224" s="7"/>
    </row>
    <row r="225" spans="1:28" ht="14.25" customHeight="1" x14ac:dyDescent="0.3">
      <c r="A225" s="7"/>
      <c r="B225" s="7"/>
      <c r="C225" s="7"/>
      <c r="D225" s="295"/>
      <c r="E225" s="295"/>
      <c r="F225" s="295"/>
      <c r="G225" s="7"/>
      <c r="H225" s="7"/>
      <c r="I225" s="7"/>
      <c r="J225" s="7"/>
      <c r="K225" s="295"/>
      <c r="L225" s="295"/>
      <c r="M225" s="295"/>
      <c r="N225" s="7"/>
      <c r="O225" s="7"/>
      <c r="P225" s="7"/>
      <c r="Q225" s="7"/>
      <c r="R225" s="7"/>
      <c r="S225" s="7"/>
      <c r="T225" s="7"/>
      <c r="U225" s="7"/>
      <c r="V225" s="7"/>
      <c r="W225" s="7"/>
      <c r="X225" s="7"/>
      <c r="Y225" s="7"/>
      <c r="Z225" s="7"/>
      <c r="AA225" s="7"/>
      <c r="AB225" s="7"/>
    </row>
    <row r="226" spans="1:28" ht="14.25" customHeight="1" x14ac:dyDescent="0.3">
      <c r="A226" s="7"/>
      <c r="B226" s="7"/>
      <c r="C226" s="7"/>
      <c r="D226" s="295"/>
      <c r="E226" s="295"/>
      <c r="F226" s="295"/>
      <c r="G226" s="7"/>
      <c r="H226" s="7"/>
      <c r="I226" s="7"/>
      <c r="J226" s="7"/>
      <c r="K226" s="295"/>
      <c r="L226" s="295"/>
      <c r="M226" s="295"/>
      <c r="N226" s="7"/>
      <c r="O226" s="7"/>
      <c r="P226" s="7"/>
      <c r="Q226" s="7"/>
      <c r="R226" s="7"/>
      <c r="S226" s="7"/>
      <c r="T226" s="7"/>
      <c r="U226" s="7"/>
      <c r="V226" s="7"/>
      <c r="W226" s="7"/>
      <c r="X226" s="7"/>
      <c r="Y226" s="7"/>
      <c r="Z226" s="7"/>
      <c r="AA226" s="7"/>
      <c r="AB226" s="7"/>
    </row>
    <row r="227" spans="1:28" ht="14.25" customHeight="1" x14ac:dyDescent="0.3">
      <c r="A227" s="7"/>
      <c r="B227" s="7"/>
      <c r="C227" s="7"/>
      <c r="D227" s="295"/>
      <c r="E227" s="295"/>
      <c r="F227" s="295"/>
      <c r="G227" s="7"/>
      <c r="H227" s="7"/>
      <c r="I227" s="7"/>
      <c r="J227" s="7"/>
      <c r="K227" s="295"/>
      <c r="L227" s="295"/>
      <c r="M227" s="295"/>
      <c r="N227" s="7"/>
      <c r="O227" s="7"/>
      <c r="P227" s="7"/>
      <c r="Q227" s="7"/>
      <c r="R227" s="7"/>
      <c r="S227" s="7"/>
      <c r="T227" s="7"/>
      <c r="U227" s="7"/>
      <c r="V227" s="7"/>
      <c r="W227" s="7"/>
      <c r="X227" s="7"/>
      <c r="Y227" s="7"/>
      <c r="Z227" s="7"/>
      <c r="AA227" s="7"/>
      <c r="AB227" s="7"/>
    </row>
    <row r="228" spans="1:28" ht="14.25" customHeight="1" x14ac:dyDescent="0.3">
      <c r="A228" s="7"/>
      <c r="B228" s="7"/>
      <c r="C228" s="7"/>
      <c r="D228" s="295"/>
      <c r="E228" s="295"/>
      <c r="F228" s="295"/>
      <c r="G228" s="7"/>
      <c r="H228" s="7"/>
      <c r="I228" s="7"/>
      <c r="J228" s="7"/>
      <c r="K228" s="295"/>
      <c r="L228" s="295"/>
      <c r="M228" s="295"/>
      <c r="N228" s="7"/>
      <c r="O228" s="7"/>
      <c r="P228" s="7"/>
      <c r="Q228" s="7"/>
      <c r="R228" s="7"/>
      <c r="S228" s="7"/>
      <c r="T228" s="7"/>
      <c r="U228" s="7"/>
      <c r="V228" s="7"/>
      <c r="W228" s="7"/>
      <c r="X228" s="7"/>
      <c r="Y228" s="7"/>
      <c r="Z228" s="7"/>
      <c r="AA228" s="7"/>
      <c r="AB228" s="7"/>
    </row>
    <row r="229" spans="1:28" ht="14.25" customHeight="1" x14ac:dyDescent="0.3">
      <c r="A229" s="7"/>
      <c r="B229" s="7"/>
      <c r="C229" s="7"/>
      <c r="D229" s="295"/>
      <c r="E229" s="295"/>
      <c r="F229" s="295"/>
      <c r="G229" s="7"/>
      <c r="H229" s="7"/>
      <c r="I229" s="7"/>
      <c r="J229" s="7"/>
      <c r="K229" s="295"/>
      <c r="L229" s="295"/>
      <c r="M229" s="295"/>
      <c r="N229" s="7"/>
      <c r="O229" s="7"/>
      <c r="P229" s="7"/>
      <c r="Q229" s="7"/>
      <c r="R229" s="7"/>
      <c r="S229" s="7"/>
      <c r="T229" s="7"/>
      <c r="U229" s="7"/>
      <c r="V229" s="7"/>
      <c r="W229" s="7"/>
      <c r="X229" s="7"/>
      <c r="Y229" s="7"/>
      <c r="Z229" s="7"/>
      <c r="AA229" s="7"/>
      <c r="AB229" s="7"/>
    </row>
    <row r="230" spans="1:28" ht="14.25" customHeight="1" x14ac:dyDescent="0.3">
      <c r="A230" s="7"/>
      <c r="B230" s="7"/>
      <c r="C230" s="7"/>
      <c r="D230" s="295"/>
      <c r="E230" s="295"/>
      <c r="F230" s="295"/>
      <c r="G230" s="7"/>
      <c r="H230" s="7"/>
      <c r="I230" s="7"/>
      <c r="J230" s="7"/>
      <c r="K230" s="295"/>
      <c r="L230" s="295"/>
      <c r="M230" s="295"/>
      <c r="N230" s="7"/>
      <c r="O230" s="7"/>
      <c r="P230" s="7"/>
      <c r="Q230" s="7"/>
      <c r="R230" s="7"/>
      <c r="S230" s="7"/>
      <c r="T230" s="7"/>
      <c r="U230" s="7"/>
      <c r="V230" s="7"/>
      <c r="W230" s="7"/>
      <c r="X230" s="7"/>
      <c r="Y230" s="7"/>
      <c r="Z230" s="7"/>
      <c r="AA230" s="7"/>
      <c r="AB230" s="7"/>
    </row>
    <row r="231" spans="1:28" ht="14.25" customHeight="1" x14ac:dyDescent="0.3">
      <c r="A231" s="7"/>
      <c r="B231" s="7"/>
      <c r="C231" s="7"/>
      <c r="D231" s="295"/>
      <c r="E231" s="295"/>
      <c r="F231" s="295"/>
      <c r="G231" s="7"/>
      <c r="H231" s="7"/>
      <c r="I231" s="7"/>
      <c r="J231" s="7"/>
      <c r="K231" s="295"/>
      <c r="L231" s="295"/>
      <c r="M231" s="295"/>
      <c r="N231" s="7"/>
      <c r="O231" s="7"/>
      <c r="P231" s="7"/>
      <c r="Q231" s="7"/>
      <c r="R231" s="7"/>
      <c r="S231" s="7"/>
      <c r="T231" s="7"/>
      <c r="U231" s="7"/>
      <c r="V231" s="7"/>
      <c r="W231" s="7"/>
      <c r="X231" s="7"/>
      <c r="Y231" s="7"/>
      <c r="Z231" s="7"/>
      <c r="AA231" s="7"/>
      <c r="AB231" s="7"/>
    </row>
    <row r="232" spans="1:28" ht="14.25" customHeight="1" x14ac:dyDescent="0.3">
      <c r="A232" s="7"/>
      <c r="B232" s="7"/>
      <c r="C232" s="7"/>
      <c r="D232" s="295"/>
      <c r="E232" s="295"/>
      <c r="F232" s="295"/>
      <c r="G232" s="7"/>
      <c r="H232" s="7"/>
      <c r="I232" s="7"/>
      <c r="J232" s="7"/>
      <c r="K232" s="295"/>
      <c r="L232" s="295"/>
      <c r="M232" s="295"/>
      <c r="N232" s="7"/>
      <c r="O232" s="7"/>
      <c r="P232" s="7"/>
      <c r="Q232" s="7"/>
      <c r="R232" s="7"/>
      <c r="S232" s="7"/>
      <c r="T232" s="7"/>
      <c r="U232" s="7"/>
      <c r="V232" s="7"/>
      <c r="W232" s="7"/>
      <c r="X232" s="7"/>
      <c r="Y232" s="7"/>
      <c r="Z232" s="7"/>
      <c r="AA232" s="7"/>
      <c r="AB232" s="7"/>
    </row>
    <row r="233" spans="1:28" ht="14.25" customHeight="1" x14ac:dyDescent="0.3">
      <c r="A233" s="7"/>
      <c r="B233" s="7"/>
      <c r="C233" s="7"/>
      <c r="D233" s="295"/>
      <c r="E233" s="295"/>
      <c r="F233" s="295"/>
      <c r="G233" s="7"/>
      <c r="H233" s="7"/>
      <c r="I233" s="7"/>
      <c r="J233" s="7"/>
      <c r="K233" s="295"/>
      <c r="L233" s="295"/>
      <c r="M233" s="295"/>
      <c r="N233" s="7"/>
      <c r="O233" s="7"/>
      <c r="P233" s="7"/>
      <c r="Q233" s="7"/>
      <c r="R233" s="7"/>
      <c r="S233" s="7"/>
      <c r="T233" s="7"/>
      <c r="U233" s="7"/>
      <c r="V233" s="7"/>
      <c r="W233" s="7"/>
      <c r="X233" s="7"/>
      <c r="Y233" s="7"/>
      <c r="Z233" s="7"/>
      <c r="AA233" s="7"/>
      <c r="AB233" s="7"/>
    </row>
    <row r="234" spans="1:28" ht="14.25" customHeight="1" x14ac:dyDescent="0.3">
      <c r="A234" s="7"/>
      <c r="B234" s="7"/>
      <c r="C234" s="7"/>
      <c r="D234" s="295"/>
      <c r="E234" s="295"/>
      <c r="F234" s="295"/>
      <c r="G234" s="7"/>
      <c r="H234" s="7"/>
      <c r="I234" s="7"/>
      <c r="J234" s="7"/>
      <c r="K234" s="295"/>
      <c r="L234" s="295"/>
      <c r="M234" s="295"/>
      <c r="N234" s="7"/>
      <c r="O234" s="7"/>
      <c r="P234" s="7"/>
      <c r="Q234" s="7"/>
      <c r="R234" s="7"/>
      <c r="S234" s="7"/>
      <c r="T234" s="7"/>
      <c r="U234" s="7"/>
      <c r="V234" s="7"/>
      <c r="W234" s="7"/>
      <c r="X234" s="7"/>
      <c r="Y234" s="7"/>
      <c r="Z234" s="7"/>
      <c r="AA234" s="7"/>
      <c r="AB234" s="7"/>
    </row>
    <row r="235" spans="1:28" ht="14.25" customHeight="1" x14ac:dyDescent="0.3">
      <c r="A235" s="7"/>
      <c r="B235" s="7"/>
      <c r="C235" s="7"/>
      <c r="D235" s="295"/>
      <c r="E235" s="295"/>
      <c r="F235" s="295"/>
      <c r="G235" s="7"/>
      <c r="H235" s="7"/>
      <c r="I235" s="7"/>
      <c r="J235" s="7"/>
      <c r="K235" s="295"/>
      <c r="L235" s="295"/>
      <c r="M235" s="295"/>
      <c r="N235" s="7"/>
      <c r="O235" s="7"/>
      <c r="P235" s="7"/>
      <c r="Q235" s="7"/>
      <c r="R235" s="7"/>
      <c r="S235" s="7"/>
      <c r="T235" s="7"/>
      <c r="U235" s="7"/>
      <c r="V235" s="7"/>
      <c r="W235" s="7"/>
      <c r="X235" s="7"/>
      <c r="Y235" s="7"/>
      <c r="Z235" s="7"/>
      <c r="AA235" s="7"/>
      <c r="AB235" s="7"/>
    </row>
    <row r="236" spans="1:28" ht="14.25" customHeight="1" x14ac:dyDescent="0.3">
      <c r="A236" s="7"/>
      <c r="B236" s="7"/>
      <c r="C236" s="7"/>
      <c r="D236" s="295"/>
      <c r="E236" s="295"/>
      <c r="F236" s="295"/>
      <c r="G236" s="7"/>
      <c r="H236" s="7"/>
      <c r="I236" s="7"/>
      <c r="J236" s="7"/>
      <c r="K236" s="295"/>
      <c r="L236" s="295"/>
      <c r="M236" s="295"/>
      <c r="N236" s="7"/>
      <c r="O236" s="7"/>
      <c r="P236" s="7"/>
      <c r="Q236" s="7"/>
      <c r="R236" s="7"/>
      <c r="S236" s="7"/>
      <c r="T236" s="7"/>
      <c r="U236" s="7"/>
      <c r="V236" s="7"/>
      <c r="W236" s="7"/>
      <c r="X236" s="7"/>
      <c r="Y236" s="7"/>
      <c r="Z236" s="7"/>
      <c r="AA236" s="7"/>
      <c r="AB236" s="7"/>
    </row>
    <row r="237" spans="1:28" ht="14.25" customHeight="1" x14ac:dyDescent="0.3">
      <c r="A237" s="7"/>
      <c r="B237" s="7"/>
      <c r="C237" s="7"/>
      <c r="D237" s="295"/>
      <c r="E237" s="295"/>
      <c r="F237" s="295"/>
      <c r="G237" s="7"/>
      <c r="H237" s="7"/>
      <c r="I237" s="7"/>
      <c r="J237" s="7"/>
      <c r="K237" s="295"/>
      <c r="L237" s="295"/>
      <c r="M237" s="295"/>
      <c r="N237" s="7"/>
      <c r="O237" s="7"/>
      <c r="P237" s="7"/>
      <c r="Q237" s="7"/>
      <c r="R237" s="7"/>
      <c r="S237" s="7"/>
      <c r="T237" s="7"/>
      <c r="U237" s="7"/>
      <c r="V237" s="7"/>
      <c r="W237" s="7"/>
      <c r="X237" s="7"/>
      <c r="Y237" s="7"/>
      <c r="Z237" s="7"/>
      <c r="AA237" s="7"/>
      <c r="AB237" s="7"/>
    </row>
    <row r="238" spans="1:28" ht="14.25" customHeight="1" x14ac:dyDescent="0.3">
      <c r="A238" s="7"/>
      <c r="B238" s="7"/>
      <c r="C238" s="7"/>
      <c r="D238" s="295"/>
      <c r="E238" s="295"/>
      <c r="F238" s="295"/>
      <c r="G238" s="7"/>
      <c r="H238" s="7"/>
      <c r="I238" s="7"/>
      <c r="J238" s="7"/>
      <c r="K238" s="295"/>
      <c r="L238" s="295"/>
      <c r="M238" s="295"/>
      <c r="N238" s="7"/>
      <c r="O238" s="7"/>
      <c r="P238" s="7"/>
      <c r="Q238" s="7"/>
      <c r="R238" s="7"/>
      <c r="S238" s="7"/>
      <c r="T238" s="7"/>
      <c r="U238" s="7"/>
      <c r="V238" s="7"/>
      <c r="W238" s="7"/>
      <c r="X238" s="7"/>
      <c r="Y238" s="7"/>
      <c r="Z238" s="7"/>
      <c r="AA238" s="7"/>
      <c r="AB238" s="7"/>
    </row>
    <row r="239" spans="1:28" ht="14.25" customHeight="1" x14ac:dyDescent="0.3">
      <c r="A239" s="7"/>
      <c r="B239" s="7"/>
      <c r="C239" s="7"/>
      <c r="D239" s="295"/>
      <c r="E239" s="295"/>
      <c r="F239" s="295"/>
      <c r="G239" s="7"/>
      <c r="H239" s="7"/>
      <c r="I239" s="7"/>
      <c r="J239" s="7"/>
      <c r="K239" s="295"/>
      <c r="L239" s="295"/>
      <c r="M239" s="295"/>
      <c r="N239" s="7"/>
      <c r="O239" s="7"/>
      <c r="P239" s="7"/>
      <c r="Q239" s="7"/>
      <c r="R239" s="7"/>
      <c r="S239" s="7"/>
      <c r="T239" s="7"/>
      <c r="U239" s="7"/>
      <c r="V239" s="7"/>
      <c r="W239" s="7"/>
      <c r="X239" s="7"/>
      <c r="Y239" s="7"/>
      <c r="Z239" s="7"/>
      <c r="AA239" s="7"/>
      <c r="AB239" s="7"/>
    </row>
    <row r="240" spans="1:28" ht="14.25" customHeight="1" x14ac:dyDescent="0.3">
      <c r="A240" s="7"/>
      <c r="B240" s="7"/>
      <c r="C240" s="7"/>
      <c r="D240" s="295"/>
      <c r="E240" s="295"/>
      <c r="F240" s="295"/>
      <c r="G240" s="7"/>
      <c r="H240" s="7"/>
      <c r="I240" s="7"/>
      <c r="J240" s="7"/>
      <c r="K240" s="295"/>
      <c r="L240" s="295"/>
      <c r="M240" s="295"/>
      <c r="N240" s="7"/>
      <c r="O240" s="7"/>
      <c r="P240" s="7"/>
      <c r="Q240" s="7"/>
      <c r="R240" s="7"/>
      <c r="S240" s="7"/>
      <c r="T240" s="7"/>
      <c r="U240" s="7"/>
      <c r="V240" s="7"/>
      <c r="W240" s="7"/>
      <c r="X240" s="7"/>
      <c r="Y240" s="7"/>
      <c r="Z240" s="7"/>
      <c r="AA240" s="7"/>
      <c r="AB240" s="7"/>
    </row>
    <row r="241" spans="1:28" ht="14.25" customHeight="1" x14ac:dyDescent="0.3">
      <c r="A241" s="7"/>
      <c r="B241" s="7"/>
      <c r="C241" s="7"/>
      <c r="D241" s="295"/>
      <c r="E241" s="295"/>
      <c r="F241" s="295"/>
      <c r="G241" s="7"/>
      <c r="H241" s="7"/>
      <c r="I241" s="7"/>
      <c r="J241" s="7"/>
      <c r="K241" s="295"/>
      <c r="L241" s="295"/>
      <c r="M241" s="295"/>
      <c r="N241" s="7"/>
      <c r="O241" s="7"/>
      <c r="P241" s="7"/>
      <c r="Q241" s="7"/>
      <c r="R241" s="7"/>
      <c r="S241" s="7"/>
      <c r="T241" s="7"/>
      <c r="U241" s="7"/>
      <c r="V241" s="7"/>
      <c r="W241" s="7"/>
      <c r="X241" s="7"/>
      <c r="Y241" s="7"/>
      <c r="Z241" s="7"/>
      <c r="AA241" s="7"/>
      <c r="AB241" s="7"/>
    </row>
    <row r="242" spans="1:28" ht="14.25" customHeight="1" x14ac:dyDescent="0.3">
      <c r="A242" s="7"/>
      <c r="B242" s="7"/>
      <c r="C242" s="7"/>
      <c r="D242" s="295"/>
      <c r="E242" s="295"/>
      <c r="F242" s="295"/>
      <c r="G242" s="7"/>
      <c r="H242" s="7"/>
      <c r="I242" s="7"/>
      <c r="J242" s="7"/>
      <c r="K242" s="295"/>
      <c r="L242" s="295"/>
      <c r="M242" s="295"/>
      <c r="N242" s="7"/>
      <c r="O242" s="7"/>
      <c r="P242" s="7"/>
      <c r="Q242" s="7"/>
      <c r="R242" s="7"/>
      <c r="S242" s="7"/>
      <c r="T242" s="7"/>
      <c r="U242" s="7"/>
      <c r="V242" s="7"/>
      <c r="W242" s="7"/>
      <c r="X242" s="7"/>
      <c r="Y242" s="7"/>
      <c r="Z242" s="7"/>
      <c r="AA242" s="7"/>
      <c r="AB242" s="7"/>
    </row>
    <row r="243" spans="1:28" ht="14.25" customHeight="1" x14ac:dyDescent="0.3">
      <c r="A243" s="7"/>
      <c r="B243" s="7"/>
      <c r="C243" s="7"/>
      <c r="D243" s="295"/>
      <c r="E243" s="295"/>
      <c r="F243" s="295"/>
      <c r="G243" s="7"/>
      <c r="H243" s="7"/>
      <c r="I243" s="7"/>
      <c r="J243" s="7"/>
      <c r="K243" s="295"/>
      <c r="L243" s="295"/>
      <c r="M243" s="295"/>
      <c r="N243" s="7"/>
      <c r="O243" s="7"/>
      <c r="P243" s="7"/>
      <c r="Q243" s="7"/>
      <c r="R243" s="7"/>
      <c r="S243" s="7"/>
      <c r="T243" s="7"/>
      <c r="U243" s="7"/>
      <c r="V243" s="7"/>
      <c r="W243" s="7"/>
      <c r="X243" s="7"/>
      <c r="Y243" s="7"/>
      <c r="Z243" s="7"/>
      <c r="AA243" s="7"/>
      <c r="AB243" s="7"/>
    </row>
    <row r="244" spans="1:28" ht="14.25" customHeight="1" x14ac:dyDescent="0.3">
      <c r="A244" s="7"/>
      <c r="B244" s="7"/>
      <c r="C244" s="7"/>
      <c r="D244" s="295"/>
      <c r="E244" s="295"/>
      <c r="F244" s="295"/>
      <c r="G244" s="7"/>
      <c r="H244" s="7"/>
      <c r="I244" s="7"/>
      <c r="J244" s="7"/>
      <c r="K244" s="295"/>
      <c r="L244" s="295"/>
      <c r="M244" s="295"/>
      <c r="N244" s="7"/>
      <c r="O244" s="7"/>
      <c r="P244" s="7"/>
      <c r="Q244" s="7"/>
      <c r="R244" s="7"/>
      <c r="S244" s="7"/>
      <c r="T244" s="7"/>
      <c r="U244" s="7"/>
      <c r="V244" s="7"/>
      <c r="W244" s="7"/>
      <c r="X244" s="7"/>
      <c r="Y244" s="7"/>
      <c r="Z244" s="7"/>
      <c r="AA244" s="7"/>
      <c r="AB244" s="7"/>
    </row>
    <row r="245" spans="1:28" ht="14.25" customHeight="1" x14ac:dyDescent="0.3">
      <c r="A245" s="7"/>
      <c r="B245" s="7"/>
      <c r="C245" s="7"/>
      <c r="D245" s="295"/>
      <c r="E245" s="295"/>
      <c r="F245" s="295"/>
      <c r="G245" s="7"/>
      <c r="H245" s="7"/>
      <c r="I245" s="7"/>
      <c r="J245" s="7"/>
      <c r="K245" s="295"/>
      <c r="L245" s="295"/>
      <c r="M245" s="295"/>
      <c r="N245" s="7"/>
      <c r="O245" s="7"/>
      <c r="P245" s="7"/>
      <c r="Q245" s="7"/>
      <c r="R245" s="7"/>
      <c r="S245" s="7"/>
      <c r="T245" s="7"/>
      <c r="U245" s="7"/>
      <c r="V245" s="7"/>
      <c r="W245" s="7"/>
      <c r="X245" s="7"/>
      <c r="Y245" s="7"/>
      <c r="Z245" s="7"/>
      <c r="AA245" s="7"/>
      <c r="AB245" s="7"/>
    </row>
    <row r="246" spans="1:28" ht="15.75" customHeight="1" x14ac:dyDescent="0.3"/>
    <row r="247" spans="1:28" ht="15.75" customHeight="1" x14ac:dyDescent="0.3"/>
    <row r="248" spans="1:28" ht="15.75" customHeight="1" x14ac:dyDescent="0.3"/>
    <row r="249" spans="1:28" ht="15.75" customHeight="1" x14ac:dyDescent="0.3"/>
    <row r="250" spans="1:28" ht="15.75" customHeight="1" x14ac:dyDescent="0.3"/>
    <row r="251" spans="1:28" ht="15.75" customHeight="1" x14ac:dyDescent="0.3"/>
    <row r="252" spans="1:28" ht="15.75" customHeight="1" x14ac:dyDescent="0.3"/>
    <row r="253" spans="1:28" ht="15.75" customHeight="1" x14ac:dyDescent="0.3"/>
    <row r="254" spans="1:28" ht="15.75" customHeight="1" x14ac:dyDescent="0.3"/>
    <row r="255" spans="1:28" ht="15.75" customHeight="1" x14ac:dyDescent="0.3"/>
    <row r="256" spans="1:28"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AE1000"/>
  <sheetViews>
    <sheetView showGridLines="0" workbookViewId="0">
      <pane xSplit="1" ySplit="2" topLeftCell="B3" activePane="bottomRight" state="frozen"/>
      <selection pane="topRight" activeCell="B1" sqref="B1"/>
      <selection pane="bottomLeft" activeCell="A3" sqref="A3"/>
      <selection pane="bottomRight" activeCell="AJ22" sqref="AJ22"/>
    </sheetView>
  </sheetViews>
  <sheetFormatPr baseColWidth="10" defaultColWidth="12.6640625" defaultRowHeight="15" customHeight="1" outlineLevelCol="1" x14ac:dyDescent="0.3"/>
  <cols>
    <col min="1" max="1" width="25" customWidth="1"/>
    <col min="5" max="6" width="13" customWidth="1"/>
    <col min="7" max="13" width="13" hidden="1" customWidth="1" outlineLevel="1"/>
    <col min="14" max="14" width="4.21875" customWidth="1" collapsed="1"/>
    <col min="15" max="15" width="14.33203125" customWidth="1"/>
    <col min="16" max="16" width="8" customWidth="1"/>
    <col min="17" max="17" width="11.77734375" hidden="1" customWidth="1"/>
    <col min="21" max="22" width="13" customWidth="1"/>
    <col min="23" max="29" width="13" hidden="1" customWidth="1" outlineLevel="1"/>
    <col min="30" max="30" width="3.88671875" customWidth="1" collapsed="1"/>
  </cols>
  <sheetData>
    <row r="1" spans="1:31" ht="15" customHeight="1" x14ac:dyDescent="0.3">
      <c r="A1" s="318"/>
      <c r="B1" s="319" t="s">
        <v>0</v>
      </c>
      <c r="C1" s="319" t="s">
        <v>0</v>
      </c>
      <c r="D1" s="319" t="s">
        <v>0</v>
      </c>
      <c r="E1" s="319" t="s">
        <v>0</v>
      </c>
      <c r="F1" s="319" t="s">
        <v>0</v>
      </c>
      <c r="G1" s="319" t="s">
        <v>0</v>
      </c>
      <c r="H1" s="319" t="s">
        <v>0</v>
      </c>
      <c r="I1" s="319" t="s">
        <v>0</v>
      </c>
      <c r="J1" s="319" t="s">
        <v>0</v>
      </c>
      <c r="K1" s="319" t="s">
        <v>0</v>
      </c>
      <c r="L1" s="319" t="s">
        <v>0</v>
      </c>
      <c r="M1" s="319" t="s">
        <v>0</v>
      </c>
      <c r="N1" s="318"/>
      <c r="O1" s="319" t="s">
        <v>1638</v>
      </c>
      <c r="P1" s="318"/>
      <c r="Q1" s="318"/>
      <c r="R1" s="319" t="s">
        <v>1639</v>
      </c>
      <c r="S1" s="319" t="s">
        <v>1639</v>
      </c>
      <c r="T1" s="319" t="s">
        <v>1639</v>
      </c>
      <c r="U1" s="319" t="s">
        <v>1639</v>
      </c>
      <c r="V1" s="319" t="s">
        <v>1639</v>
      </c>
      <c r="W1" s="319" t="s">
        <v>1639</v>
      </c>
      <c r="X1" s="319" t="s">
        <v>1639</v>
      </c>
      <c r="Y1" s="319" t="s">
        <v>1639</v>
      </c>
      <c r="Z1" s="319" t="s">
        <v>1639</v>
      </c>
      <c r="AA1" s="319" t="s">
        <v>1639</v>
      </c>
      <c r="AB1" s="319" t="s">
        <v>1639</v>
      </c>
      <c r="AC1" s="319" t="s">
        <v>1639</v>
      </c>
      <c r="AD1" s="7"/>
      <c r="AE1" s="319" t="s">
        <v>1640</v>
      </c>
    </row>
    <row r="2" spans="1:31" ht="14.25" customHeight="1" x14ac:dyDescent="0.3">
      <c r="A2" s="318" t="s">
        <v>1641</v>
      </c>
      <c r="B2" s="320">
        <v>46023</v>
      </c>
      <c r="C2" s="320">
        <v>46055</v>
      </c>
      <c r="D2" s="320">
        <v>46084</v>
      </c>
      <c r="E2" s="320">
        <v>46116</v>
      </c>
      <c r="F2" s="320">
        <v>46147</v>
      </c>
      <c r="G2" s="320">
        <v>46179</v>
      </c>
      <c r="H2" s="320">
        <v>46210</v>
      </c>
      <c r="I2" s="320">
        <v>46242</v>
      </c>
      <c r="J2" s="321">
        <f>+I2+31</f>
        <v>46273</v>
      </c>
      <c r="K2" s="321">
        <f>+J2+31</f>
        <v>46304</v>
      </c>
      <c r="L2" s="321">
        <f>+K2+31</f>
        <v>46335</v>
      </c>
      <c r="M2" s="321">
        <f>+L2+31</f>
        <v>46366</v>
      </c>
      <c r="N2" s="318"/>
      <c r="O2" s="319">
        <v>2026</v>
      </c>
      <c r="P2" s="318"/>
      <c r="Q2" s="318"/>
      <c r="R2" s="320">
        <v>46023</v>
      </c>
      <c r="S2" s="320">
        <v>46055</v>
      </c>
      <c r="T2" s="320">
        <v>46084</v>
      </c>
      <c r="U2" s="320">
        <v>46116</v>
      </c>
      <c r="V2" s="320">
        <v>46147</v>
      </c>
      <c r="W2" s="320">
        <v>46179</v>
      </c>
      <c r="X2" s="320">
        <v>46210</v>
      </c>
      <c r="Y2" s="320">
        <v>46242</v>
      </c>
      <c r="Z2" s="321">
        <v>46273</v>
      </c>
      <c r="AA2" s="321">
        <v>46304</v>
      </c>
      <c r="AB2" s="321">
        <v>46335</v>
      </c>
      <c r="AC2" s="321">
        <v>46366</v>
      </c>
      <c r="AD2" s="318"/>
      <c r="AE2" s="319">
        <v>2026</v>
      </c>
    </row>
    <row r="3" spans="1:31" ht="14.25" customHeight="1" x14ac:dyDescent="0.3">
      <c r="A3" s="322" t="s">
        <v>1642</v>
      </c>
      <c r="B3" s="323">
        <f>'REAL-BDGT2026'!I40</f>
        <v>2033358816.6889</v>
      </c>
      <c r="C3" s="323">
        <f>'REAL-BDGT2026'!J40</f>
        <v>1982638579.3700163</v>
      </c>
      <c r="D3" s="323">
        <f>'REAL-BDGT2026'!K40</f>
        <v>2145968559.7712834</v>
      </c>
      <c r="E3" s="323">
        <f>'REAL-BDGT2026'!L40</f>
        <v>2238128326.8899999</v>
      </c>
      <c r="F3" s="323">
        <f>'REAL-BDGT2026'!M40</f>
        <v>2292377273.9499998</v>
      </c>
      <c r="G3" s="323">
        <f>'REAL-BDGT2026'!N40</f>
        <v>0</v>
      </c>
      <c r="H3" s="323">
        <f>'REAL-BDGT2026'!O40</f>
        <v>0</v>
      </c>
      <c r="I3" s="323">
        <f>'REAL-BDGT2026'!P40</f>
        <v>0</v>
      </c>
      <c r="J3" s="323">
        <f>'REAL-BDGT2026'!Q40</f>
        <v>0</v>
      </c>
      <c r="K3" s="323">
        <f>'REAL-BDGT2026'!R40</f>
        <v>0</v>
      </c>
      <c r="L3" s="323">
        <f>'REAL-BDGT2026'!S40</f>
        <v>0</v>
      </c>
      <c r="M3" s="323">
        <f>'REAL-BDGT2026'!T40</f>
        <v>0</v>
      </c>
      <c r="N3" s="7"/>
      <c r="O3" s="323">
        <f t="shared" ref="O3:O6" si="0">SUM(B3:F3)</f>
        <v>10692471556.6702</v>
      </c>
      <c r="P3" s="7"/>
      <c r="Q3" s="7"/>
      <c r="R3" s="323">
        <v>1957656134.6981969</v>
      </c>
      <c r="S3" s="323">
        <v>1832165907.11041</v>
      </c>
      <c r="T3" s="323">
        <v>1989794609.5308361</v>
      </c>
      <c r="U3" s="323">
        <v>2093036782.4781029</v>
      </c>
      <c r="V3" s="323">
        <v>2212359534.154604</v>
      </c>
      <c r="W3" s="323">
        <v>2223216376.3830318</v>
      </c>
      <c r="X3" s="323">
        <v>2456770512.0896082</v>
      </c>
      <c r="Y3" s="323">
        <v>2426548871.7789578</v>
      </c>
      <c r="Z3" s="323">
        <v>2549424401.1898422</v>
      </c>
      <c r="AA3" s="323">
        <v>2671235516.8549199</v>
      </c>
      <c r="AB3" s="323">
        <v>2613005974.3181591</v>
      </c>
      <c r="AC3" s="323">
        <v>2697010488.4860258</v>
      </c>
      <c r="AD3" s="7"/>
      <c r="AE3" s="323">
        <f t="shared" ref="AE3:AE6" si="1">SUM(R3:V3)</f>
        <v>10085012967.972149</v>
      </c>
    </row>
    <row r="4" spans="1:31" ht="14.25" customHeight="1" x14ac:dyDescent="0.3">
      <c r="A4" s="324" t="s">
        <v>1643</v>
      </c>
      <c r="B4" s="325">
        <f>'REAL-BDGT2026'!I41</f>
        <v>-120619546.86</v>
      </c>
      <c r="C4" s="325">
        <f>'REAL-BDGT2026'!J41</f>
        <v>-124410617</v>
      </c>
      <c r="D4" s="325">
        <f>'REAL-BDGT2026'!K41</f>
        <v>-125984748.11</v>
      </c>
      <c r="E4" s="325">
        <f>'REAL-BDGT2026'!L41</f>
        <v>-110823384.06</v>
      </c>
      <c r="F4" s="325">
        <f>'REAL-BDGT2026'!M41</f>
        <v>-121803231.43000001</v>
      </c>
      <c r="G4" s="325">
        <f>'REAL-BDGT2026'!N41</f>
        <v>0</v>
      </c>
      <c r="H4" s="325">
        <f>'REAL-BDGT2026'!O41</f>
        <v>0</v>
      </c>
      <c r="I4" s="325">
        <f>'REAL-BDGT2026'!P41</f>
        <v>0</v>
      </c>
      <c r="J4" s="325">
        <f>'REAL-BDGT2026'!Q41</f>
        <v>0</v>
      </c>
      <c r="K4" s="325">
        <f>'REAL-BDGT2026'!R41</f>
        <v>0</v>
      </c>
      <c r="L4" s="325">
        <f>'REAL-BDGT2026'!S41</f>
        <v>0</v>
      </c>
      <c r="M4" s="325">
        <f>'REAL-BDGT2026'!T41</f>
        <v>0</v>
      </c>
      <c r="N4" s="7"/>
      <c r="O4" s="325">
        <f t="shared" si="0"/>
        <v>-603641527.46000004</v>
      </c>
      <c r="P4" s="7"/>
      <c r="Q4" s="7"/>
      <c r="R4" s="325">
        <v>-97882806.734909877</v>
      </c>
      <c r="S4" s="325">
        <v>-91608295.355520532</v>
      </c>
      <c r="T4" s="325">
        <v>-99489730.476541817</v>
      </c>
      <c r="U4" s="325">
        <v>-104651839.12390511</v>
      </c>
      <c r="V4" s="325">
        <v>-110617976.7077302</v>
      </c>
      <c r="W4" s="325">
        <v>-111160818.8191516</v>
      </c>
      <c r="X4" s="325">
        <v>-122838525.6044804</v>
      </c>
      <c r="Y4" s="325">
        <v>-121327443.58894791</v>
      </c>
      <c r="Z4" s="325">
        <v>-127471220.0594921</v>
      </c>
      <c r="AA4" s="325">
        <v>-133561775.842746</v>
      </c>
      <c r="AB4" s="325">
        <v>-130650298.7159079</v>
      </c>
      <c r="AC4" s="325">
        <v>-134850524.4243013</v>
      </c>
      <c r="AD4" s="7"/>
      <c r="AE4" s="325">
        <f t="shared" si="1"/>
        <v>-504250648.39860761</v>
      </c>
    </row>
    <row r="5" spans="1:31" ht="14.25" customHeight="1" x14ac:dyDescent="0.3">
      <c r="A5" s="322" t="s">
        <v>52</v>
      </c>
      <c r="B5" s="326">
        <f>-SUMIF('REAL-BDGT2026'!$G$43:$G$193,$A5,'REAL-BDGT2026'!I$43:I$193)</f>
        <v>-535679421.90999997</v>
      </c>
      <c r="C5" s="326">
        <f>-SUMIF('REAL-BDGT2026'!$G$43:$G$193,$A5,'REAL-BDGT2026'!J$43:J$193)</f>
        <v>-516467600.21999997</v>
      </c>
      <c r="D5" s="326">
        <f>-SUMIF('REAL-BDGT2026'!$G$43:$G$193,$A5,'REAL-BDGT2026'!K$43:K$193)</f>
        <v>-554731737.47000003</v>
      </c>
      <c r="E5" s="326">
        <f>-SUMIF('REAL-BDGT2026'!$G$43:$G$193,$A5,'REAL-BDGT2026'!L$43:L$193)</f>
        <v>-530256398.04999989</v>
      </c>
      <c r="F5" s="326">
        <f>-SUMIF('REAL-BDGT2026'!$G$43:$G$193,$A5,'REAL-BDGT2026'!M$43:M$193)</f>
        <v>-612944203.63999999</v>
      </c>
      <c r="G5" s="326">
        <f>-SUMIF('REAL-BDGT2026'!$G$43:$G$193,$A5,'REAL-BDGT2026'!N$43:N$193)</f>
        <v>0</v>
      </c>
      <c r="H5" s="326">
        <f>-SUMIF('REAL-BDGT2026'!$G$43:$G$193,$A5,'REAL-BDGT2026'!O$43:O$193)</f>
        <v>0</v>
      </c>
      <c r="I5" s="326">
        <f>-SUMIF('REAL-BDGT2026'!$G$43:$G$193,$A5,'REAL-BDGT2026'!P$43:P$193)</f>
        <v>0</v>
      </c>
      <c r="J5" s="326">
        <f>-SUMIF('REAL-BDGT2026'!$G$43:$G$193,$A5,'REAL-BDGT2026'!Q$43:Q$193)</f>
        <v>0</v>
      </c>
      <c r="K5" s="326">
        <f>-SUMIF('REAL-BDGT2026'!$G$43:$G$193,$A5,'REAL-BDGT2026'!R$43:R$193)</f>
        <v>0</v>
      </c>
      <c r="L5" s="326">
        <f>-SUMIF('REAL-BDGT2026'!$G$43:$G$193,$A5,'REAL-BDGT2026'!S$43:S$193)</f>
        <v>0</v>
      </c>
      <c r="M5" s="326">
        <f>-SUMIF('REAL-BDGT2026'!$G$43:$G$193,$A5,'REAL-BDGT2026'!T$43:T$193)</f>
        <v>0</v>
      </c>
      <c r="N5" s="7"/>
      <c r="O5" s="326">
        <f t="shared" si="0"/>
        <v>-2750079361.29</v>
      </c>
      <c r="P5" s="7"/>
      <c r="Q5" s="7"/>
      <c r="R5" s="326">
        <v>-595729839.49882948</v>
      </c>
      <c r="S5" s="326">
        <v>-554378480.15661395</v>
      </c>
      <c r="T5" s="326">
        <v>-583934156.54991972</v>
      </c>
      <c r="U5" s="326">
        <v>-626753620.74770153</v>
      </c>
      <c r="V5" s="326">
        <v>-651346402.64665985</v>
      </c>
      <c r="W5" s="326">
        <v>-665553869.64522684</v>
      </c>
      <c r="X5" s="326">
        <v>-960755646.76842999</v>
      </c>
      <c r="Y5" s="326">
        <v>-732621584.65028954</v>
      </c>
      <c r="Z5" s="326">
        <v>-773170548.36286342</v>
      </c>
      <c r="AA5" s="326">
        <v>-824466147.0168004</v>
      </c>
      <c r="AB5" s="326">
        <v>-820721764.39877141</v>
      </c>
      <c r="AC5" s="326">
        <v>-852696175.77321827</v>
      </c>
      <c r="AD5" s="7"/>
      <c r="AE5" s="326">
        <f t="shared" si="1"/>
        <v>-3012142499.5997248</v>
      </c>
    </row>
    <row r="6" spans="1:31" ht="14.25" customHeight="1" x14ac:dyDescent="0.3">
      <c r="A6" s="318" t="s">
        <v>1644</v>
      </c>
      <c r="B6" s="327">
        <f t="shared" ref="B6:M6" si="2">SUM(B3:B5)</f>
        <v>1377059847.9189</v>
      </c>
      <c r="C6" s="327">
        <f t="shared" si="2"/>
        <v>1341760362.1500163</v>
      </c>
      <c r="D6" s="327">
        <f t="shared" si="2"/>
        <v>1465252074.1912835</v>
      </c>
      <c r="E6" s="327">
        <f t="shared" si="2"/>
        <v>1597048544.78</v>
      </c>
      <c r="F6" s="327">
        <f t="shared" si="2"/>
        <v>1557629838.8800001</v>
      </c>
      <c r="G6" s="327">
        <f t="shared" si="2"/>
        <v>0</v>
      </c>
      <c r="H6" s="327">
        <f t="shared" si="2"/>
        <v>0</v>
      </c>
      <c r="I6" s="327">
        <f t="shared" si="2"/>
        <v>0</v>
      </c>
      <c r="J6" s="327">
        <f t="shared" si="2"/>
        <v>0</v>
      </c>
      <c r="K6" s="327">
        <f t="shared" si="2"/>
        <v>0</v>
      </c>
      <c r="L6" s="327">
        <f t="shared" si="2"/>
        <v>0</v>
      </c>
      <c r="M6" s="327">
        <f t="shared" si="2"/>
        <v>0</v>
      </c>
      <c r="N6" s="7"/>
      <c r="O6" s="327">
        <f t="shared" si="0"/>
        <v>7338750667.9201994</v>
      </c>
      <c r="P6" s="7"/>
      <c r="Q6" s="7"/>
      <c r="R6" s="327">
        <v>1264043488.464458</v>
      </c>
      <c r="S6" s="327">
        <v>1186179131.5982759</v>
      </c>
      <c r="T6" s="327">
        <v>1306370722.504375</v>
      </c>
      <c r="U6" s="327">
        <v>1361631322.6064961</v>
      </c>
      <c r="V6" s="327">
        <v>1450395154.8002141</v>
      </c>
      <c r="W6" s="327">
        <v>1446501687.918654</v>
      </c>
      <c r="X6" s="327">
        <v>1373176339.716697</v>
      </c>
      <c r="Y6" s="327">
        <v>1572599843.539721</v>
      </c>
      <c r="Z6" s="327">
        <v>1648782632.767487</v>
      </c>
      <c r="AA6" s="327">
        <v>1713207593.995374</v>
      </c>
      <c r="AB6" s="327">
        <v>1661633911.2034791</v>
      </c>
      <c r="AC6" s="327">
        <v>1709463788.288507</v>
      </c>
      <c r="AD6" s="7"/>
      <c r="AE6" s="327">
        <f t="shared" si="1"/>
        <v>6568619819.9738188</v>
      </c>
    </row>
    <row r="7" spans="1:31" ht="14.25" customHeight="1" x14ac:dyDescent="0.3">
      <c r="A7" s="324" t="s">
        <v>247</v>
      </c>
      <c r="B7" s="328">
        <f t="shared" ref="B7:M7" si="3">B6/B3</f>
        <v>0.67723406051927904</v>
      </c>
      <c r="C7" s="328">
        <f t="shared" si="3"/>
        <v>0.67675489426638757</v>
      </c>
      <c r="D7" s="328">
        <f t="shared" si="3"/>
        <v>0.68279288972782037</v>
      </c>
      <c r="E7" s="328">
        <f t="shared" si="3"/>
        <v>0.71356433212173542</v>
      </c>
      <c r="F7" s="328">
        <f t="shared" si="3"/>
        <v>0.67948232456346291</v>
      </c>
      <c r="G7" s="328" t="e">
        <f t="shared" si="3"/>
        <v>#DIV/0!</v>
      </c>
      <c r="H7" s="328" t="e">
        <f t="shared" si="3"/>
        <v>#DIV/0!</v>
      </c>
      <c r="I7" s="328" t="e">
        <f t="shared" si="3"/>
        <v>#DIV/0!</v>
      </c>
      <c r="J7" s="328" t="e">
        <f t="shared" si="3"/>
        <v>#DIV/0!</v>
      </c>
      <c r="K7" s="328" t="e">
        <f t="shared" si="3"/>
        <v>#DIV/0!</v>
      </c>
      <c r="L7" s="328" t="e">
        <f t="shared" si="3"/>
        <v>#DIV/0!</v>
      </c>
      <c r="M7" s="328" t="e">
        <f t="shared" si="3"/>
        <v>#DIV/0!</v>
      </c>
      <c r="N7" s="7"/>
      <c r="O7" s="328">
        <f>O6/O3</f>
        <v>0.68634745755691295</v>
      </c>
      <c r="P7" s="7"/>
      <c r="Q7" s="7"/>
      <c r="R7" s="328">
        <f>R6/R3</f>
        <v>0.64569229808039297</v>
      </c>
      <c r="S7" s="328">
        <f>S6/S3</f>
        <v>0.64741906122958681</v>
      </c>
      <c r="T7" s="328">
        <v>0.65653546162354781</v>
      </c>
      <c r="U7" s="328">
        <v>0.65055298311306253</v>
      </c>
      <c r="V7" s="328">
        <v>0.65558745421297226</v>
      </c>
      <c r="W7" s="328">
        <v>0.65063468553248904</v>
      </c>
      <c r="X7" s="328">
        <v>0.55893553466202317</v>
      </c>
      <c r="Y7" s="328">
        <v>0.64808084511679831</v>
      </c>
      <c r="Z7" s="328">
        <v>0.64672740717394206</v>
      </c>
      <c r="AA7" s="328">
        <v>0.64135400386278318</v>
      </c>
      <c r="AB7" s="328">
        <v>0.63590895984731466</v>
      </c>
      <c r="AC7" s="328">
        <v>0.63383653700513365</v>
      </c>
      <c r="AD7" s="7"/>
      <c r="AE7" s="328">
        <f>AE6/AE3</f>
        <v>0.65132487591581245</v>
      </c>
    </row>
    <row r="8" spans="1:31" ht="14.25" customHeight="1" x14ac:dyDescent="0.3">
      <c r="A8" s="322" t="s">
        <v>152</v>
      </c>
      <c r="B8" s="323">
        <f>-SUMIF('REAL-BDGT2026'!$G$43:$G$193,$A8,'REAL-BDGT2026'!I$43:I$193)</f>
        <v>-148329380.63</v>
      </c>
      <c r="C8" s="323">
        <f>-SUMIF('REAL-BDGT2026'!$G$43:$G$193,$A8,'REAL-BDGT2026'!J$43:J$193)</f>
        <v>-145847724.28999999</v>
      </c>
      <c r="D8" s="323">
        <f>-SUMIF('REAL-BDGT2026'!$G$43:$G$193,$A8,'REAL-BDGT2026'!K$43:K$193)</f>
        <v>-318171622.42000002</v>
      </c>
      <c r="E8" s="323">
        <f>-SUMIF('REAL-BDGT2026'!$G$43:$G$193,$A8,'REAL-BDGT2026'!L$43:L$193)</f>
        <v>-149270632.79000002</v>
      </c>
      <c r="F8" s="323">
        <f>-SUMIF('REAL-BDGT2026'!$G$43:$G$193,$A8,'REAL-BDGT2026'!M$43:M$193)</f>
        <v>-151589139.89999998</v>
      </c>
      <c r="G8" s="323">
        <f>-SUMIF('REAL-BDGT2026'!$G$43:$G$193,$A8,'REAL-BDGT2026'!N$43:N$193)</f>
        <v>0</v>
      </c>
      <c r="H8" s="323">
        <f>-SUMIF('REAL-BDGT2026'!$G$43:$G$193,$A8,'REAL-BDGT2026'!O$43:O$193)</f>
        <v>0</v>
      </c>
      <c r="I8" s="323">
        <f>-SUMIF('REAL-BDGT2026'!$G$43:$G$193,$A8,'REAL-BDGT2026'!P$43:P$193)</f>
        <v>0</v>
      </c>
      <c r="J8" s="323">
        <f>-SUMIF('REAL-BDGT2026'!$G$43:$G$193,$A8,'REAL-BDGT2026'!Q$43:Q$193)</f>
        <v>0</v>
      </c>
      <c r="K8" s="323">
        <f>-SUMIF('REAL-BDGT2026'!$G$43:$G$193,$A8,'REAL-BDGT2026'!R$43:R$193)</f>
        <v>0</v>
      </c>
      <c r="L8" s="323">
        <f>-SUMIF('REAL-BDGT2026'!$G$43:$G$193,$A8,'REAL-BDGT2026'!S$43:S$193)</f>
        <v>0</v>
      </c>
      <c r="M8" s="323">
        <f>-SUMIF('REAL-BDGT2026'!$G$43:$G$193,$A8,'REAL-BDGT2026'!T$43:T$193)</f>
        <v>0</v>
      </c>
      <c r="N8" s="7"/>
      <c r="O8" s="323">
        <f t="shared" ref="O8:O14" si="4">SUM(B8:F8)</f>
        <v>-913208500.02999985</v>
      </c>
      <c r="P8" s="7"/>
      <c r="Q8" s="7"/>
      <c r="R8" s="323">
        <v>-175926590.2855539</v>
      </c>
      <c r="S8" s="323">
        <v>-180091916.27680391</v>
      </c>
      <c r="T8" s="323">
        <v>-180259722.1579226</v>
      </c>
      <c r="U8" s="323">
        <v>-192094829.6429072</v>
      </c>
      <c r="V8" s="323">
        <v>-191621607.45678279</v>
      </c>
      <c r="W8" s="323">
        <v>-191797078.43786651</v>
      </c>
      <c r="X8" s="323">
        <v>-199953049.14197981</v>
      </c>
      <c r="Y8" s="323">
        <v>-200133823.73346671</v>
      </c>
      <c r="Z8" s="323">
        <v>-200317309.94382599</v>
      </c>
      <c r="AA8" s="323">
        <v>-207839243.2099914</v>
      </c>
      <c r="AB8" s="323">
        <v>-208028275.29105881</v>
      </c>
      <c r="AC8" s="323">
        <v>-208220142.85334221</v>
      </c>
      <c r="AD8" s="7"/>
      <c r="AE8" s="323">
        <f t="shared" ref="AE8:AE14" si="5">SUM(R8:V8)</f>
        <v>-919994665.81997037</v>
      </c>
    </row>
    <row r="9" spans="1:31" ht="14.25" customHeight="1" x14ac:dyDescent="0.3">
      <c r="A9" s="324" t="s">
        <v>185</v>
      </c>
      <c r="B9" s="325">
        <f>-SUMIF('REAL-BDGT2026'!$G$43:$G$193,$A9,'REAL-BDGT2026'!I$43:I$193)</f>
        <v>-9170663.2199999988</v>
      </c>
      <c r="C9" s="325">
        <f>-SUMIF('REAL-BDGT2026'!$G$43:$G$193,$A9,'REAL-BDGT2026'!J$43:J$193)</f>
        <v>-10435567.25</v>
      </c>
      <c r="D9" s="325">
        <f>-SUMIF('REAL-BDGT2026'!$G$43:$G$193,$A9,'REAL-BDGT2026'!K$43:K$193)</f>
        <v>-9906459</v>
      </c>
      <c r="E9" s="325">
        <f>-SUMIF('REAL-BDGT2026'!$G$43:$G$193,$A9,'REAL-BDGT2026'!L$43:L$193)</f>
        <v>-10670610.18</v>
      </c>
      <c r="F9" s="325">
        <f>-SUMIF('REAL-BDGT2026'!$G$43:$G$193,$A9,'REAL-BDGT2026'!M$43:M$193)</f>
        <v>-11622973.689999999</v>
      </c>
      <c r="G9" s="325">
        <f>-SUMIF('REAL-BDGT2026'!$G$43:$G$193,$A9,'REAL-BDGT2026'!N$43:N$193)</f>
        <v>0</v>
      </c>
      <c r="H9" s="325">
        <f>-SUMIF('REAL-BDGT2026'!$G$43:$G$193,$A9,'REAL-BDGT2026'!O$43:O$193)</f>
        <v>0</v>
      </c>
      <c r="I9" s="325">
        <f>-SUMIF('REAL-BDGT2026'!$G$43:$G$193,$A9,'REAL-BDGT2026'!P$43:P$193)</f>
        <v>0</v>
      </c>
      <c r="J9" s="325">
        <f>-SUMIF('REAL-BDGT2026'!$G$43:$G$193,$A9,'REAL-BDGT2026'!Q$43:Q$193)</f>
        <v>0</v>
      </c>
      <c r="K9" s="325">
        <f>-SUMIF('REAL-BDGT2026'!$G$43:$G$193,$A9,'REAL-BDGT2026'!R$43:R$193)</f>
        <v>0</v>
      </c>
      <c r="L9" s="325">
        <f>-SUMIF('REAL-BDGT2026'!$G$43:$G$193,$A9,'REAL-BDGT2026'!S$43:S$193)</f>
        <v>0</v>
      </c>
      <c r="M9" s="325">
        <f>-SUMIF('REAL-BDGT2026'!$G$43:$G$193,$A9,'REAL-BDGT2026'!T$43:T$193)</f>
        <v>0</v>
      </c>
      <c r="N9" s="7"/>
      <c r="O9" s="325">
        <f t="shared" si="4"/>
        <v>-51806273.339999996</v>
      </c>
      <c r="P9" s="7"/>
      <c r="Q9" s="7"/>
      <c r="R9" s="325">
        <v>-12582076.448799999</v>
      </c>
      <c r="S9" s="325">
        <v>-12400446.0988</v>
      </c>
      <c r="T9" s="325">
        <v>-10625449.71655</v>
      </c>
      <c r="U9" s="325">
        <v>-12794270.492481951</v>
      </c>
      <c r="V9" s="325">
        <v>-14325916.12031302</v>
      </c>
      <c r="W9" s="325">
        <v>-11309375.343425799</v>
      </c>
      <c r="X9" s="325">
        <v>-13960929.19290239</v>
      </c>
      <c r="Y9" s="325">
        <v>-11671444.916807</v>
      </c>
      <c r="Z9" s="325">
        <v>-11845702.671470741</v>
      </c>
      <c r="AA9" s="325">
        <v>-13045412.421765709</v>
      </c>
      <c r="AB9" s="325">
        <v>-12225297.66660556</v>
      </c>
      <c r="AC9" s="325">
        <v>-18388449.803328939</v>
      </c>
      <c r="AD9" s="7"/>
      <c r="AE9" s="325">
        <f t="shared" si="5"/>
        <v>-62728158.876944974</v>
      </c>
    </row>
    <row r="10" spans="1:31" ht="14.25" customHeight="1" x14ac:dyDescent="0.3">
      <c r="A10" s="322" t="s">
        <v>1645</v>
      </c>
      <c r="B10" s="323">
        <f>-SUMIF('REAL-BDGT2026'!$G$43:$G$171,$A10,'REAL-BDGT2026'!I$43:I$171)</f>
        <v>-39780585.620000005</v>
      </c>
      <c r="C10" s="323">
        <f>-SUMIF('REAL-BDGT2026'!$G$43:$G$171,$A10,'REAL-BDGT2026'!J$43:J$171)</f>
        <v>-38581587.620000005</v>
      </c>
      <c r="D10" s="323">
        <f>-SUMIF('REAL-BDGT2026'!$G$43:$G$171,$A10,'REAL-BDGT2026'!K$43:K$171)</f>
        <v>-44021551.620000005</v>
      </c>
      <c r="E10" s="323">
        <f>-SUMIF('REAL-BDGT2026'!$G$43:$G$171,$A10,'REAL-BDGT2026'!L$43:L$171)</f>
        <v>-51875614.449999996</v>
      </c>
      <c r="F10" s="323">
        <f>-SUMIF('REAL-BDGT2026'!$G$43:$G$171,$A10,'REAL-BDGT2026'!M$43:M$171)</f>
        <v>-28308510.089999996</v>
      </c>
      <c r="G10" s="323">
        <f>-SUMIF('REAL-BDGT2026'!$G$43:$G$171,$A10,'REAL-BDGT2026'!N$43:N$171)</f>
        <v>0</v>
      </c>
      <c r="H10" s="323">
        <f>-SUMIF('REAL-BDGT2026'!$G$43:$G$171,$A10,'REAL-BDGT2026'!O$43:O$171)</f>
        <v>0</v>
      </c>
      <c r="I10" s="323">
        <f>-SUMIF('REAL-BDGT2026'!$G$43:$G$171,$A10,'REAL-BDGT2026'!P$43:P$171)</f>
        <v>0</v>
      </c>
      <c r="J10" s="323">
        <f>-SUMIF('REAL-BDGT2026'!$G$43:$G$171,$A10,'REAL-BDGT2026'!Q$43:Q$171)</f>
        <v>0</v>
      </c>
      <c r="K10" s="323">
        <f>-SUMIF('REAL-BDGT2026'!$G$43:$G$171,$A10,'REAL-BDGT2026'!R$43:R$171)</f>
        <v>0</v>
      </c>
      <c r="L10" s="323">
        <f>-SUMIF('REAL-BDGT2026'!$G$43:$G$171,$A10,'REAL-BDGT2026'!S$43:S$171)</f>
        <v>0</v>
      </c>
      <c r="M10" s="323">
        <f>-SUMIF('REAL-BDGT2026'!$G$43:$G$171,$A10,'REAL-BDGT2026'!T$43:T$171)</f>
        <v>0</v>
      </c>
      <c r="N10" s="7"/>
      <c r="O10" s="323">
        <f t="shared" si="4"/>
        <v>-202567849.40000001</v>
      </c>
      <c r="P10" s="7"/>
      <c r="Q10" s="7"/>
      <c r="R10" s="323">
        <v>-45017725.177019291</v>
      </c>
      <c r="S10" s="323">
        <v>-43827790.927019291</v>
      </c>
      <c r="T10" s="323">
        <v>-40064810.177019291</v>
      </c>
      <c r="U10" s="323">
        <v>-46990028.511965469</v>
      </c>
      <c r="V10" s="323">
        <v>-41715303.562340461</v>
      </c>
      <c r="W10" s="323">
        <v>-41724855.834296077</v>
      </c>
      <c r="X10" s="323">
        <v>-30523302.07782064</v>
      </c>
      <c r="Y10" s="323">
        <v>-33841430.56311816</v>
      </c>
      <c r="Z10" s="323">
        <v>-30882056.848988391</v>
      </c>
      <c r="AA10" s="323">
        <v>-31917556.916369598</v>
      </c>
      <c r="AB10" s="323">
        <v>-31699169.431069311</v>
      </c>
      <c r="AC10" s="323">
        <v>-31709614.298494529</v>
      </c>
      <c r="AD10" s="7"/>
      <c r="AE10" s="323">
        <f t="shared" si="5"/>
        <v>-217615658.35536382</v>
      </c>
    </row>
    <row r="11" spans="1:31" ht="14.25" customHeight="1" x14ac:dyDescent="0.3">
      <c r="A11" s="324" t="s">
        <v>1646</v>
      </c>
      <c r="B11" s="325">
        <f ca="1">-SUMIF('REAL-BDGT2026'!$G$43:$G$171,$A11,'REAL-BDGT2026'!I$43:I$140)</f>
        <v>0</v>
      </c>
      <c r="C11" s="325">
        <f ca="1">-SUMIF('REAL-BDGT2026'!$G$43:$G$171,$A11,'REAL-BDGT2026'!J$43:J$140)</f>
        <v>0</v>
      </c>
      <c r="D11" s="325">
        <f>-SUMIF('REAL-BDGT2026'!$G$43:$G$193,$A11,'REAL-BDGT2026'!K$43:K$193)</f>
        <v>0</v>
      </c>
      <c r="E11" s="325">
        <f>-SUMIF('REAL-BDGT2026'!$G$43:$G$193,$A11,'REAL-BDGT2026'!L$43:L$193)</f>
        <v>0</v>
      </c>
      <c r="F11" s="325">
        <f>-SUMIF('REAL-BDGT2026'!$G$43:$G$193,$A11,'REAL-BDGT2026'!M$43:M$193)</f>
        <v>0</v>
      </c>
      <c r="G11" s="325">
        <f>-SUMIF('REAL-BDGT2026'!$G$43:$G$193,$A11,'REAL-BDGT2026'!N$43:N$193)</f>
        <v>0</v>
      </c>
      <c r="H11" s="325">
        <f>-SUMIF('REAL-BDGT2026'!$G$43:$G$193,$A11,'REAL-BDGT2026'!O$43:O$193)</f>
        <v>0</v>
      </c>
      <c r="I11" s="325">
        <f>-SUMIF('REAL-BDGT2026'!$G$43:$G$193,$A11,'REAL-BDGT2026'!P$43:P$193)</f>
        <v>0</v>
      </c>
      <c r="J11" s="325">
        <f>-SUMIF('REAL-BDGT2026'!$G$43:$G$193,$A11,'REAL-BDGT2026'!Q$43:Q$193)</f>
        <v>0</v>
      </c>
      <c r="K11" s="325">
        <f>-SUMIF('REAL-BDGT2026'!$G$43:$G$193,$A11,'REAL-BDGT2026'!R$43:R$193)</f>
        <v>0</v>
      </c>
      <c r="L11" s="325">
        <f>-SUMIF('REAL-BDGT2026'!$G$43:$G$193,$A11,'REAL-BDGT2026'!S$43:S$193)</f>
        <v>0</v>
      </c>
      <c r="M11" s="325">
        <f>-SUMIF('REAL-BDGT2026'!$G$43:$G$193,$A11,'REAL-BDGT2026'!T$43:T$193)</f>
        <v>0</v>
      </c>
      <c r="N11" s="7"/>
      <c r="O11" s="325">
        <f t="shared" ca="1" si="4"/>
        <v>0</v>
      </c>
      <c r="P11" s="7"/>
      <c r="Q11" s="7"/>
      <c r="R11" s="325">
        <v>0</v>
      </c>
      <c r="S11" s="325">
        <v>0</v>
      </c>
      <c r="T11" s="325">
        <v>0</v>
      </c>
      <c r="U11" s="325">
        <v>0</v>
      </c>
      <c r="V11" s="325">
        <v>0</v>
      </c>
      <c r="W11" s="325">
        <v>0</v>
      </c>
      <c r="X11" s="325">
        <v>0</v>
      </c>
      <c r="Y11" s="325">
        <v>0</v>
      </c>
      <c r="Z11" s="325">
        <v>0</v>
      </c>
      <c r="AA11" s="325">
        <v>0</v>
      </c>
      <c r="AB11" s="325">
        <v>0</v>
      </c>
      <c r="AC11" s="325">
        <v>0</v>
      </c>
      <c r="AD11" s="7"/>
      <c r="AE11" s="325">
        <f t="shared" si="5"/>
        <v>0</v>
      </c>
    </row>
    <row r="12" spans="1:31" ht="14.25" customHeight="1" x14ac:dyDescent="0.3">
      <c r="A12" s="322" t="s">
        <v>1647</v>
      </c>
      <c r="B12" s="323">
        <f ca="1">-SUMIF('REAL-BDGT2026'!$G$43:$G$171,$A12,'REAL-BDGT2026'!I$43:I$140)</f>
        <v>0</v>
      </c>
      <c r="C12" s="323">
        <f ca="1">-SUMIF('REAL-BDGT2026'!$G$43:$G$171,$A12,'REAL-BDGT2026'!J$43:J$140)</f>
        <v>0</v>
      </c>
      <c r="D12" s="323">
        <f>-SUMIF('REAL-BDGT2026'!$G$43:$G$193,$A12,'REAL-BDGT2026'!K$43:K$193)</f>
        <v>0</v>
      </c>
      <c r="E12" s="323">
        <f>-SUMIF('REAL-BDGT2026'!$G$43:$G$193,$A12,'REAL-BDGT2026'!L$43:L$193)</f>
        <v>0</v>
      </c>
      <c r="F12" s="323">
        <f>-SUMIF('REAL-BDGT2026'!$G$43:$G$193,$A12,'REAL-BDGT2026'!M$43:M$193)</f>
        <v>0</v>
      </c>
      <c r="G12" s="323">
        <f>-SUMIF('REAL-BDGT2026'!$G$43:$G$193,$A12,'REAL-BDGT2026'!N$43:N$193)</f>
        <v>0</v>
      </c>
      <c r="H12" s="323">
        <f>-SUMIF('REAL-BDGT2026'!$G$43:$G$193,$A12,'REAL-BDGT2026'!O$43:O$193)</f>
        <v>0</v>
      </c>
      <c r="I12" s="323">
        <f>-SUMIF('REAL-BDGT2026'!$G$43:$G$193,$A12,'REAL-BDGT2026'!P$43:P$193)</f>
        <v>0</v>
      </c>
      <c r="J12" s="323">
        <f>-SUMIF('REAL-BDGT2026'!$G$43:$G$193,$A12,'REAL-BDGT2026'!Q$43:Q$193)</f>
        <v>0</v>
      </c>
      <c r="K12" s="323">
        <f>-SUMIF('REAL-BDGT2026'!$G$43:$G$193,$A12,'REAL-BDGT2026'!R$43:R$193)</f>
        <v>0</v>
      </c>
      <c r="L12" s="323">
        <f>-SUMIF('REAL-BDGT2026'!$G$43:$G$193,$A12,'REAL-BDGT2026'!S$43:S$193)</f>
        <v>0</v>
      </c>
      <c r="M12" s="323">
        <f>-SUMIF('REAL-BDGT2026'!$G$43:$G$193,$A12,'REAL-BDGT2026'!T$43:T$193)</f>
        <v>0</v>
      </c>
      <c r="N12" s="7"/>
      <c r="O12" s="323">
        <f t="shared" ca="1" si="4"/>
        <v>0</v>
      </c>
      <c r="P12" s="7"/>
      <c r="Q12" s="7"/>
      <c r="R12" s="323">
        <v>0</v>
      </c>
      <c r="S12" s="323">
        <v>0</v>
      </c>
      <c r="T12" s="323">
        <v>0</v>
      </c>
      <c r="U12" s="323">
        <v>0</v>
      </c>
      <c r="V12" s="323">
        <v>0</v>
      </c>
      <c r="W12" s="323">
        <v>0</v>
      </c>
      <c r="X12" s="323">
        <v>0</v>
      </c>
      <c r="Y12" s="323">
        <v>0</v>
      </c>
      <c r="Z12" s="323">
        <v>0</v>
      </c>
      <c r="AA12" s="323">
        <v>0</v>
      </c>
      <c r="AB12" s="323">
        <v>0</v>
      </c>
      <c r="AC12" s="323">
        <v>0</v>
      </c>
      <c r="AD12" s="7"/>
      <c r="AE12" s="323">
        <f t="shared" si="5"/>
        <v>0</v>
      </c>
    </row>
    <row r="13" spans="1:31" ht="14.25" customHeight="1" x14ac:dyDescent="0.3">
      <c r="A13" s="324" t="s">
        <v>141</v>
      </c>
      <c r="B13" s="325">
        <f>-SUMIF('REAL-BDGT2026'!$G$43:$G$193,$A13,'REAL-BDGT2026'!I$43:I$193)</f>
        <v>-15332425.68</v>
      </c>
      <c r="C13" s="325">
        <f>-SUMIF('REAL-BDGT2026'!$G$43:$G$193,$A13,'REAL-BDGT2026'!J$43:J$193)</f>
        <v>-12269412.449999999</v>
      </c>
      <c r="D13" s="325">
        <f>-SUMIF('REAL-BDGT2026'!$G$43:$G$193,$A13,'REAL-BDGT2026'!K$43:K$193)</f>
        <v>-6631113</v>
      </c>
      <c r="E13" s="325">
        <f>-SUMIF('REAL-BDGT2026'!$G$43:$G$193,$A13,'REAL-BDGT2026'!L$43:L$193)</f>
        <v>-2361718.27</v>
      </c>
      <c r="F13" s="325">
        <f>-SUMIF('REAL-BDGT2026'!$G$43:$G$193,$A13,'REAL-BDGT2026'!M$43:M$193)</f>
        <v>-29861801.66</v>
      </c>
      <c r="G13" s="325">
        <f>-SUMIF('REAL-BDGT2026'!$G$43:$G$193,$A13,'REAL-BDGT2026'!N$43:N$193)</f>
        <v>0</v>
      </c>
      <c r="H13" s="325">
        <f>-SUMIF('REAL-BDGT2026'!$G$43:$G$193,$A13,'REAL-BDGT2026'!O$43:O$193)</f>
        <v>0</v>
      </c>
      <c r="I13" s="325">
        <f>-SUMIF('REAL-BDGT2026'!$G$43:$G$193,$A13,'REAL-BDGT2026'!P$43:P$193)</f>
        <v>0</v>
      </c>
      <c r="J13" s="325">
        <f>-SUMIF('REAL-BDGT2026'!$G$43:$G$193,$A13,'REAL-BDGT2026'!Q$43:Q$193)</f>
        <v>0</v>
      </c>
      <c r="K13" s="325">
        <f>-SUMIF('REAL-BDGT2026'!$G$43:$G$193,$A13,'REAL-BDGT2026'!R$43:R$193)</f>
        <v>0</v>
      </c>
      <c r="L13" s="325">
        <f>-SUMIF('REAL-BDGT2026'!$G$43:$G$193,$A13,'REAL-BDGT2026'!S$43:S$193)</f>
        <v>0</v>
      </c>
      <c r="M13" s="325">
        <f>-SUMIF('REAL-BDGT2026'!$G$43:$G$193,$A13,'REAL-BDGT2026'!T$43:T$193)</f>
        <v>0</v>
      </c>
      <c r="N13" s="7"/>
      <c r="O13" s="325">
        <f t="shared" si="4"/>
        <v>-66456471.060000002</v>
      </c>
      <c r="P13" s="7"/>
      <c r="Q13" s="7"/>
      <c r="R13" s="325">
        <v>-2537.5</v>
      </c>
      <c r="S13" s="325">
        <v>-2575.5624999999991</v>
      </c>
      <c r="T13" s="325">
        <v>-2614.1959374999992</v>
      </c>
      <c r="U13" s="325">
        <v>-2653.4088765624979</v>
      </c>
      <c r="V13" s="325">
        <v>-15008708.75743865</v>
      </c>
      <c r="W13" s="325">
        <v>-15115279.993885379</v>
      </c>
      <c r="X13" s="325">
        <v>-17647019.996069752</v>
      </c>
      <c r="Y13" s="325">
        <v>-16414919.682044061</v>
      </c>
      <c r="Z13" s="325">
        <v>-17185560.960074421</v>
      </c>
      <c r="AA13" s="325">
        <v>-18061814.501780052</v>
      </c>
      <c r="AB13" s="325">
        <v>-17760833.649605319</v>
      </c>
      <c r="AC13" s="325">
        <v>-18347103.413995299</v>
      </c>
      <c r="AD13" s="7"/>
      <c r="AE13" s="325">
        <f t="shared" si="5"/>
        <v>-15019089.424752712</v>
      </c>
    </row>
    <row r="14" spans="1:31" ht="14.25" customHeight="1" x14ac:dyDescent="0.3">
      <c r="A14" s="329" t="s">
        <v>1648</v>
      </c>
      <c r="B14" s="323">
        <f ca="1">-SUMIF('REAL-BDGT2026'!$G$43:$G$171,$A14,'REAL-BDGT2026'!I$43:I$140)</f>
        <v>0</v>
      </c>
      <c r="C14" s="323">
        <f ca="1">-SUMIF('REAL-BDGT2026'!$G$43:$G$171,$A14,'REAL-BDGT2026'!J$43:J$140)</f>
        <v>0</v>
      </c>
      <c r="D14" s="323">
        <f>-SUMIF('REAL-BDGT2026'!$G$43:$G$193,$A14,'REAL-BDGT2026'!K$43:K$193)</f>
        <v>0</v>
      </c>
      <c r="E14" s="323">
        <f>-SUMIF('REAL-BDGT2026'!$G$43:$G$193,$A14,'REAL-BDGT2026'!L$43:L$193)</f>
        <v>0</v>
      </c>
      <c r="F14" s="323">
        <f>-SUMIF('REAL-BDGT2026'!$G$43:$G$193,$A14,'REAL-BDGT2026'!M$43:M$193)</f>
        <v>0</v>
      </c>
      <c r="G14" s="323">
        <f>-SUMIF('REAL-BDGT2026'!$G$43:$G$193,$A14,'REAL-BDGT2026'!N$43:N$193)</f>
        <v>0</v>
      </c>
      <c r="H14" s="323">
        <f>-SUMIF('REAL-BDGT2026'!$G$43:$G$193,$A14,'REAL-BDGT2026'!O$43:O$193)</f>
        <v>0</v>
      </c>
      <c r="I14" s="323">
        <f>-SUMIF('REAL-BDGT2026'!$G$43:$G$193,$A14,'REAL-BDGT2026'!P$43:P$193)</f>
        <v>0</v>
      </c>
      <c r="J14" s="323">
        <f>-SUMIF('REAL-BDGT2026'!$G$43:$G$193,$A14,'REAL-BDGT2026'!Q$43:Q$193)</f>
        <v>0</v>
      </c>
      <c r="K14" s="323">
        <f>-SUMIF('REAL-BDGT2026'!$G$43:$G$193,$A14,'REAL-BDGT2026'!R$43:R$193)</f>
        <v>0</v>
      </c>
      <c r="L14" s="323">
        <f>-SUMIF('REAL-BDGT2026'!$G$43:$G$193,$A14,'REAL-BDGT2026'!S$43:S$193)</f>
        <v>0</v>
      </c>
      <c r="M14" s="323">
        <f>-SUMIF('REAL-BDGT2026'!$G$43:$G$193,$A14,'REAL-BDGT2026'!T$43:T$193)</f>
        <v>0</v>
      </c>
      <c r="N14" s="7"/>
      <c r="O14" s="323">
        <f t="shared" ca="1" si="4"/>
        <v>0</v>
      </c>
      <c r="P14" s="7"/>
      <c r="Q14" s="7"/>
      <c r="R14" s="323">
        <v>0</v>
      </c>
      <c r="S14" s="323">
        <v>0</v>
      </c>
      <c r="T14" s="323">
        <v>0</v>
      </c>
      <c r="U14" s="323">
        <v>0</v>
      </c>
      <c r="V14" s="323">
        <v>0</v>
      </c>
      <c r="W14" s="323">
        <v>0</v>
      </c>
      <c r="X14" s="323">
        <v>0</v>
      </c>
      <c r="Y14" s="323">
        <v>0</v>
      </c>
      <c r="Z14" s="323">
        <v>0</v>
      </c>
      <c r="AA14" s="323">
        <v>0</v>
      </c>
      <c r="AB14" s="323">
        <v>0</v>
      </c>
      <c r="AC14" s="323">
        <v>0</v>
      </c>
      <c r="AD14" s="7"/>
      <c r="AE14" s="323">
        <f t="shared" si="5"/>
        <v>0</v>
      </c>
    </row>
    <row r="15" spans="1:31" ht="14.25" customHeight="1" x14ac:dyDescent="0.3">
      <c r="A15" s="330" t="s">
        <v>1649</v>
      </c>
      <c r="B15" s="331">
        <f t="shared" ref="B15:M15" ca="1" si="6">SUM(B6:B14)</f>
        <v>1164446793.4461339</v>
      </c>
      <c r="C15" s="331">
        <f t="shared" ca="1" si="6"/>
        <v>1134626071.2167714</v>
      </c>
      <c r="D15" s="331">
        <f t="shared" si="6"/>
        <v>1086521328.8340764</v>
      </c>
      <c r="E15" s="331">
        <f t="shared" si="6"/>
        <v>1382869969.8035643</v>
      </c>
      <c r="F15" s="331">
        <f t="shared" si="6"/>
        <v>1336247414.2194824</v>
      </c>
      <c r="G15" s="331" t="e">
        <f t="shared" si="6"/>
        <v>#DIV/0!</v>
      </c>
      <c r="H15" s="331" t="e">
        <f t="shared" si="6"/>
        <v>#DIV/0!</v>
      </c>
      <c r="I15" s="331" t="e">
        <f t="shared" si="6"/>
        <v>#DIV/0!</v>
      </c>
      <c r="J15" s="331" t="e">
        <f t="shared" si="6"/>
        <v>#DIV/0!</v>
      </c>
      <c r="K15" s="331" t="e">
        <f t="shared" si="6"/>
        <v>#DIV/0!</v>
      </c>
      <c r="L15" s="331" t="e">
        <f t="shared" si="6"/>
        <v>#DIV/0!</v>
      </c>
      <c r="M15" s="331" t="e">
        <f t="shared" si="6"/>
        <v>#DIV/0!</v>
      </c>
      <c r="N15" s="7"/>
      <c r="O15" s="331">
        <f ca="1">SUM(B15:F15)</f>
        <v>6104711577.5200281</v>
      </c>
      <c r="P15" s="7"/>
      <c r="Q15" s="325"/>
      <c r="R15" s="331">
        <v>1030514559.698777</v>
      </c>
      <c r="S15" s="331">
        <v>949856403.38057208</v>
      </c>
      <c r="T15" s="331">
        <v>1075418126.913481</v>
      </c>
      <c r="U15" s="331">
        <v>1109749541.2008181</v>
      </c>
      <c r="V15" s="331">
        <v>1187723619.5589271</v>
      </c>
      <c r="W15" s="331">
        <v>1186555098.959815</v>
      </c>
      <c r="X15" s="331">
        <v>1111092039.8668611</v>
      </c>
      <c r="Y15" s="331">
        <v>1310538225.292366</v>
      </c>
      <c r="Z15" s="331">
        <v>1388552002.9898551</v>
      </c>
      <c r="AA15" s="331">
        <v>1442343567.5868211</v>
      </c>
      <c r="AB15" s="331">
        <v>1391920335.801049</v>
      </c>
      <c r="AC15" s="331">
        <v>1432798478.5531819</v>
      </c>
      <c r="AD15" s="7"/>
      <c r="AE15" s="331">
        <f>SUM(R15:V15)</f>
        <v>5353262250.7525749</v>
      </c>
    </row>
    <row r="16" spans="1:31" ht="14.25" customHeight="1" x14ac:dyDescent="0.3">
      <c r="A16" s="324" t="s">
        <v>247</v>
      </c>
      <c r="B16" s="328">
        <f t="shared" ref="B16:M16" ca="1" si="7">B15/B3</f>
        <v>0.57267157369809751</v>
      </c>
      <c r="C16" s="328">
        <f t="shared" ca="1" si="7"/>
        <v>0.57228083979748789</v>
      </c>
      <c r="D16" s="328">
        <f t="shared" si="7"/>
        <v>0.50630813013862486</v>
      </c>
      <c r="E16" s="328">
        <f t="shared" si="7"/>
        <v>0.61786893682058741</v>
      </c>
      <c r="F16" s="328">
        <f t="shared" si="7"/>
        <v>0.58290903046556197</v>
      </c>
      <c r="G16" s="328" t="e">
        <f t="shared" si="7"/>
        <v>#DIV/0!</v>
      </c>
      <c r="H16" s="328" t="e">
        <f t="shared" si="7"/>
        <v>#DIV/0!</v>
      </c>
      <c r="I16" s="328" t="e">
        <f t="shared" si="7"/>
        <v>#DIV/0!</v>
      </c>
      <c r="J16" s="328" t="e">
        <f t="shared" si="7"/>
        <v>#DIV/0!</v>
      </c>
      <c r="K16" s="328" t="e">
        <f t="shared" si="7"/>
        <v>#DIV/0!</v>
      </c>
      <c r="L16" s="328" t="e">
        <f t="shared" si="7"/>
        <v>#DIV/0!</v>
      </c>
      <c r="M16" s="328" t="e">
        <f t="shared" si="7"/>
        <v>#DIV/0!</v>
      </c>
      <c r="N16" s="7"/>
      <c r="O16" s="328">
        <f ca="1">O15/O3</f>
        <v>0.5709354984172742</v>
      </c>
      <c r="P16" s="7"/>
      <c r="Q16" s="7"/>
      <c r="R16" s="328">
        <f>R15/R3</f>
        <v>0.52640223246236595</v>
      </c>
      <c r="S16" s="328">
        <f>S15/S3</f>
        <v>0.51843361984539527</v>
      </c>
      <c r="T16" s="328">
        <v>0.54046690133865027</v>
      </c>
      <c r="U16" s="328">
        <v>0.53021024307413378</v>
      </c>
      <c r="V16" s="328">
        <v>0.53685831856113042</v>
      </c>
      <c r="W16" s="328">
        <v>0.53371102856404418</v>
      </c>
      <c r="X16" s="328">
        <v>0.45225715401550493</v>
      </c>
      <c r="Y16" s="328">
        <v>0.54008317760836211</v>
      </c>
      <c r="Z16" s="328">
        <v>0.54465313909359436</v>
      </c>
      <c r="AA16" s="328">
        <v>0.53995372496582361</v>
      </c>
      <c r="AB16" s="328">
        <v>0.53268930476297849</v>
      </c>
      <c r="AC16" s="328">
        <v>0.53125432202434153</v>
      </c>
      <c r="AD16" s="7"/>
      <c r="AE16" s="328">
        <f>AE15/AE3</f>
        <v>0.53081362093964524</v>
      </c>
    </row>
    <row r="17" spans="1:31" ht="14.25" customHeight="1" x14ac:dyDescent="0.3">
      <c r="A17" s="322" t="s">
        <v>250</v>
      </c>
      <c r="B17" s="323">
        <f ca="1">-SUMIF('REAL-BDGT2026'!$G$43:$G$193,$A17,'REAL-BDGT2026'!I$43:I$140)</f>
        <v>-140088</v>
      </c>
      <c r="C17" s="323">
        <f ca="1">-SUMIF('REAL-BDGT2026'!$G$43:$G$193,$A17,'REAL-BDGT2026'!J$43:J$140)</f>
        <v>4508</v>
      </c>
      <c r="D17" s="323">
        <f>-SUMIF('REAL-BDGT2026'!$G$43:$G$193,$A17,'REAL-BDGT2026'!K$43:K$193)</f>
        <v>5728</v>
      </c>
      <c r="E17" s="323">
        <f>-SUMIF('REAL-BDGT2026'!$G$43:$G$193,$A17,'REAL-BDGT2026'!L$43:L$193)</f>
        <v>-47373.53</v>
      </c>
      <c r="F17" s="323">
        <f>-SUMIF('REAL-BDGT2026'!$G$43:$G$193,$A17,'REAL-BDGT2026'!M$43:M$193)</f>
        <v>-58840</v>
      </c>
      <c r="G17" s="323">
        <f>-SUMIF('REAL-BDGT2026'!$G$43:$G$193,$A17,'REAL-BDGT2026'!N$43:N$193)</f>
        <v>0</v>
      </c>
      <c r="H17" s="323">
        <f>-SUMIF('REAL-BDGT2026'!$G$43:$G$193,$A17,'REAL-BDGT2026'!O$43:O$193)</f>
        <v>0</v>
      </c>
      <c r="I17" s="323">
        <f>-SUMIF('REAL-BDGT2026'!$G$43:$G$193,$A17,'REAL-BDGT2026'!P$43:P$193)</f>
        <v>0</v>
      </c>
      <c r="J17" s="323">
        <f>-SUMIF('REAL-BDGT2026'!$G$43:$G$193,$A17,'REAL-BDGT2026'!Q$43:Q$193)</f>
        <v>0</v>
      </c>
      <c r="K17" s="323">
        <f>-SUMIF('REAL-BDGT2026'!$G$43:$G$193,$A17,'REAL-BDGT2026'!R$43:R$193)</f>
        <v>0</v>
      </c>
      <c r="L17" s="323">
        <f>-SUMIF('REAL-BDGT2026'!$G$43:$G$193,$A17,'REAL-BDGT2026'!S$43:S$193)</f>
        <v>0</v>
      </c>
      <c r="M17" s="323">
        <f>-SUMIF('REAL-BDGT2026'!$G$43:$G$193,$A17,'REAL-BDGT2026'!T$43:T$193)</f>
        <v>0</v>
      </c>
      <c r="N17" s="7"/>
      <c r="O17" s="323">
        <f t="shared" ref="O17:O23" ca="1" si="8">SUM(B17:F17)</f>
        <v>-236065.53</v>
      </c>
      <c r="P17" s="7"/>
      <c r="Q17" s="7"/>
      <c r="R17" s="323">
        <v>0</v>
      </c>
      <c r="S17" s="323">
        <v>0</v>
      </c>
      <c r="T17" s="323">
        <v>0</v>
      </c>
      <c r="U17" s="323">
        <v>0</v>
      </c>
      <c r="V17" s="323">
        <v>0</v>
      </c>
      <c r="W17" s="323">
        <v>0</v>
      </c>
      <c r="X17" s="323">
        <v>0</v>
      </c>
      <c r="Y17" s="323">
        <v>0</v>
      </c>
      <c r="Z17" s="323">
        <v>0</v>
      </c>
      <c r="AA17" s="323">
        <v>0</v>
      </c>
      <c r="AB17" s="323">
        <v>0</v>
      </c>
      <c r="AC17" s="323">
        <v>0</v>
      </c>
      <c r="AD17" s="7"/>
      <c r="AE17" s="323">
        <f t="shared" ref="AE17:AE23" si="9">SUM(R17:V17)</f>
        <v>0</v>
      </c>
    </row>
    <row r="18" spans="1:31" ht="14.25" customHeight="1" x14ac:dyDescent="0.3">
      <c r="A18" s="324" t="s">
        <v>251</v>
      </c>
      <c r="B18" s="325">
        <f>SUMIF('REAL-BDGT2026'!$G$43:$G$193,$A18,'REAL-BDGT2026'!I$43:I$193)*-1</f>
        <v>238087809.37</v>
      </c>
      <c r="C18" s="325">
        <f>SUMIF('REAL-BDGT2026'!$G$43:$G$193,$A18,'REAL-BDGT2026'!J$43:J$193)*-1</f>
        <v>218300896</v>
      </c>
      <c r="D18" s="325">
        <f>SUMIF('REAL-BDGT2026'!$G$43:$G$193,$A18,'REAL-BDGT2026'!K$43:K$193)*-1</f>
        <v>262865752</v>
      </c>
      <c r="E18" s="325">
        <f>SUMIF('REAL-BDGT2026'!$G$43:$G$193,$A18,'REAL-BDGT2026'!L$43:L$193)*-1</f>
        <v>85208675.730000004</v>
      </c>
      <c r="F18" s="325">
        <f>SUMIF('REAL-BDGT2026'!$G$43:$G$193,$A18,'REAL-BDGT2026'!M$43:M$193)*-1</f>
        <v>72294338.579999998</v>
      </c>
      <c r="G18" s="325">
        <f>SUMIF('REAL-BDGT2026'!$G$43:$G$193,$A18,'REAL-BDGT2026'!N$43:N$193)*-1</f>
        <v>0</v>
      </c>
      <c r="H18" s="325">
        <f>SUMIF('REAL-BDGT2026'!$G$43:$G$193,$A18,'REAL-BDGT2026'!O$43:O$193)*-1</f>
        <v>0</v>
      </c>
      <c r="I18" s="325">
        <f>SUMIF('REAL-BDGT2026'!$G$43:$G$193,$A18,'REAL-BDGT2026'!P$43:P$193)*-1</f>
        <v>0</v>
      </c>
      <c r="J18" s="325">
        <f>SUMIF('REAL-BDGT2026'!$G$43:$G$193,$A18,'REAL-BDGT2026'!Q$43:Q$193)*-1</f>
        <v>0</v>
      </c>
      <c r="K18" s="325">
        <f>SUMIF('REAL-BDGT2026'!$G$43:$G$193,$A18,'REAL-BDGT2026'!R$43:R$193)*-1</f>
        <v>0</v>
      </c>
      <c r="L18" s="325">
        <f>SUMIF('REAL-BDGT2026'!$G$43:$G$193,$A18,'REAL-BDGT2026'!S$43:S$193)*-1</f>
        <v>0</v>
      </c>
      <c r="M18" s="325">
        <f>SUMIF('REAL-BDGT2026'!$G$43:$G$193,$A18,'REAL-BDGT2026'!T$43:T$193)*-1</f>
        <v>0</v>
      </c>
      <c r="N18" s="7"/>
      <c r="O18" s="325">
        <f t="shared" si="8"/>
        <v>876757471.68000007</v>
      </c>
      <c r="P18" s="7"/>
      <c r="Q18" s="7"/>
      <c r="R18" s="325">
        <v>0</v>
      </c>
      <c r="S18" s="325">
        <v>0</v>
      </c>
      <c r="T18" s="325">
        <v>0</v>
      </c>
      <c r="U18" s="325">
        <v>0</v>
      </c>
      <c r="V18" s="325">
        <v>0</v>
      </c>
      <c r="W18" s="325">
        <v>0</v>
      </c>
      <c r="X18" s="325">
        <v>0</v>
      </c>
      <c r="Y18" s="325">
        <v>0</v>
      </c>
      <c r="Z18" s="325">
        <v>0</v>
      </c>
      <c r="AA18" s="325">
        <v>0</v>
      </c>
      <c r="AB18" s="325">
        <v>0</v>
      </c>
      <c r="AC18" s="325">
        <v>0</v>
      </c>
      <c r="AD18" s="7"/>
      <c r="AE18" s="325">
        <f t="shared" si="9"/>
        <v>0</v>
      </c>
    </row>
    <row r="19" spans="1:31" ht="14.25" customHeight="1" x14ac:dyDescent="0.3">
      <c r="A19" s="322" t="s">
        <v>253</v>
      </c>
      <c r="B19" s="323">
        <f>SUMIF('REAL-BDGT2026'!$G$43:$G$193,$A19,'REAL-BDGT2026'!I$43:I$193)*-1</f>
        <v>0</v>
      </c>
      <c r="C19" s="323">
        <f>SUMIF('REAL-BDGT2026'!$G$43:$G$193,$A19,'REAL-BDGT2026'!J$43:J$193)*-1</f>
        <v>-3024427.04</v>
      </c>
      <c r="D19" s="323">
        <f>SUMIF('REAL-BDGT2026'!$G$43:$G$193,$A19,'REAL-BDGT2026'!K$43:K$193)</f>
        <v>0</v>
      </c>
      <c r="E19" s="323">
        <f>SUMIF('REAL-BDGT2026'!$G$43:$G$193,$A19,'REAL-BDGT2026'!L$43:L$193)*-1</f>
        <v>-27050.63</v>
      </c>
      <c r="F19" s="323">
        <f>SUMIF('REAL-BDGT2026'!$G$43:$G$193,$A19,'REAL-BDGT2026'!M$43:M$193)*-1</f>
        <v>0</v>
      </c>
      <c r="G19" s="323">
        <f>SUMIF('REAL-BDGT2026'!$G$43:$G$193,$A19,'REAL-BDGT2026'!N$43:N$193)*-1</f>
        <v>0</v>
      </c>
      <c r="H19" s="323">
        <f>SUMIF('REAL-BDGT2026'!$G$43:$G$193,$A19,'REAL-BDGT2026'!O$43:O$193)*-1</f>
        <v>0</v>
      </c>
      <c r="I19" s="323">
        <f>SUMIF('REAL-BDGT2026'!$G$43:$G$193,$A19,'REAL-BDGT2026'!P$43:P$193)*-1</f>
        <v>0</v>
      </c>
      <c r="J19" s="323">
        <f>SUMIF('REAL-BDGT2026'!$G$43:$G$193,$A19,'REAL-BDGT2026'!Q$43:Q$193)*-1</f>
        <v>0</v>
      </c>
      <c r="K19" s="323">
        <f>SUMIF('REAL-BDGT2026'!$G$43:$G$193,$A19,'REAL-BDGT2026'!R$43:R$193)*-1</f>
        <v>0</v>
      </c>
      <c r="L19" s="323">
        <f>SUMIF('REAL-BDGT2026'!$G$43:$G$193,$A19,'REAL-BDGT2026'!S$43:S$193)*-1</f>
        <v>0</v>
      </c>
      <c r="M19" s="323">
        <f>SUMIF('REAL-BDGT2026'!$G$43:$G$193,$A19,'REAL-BDGT2026'!T$43:T$193)*-1</f>
        <v>0</v>
      </c>
      <c r="N19" s="7"/>
      <c r="O19" s="323">
        <f t="shared" si="8"/>
        <v>-3051477.67</v>
      </c>
      <c r="P19" s="7"/>
      <c r="Q19" s="7"/>
      <c r="R19" s="323">
        <v>0</v>
      </c>
      <c r="S19" s="323">
        <v>0</v>
      </c>
      <c r="T19" s="323">
        <v>0</v>
      </c>
      <c r="U19" s="323">
        <v>0</v>
      </c>
      <c r="V19" s="323">
        <v>0</v>
      </c>
      <c r="W19" s="323">
        <v>0</v>
      </c>
      <c r="X19" s="323">
        <v>0</v>
      </c>
      <c r="Y19" s="323">
        <v>0</v>
      </c>
      <c r="Z19" s="323">
        <v>0</v>
      </c>
      <c r="AA19" s="323">
        <v>0</v>
      </c>
      <c r="AB19" s="323">
        <v>0</v>
      </c>
      <c r="AC19" s="323">
        <v>0</v>
      </c>
      <c r="AD19" s="7"/>
      <c r="AE19" s="323">
        <f t="shared" si="9"/>
        <v>0</v>
      </c>
    </row>
    <row r="20" spans="1:31" ht="14.25" customHeight="1" x14ac:dyDescent="0.3">
      <c r="A20" s="324" t="s">
        <v>1650</v>
      </c>
      <c r="B20" s="325">
        <f>-SUMIF('REAL-BDGT2026'!$G$43:$G$193,$A20,'REAL-BDGT2026'!I$43:I$193)</f>
        <v>-67750</v>
      </c>
      <c r="C20" s="325">
        <f>-SUMIF('REAL-BDGT2026'!$G$43:$G$193,$A20,'REAL-BDGT2026'!J$43:J$193)</f>
        <v>-49000</v>
      </c>
      <c r="D20" s="325">
        <f>-SUMIF('REAL-BDGT2026'!$G$43:$G$193,$A20,'REAL-BDGT2026'!K$43:K$193)</f>
        <v>-49000</v>
      </c>
      <c r="E20" s="325">
        <f>-SUMIF('REAL-BDGT2026'!$G$43:$G$193,$A20,'REAL-BDGT2026'!L$43:L$193)</f>
        <v>-49000</v>
      </c>
      <c r="F20" s="325">
        <f>-SUMIF('REAL-BDGT2026'!$G$43:$G$193,$A20,'REAL-BDGT2026'!M$43:M$193)</f>
        <v>-65000</v>
      </c>
      <c r="G20" s="325">
        <f>-SUMIF('REAL-BDGT2026'!$G$43:$G$193,$A20,'REAL-BDGT2026'!N$43:N$193)</f>
        <v>0</v>
      </c>
      <c r="H20" s="325">
        <f>-SUMIF('REAL-BDGT2026'!$G$43:$G$193,$A20,'REAL-BDGT2026'!O$43:O$193)</f>
        <v>0</v>
      </c>
      <c r="I20" s="325">
        <f>-SUMIF('REAL-BDGT2026'!$G$43:$G$193,$A20,'REAL-BDGT2026'!P$43:P$193)</f>
        <v>0</v>
      </c>
      <c r="J20" s="325">
        <f>-SUMIF('REAL-BDGT2026'!$G$43:$G$193,$A20,'REAL-BDGT2026'!Q$43:Q$193)</f>
        <v>0</v>
      </c>
      <c r="K20" s="325">
        <f>-SUMIF('REAL-BDGT2026'!$G$43:$G$193,$A20,'REAL-BDGT2026'!R$43:R$193)</f>
        <v>0</v>
      </c>
      <c r="L20" s="325">
        <f>-SUMIF('REAL-BDGT2026'!$G$43:$G$193,$A20,'REAL-BDGT2026'!S$43:S$193)</f>
        <v>0</v>
      </c>
      <c r="M20" s="325">
        <f>-SUMIF('REAL-BDGT2026'!$G$43:$G$193,$A20,'REAL-BDGT2026'!T$43:T$193)</f>
        <v>0</v>
      </c>
      <c r="N20" s="7"/>
      <c r="O20" s="325">
        <f t="shared" si="8"/>
        <v>-279750</v>
      </c>
      <c r="P20" s="7"/>
      <c r="Q20" s="7"/>
      <c r="R20" s="325">
        <v>-70000</v>
      </c>
      <c r="S20" s="325">
        <v>-70000</v>
      </c>
      <c r="T20" s="325">
        <v>-70000</v>
      </c>
      <c r="U20" s="325">
        <v>-70000</v>
      </c>
      <c r="V20" s="325">
        <v>-70000</v>
      </c>
      <c r="W20" s="325">
        <v>-70000</v>
      </c>
      <c r="X20" s="325">
        <v>-70000</v>
      </c>
      <c r="Y20" s="325">
        <v>-70000</v>
      </c>
      <c r="Z20" s="325">
        <v>-70000</v>
      </c>
      <c r="AA20" s="325">
        <v>-70000</v>
      </c>
      <c r="AB20" s="325">
        <v>-70000</v>
      </c>
      <c r="AC20" s="325">
        <v>-70000</v>
      </c>
      <c r="AD20" s="7"/>
      <c r="AE20" s="325">
        <f t="shared" si="9"/>
        <v>-350000</v>
      </c>
    </row>
    <row r="21" spans="1:31" ht="15.75" customHeight="1" x14ac:dyDescent="0.3">
      <c r="A21" s="322" t="s">
        <v>63</v>
      </c>
      <c r="B21" s="323">
        <f>-SUMIF('REAL-BDGT2026'!$G$43:$G$193,$A21,'REAL-BDGT2026'!I$43:I$193)</f>
        <v>-20874038.380000003</v>
      </c>
      <c r="C21" s="323">
        <f>-SUMIF('REAL-BDGT2026'!$G$43:$G$193,$A21,'REAL-BDGT2026'!J$43:J$193)</f>
        <v>-20874038.380000003</v>
      </c>
      <c r="D21" s="323">
        <f>-SUMIF('REAL-BDGT2026'!$G$43:$G$193,$A21,'REAL-BDGT2026'!K$43:K$193)</f>
        <v>-21322922.560000002</v>
      </c>
      <c r="E21" s="323">
        <f>-SUMIF('REAL-BDGT2026'!$G$43:$G$193,$A21,'REAL-BDGT2026'!L$43:L$193)</f>
        <v>-21082522.380000003</v>
      </c>
      <c r="F21" s="323">
        <f>-SUMIF('REAL-BDGT2026'!$G$43:$G$193,$A21,'REAL-BDGT2026'!M$43:M$193)</f>
        <v>-20985759.990000002</v>
      </c>
      <c r="G21" s="323">
        <f>-SUMIF('REAL-BDGT2026'!$G$43:$G$193,$A21,'REAL-BDGT2026'!N$43:N$193)</f>
        <v>0</v>
      </c>
      <c r="H21" s="323">
        <f>-SUMIF('REAL-BDGT2026'!$G$43:$G$193,$A21,'REAL-BDGT2026'!O$43:O$193)</f>
        <v>0</v>
      </c>
      <c r="I21" s="323">
        <f>-SUMIF('REAL-BDGT2026'!$G$43:$G$193,$A21,'REAL-BDGT2026'!P$43:P$193)</f>
        <v>0</v>
      </c>
      <c r="J21" s="323">
        <f>-SUMIF('REAL-BDGT2026'!$G$43:$G$193,$A21,'REAL-BDGT2026'!Q$43:Q$193)</f>
        <v>0</v>
      </c>
      <c r="K21" s="323">
        <f>-SUMIF('REAL-BDGT2026'!$G$43:$G$193,$A21,'REAL-BDGT2026'!R$43:R$193)</f>
        <v>0</v>
      </c>
      <c r="L21" s="323">
        <f>-SUMIF('REAL-BDGT2026'!$G$43:$G$193,$A21,'REAL-BDGT2026'!S$43:S$193)</f>
        <v>0</v>
      </c>
      <c r="M21" s="323">
        <f>-SUMIF('REAL-BDGT2026'!$G$43:$G$193,$A21,'REAL-BDGT2026'!T$43:T$193)</f>
        <v>0</v>
      </c>
      <c r="N21" s="7"/>
      <c r="O21" s="323">
        <f t="shared" si="8"/>
        <v>-105139281.69000003</v>
      </c>
      <c r="P21" s="7"/>
      <c r="Q21" s="7"/>
      <c r="R21" s="323">
        <v>-20362316</v>
      </c>
      <c r="S21" s="323">
        <v>-20362316</v>
      </c>
      <c r="T21" s="323">
        <v>-20362316</v>
      </c>
      <c r="U21" s="323">
        <v>-20362316</v>
      </c>
      <c r="V21" s="323">
        <v>-20362316</v>
      </c>
      <c r="W21" s="323">
        <v>-20362316</v>
      </c>
      <c r="X21" s="323">
        <v>-20362316</v>
      </c>
      <c r="Y21" s="323">
        <v>-20362316</v>
      </c>
      <c r="Z21" s="323">
        <v>-20362316</v>
      </c>
      <c r="AA21" s="323">
        <v>-20362316</v>
      </c>
      <c r="AB21" s="323">
        <v>-20362316</v>
      </c>
      <c r="AC21" s="323">
        <v>-20362316</v>
      </c>
      <c r="AD21" s="7"/>
      <c r="AE21" s="323">
        <f t="shared" si="9"/>
        <v>-101811580</v>
      </c>
    </row>
    <row r="22" spans="1:31" ht="15.75" customHeight="1" x14ac:dyDescent="0.3">
      <c r="A22" s="332" t="s">
        <v>1651</v>
      </c>
      <c r="B22" s="333">
        <f>-SUMIF('REAL-BDGT2026'!$G$43:$G$193,$A22,'REAL-BDGT2026'!I$43:I$193)</f>
        <v>-488319429.44999999</v>
      </c>
      <c r="C22" s="333">
        <f>-SUMIF('REAL-BDGT2026'!$G$43:$G$193,$A22,'REAL-BDGT2026'!J$43:J$193)</f>
        <v>-462332863.76999998</v>
      </c>
      <c r="D22" s="333">
        <f>-SUMIF('REAL-BDGT2026'!$G$43:$G$193,$A22,'REAL-BDGT2026'!K$43:K$193)</f>
        <v>-477732537.75999999</v>
      </c>
      <c r="E22" s="333">
        <f>-SUMIF('REAL-BDGT2026'!$G$43:$G$193,$A22,'REAL-BDGT2026'!L$43:L$193)</f>
        <v>-512501472.88</v>
      </c>
      <c r="F22" s="333">
        <f>-SUMIF('REAL-BDGT2026'!$G$43:$G$193,$A22,'REAL-BDGT2026'!M$43:M$193)</f>
        <v>-277471044.00999999</v>
      </c>
      <c r="G22" s="333">
        <f>-SUMIF('REAL-BDGT2026'!$G$43:$G$193,$A22,'REAL-BDGT2026'!N$43:N$193)</f>
        <v>0</v>
      </c>
      <c r="H22" s="333">
        <f>-SUMIF('REAL-BDGT2026'!$G$43:$G$193,$A22,'REAL-BDGT2026'!O$43:O$193)</f>
        <v>0</v>
      </c>
      <c r="I22" s="333">
        <f>-SUMIF('REAL-BDGT2026'!$G$43:$G$193,$A22,'REAL-BDGT2026'!P$43:P$193)</f>
        <v>0</v>
      </c>
      <c r="J22" s="333">
        <f>-SUMIF('REAL-BDGT2026'!$G$43:$G$193,$A22,'REAL-BDGT2026'!Q$43:Q$193)</f>
        <v>0</v>
      </c>
      <c r="K22" s="333">
        <f>-SUMIF('REAL-BDGT2026'!$G$43:$G$193,$A22,'REAL-BDGT2026'!R$43:R$193)</f>
        <v>0</v>
      </c>
      <c r="L22" s="333">
        <f>-SUMIF('REAL-BDGT2026'!$G$43:$G$193,$A22,'REAL-BDGT2026'!S$43:S$193)</f>
        <v>0</v>
      </c>
      <c r="M22" s="333">
        <f>-SUMIF('REAL-BDGT2026'!$G$43:$G$193,$A22,'REAL-BDGT2026'!T$43:T$193)</f>
        <v>0</v>
      </c>
      <c r="N22" s="7"/>
      <c r="O22" s="333">
        <f t="shared" si="8"/>
        <v>-2218357347.8699999</v>
      </c>
      <c r="P22" s="7"/>
      <c r="Q22" s="7"/>
      <c r="R22" s="333">
        <v>-353553285.06857967</v>
      </c>
      <c r="S22" s="333">
        <v>-325322930.3566035</v>
      </c>
      <c r="T22" s="333">
        <v>-369269533.58993077</v>
      </c>
      <c r="U22" s="333">
        <v>-381285528.59259272</v>
      </c>
      <c r="V22" s="333">
        <v>-408576456.01616877</v>
      </c>
      <c r="W22" s="333">
        <v>-408167473.808213</v>
      </c>
      <c r="X22" s="333">
        <v>-381755403.15777361</v>
      </c>
      <c r="Y22" s="333">
        <v>-451561568.02549952</v>
      </c>
      <c r="Z22" s="333">
        <v>-478866390.2200945</v>
      </c>
      <c r="AA22" s="333">
        <v>-497693437.83091348</v>
      </c>
      <c r="AB22" s="333">
        <v>-480045306.70779902</v>
      </c>
      <c r="AC22" s="333">
        <v>-494352656.67177099</v>
      </c>
      <c r="AD22" s="7"/>
      <c r="AE22" s="333">
        <f t="shared" si="9"/>
        <v>-1838007733.6238754</v>
      </c>
    </row>
    <row r="23" spans="1:31" ht="15.75" customHeight="1" x14ac:dyDescent="0.3">
      <c r="A23" s="318" t="s">
        <v>1652</v>
      </c>
      <c r="B23" s="327">
        <f t="shared" ref="B23:M23" ca="1" si="10">SUM(B15:B22)</f>
        <v>893133297.55880523</v>
      </c>
      <c r="C23" s="327">
        <f t="shared" ca="1" si="10"/>
        <v>866651146.59905219</v>
      </c>
      <c r="D23" s="327">
        <f t="shared" si="10"/>
        <v>850288349.02038455</v>
      </c>
      <c r="E23" s="327">
        <f t="shared" si="10"/>
        <v>934371226.73143303</v>
      </c>
      <c r="F23" s="327">
        <f t="shared" si="10"/>
        <v>1109961109.3823915</v>
      </c>
      <c r="G23" s="327" t="e">
        <f t="shared" si="10"/>
        <v>#DIV/0!</v>
      </c>
      <c r="H23" s="327" t="e">
        <f t="shared" si="10"/>
        <v>#DIV/0!</v>
      </c>
      <c r="I23" s="327" t="e">
        <f t="shared" si="10"/>
        <v>#DIV/0!</v>
      </c>
      <c r="J23" s="327" t="e">
        <f t="shared" si="10"/>
        <v>#DIV/0!</v>
      </c>
      <c r="K23" s="327" t="e">
        <f t="shared" si="10"/>
        <v>#DIV/0!</v>
      </c>
      <c r="L23" s="327" t="e">
        <f t="shared" si="10"/>
        <v>#DIV/0!</v>
      </c>
      <c r="M23" s="327" t="e">
        <f t="shared" si="10"/>
        <v>#DIV/0!</v>
      </c>
      <c r="N23" s="7"/>
      <c r="O23" s="327">
        <f t="shared" ca="1" si="8"/>
        <v>4654405129.2920666</v>
      </c>
      <c r="P23" s="7"/>
      <c r="Q23" s="7"/>
      <c r="R23" s="327">
        <v>656528959.15659952</v>
      </c>
      <c r="S23" s="327">
        <v>604101157.54240215</v>
      </c>
      <c r="T23" s="327">
        <v>685716277.86401653</v>
      </c>
      <c r="U23" s="327">
        <v>708031697.13843513</v>
      </c>
      <c r="V23" s="327">
        <v>758714848.07961631</v>
      </c>
      <c r="W23" s="327">
        <v>757955309.68531322</v>
      </c>
      <c r="X23" s="327">
        <v>708904321.16134417</v>
      </c>
      <c r="Y23" s="327">
        <v>838544341.80694914</v>
      </c>
      <c r="Z23" s="327">
        <v>889253297.31441331</v>
      </c>
      <c r="AA23" s="327">
        <v>924217814.29586148</v>
      </c>
      <c r="AB23" s="327">
        <v>891442713.62593961</v>
      </c>
      <c r="AC23" s="327">
        <v>918013506.41266513</v>
      </c>
      <c r="AD23" s="7"/>
      <c r="AE23" s="327">
        <f t="shared" si="9"/>
        <v>3413092939.7810698</v>
      </c>
    </row>
    <row r="24" spans="1:31" ht="15.75" customHeight="1" x14ac:dyDescent="0.3">
      <c r="A24" s="324" t="s">
        <v>247</v>
      </c>
      <c r="B24" s="328">
        <f t="shared" ref="B24:M24" ca="1" si="11">B23/(SUM(B3:B4))</f>
        <v>0.46693938460242862</v>
      </c>
      <c r="C24" s="328">
        <f t="shared" ca="1" si="11"/>
        <v>0.4663858063430012</v>
      </c>
      <c r="D24" s="328">
        <f t="shared" si="11"/>
        <v>0.42093819965868284</v>
      </c>
      <c r="E24" s="328">
        <f t="shared" si="11"/>
        <v>0.43922768565959269</v>
      </c>
      <c r="F24" s="328">
        <f t="shared" si="11"/>
        <v>0.51136754040131494</v>
      </c>
      <c r="G24" s="328" t="e">
        <f t="shared" si="11"/>
        <v>#DIV/0!</v>
      </c>
      <c r="H24" s="328" t="e">
        <f t="shared" si="11"/>
        <v>#DIV/0!</v>
      </c>
      <c r="I24" s="328" t="e">
        <f t="shared" si="11"/>
        <v>#DIV/0!</v>
      </c>
      <c r="J24" s="328" t="e">
        <f t="shared" si="11"/>
        <v>#DIV/0!</v>
      </c>
      <c r="K24" s="328" t="e">
        <f t="shared" si="11"/>
        <v>#DIV/0!</v>
      </c>
      <c r="L24" s="328" t="e">
        <f t="shared" si="11"/>
        <v>#DIV/0!</v>
      </c>
      <c r="M24" s="328" t="e">
        <f t="shared" si="11"/>
        <v>#DIV/0!</v>
      </c>
      <c r="N24" s="7"/>
      <c r="O24" s="334">
        <f ca="1">O23/(SUM(O3:O4))</f>
        <v>0.46134240698040924</v>
      </c>
      <c r="P24" s="7"/>
      <c r="Q24" s="7"/>
      <c r="R24" s="334">
        <f>R23/(SUM(R3:R4))</f>
        <v>0.35301557952526985</v>
      </c>
      <c r="S24" s="334">
        <f>S23/(SUM(S3:S4))</f>
        <v>0.34707334791022904</v>
      </c>
      <c r="T24" s="328">
        <v>0.362754328924483</v>
      </c>
      <c r="U24" s="328">
        <v>0.35608381541255268</v>
      </c>
      <c r="V24" s="328">
        <v>0.36099340824819492</v>
      </c>
      <c r="W24" s="328">
        <v>0.35887091462668042</v>
      </c>
      <c r="X24" s="328">
        <v>0.30373820885369718</v>
      </c>
      <c r="Y24" s="328">
        <v>0.36375869647600351</v>
      </c>
      <c r="Z24" s="328">
        <v>0.36716370252020719</v>
      </c>
      <c r="AA24" s="328">
        <v>0.36419883271804232</v>
      </c>
      <c r="AB24" s="328">
        <v>0.35911159806286203</v>
      </c>
      <c r="AC24" s="328">
        <v>0.3582967181164452</v>
      </c>
      <c r="AD24" s="7"/>
      <c r="AE24" s="334">
        <f>AE23/(SUM(AE3:AE4))</f>
        <v>0.35624440163890769</v>
      </c>
    </row>
    <row r="25" spans="1:31" ht="15.75" customHeight="1" x14ac:dyDescent="0.3">
      <c r="A25" s="7"/>
      <c r="B25" s="335"/>
      <c r="C25" s="335"/>
      <c r="D25" s="336"/>
      <c r="E25" s="336"/>
      <c r="F25" s="336"/>
      <c r="G25" s="336"/>
      <c r="H25" s="336"/>
      <c r="I25" s="336"/>
      <c r="J25" s="336"/>
      <c r="K25" s="336"/>
      <c r="L25" s="336"/>
      <c r="M25" s="336"/>
      <c r="N25" s="7"/>
      <c r="O25" s="7"/>
      <c r="P25" s="7"/>
      <c r="Q25" s="7"/>
      <c r="R25" s="335"/>
      <c r="S25" s="335"/>
      <c r="U25" s="7"/>
      <c r="V25" s="7"/>
      <c r="W25" s="7"/>
      <c r="X25" s="7"/>
      <c r="Y25" s="7"/>
      <c r="Z25" s="7"/>
      <c r="AA25" s="7"/>
      <c r="AB25" s="7"/>
      <c r="AC25" s="7"/>
      <c r="AD25" s="7"/>
    </row>
    <row r="26" spans="1:31" ht="15.75" customHeight="1" x14ac:dyDescent="0.3">
      <c r="A26" s="7"/>
      <c r="B26" s="337"/>
      <c r="C26" s="337"/>
      <c r="D26" s="337"/>
      <c r="E26" s="337"/>
      <c r="F26" s="337"/>
      <c r="G26" s="337"/>
      <c r="H26" s="337"/>
      <c r="I26" s="337"/>
      <c r="J26" s="337"/>
      <c r="K26" s="337"/>
      <c r="L26" s="337"/>
      <c r="M26" s="337"/>
      <c r="N26" s="7"/>
      <c r="O26" s="337"/>
      <c r="P26" s="7"/>
      <c r="Q26" s="7"/>
      <c r="U26" s="7"/>
      <c r="V26" s="7"/>
      <c r="W26" s="7"/>
      <c r="X26" s="7"/>
      <c r="Y26" s="7"/>
      <c r="Z26" s="7"/>
      <c r="AA26" s="7"/>
      <c r="AB26" s="7"/>
      <c r="AC26" s="7"/>
      <c r="AD26" s="7"/>
    </row>
    <row r="27" spans="1:31" ht="15.75" customHeight="1" x14ac:dyDescent="0.3">
      <c r="A27" s="7"/>
      <c r="B27" s="337"/>
      <c r="C27" s="337"/>
      <c r="D27" s="337"/>
      <c r="E27" s="337"/>
      <c r="F27" s="337"/>
      <c r="G27" s="337"/>
      <c r="H27" s="337"/>
      <c r="I27" s="337"/>
      <c r="J27" s="337"/>
      <c r="K27" s="337"/>
      <c r="L27" s="337"/>
      <c r="M27" s="337"/>
      <c r="N27" s="337"/>
      <c r="O27" s="337"/>
      <c r="P27" s="7"/>
      <c r="Q27" s="7"/>
      <c r="U27" s="7"/>
      <c r="V27" s="7"/>
      <c r="W27" s="7"/>
      <c r="X27" s="7"/>
      <c r="Y27" s="7"/>
      <c r="Z27" s="7"/>
      <c r="AA27" s="7"/>
      <c r="AB27" s="7"/>
      <c r="AC27" s="7"/>
      <c r="AD27" s="7"/>
    </row>
    <row r="28" spans="1:31" ht="15.75" customHeight="1" x14ac:dyDescent="0.3">
      <c r="A28" s="7"/>
      <c r="B28" s="7"/>
      <c r="C28" s="7"/>
      <c r="D28" s="7"/>
      <c r="E28" s="7"/>
      <c r="F28" s="7"/>
      <c r="G28" s="7"/>
      <c r="H28" s="7"/>
      <c r="I28" s="7"/>
      <c r="J28" s="7"/>
      <c r="K28" s="7"/>
      <c r="L28" s="7"/>
      <c r="M28" s="7"/>
      <c r="N28" s="7"/>
      <c r="O28" s="7"/>
      <c r="P28" s="7"/>
      <c r="Q28" s="7"/>
      <c r="U28" s="7"/>
      <c r="V28" s="7"/>
      <c r="W28" s="7"/>
      <c r="X28" s="7"/>
      <c r="Y28" s="7"/>
      <c r="Z28" s="7"/>
      <c r="AA28" s="7"/>
      <c r="AB28" s="7"/>
      <c r="AC28" s="7"/>
      <c r="AD28" s="7"/>
    </row>
    <row r="29" spans="1:31" ht="15.75" customHeight="1" x14ac:dyDescent="0.3">
      <c r="A29" s="7"/>
      <c r="B29" s="7"/>
      <c r="C29" s="7"/>
      <c r="D29" s="7"/>
      <c r="E29" s="7"/>
      <c r="F29" s="7"/>
      <c r="G29" s="7"/>
      <c r="H29" s="7"/>
      <c r="I29" s="7"/>
      <c r="J29" s="7"/>
      <c r="K29" s="7"/>
      <c r="L29" s="7"/>
      <c r="M29" s="7"/>
      <c r="N29" s="7"/>
      <c r="O29" s="7"/>
      <c r="P29" s="7"/>
      <c r="Q29" s="7"/>
      <c r="U29" s="7"/>
      <c r="V29" s="7"/>
      <c r="W29" s="7"/>
      <c r="X29" s="7"/>
      <c r="Y29" s="7"/>
      <c r="Z29" s="7"/>
      <c r="AA29" s="7"/>
      <c r="AB29" s="7"/>
      <c r="AC29" s="7"/>
      <c r="AD29" s="7"/>
    </row>
    <row r="30" spans="1:31" ht="15.75" customHeight="1" x14ac:dyDescent="0.3">
      <c r="A30" s="7"/>
      <c r="B30" s="7"/>
      <c r="C30" s="7"/>
      <c r="D30" s="7"/>
      <c r="E30" s="7"/>
      <c r="F30" s="7"/>
      <c r="G30" s="7"/>
      <c r="H30" s="7"/>
      <c r="I30" s="7"/>
      <c r="J30" s="7"/>
      <c r="K30" s="7"/>
      <c r="L30" s="7"/>
      <c r="M30" s="7"/>
      <c r="N30" s="7"/>
      <c r="O30" s="7"/>
      <c r="P30" s="7"/>
      <c r="Q30" s="7"/>
      <c r="U30" s="7"/>
      <c r="V30" s="7"/>
      <c r="W30" s="7"/>
      <c r="X30" s="7"/>
      <c r="Y30" s="7"/>
      <c r="Z30" s="7"/>
      <c r="AA30" s="7"/>
      <c r="AB30" s="7"/>
      <c r="AC30" s="7"/>
      <c r="AD30" s="7"/>
    </row>
    <row r="31" spans="1:31" ht="15.75" customHeight="1" x14ac:dyDescent="0.3">
      <c r="A31" s="7"/>
      <c r="B31" s="7"/>
      <c r="C31" s="7"/>
      <c r="D31" s="7"/>
      <c r="E31" s="7"/>
      <c r="F31" s="7"/>
      <c r="G31" s="7"/>
      <c r="H31" s="7"/>
      <c r="I31" s="7"/>
      <c r="J31" s="7"/>
      <c r="K31" s="7"/>
      <c r="L31" s="7"/>
      <c r="M31" s="7"/>
      <c r="N31" s="7"/>
      <c r="O31" s="7"/>
      <c r="P31" s="7"/>
      <c r="Q31" s="7"/>
      <c r="U31" s="7"/>
      <c r="V31" s="7"/>
      <c r="W31" s="7"/>
      <c r="X31" s="7"/>
      <c r="Y31" s="7"/>
      <c r="Z31" s="7"/>
      <c r="AA31" s="7"/>
      <c r="AB31" s="7"/>
      <c r="AC31" s="7"/>
      <c r="AD31" s="7"/>
    </row>
    <row r="32" spans="1:31" ht="15.75" customHeight="1" x14ac:dyDescent="0.3">
      <c r="A32" s="7"/>
      <c r="B32" s="7"/>
      <c r="C32" s="7"/>
      <c r="D32" s="7"/>
      <c r="E32" s="7"/>
      <c r="F32" s="7"/>
      <c r="G32" s="7"/>
      <c r="H32" s="7"/>
      <c r="I32" s="7"/>
      <c r="J32" s="7"/>
      <c r="K32" s="7"/>
      <c r="L32" s="7"/>
      <c r="M32" s="7"/>
      <c r="N32" s="7"/>
      <c r="O32" s="7"/>
      <c r="P32" s="7"/>
      <c r="Q32" s="7"/>
      <c r="U32" s="7"/>
      <c r="V32" s="7"/>
      <c r="W32" s="7"/>
      <c r="X32" s="7"/>
      <c r="Y32" s="7"/>
      <c r="Z32" s="7"/>
      <c r="AA32" s="7"/>
      <c r="AB32" s="7"/>
      <c r="AC32" s="7"/>
      <c r="AD32" s="7"/>
    </row>
    <row r="33" spans="1:30" ht="15.75" customHeight="1" x14ac:dyDescent="0.3">
      <c r="A33" s="7"/>
      <c r="B33" s="7"/>
      <c r="C33" s="7"/>
      <c r="D33" s="7"/>
      <c r="E33" s="7"/>
      <c r="F33" s="7"/>
      <c r="G33" s="7"/>
      <c r="H33" s="7"/>
      <c r="I33" s="7"/>
      <c r="J33" s="7"/>
      <c r="K33" s="7"/>
      <c r="L33" s="7"/>
      <c r="M33" s="7"/>
      <c r="N33" s="7"/>
      <c r="O33" s="7"/>
      <c r="P33" s="7"/>
      <c r="Q33" s="7"/>
      <c r="U33" s="7"/>
      <c r="V33" s="7"/>
      <c r="W33" s="7"/>
      <c r="X33" s="7"/>
      <c r="Y33" s="7"/>
      <c r="Z33" s="7"/>
      <c r="AA33" s="7"/>
      <c r="AB33" s="7"/>
      <c r="AC33" s="7"/>
      <c r="AD33" s="7"/>
    </row>
    <row r="34" spans="1:30" ht="15.75" customHeight="1" x14ac:dyDescent="0.3">
      <c r="A34" s="7"/>
      <c r="B34" s="7"/>
      <c r="C34" s="7"/>
      <c r="D34" s="7"/>
      <c r="E34" s="7"/>
      <c r="F34" s="7"/>
      <c r="G34" s="7"/>
      <c r="H34" s="7"/>
      <c r="I34" s="7"/>
      <c r="J34" s="7"/>
      <c r="K34" s="7"/>
      <c r="L34" s="7"/>
      <c r="M34" s="7"/>
      <c r="N34" s="7"/>
      <c r="O34" s="7"/>
      <c r="P34" s="7"/>
      <c r="Q34" s="7"/>
      <c r="U34" s="7"/>
      <c r="V34" s="7"/>
      <c r="W34" s="7"/>
      <c r="X34" s="7"/>
      <c r="Y34" s="7"/>
      <c r="Z34" s="7"/>
      <c r="AA34" s="7"/>
      <c r="AB34" s="7"/>
      <c r="AC34" s="7"/>
      <c r="AD34" s="7"/>
    </row>
    <row r="35" spans="1:30" ht="15.75" customHeight="1" x14ac:dyDescent="0.3">
      <c r="A35" s="7"/>
      <c r="B35" s="7"/>
      <c r="C35" s="7"/>
      <c r="D35" s="7"/>
      <c r="E35" s="7"/>
      <c r="F35" s="7"/>
      <c r="G35" s="7"/>
      <c r="H35" s="7"/>
      <c r="I35" s="7"/>
      <c r="J35" s="7"/>
      <c r="K35" s="7"/>
      <c r="L35" s="7"/>
      <c r="M35" s="7"/>
      <c r="N35" s="7"/>
      <c r="O35" s="7"/>
      <c r="P35" s="7"/>
      <c r="Q35" s="7"/>
      <c r="U35" s="7"/>
      <c r="V35" s="7"/>
      <c r="W35" s="7"/>
      <c r="X35" s="7"/>
      <c r="Y35" s="7"/>
      <c r="Z35" s="7"/>
      <c r="AA35" s="7"/>
      <c r="AB35" s="7"/>
      <c r="AC35" s="7"/>
      <c r="AD35" s="7"/>
    </row>
    <row r="36" spans="1:30" ht="15.75" customHeight="1" x14ac:dyDescent="0.3">
      <c r="A36" s="7"/>
      <c r="B36" s="7"/>
      <c r="C36" s="7"/>
      <c r="D36" s="7"/>
      <c r="E36" s="7"/>
      <c r="F36" s="7"/>
      <c r="G36" s="7"/>
      <c r="H36" s="7"/>
      <c r="I36" s="7"/>
      <c r="J36" s="7"/>
      <c r="K36" s="7"/>
      <c r="L36" s="7"/>
      <c r="M36" s="7"/>
      <c r="N36" s="7"/>
      <c r="O36" s="7"/>
      <c r="P36" s="7"/>
      <c r="Q36" s="7"/>
      <c r="U36" s="7"/>
      <c r="V36" s="7"/>
      <c r="W36" s="7"/>
      <c r="X36" s="7"/>
      <c r="Y36" s="7"/>
      <c r="Z36" s="7"/>
      <c r="AA36" s="7"/>
      <c r="AB36" s="7"/>
      <c r="AC36" s="7"/>
      <c r="AD36" s="7"/>
    </row>
    <row r="37" spans="1:30" ht="15.75" customHeight="1" x14ac:dyDescent="0.3">
      <c r="A37" s="7"/>
      <c r="B37" s="7"/>
      <c r="C37" s="7"/>
      <c r="D37" s="7"/>
      <c r="E37" s="7"/>
      <c r="F37" s="7"/>
      <c r="G37" s="7"/>
      <c r="H37" s="7"/>
      <c r="I37" s="7"/>
      <c r="J37" s="7"/>
      <c r="K37" s="7"/>
      <c r="L37" s="7"/>
      <c r="M37" s="7"/>
      <c r="N37" s="7"/>
      <c r="O37" s="7"/>
      <c r="P37" s="7"/>
      <c r="Q37" s="7"/>
      <c r="U37" s="7"/>
      <c r="V37" s="7"/>
      <c r="W37" s="7"/>
      <c r="X37" s="7"/>
      <c r="Y37" s="7"/>
      <c r="Z37" s="7"/>
      <c r="AA37" s="7"/>
      <c r="AB37" s="7"/>
      <c r="AC37" s="7"/>
      <c r="AD37" s="7"/>
    </row>
    <row r="38" spans="1:30" ht="15.75" customHeight="1" x14ac:dyDescent="0.3">
      <c r="A38" s="7"/>
      <c r="B38" s="7"/>
      <c r="C38" s="7"/>
      <c r="D38" s="7"/>
      <c r="E38" s="7"/>
      <c r="F38" s="7"/>
      <c r="G38" s="7"/>
      <c r="H38" s="7"/>
      <c r="I38" s="7"/>
      <c r="J38" s="7"/>
      <c r="K38" s="7"/>
      <c r="L38" s="7"/>
      <c r="M38" s="7"/>
      <c r="N38" s="7"/>
      <c r="O38" s="7"/>
      <c r="P38" s="7"/>
      <c r="Q38" s="7"/>
      <c r="U38" s="7"/>
      <c r="V38" s="7"/>
      <c r="W38" s="7"/>
      <c r="X38" s="7"/>
      <c r="Y38" s="7"/>
      <c r="Z38" s="7"/>
      <c r="AA38" s="7"/>
      <c r="AB38" s="7"/>
      <c r="AC38" s="7"/>
      <c r="AD38" s="7"/>
    </row>
    <row r="39" spans="1:30" ht="15.75" customHeight="1" x14ac:dyDescent="0.3">
      <c r="A39" s="7"/>
      <c r="B39" s="7"/>
      <c r="C39" s="7"/>
      <c r="D39" s="7"/>
      <c r="E39" s="7"/>
      <c r="F39" s="7"/>
      <c r="G39" s="7"/>
      <c r="H39" s="7"/>
      <c r="I39" s="7"/>
      <c r="J39" s="7"/>
      <c r="K39" s="7"/>
      <c r="L39" s="7"/>
      <c r="M39" s="7"/>
      <c r="N39" s="7"/>
      <c r="O39" s="7"/>
      <c r="P39" s="7"/>
      <c r="Q39" s="7"/>
      <c r="U39" s="7"/>
      <c r="V39" s="7"/>
      <c r="W39" s="7"/>
      <c r="X39" s="7"/>
      <c r="Y39" s="7"/>
      <c r="Z39" s="7"/>
      <c r="AA39" s="7"/>
      <c r="AB39" s="7"/>
      <c r="AC39" s="7"/>
      <c r="AD39" s="7"/>
    </row>
    <row r="40" spans="1:30" ht="15.75" customHeight="1" x14ac:dyDescent="0.3">
      <c r="A40" s="7"/>
      <c r="B40" s="7"/>
      <c r="C40" s="7"/>
      <c r="D40" s="7"/>
      <c r="E40" s="7"/>
      <c r="F40" s="7"/>
      <c r="G40" s="7"/>
      <c r="H40" s="7"/>
      <c r="I40" s="7"/>
      <c r="J40" s="7"/>
      <c r="K40" s="7"/>
      <c r="L40" s="7"/>
      <c r="M40" s="7"/>
      <c r="N40" s="7"/>
      <c r="O40" s="7"/>
      <c r="P40" s="7"/>
      <c r="Q40" s="7"/>
      <c r="U40" s="7"/>
      <c r="V40" s="7"/>
      <c r="W40" s="7"/>
      <c r="X40" s="7"/>
      <c r="Y40" s="7"/>
      <c r="Z40" s="7"/>
      <c r="AA40" s="7"/>
      <c r="AB40" s="7"/>
      <c r="AC40" s="7"/>
      <c r="AD40" s="7"/>
    </row>
    <row r="41" spans="1:30" ht="15.75" customHeight="1" x14ac:dyDescent="0.3">
      <c r="A41" s="7"/>
      <c r="B41" s="7"/>
      <c r="C41" s="7"/>
      <c r="D41" s="7"/>
      <c r="E41" s="7"/>
      <c r="F41" s="7"/>
      <c r="G41" s="7"/>
      <c r="H41" s="7"/>
      <c r="I41" s="7"/>
      <c r="J41" s="7"/>
      <c r="K41" s="7"/>
      <c r="L41" s="7"/>
      <c r="M41" s="7"/>
      <c r="N41" s="7"/>
      <c r="O41" s="7"/>
      <c r="P41" s="7"/>
      <c r="Q41" s="7"/>
      <c r="U41" s="7"/>
      <c r="V41" s="7"/>
      <c r="W41" s="7"/>
      <c r="X41" s="7"/>
      <c r="Y41" s="7"/>
      <c r="Z41" s="7"/>
      <c r="AA41" s="7"/>
      <c r="AB41" s="7"/>
      <c r="AC41" s="7"/>
      <c r="AD41" s="7"/>
    </row>
    <row r="42" spans="1:30" ht="15.75" customHeight="1" x14ac:dyDescent="0.3">
      <c r="A42" s="7"/>
      <c r="B42" s="7"/>
      <c r="C42" s="7"/>
      <c r="D42" s="7"/>
      <c r="E42" s="7"/>
      <c r="F42" s="7"/>
      <c r="G42" s="7"/>
      <c r="H42" s="7"/>
      <c r="I42" s="7"/>
      <c r="J42" s="7"/>
      <c r="K42" s="7"/>
      <c r="L42" s="7"/>
      <c r="M42" s="7"/>
      <c r="N42" s="7"/>
      <c r="O42" s="7"/>
      <c r="P42" s="7"/>
      <c r="Q42" s="7"/>
      <c r="U42" s="7"/>
      <c r="V42" s="7"/>
      <c r="W42" s="7"/>
      <c r="X42" s="7"/>
      <c r="Y42" s="7"/>
      <c r="Z42" s="7"/>
      <c r="AA42" s="7"/>
      <c r="AB42" s="7"/>
      <c r="AC42" s="7"/>
      <c r="AD42" s="7"/>
    </row>
    <row r="43" spans="1:30" ht="15.75" customHeight="1" x14ac:dyDescent="0.3">
      <c r="A43" s="7"/>
      <c r="B43" s="7"/>
      <c r="C43" s="7"/>
      <c r="D43" s="7"/>
      <c r="E43" s="7"/>
      <c r="F43" s="7"/>
      <c r="G43" s="7"/>
      <c r="H43" s="7"/>
      <c r="I43" s="7"/>
      <c r="J43" s="7"/>
      <c r="K43" s="7"/>
      <c r="L43" s="7"/>
      <c r="M43" s="7"/>
      <c r="N43" s="7"/>
      <c r="O43" s="7"/>
      <c r="P43" s="7"/>
      <c r="Q43" s="7"/>
      <c r="U43" s="7"/>
      <c r="V43" s="7"/>
      <c r="W43" s="7"/>
      <c r="X43" s="7"/>
      <c r="Y43" s="7"/>
      <c r="Z43" s="7"/>
      <c r="AA43" s="7"/>
      <c r="AB43" s="7"/>
      <c r="AC43" s="7"/>
      <c r="AD43" s="7"/>
    </row>
    <row r="44" spans="1:30" ht="15.75" customHeight="1" x14ac:dyDescent="0.3">
      <c r="A44" s="7"/>
      <c r="B44" s="7"/>
      <c r="C44" s="7"/>
      <c r="D44" s="7"/>
      <c r="E44" s="7"/>
      <c r="F44" s="7"/>
      <c r="G44" s="7"/>
      <c r="H44" s="7"/>
      <c r="I44" s="7"/>
      <c r="J44" s="7"/>
      <c r="K44" s="7"/>
      <c r="L44" s="7"/>
      <c r="M44" s="7"/>
      <c r="N44" s="7"/>
      <c r="O44" s="7"/>
      <c r="P44" s="7"/>
      <c r="Q44" s="7"/>
      <c r="U44" s="7"/>
      <c r="V44" s="7"/>
      <c r="W44" s="7"/>
      <c r="X44" s="7"/>
      <c r="Y44" s="7"/>
      <c r="Z44" s="7"/>
      <c r="AA44" s="7"/>
      <c r="AB44" s="7"/>
      <c r="AC44" s="7"/>
      <c r="AD44" s="7"/>
    </row>
    <row r="45" spans="1:30" ht="15.75" customHeight="1" x14ac:dyDescent="0.3">
      <c r="A45" s="7"/>
      <c r="B45" s="7"/>
      <c r="C45" s="7"/>
      <c r="D45" s="7"/>
      <c r="E45" s="7"/>
      <c r="F45" s="7"/>
      <c r="G45" s="7"/>
      <c r="H45" s="7"/>
      <c r="I45" s="7"/>
      <c r="J45" s="7"/>
      <c r="K45" s="7"/>
      <c r="L45" s="7"/>
      <c r="M45" s="7"/>
      <c r="N45" s="7"/>
      <c r="O45" s="7"/>
      <c r="P45" s="7"/>
      <c r="Q45" s="7"/>
      <c r="U45" s="7"/>
      <c r="V45" s="7"/>
      <c r="W45" s="7"/>
      <c r="X45" s="7"/>
      <c r="Y45" s="7"/>
      <c r="Z45" s="7"/>
      <c r="AA45" s="7"/>
      <c r="AB45" s="7"/>
      <c r="AC45" s="7"/>
      <c r="AD45" s="7"/>
    </row>
    <row r="46" spans="1:30" ht="15.75" customHeight="1" x14ac:dyDescent="0.3">
      <c r="A46" s="7"/>
      <c r="B46" s="7"/>
      <c r="C46" s="7"/>
      <c r="D46" s="7"/>
      <c r="E46" s="7"/>
      <c r="F46" s="7"/>
      <c r="G46" s="7"/>
      <c r="H46" s="7"/>
      <c r="I46" s="7"/>
      <c r="J46" s="7"/>
      <c r="K46" s="7"/>
      <c r="L46" s="7"/>
      <c r="M46" s="7"/>
      <c r="N46" s="7"/>
      <c r="O46" s="7"/>
      <c r="P46" s="7"/>
      <c r="Q46" s="7"/>
      <c r="U46" s="7"/>
      <c r="V46" s="7"/>
      <c r="W46" s="7"/>
      <c r="X46" s="7"/>
      <c r="Y46" s="7"/>
      <c r="Z46" s="7"/>
      <c r="AA46" s="7"/>
      <c r="AB46" s="7"/>
      <c r="AC46" s="7"/>
      <c r="AD46" s="7"/>
    </row>
    <row r="47" spans="1:30" ht="15.75" customHeight="1" x14ac:dyDescent="0.3">
      <c r="A47" s="7"/>
      <c r="B47" s="7"/>
      <c r="C47" s="7"/>
      <c r="D47" s="7"/>
      <c r="E47" s="7"/>
      <c r="F47" s="7"/>
      <c r="G47" s="7"/>
      <c r="H47" s="7"/>
      <c r="I47" s="7"/>
      <c r="J47" s="7"/>
      <c r="K47" s="7"/>
      <c r="L47" s="7"/>
      <c r="M47" s="7"/>
      <c r="N47" s="7"/>
      <c r="O47" s="7"/>
      <c r="P47" s="7"/>
      <c r="Q47" s="7"/>
      <c r="U47" s="7"/>
      <c r="V47" s="7"/>
      <c r="W47" s="7"/>
      <c r="X47" s="7"/>
      <c r="Y47" s="7"/>
      <c r="Z47" s="7"/>
      <c r="AA47" s="7"/>
      <c r="AB47" s="7"/>
      <c r="AC47" s="7"/>
      <c r="AD47" s="7"/>
    </row>
    <row r="48" spans="1:30" ht="15.75" customHeight="1" x14ac:dyDescent="0.3">
      <c r="A48" s="7"/>
      <c r="B48" s="7"/>
      <c r="C48" s="7"/>
      <c r="D48" s="7"/>
      <c r="E48" s="7"/>
      <c r="F48" s="7"/>
      <c r="G48" s="7"/>
      <c r="H48" s="7"/>
      <c r="I48" s="7"/>
      <c r="J48" s="7"/>
      <c r="K48" s="7"/>
      <c r="L48" s="7"/>
      <c r="M48" s="7"/>
      <c r="N48" s="7"/>
      <c r="O48" s="7"/>
      <c r="P48" s="7"/>
      <c r="Q48" s="7"/>
      <c r="U48" s="7"/>
      <c r="V48" s="7"/>
      <c r="W48" s="7"/>
      <c r="X48" s="7"/>
      <c r="Y48" s="7"/>
      <c r="Z48" s="7"/>
      <c r="AA48" s="7"/>
      <c r="AB48" s="7"/>
      <c r="AC48" s="7"/>
      <c r="AD48" s="7"/>
    </row>
    <row r="49" spans="1:30" ht="15.75" customHeight="1" x14ac:dyDescent="0.3">
      <c r="A49" s="7"/>
      <c r="B49" s="7"/>
      <c r="C49" s="7"/>
      <c r="D49" s="7"/>
      <c r="E49" s="7"/>
      <c r="F49" s="7"/>
      <c r="G49" s="7"/>
      <c r="H49" s="7"/>
      <c r="I49" s="7"/>
      <c r="J49" s="7"/>
      <c r="K49" s="7"/>
      <c r="L49" s="7"/>
      <c r="M49" s="7"/>
      <c r="N49" s="7"/>
      <c r="O49" s="7"/>
      <c r="P49" s="7"/>
      <c r="Q49" s="7"/>
      <c r="U49" s="7"/>
      <c r="V49" s="7"/>
      <c r="W49" s="7"/>
      <c r="X49" s="7"/>
      <c r="Y49" s="7"/>
      <c r="Z49" s="7"/>
      <c r="AA49" s="7"/>
      <c r="AB49" s="7"/>
      <c r="AC49" s="7"/>
      <c r="AD49" s="7"/>
    </row>
    <row r="50" spans="1:30" ht="15.75" customHeight="1" x14ac:dyDescent="0.3">
      <c r="A50" s="7"/>
      <c r="B50" s="7"/>
      <c r="C50" s="7"/>
      <c r="D50" s="7"/>
      <c r="E50" s="7"/>
      <c r="F50" s="7"/>
      <c r="G50" s="7"/>
      <c r="H50" s="7"/>
      <c r="I50" s="7"/>
      <c r="J50" s="7"/>
      <c r="K50" s="7"/>
      <c r="L50" s="7"/>
      <c r="M50" s="7"/>
      <c r="N50" s="7"/>
      <c r="O50" s="7"/>
      <c r="P50" s="7"/>
      <c r="Q50" s="7"/>
      <c r="U50" s="7"/>
      <c r="V50" s="7"/>
      <c r="W50" s="7"/>
      <c r="X50" s="7"/>
      <c r="Y50" s="7"/>
      <c r="Z50" s="7"/>
      <c r="AA50" s="7"/>
      <c r="AB50" s="7"/>
      <c r="AC50" s="7"/>
      <c r="AD50" s="7"/>
    </row>
    <row r="51" spans="1:30" ht="15.75" customHeight="1" x14ac:dyDescent="0.3">
      <c r="A51" s="7"/>
      <c r="B51" s="7"/>
      <c r="C51" s="7"/>
      <c r="D51" s="7"/>
      <c r="E51" s="7"/>
      <c r="F51" s="7"/>
      <c r="G51" s="7"/>
      <c r="H51" s="7"/>
      <c r="I51" s="7"/>
      <c r="J51" s="7"/>
      <c r="K51" s="7"/>
      <c r="L51" s="7"/>
      <c r="M51" s="7"/>
      <c r="N51" s="7"/>
      <c r="O51" s="7"/>
      <c r="P51" s="7"/>
      <c r="Q51" s="7"/>
      <c r="U51" s="7"/>
      <c r="V51" s="7"/>
      <c r="W51" s="7"/>
      <c r="X51" s="7"/>
      <c r="Y51" s="7"/>
      <c r="Z51" s="7"/>
      <c r="AA51" s="7"/>
      <c r="AB51" s="7"/>
      <c r="AC51" s="7"/>
      <c r="AD51" s="7"/>
    </row>
    <row r="52" spans="1:30" ht="15.75" customHeight="1" x14ac:dyDescent="0.3">
      <c r="A52" s="7"/>
      <c r="B52" s="7"/>
      <c r="C52" s="7"/>
      <c r="D52" s="7"/>
      <c r="E52" s="7"/>
      <c r="F52" s="7"/>
      <c r="G52" s="7"/>
      <c r="H52" s="7"/>
      <c r="I52" s="7"/>
      <c r="J52" s="7"/>
      <c r="K52" s="7"/>
      <c r="L52" s="7"/>
      <c r="M52" s="7"/>
      <c r="N52" s="7"/>
      <c r="O52" s="7"/>
      <c r="P52" s="7"/>
      <c r="Q52" s="7"/>
      <c r="U52" s="7"/>
      <c r="V52" s="7"/>
      <c r="W52" s="7"/>
      <c r="X52" s="7"/>
      <c r="Y52" s="7"/>
      <c r="Z52" s="7"/>
      <c r="AA52" s="7"/>
      <c r="AB52" s="7"/>
      <c r="AC52" s="7"/>
      <c r="AD52" s="7"/>
    </row>
    <row r="53" spans="1:30" ht="15.75" customHeight="1" x14ac:dyDescent="0.3">
      <c r="A53" s="7"/>
      <c r="B53" s="7"/>
      <c r="C53" s="7"/>
      <c r="D53" s="7"/>
      <c r="E53" s="7"/>
      <c r="F53" s="7"/>
      <c r="G53" s="7"/>
      <c r="H53" s="7"/>
      <c r="I53" s="7"/>
      <c r="J53" s="7"/>
      <c r="K53" s="7"/>
      <c r="L53" s="7"/>
      <c r="M53" s="7"/>
      <c r="N53" s="7"/>
      <c r="O53" s="7"/>
      <c r="P53" s="7"/>
      <c r="Q53" s="7"/>
      <c r="U53" s="7"/>
      <c r="V53" s="7"/>
      <c r="W53" s="7"/>
      <c r="X53" s="7"/>
      <c r="Y53" s="7"/>
      <c r="Z53" s="7"/>
      <c r="AA53" s="7"/>
      <c r="AB53" s="7"/>
      <c r="AC53" s="7"/>
      <c r="AD53" s="7"/>
    </row>
    <row r="54" spans="1:30" ht="15.75" customHeight="1" x14ac:dyDescent="0.3">
      <c r="A54" s="7"/>
      <c r="B54" s="7"/>
      <c r="C54" s="7"/>
      <c r="D54" s="7"/>
      <c r="E54" s="7"/>
      <c r="F54" s="7"/>
      <c r="G54" s="7"/>
      <c r="H54" s="7"/>
      <c r="I54" s="7"/>
      <c r="J54" s="7"/>
      <c r="K54" s="7"/>
      <c r="L54" s="7"/>
      <c r="M54" s="7"/>
      <c r="N54" s="7"/>
      <c r="O54" s="7"/>
      <c r="P54" s="7"/>
      <c r="Q54" s="7"/>
      <c r="U54" s="7"/>
      <c r="V54" s="7"/>
      <c r="W54" s="7"/>
      <c r="X54" s="7"/>
      <c r="Y54" s="7"/>
      <c r="Z54" s="7"/>
      <c r="AA54" s="7"/>
      <c r="AB54" s="7"/>
      <c r="AC54" s="7"/>
      <c r="AD54" s="7"/>
    </row>
    <row r="55" spans="1:30" ht="15.75" customHeight="1" x14ac:dyDescent="0.3">
      <c r="A55" s="7"/>
      <c r="B55" s="7"/>
      <c r="C55" s="7"/>
      <c r="D55" s="7"/>
      <c r="E55" s="7"/>
      <c r="F55" s="7"/>
      <c r="G55" s="7"/>
      <c r="H55" s="7"/>
      <c r="I55" s="7"/>
      <c r="J55" s="7"/>
      <c r="K55" s="7"/>
      <c r="L55" s="7"/>
      <c r="M55" s="7"/>
      <c r="N55" s="7"/>
      <c r="O55" s="7"/>
      <c r="P55" s="7"/>
      <c r="Q55" s="7"/>
      <c r="U55" s="7"/>
      <c r="V55" s="7"/>
      <c r="W55" s="7"/>
      <c r="X55" s="7"/>
      <c r="Y55" s="7"/>
      <c r="Z55" s="7"/>
      <c r="AA55" s="7"/>
      <c r="AB55" s="7"/>
      <c r="AC55" s="7"/>
      <c r="AD55" s="7"/>
    </row>
    <row r="56" spans="1:30" ht="15.75" customHeight="1" x14ac:dyDescent="0.3">
      <c r="A56" s="7"/>
      <c r="B56" s="7"/>
      <c r="C56" s="7"/>
      <c r="D56" s="7"/>
      <c r="E56" s="7"/>
      <c r="F56" s="7"/>
      <c r="G56" s="7"/>
      <c r="H56" s="7"/>
      <c r="I56" s="7"/>
      <c r="J56" s="7"/>
      <c r="K56" s="7"/>
      <c r="L56" s="7"/>
      <c r="M56" s="7"/>
      <c r="N56" s="7"/>
      <c r="O56" s="7"/>
      <c r="P56" s="7"/>
      <c r="Q56" s="7"/>
      <c r="U56" s="7"/>
      <c r="V56" s="7"/>
      <c r="W56" s="7"/>
      <c r="X56" s="7"/>
      <c r="Y56" s="7"/>
      <c r="Z56" s="7"/>
      <c r="AA56" s="7"/>
      <c r="AB56" s="7"/>
      <c r="AC56" s="7"/>
      <c r="AD56" s="7"/>
    </row>
    <row r="57" spans="1:30" ht="15.75" customHeight="1" x14ac:dyDescent="0.3">
      <c r="A57" s="7"/>
      <c r="B57" s="7"/>
      <c r="C57" s="7"/>
      <c r="D57" s="7"/>
      <c r="E57" s="7"/>
      <c r="F57" s="7"/>
      <c r="G57" s="7"/>
      <c r="H57" s="7"/>
      <c r="I57" s="7"/>
      <c r="J57" s="7"/>
      <c r="K57" s="7"/>
      <c r="L57" s="7"/>
      <c r="M57" s="7"/>
      <c r="N57" s="7"/>
      <c r="O57" s="7"/>
      <c r="P57" s="7"/>
      <c r="Q57" s="7"/>
      <c r="U57" s="7"/>
      <c r="V57" s="7"/>
      <c r="W57" s="7"/>
      <c r="X57" s="7"/>
      <c r="Y57" s="7"/>
      <c r="Z57" s="7"/>
      <c r="AA57" s="7"/>
      <c r="AB57" s="7"/>
      <c r="AC57" s="7"/>
      <c r="AD57" s="7"/>
    </row>
    <row r="58" spans="1:30" ht="15.75" customHeight="1" x14ac:dyDescent="0.3">
      <c r="A58" s="7"/>
      <c r="B58" s="7"/>
      <c r="C58" s="7"/>
      <c r="D58" s="7"/>
      <c r="E58" s="7"/>
      <c r="F58" s="7"/>
      <c r="G58" s="7"/>
      <c r="H58" s="7"/>
      <c r="I58" s="7"/>
      <c r="J58" s="7"/>
      <c r="K58" s="7"/>
      <c r="L58" s="7"/>
      <c r="M58" s="7"/>
      <c r="N58" s="7"/>
      <c r="O58" s="7"/>
      <c r="P58" s="7"/>
      <c r="Q58" s="7"/>
      <c r="U58" s="7"/>
      <c r="V58" s="7"/>
      <c r="W58" s="7"/>
      <c r="X58" s="7"/>
      <c r="Y58" s="7"/>
      <c r="Z58" s="7"/>
      <c r="AA58" s="7"/>
      <c r="AB58" s="7"/>
      <c r="AC58" s="7"/>
      <c r="AD58" s="7"/>
    </row>
    <row r="59" spans="1:30" ht="15.75" customHeight="1" x14ac:dyDescent="0.3">
      <c r="A59" s="7"/>
      <c r="B59" s="7"/>
      <c r="C59" s="7"/>
      <c r="D59" s="7"/>
      <c r="E59" s="7"/>
      <c r="F59" s="7"/>
      <c r="G59" s="7"/>
      <c r="H59" s="7"/>
      <c r="I59" s="7"/>
      <c r="J59" s="7"/>
      <c r="K59" s="7"/>
      <c r="L59" s="7"/>
      <c r="M59" s="7"/>
      <c r="N59" s="7"/>
      <c r="O59" s="7"/>
      <c r="P59" s="7"/>
      <c r="Q59" s="7"/>
      <c r="U59" s="7"/>
      <c r="V59" s="7"/>
      <c r="W59" s="7"/>
      <c r="X59" s="7"/>
      <c r="Y59" s="7"/>
      <c r="Z59" s="7"/>
      <c r="AA59" s="7"/>
      <c r="AB59" s="7"/>
      <c r="AC59" s="7"/>
      <c r="AD59" s="7"/>
    </row>
    <row r="60" spans="1:30" ht="15.75" customHeight="1" x14ac:dyDescent="0.3">
      <c r="A60" s="7"/>
      <c r="B60" s="7"/>
      <c r="C60" s="7"/>
      <c r="D60" s="7"/>
      <c r="E60" s="7"/>
      <c r="F60" s="7"/>
      <c r="G60" s="7"/>
      <c r="H60" s="7"/>
      <c r="I60" s="7"/>
      <c r="J60" s="7"/>
      <c r="K60" s="7"/>
      <c r="L60" s="7"/>
      <c r="M60" s="7"/>
      <c r="N60" s="7"/>
      <c r="O60" s="7"/>
      <c r="P60" s="7"/>
      <c r="Q60" s="7"/>
      <c r="U60" s="7"/>
      <c r="V60" s="7"/>
      <c r="W60" s="7"/>
      <c r="X60" s="7"/>
      <c r="Y60" s="7"/>
      <c r="Z60" s="7"/>
      <c r="AA60" s="7"/>
      <c r="AB60" s="7"/>
      <c r="AC60" s="7"/>
      <c r="AD60" s="7"/>
    </row>
    <row r="61" spans="1:30" ht="15.75" customHeight="1" x14ac:dyDescent="0.3">
      <c r="A61" s="7"/>
      <c r="B61" s="7"/>
      <c r="C61" s="7"/>
      <c r="D61" s="7"/>
      <c r="E61" s="7"/>
      <c r="F61" s="7"/>
      <c r="G61" s="7"/>
      <c r="H61" s="7"/>
      <c r="I61" s="7"/>
      <c r="J61" s="7"/>
      <c r="K61" s="7"/>
      <c r="L61" s="7"/>
      <c r="M61" s="7"/>
      <c r="N61" s="7"/>
      <c r="O61" s="7"/>
      <c r="P61" s="7"/>
      <c r="Q61" s="7"/>
      <c r="U61" s="7"/>
      <c r="V61" s="7"/>
      <c r="W61" s="7"/>
      <c r="X61" s="7"/>
      <c r="Y61" s="7"/>
      <c r="Z61" s="7"/>
      <c r="AA61" s="7"/>
      <c r="AB61" s="7"/>
      <c r="AC61" s="7"/>
      <c r="AD61" s="7"/>
    </row>
    <row r="62" spans="1:30" ht="15.75" customHeight="1" x14ac:dyDescent="0.3">
      <c r="A62" s="7"/>
      <c r="B62" s="7"/>
      <c r="C62" s="7"/>
      <c r="D62" s="7"/>
      <c r="E62" s="7"/>
      <c r="F62" s="7"/>
      <c r="G62" s="7"/>
      <c r="H62" s="7"/>
      <c r="I62" s="7"/>
      <c r="J62" s="7"/>
      <c r="K62" s="7"/>
      <c r="L62" s="7"/>
      <c r="M62" s="7"/>
      <c r="N62" s="7"/>
      <c r="O62" s="7"/>
      <c r="P62" s="7"/>
      <c r="Q62" s="7"/>
      <c r="U62" s="7"/>
      <c r="V62" s="7"/>
      <c r="W62" s="7"/>
      <c r="X62" s="7"/>
      <c r="Y62" s="7"/>
      <c r="Z62" s="7"/>
      <c r="AA62" s="7"/>
      <c r="AB62" s="7"/>
      <c r="AC62" s="7"/>
      <c r="AD62" s="7"/>
    </row>
    <row r="63" spans="1:30" ht="15.75" customHeight="1" x14ac:dyDescent="0.3">
      <c r="A63" s="7"/>
      <c r="B63" s="7"/>
      <c r="C63" s="7"/>
      <c r="D63" s="7"/>
      <c r="E63" s="7"/>
      <c r="F63" s="7"/>
      <c r="G63" s="7"/>
      <c r="H63" s="7"/>
      <c r="I63" s="7"/>
      <c r="J63" s="7"/>
      <c r="K63" s="7"/>
      <c r="L63" s="7"/>
      <c r="M63" s="7"/>
      <c r="N63" s="7"/>
      <c r="O63" s="7"/>
      <c r="P63" s="7"/>
      <c r="Q63" s="7"/>
      <c r="U63" s="7"/>
      <c r="V63" s="7"/>
      <c r="W63" s="7"/>
      <c r="X63" s="7"/>
      <c r="Y63" s="7"/>
      <c r="Z63" s="7"/>
      <c r="AA63" s="7"/>
      <c r="AB63" s="7"/>
      <c r="AC63" s="7"/>
      <c r="AD63" s="7"/>
    </row>
    <row r="64" spans="1:30" ht="15.75" customHeight="1" x14ac:dyDescent="0.3">
      <c r="A64" s="7"/>
      <c r="B64" s="7"/>
      <c r="C64" s="7"/>
      <c r="D64" s="7"/>
      <c r="E64" s="7"/>
      <c r="F64" s="7"/>
      <c r="G64" s="7"/>
      <c r="H64" s="7"/>
      <c r="I64" s="7"/>
      <c r="J64" s="7"/>
      <c r="K64" s="7"/>
      <c r="L64" s="7"/>
      <c r="M64" s="7"/>
      <c r="N64" s="7"/>
      <c r="O64" s="7"/>
      <c r="P64" s="7"/>
      <c r="Q64" s="7"/>
      <c r="U64" s="7"/>
      <c r="V64" s="7"/>
      <c r="W64" s="7"/>
      <c r="X64" s="7"/>
      <c r="Y64" s="7"/>
      <c r="Z64" s="7"/>
      <c r="AA64" s="7"/>
      <c r="AB64" s="7"/>
      <c r="AC64" s="7"/>
      <c r="AD64" s="7"/>
    </row>
    <row r="65" spans="1:30" ht="15.75" customHeight="1" x14ac:dyDescent="0.3">
      <c r="A65" s="7"/>
      <c r="B65" s="7"/>
      <c r="C65" s="7"/>
      <c r="D65" s="7"/>
      <c r="E65" s="7"/>
      <c r="F65" s="7"/>
      <c r="G65" s="7"/>
      <c r="H65" s="7"/>
      <c r="I65" s="7"/>
      <c r="J65" s="7"/>
      <c r="K65" s="7"/>
      <c r="L65" s="7"/>
      <c r="M65" s="7"/>
      <c r="N65" s="7"/>
      <c r="O65" s="7"/>
      <c r="P65" s="7"/>
      <c r="Q65" s="7"/>
      <c r="U65" s="7"/>
      <c r="V65" s="7"/>
      <c r="W65" s="7"/>
      <c r="X65" s="7"/>
      <c r="Y65" s="7"/>
      <c r="Z65" s="7"/>
      <c r="AA65" s="7"/>
      <c r="AB65" s="7"/>
      <c r="AC65" s="7"/>
      <c r="AD65" s="7"/>
    </row>
    <row r="66" spans="1:30" ht="15.75" customHeight="1" x14ac:dyDescent="0.3">
      <c r="A66" s="7"/>
      <c r="B66" s="7"/>
      <c r="C66" s="7"/>
      <c r="D66" s="7"/>
      <c r="E66" s="7"/>
      <c r="F66" s="7"/>
      <c r="G66" s="7"/>
      <c r="H66" s="7"/>
      <c r="I66" s="7"/>
      <c r="J66" s="7"/>
      <c r="K66" s="7"/>
      <c r="L66" s="7"/>
      <c r="M66" s="7"/>
      <c r="N66" s="7"/>
      <c r="O66" s="7"/>
      <c r="P66" s="7"/>
      <c r="Q66" s="7"/>
      <c r="U66" s="7"/>
      <c r="V66" s="7"/>
      <c r="W66" s="7"/>
      <c r="X66" s="7"/>
      <c r="Y66" s="7"/>
      <c r="Z66" s="7"/>
      <c r="AA66" s="7"/>
      <c r="AB66" s="7"/>
      <c r="AC66" s="7"/>
      <c r="AD66" s="7"/>
    </row>
    <row r="67" spans="1:30" ht="15.75" customHeight="1" x14ac:dyDescent="0.3">
      <c r="A67" s="7"/>
      <c r="B67" s="7"/>
      <c r="C67" s="7"/>
      <c r="D67" s="7"/>
      <c r="E67" s="7"/>
      <c r="F67" s="7"/>
      <c r="G67" s="7"/>
      <c r="H67" s="7"/>
      <c r="I67" s="7"/>
      <c r="J67" s="7"/>
      <c r="K67" s="7"/>
      <c r="L67" s="7"/>
      <c r="M67" s="7"/>
      <c r="N67" s="7"/>
      <c r="O67" s="7"/>
      <c r="P67" s="7"/>
      <c r="Q67" s="7"/>
      <c r="U67" s="7"/>
      <c r="V67" s="7"/>
      <c r="W67" s="7"/>
      <c r="X67" s="7"/>
      <c r="Y67" s="7"/>
      <c r="Z67" s="7"/>
      <c r="AA67" s="7"/>
      <c r="AB67" s="7"/>
      <c r="AC67" s="7"/>
      <c r="AD67" s="7"/>
    </row>
    <row r="68" spans="1:30" ht="15.75" customHeight="1" x14ac:dyDescent="0.3">
      <c r="A68" s="7"/>
      <c r="B68" s="7"/>
      <c r="C68" s="7"/>
      <c r="D68" s="7"/>
      <c r="E68" s="7"/>
      <c r="F68" s="7"/>
      <c r="G68" s="7"/>
      <c r="H68" s="7"/>
      <c r="I68" s="7"/>
      <c r="J68" s="7"/>
      <c r="K68" s="7"/>
      <c r="L68" s="7"/>
      <c r="M68" s="7"/>
      <c r="N68" s="7"/>
      <c r="O68" s="7"/>
      <c r="P68" s="7"/>
      <c r="Q68" s="7"/>
      <c r="U68" s="7"/>
      <c r="V68" s="7"/>
      <c r="W68" s="7"/>
      <c r="X68" s="7"/>
      <c r="Y68" s="7"/>
      <c r="Z68" s="7"/>
      <c r="AA68" s="7"/>
      <c r="AB68" s="7"/>
      <c r="AC68" s="7"/>
      <c r="AD68" s="7"/>
    </row>
    <row r="69" spans="1:30" ht="15.75" customHeight="1" x14ac:dyDescent="0.3">
      <c r="A69" s="7"/>
      <c r="B69" s="7"/>
      <c r="C69" s="7"/>
      <c r="D69" s="7"/>
      <c r="E69" s="7"/>
      <c r="F69" s="7"/>
      <c r="G69" s="7"/>
      <c r="H69" s="7"/>
      <c r="I69" s="7"/>
      <c r="J69" s="7"/>
      <c r="K69" s="7"/>
      <c r="L69" s="7"/>
      <c r="M69" s="7"/>
      <c r="N69" s="7"/>
      <c r="O69" s="7"/>
      <c r="P69" s="7"/>
      <c r="Q69" s="7"/>
      <c r="U69" s="7"/>
      <c r="V69" s="7"/>
      <c r="W69" s="7"/>
      <c r="X69" s="7"/>
      <c r="Y69" s="7"/>
      <c r="Z69" s="7"/>
      <c r="AA69" s="7"/>
      <c r="AB69" s="7"/>
      <c r="AC69" s="7"/>
      <c r="AD69" s="7"/>
    </row>
    <row r="70" spans="1:30" ht="15.75" customHeight="1" x14ac:dyDescent="0.3">
      <c r="A70" s="7"/>
      <c r="B70" s="7"/>
      <c r="C70" s="7"/>
      <c r="D70" s="7"/>
      <c r="E70" s="7"/>
      <c r="F70" s="7"/>
      <c r="G70" s="7"/>
      <c r="H70" s="7"/>
      <c r="I70" s="7"/>
      <c r="J70" s="7"/>
      <c r="K70" s="7"/>
      <c r="L70" s="7"/>
      <c r="M70" s="7"/>
      <c r="N70" s="7"/>
      <c r="O70" s="7"/>
      <c r="P70" s="7"/>
      <c r="Q70" s="7"/>
      <c r="U70" s="7"/>
      <c r="V70" s="7"/>
      <c r="W70" s="7"/>
      <c r="X70" s="7"/>
      <c r="Y70" s="7"/>
      <c r="Z70" s="7"/>
      <c r="AA70" s="7"/>
      <c r="AB70" s="7"/>
      <c r="AC70" s="7"/>
      <c r="AD70" s="7"/>
    </row>
    <row r="71" spans="1:30" ht="15.75" customHeight="1" x14ac:dyDescent="0.3">
      <c r="A71" s="7"/>
      <c r="B71" s="7"/>
      <c r="C71" s="7"/>
      <c r="D71" s="7"/>
      <c r="E71" s="7"/>
      <c r="F71" s="7"/>
      <c r="G71" s="7"/>
      <c r="H71" s="7"/>
      <c r="I71" s="7"/>
      <c r="J71" s="7"/>
      <c r="K71" s="7"/>
      <c r="L71" s="7"/>
      <c r="M71" s="7"/>
      <c r="N71" s="7"/>
      <c r="O71" s="7"/>
      <c r="P71" s="7"/>
      <c r="Q71" s="7"/>
      <c r="U71" s="7"/>
      <c r="V71" s="7"/>
      <c r="W71" s="7"/>
      <c r="X71" s="7"/>
      <c r="Y71" s="7"/>
      <c r="Z71" s="7"/>
      <c r="AA71" s="7"/>
      <c r="AB71" s="7"/>
      <c r="AC71" s="7"/>
      <c r="AD71" s="7"/>
    </row>
    <row r="72" spans="1:30" ht="15.75" customHeight="1" x14ac:dyDescent="0.3">
      <c r="A72" s="7"/>
      <c r="B72" s="7"/>
      <c r="C72" s="7"/>
      <c r="D72" s="7"/>
      <c r="E72" s="7"/>
      <c r="F72" s="7"/>
      <c r="G72" s="7"/>
      <c r="H72" s="7"/>
      <c r="I72" s="7"/>
      <c r="J72" s="7"/>
      <c r="K72" s="7"/>
      <c r="L72" s="7"/>
      <c r="M72" s="7"/>
      <c r="N72" s="7"/>
      <c r="O72" s="7"/>
      <c r="P72" s="7"/>
      <c r="Q72" s="7"/>
      <c r="U72" s="7"/>
      <c r="V72" s="7"/>
      <c r="W72" s="7"/>
      <c r="X72" s="7"/>
      <c r="Y72" s="7"/>
      <c r="Z72" s="7"/>
      <c r="AA72" s="7"/>
      <c r="AB72" s="7"/>
      <c r="AC72" s="7"/>
      <c r="AD72" s="7"/>
    </row>
    <row r="73" spans="1:30" ht="15.75" customHeight="1" x14ac:dyDescent="0.3">
      <c r="A73" s="7"/>
      <c r="B73" s="7"/>
      <c r="C73" s="7"/>
      <c r="D73" s="7"/>
      <c r="E73" s="7"/>
      <c r="F73" s="7"/>
      <c r="G73" s="7"/>
      <c r="H73" s="7"/>
      <c r="I73" s="7"/>
      <c r="J73" s="7"/>
      <c r="K73" s="7"/>
      <c r="L73" s="7"/>
      <c r="M73" s="7"/>
      <c r="N73" s="7"/>
      <c r="O73" s="7"/>
      <c r="P73" s="7"/>
      <c r="Q73" s="7"/>
      <c r="U73" s="7"/>
      <c r="V73" s="7"/>
      <c r="W73" s="7"/>
      <c r="X73" s="7"/>
      <c r="Y73" s="7"/>
      <c r="Z73" s="7"/>
      <c r="AA73" s="7"/>
      <c r="AB73" s="7"/>
      <c r="AC73" s="7"/>
      <c r="AD73" s="7"/>
    </row>
    <row r="74" spans="1:30" ht="15.75" customHeight="1" x14ac:dyDescent="0.3">
      <c r="A74" s="7"/>
      <c r="B74" s="7"/>
      <c r="C74" s="7"/>
      <c r="D74" s="7"/>
      <c r="E74" s="7"/>
      <c r="F74" s="7"/>
      <c r="G74" s="7"/>
      <c r="H74" s="7"/>
      <c r="I74" s="7"/>
      <c r="J74" s="7"/>
      <c r="K74" s="7"/>
      <c r="L74" s="7"/>
      <c r="M74" s="7"/>
      <c r="N74" s="7"/>
      <c r="O74" s="7"/>
      <c r="P74" s="7"/>
      <c r="Q74" s="7"/>
      <c r="U74" s="7"/>
      <c r="V74" s="7"/>
      <c r="W74" s="7"/>
      <c r="X74" s="7"/>
      <c r="Y74" s="7"/>
      <c r="Z74" s="7"/>
      <c r="AA74" s="7"/>
      <c r="AB74" s="7"/>
      <c r="AC74" s="7"/>
      <c r="AD74" s="7"/>
    </row>
    <row r="75" spans="1:30" ht="15.75" customHeight="1" x14ac:dyDescent="0.3">
      <c r="A75" s="7"/>
      <c r="B75" s="7"/>
      <c r="C75" s="7"/>
      <c r="D75" s="7"/>
      <c r="E75" s="7"/>
      <c r="F75" s="7"/>
      <c r="G75" s="7"/>
      <c r="H75" s="7"/>
      <c r="I75" s="7"/>
      <c r="J75" s="7"/>
      <c r="K75" s="7"/>
      <c r="L75" s="7"/>
      <c r="M75" s="7"/>
      <c r="N75" s="7"/>
      <c r="O75" s="7"/>
      <c r="P75" s="7"/>
      <c r="Q75" s="7"/>
      <c r="U75" s="7"/>
      <c r="V75" s="7"/>
      <c r="W75" s="7"/>
      <c r="X75" s="7"/>
      <c r="Y75" s="7"/>
      <c r="Z75" s="7"/>
      <c r="AA75" s="7"/>
      <c r="AB75" s="7"/>
      <c r="AC75" s="7"/>
      <c r="AD75" s="7"/>
    </row>
    <row r="76" spans="1:30" ht="15.75" customHeight="1" x14ac:dyDescent="0.3">
      <c r="A76" s="7"/>
      <c r="B76" s="7"/>
      <c r="C76" s="7"/>
      <c r="D76" s="7"/>
      <c r="E76" s="7"/>
      <c r="F76" s="7"/>
      <c r="G76" s="7"/>
      <c r="H76" s="7"/>
      <c r="I76" s="7"/>
      <c r="J76" s="7"/>
      <c r="K76" s="7"/>
      <c r="L76" s="7"/>
      <c r="M76" s="7"/>
      <c r="N76" s="7"/>
      <c r="O76" s="7"/>
      <c r="P76" s="7"/>
      <c r="Q76" s="7"/>
      <c r="U76" s="7"/>
      <c r="V76" s="7"/>
      <c r="W76" s="7"/>
      <c r="X76" s="7"/>
      <c r="Y76" s="7"/>
      <c r="Z76" s="7"/>
      <c r="AA76" s="7"/>
      <c r="AB76" s="7"/>
      <c r="AC76" s="7"/>
      <c r="AD76" s="7"/>
    </row>
    <row r="77" spans="1:30" ht="15.75" customHeight="1" x14ac:dyDescent="0.3">
      <c r="A77" s="7"/>
      <c r="B77" s="7"/>
      <c r="C77" s="7"/>
      <c r="D77" s="7"/>
      <c r="E77" s="7"/>
      <c r="F77" s="7"/>
      <c r="G77" s="7"/>
      <c r="H77" s="7"/>
      <c r="I77" s="7"/>
      <c r="J77" s="7"/>
      <c r="K77" s="7"/>
      <c r="L77" s="7"/>
      <c r="M77" s="7"/>
      <c r="N77" s="7"/>
      <c r="O77" s="7"/>
      <c r="P77" s="7"/>
      <c r="Q77" s="7"/>
      <c r="U77" s="7"/>
      <c r="V77" s="7"/>
      <c r="W77" s="7"/>
      <c r="X77" s="7"/>
      <c r="Y77" s="7"/>
      <c r="Z77" s="7"/>
      <c r="AA77" s="7"/>
      <c r="AB77" s="7"/>
      <c r="AC77" s="7"/>
      <c r="AD77" s="7"/>
    </row>
    <row r="78" spans="1:30" ht="15.75" customHeight="1" x14ac:dyDescent="0.3">
      <c r="A78" s="7"/>
      <c r="B78" s="7"/>
      <c r="C78" s="7"/>
      <c r="D78" s="7"/>
      <c r="E78" s="7"/>
      <c r="F78" s="7"/>
      <c r="G78" s="7"/>
      <c r="H78" s="7"/>
      <c r="I78" s="7"/>
      <c r="J78" s="7"/>
      <c r="K78" s="7"/>
      <c r="L78" s="7"/>
      <c r="M78" s="7"/>
      <c r="N78" s="7"/>
      <c r="O78" s="7"/>
      <c r="P78" s="7"/>
      <c r="Q78" s="7"/>
      <c r="U78" s="7"/>
      <c r="V78" s="7"/>
      <c r="W78" s="7"/>
      <c r="X78" s="7"/>
      <c r="Y78" s="7"/>
      <c r="Z78" s="7"/>
      <c r="AA78" s="7"/>
      <c r="AB78" s="7"/>
      <c r="AC78" s="7"/>
      <c r="AD78" s="7"/>
    </row>
    <row r="79" spans="1:30" ht="15.75" customHeight="1" x14ac:dyDescent="0.3">
      <c r="A79" s="7"/>
      <c r="B79" s="7"/>
      <c r="C79" s="7"/>
      <c r="D79" s="7"/>
      <c r="E79" s="7"/>
      <c r="F79" s="7"/>
      <c r="G79" s="7"/>
      <c r="H79" s="7"/>
      <c r="I79" s="7"/>
      <c r="J79" s="7"/>
      <c r="K79" s="7"/>
      <c r="L79" s="7"/>
      <c r="M79" s="7"/>
      <c r="N79" s="7"/>
      <c r="O79" s="7"/>
      <c r="P79" s="7"/>
      <c r="Q79" s="7"/>
      <c r="U79" s="7"/>
      <c r="V79" s="7"/>
      <c r="W79" s="7"/>
      <c r="X79" s="7"/>
      <c r="Y79" s="7"/>
      <c r="Z79" s="7"/>
      <c r="AA79" s="7"/>
      <c r="AB79" s="7"/>
      <c r="AC79" s="7"/>
      <c r="AD79" s="7"/>
    </row>
    <row r="80" spans="1:30" ht="15.75" customHeight="1" x14ac:dyDescent="0.3">
      <c r="A80" s="7"/>
      <c r="B80" s="7"/>
      <c r="C80" s="7"/>
      <c r="D80" s="7"/>
      <c r="E80" s="7"/>
      <c r="F80" s="7"/>
      <c r="G80" s="7"/>
      <c r="H80" s="7"/>
      <c r="I80" s="7"/>
      <c r="J80" s="7"/>
      <c r="K80" s="7"/>
      <c r="L80" s="7"/>
      <c r="M80" s="7"/>
      <c r="N80" s="7"/>
      <c r="O80" s="7"/>
      <c r="P80" s="7"/>
      <c r="Q80" s="7"/>
      <c r="U80" s="7"/>
      <c r="V80" s="7"/>
      <c r="W80" s="7"/>
      <c r="X80" s="7"/>
      <c r="Y80" s="7"/>
      <c r="Z80" s="7"/>
      <c r="AA80" s="7"/>
      <c r="AB80" s="7"/>
      <c r="AC80" s="7"/>
      <c r="AD80" s="7"/>
    </row>
    <row r="81" spans="1:30" ht="15.75" customHeight="1" x14ac:dyDescent="0.3">
      <c r="A81" s="7"/>
      <c r="B81" s="7"/>
      <c r="C81" s="7"/>
      <c r="D81" s="7"/>
      <c r="E81" s="7"/>
      <c r="F81" s="7"/>
      <c r="G81" s="7"/>
      <c r="H81" s="7"/>
      <c r="I81" s="7"/>
      <c r="J81" s="7"/>
      <c r="K81" s="7"/>
      <c r="L81" s="7"/>
      <c r="M81" s="7"/>
      <c r="N81" s="7"/>
      <c r="O81" s="7"/>
      <c r="P81" s="7"/>
      <c r="Q81" s="7"/>
      <c r="U81" s="7"/>
      <c r="V81" s="7"/>
      <c r="W81" s="7"/>
      <c r="X81" s="7"/>
      <c r="Y81" s="7"/>
      <c r="Z81" s="7"/>
      <c r="AA81" s="7"/>
      <c r="AB81" s="7"/>
      <c r="AC81" s="7"/>
      <c r="AD81" s="7"/>
    </row>
    <row r="82" spans="1:30" ht="15.75" customHeight="1" x14ac:dyDescent="0.3">
      <c r="A82" s="7"/>
      <c r="B82" s="7"/>
      <c r="C82" s="7"/>
      <c r="D82" s="7"/>
      <c r="E82" s="7"/>
      <c r="F82" s="7"/>
      <c r="G82" s="7"/>
      <c r="H82" s="7"/>
      <c r="I82" s="7"/>
      <c r="J82" s="7"/>
      <c r="K82" s="7"/>
      <c r="L82" s="7"/>
      <c r="M82" s="7"/>
      <c r="N82" s="7"/>
      <c r="O82" s="7"/>
      <c r="P82" s="7"/>
      <c r="Q82" s="7"/>
      <c r="U82" s="7"/>
      <c r="V82" s="7"/>
      <c r="W82" s="7"/>
      <c r="X82" s="7"/>
      <c r="Y82" s="7"/>
      <c r="Z82" s="7"/>
      <c r="AA82" s="7"/>
      <c r="AB82" s="7"/>
      <c r="AC82" s="7"/>
      <c r="AD82" s="7"/>
    </row>
    <row r="83" spans="1:30" ht="15.75" customHeight="1" x14ac:dyDescent="0.3">
      <c r="A83" s="7"/>
      <c r="B83" s="7"/>
      <c r="C83" s="7"/>
      <c r="D83" s="7"/>
      <c r="E83" s="7"/>
      <c r="F83" s="7"/>
      <c r="G83" s="7"/>
      <c r="H83" s="7"/>
      <c r="I83" s="7"/>
      <c r="J83" s="7"/>
      <c r="K83" s="7"/>
      <c r="L83" s="7"/>
      <c r="M83" s="7"/>
      <c r="N83" s="7"/>
      <c r="O83" s="7"/>
      <c r="P83" s="7"/>
      <c r="Q83" s="7"/>
      <c r="U83" s="7"/>
      <c r="V83" s="7"/>
      <c r="W83" s="7"/>
      <c r="X83" s="7"/>
      <c r="Y83" s="7"/>
      <c r="Z83" s="7"/>
      <c r="AA83" s="7"/>
      <c r="AB83" s="7"/>
      <c r="AC83" s="7"/>
      <c r="AD83" s="7"/>
    </row>
    <row r="84" spans="1:30" ht="15.75" customHeight="1" x14ac:dyDescent="0.3">
      <c r="A84" s="7"/>
      <c r="B84" s="7"/>
      <c r="C84" s="7"/>
      <c r="D84" s="7"/>
      <c r="E84" s="7"/>
      <c r="F84" s="7"/>
      <c r="G84" s="7"/>
      <c r="H84" s="7"/>
      <c r="I84" s="7"/>
      <c r="J84" s="7"/>
      <c r="K84" s="7"/>
      <c r="L84" s="7"/>
      <c r="M84" s="7"/>
      <c r="N84" s="7"/>
      <c r="O84" s="7"/>
      <c r="P84" s="7"/>
      <c r="Q84" s="7"/>
      <c r="U84" s="7"/>
      <c r="V84" s="7"/>
      <c r="W84" s="7"/>
      <c r="X84" s="7"/>
      <c r="Y84" s="7"/>
      <c r="Z84" s="7"/>
      <c r="AA84" s="7"/>
      <c r="AB84" s="7"/>
      <c r="AC84" s="7"/>
      <c r="AD84" s="7"/>
    </row>
    <row r="85" spans="1:30" ht="15.75" customHeight="1" x14ac:dyDescent="0.3">
      <c r="A85" s="7"/>
      <c r="B85" s="7"/>
      <c r="C85" s="7"/>
      <c r="D85" s="7"/>
      <c r="E85" s="7"/>
      <c r="F85" s="7"/>
      <c r="G85" s="7"/>
      <c r="H85" s="7"/>
      <c r="I85" s="7"/>
      <c r="J85" s="7"/>
      <c r="K85" s="7"/>
      <c r="L85" s="7"/>
      <c r="M85" s="7"/>
      <c r="N85" s="7"/>
      <c r="O85" s="7"/>
      <c r="P85" s="7"/>
      <c r="Q85" s="7"/>
      <c r="U85" s="7"/>
      <c r="V85" s="7"/>
      <c r="W85" s="7"/>
      <c r="X85" s="7"/>
      <c r="Y85" s="7"/>
      <c r="Z85" s="7"/>
      <c r="AA85" s="7"/>
      <c r="AB85" s="7"/>
      <c r="AC85" s="7"/>
      <c r="AD85" s="7"/>
    </row>
    <row r="86" spans="1:30" ht="15.75" customHeight="1" x14ac:dyDescent="0.3">
      <c r="A86" s="7"/>
      <c r="B86" s="7"/>
      <c r="C86" s="7"/>
      <c r="D86" s="7"/>
      <c r="E86" s="7"/>
      <c r="F86" s="7"/>
      <c r="G86" s="7"/>
      <c r="H86" s="7"/>
      <c r="I86" s="7"/>
      <c r="J86" s="7"/>
      <c r="K86" s="7"/>
      <c r="L86" s="7"/>
      <c r="M86" s="7"/>
      <c r="N86" s="7"/>
      <c r="O86" s="7"/>
      <c r="P86" s="7"/>
      <c r="Q86" s="7"/>
      <c r="U86" s="7"/>
      <c r="V86" s="7"/>
      <c r="W86" s="7"/>
      <c r="X86" s="7"/>
      <c r="Y86" s="7"/>
      <c r="Z86" s="7"/>
      <c r="AA86" s="7"/>
      <c r="AB86" s="7"/>
      <c r="AC86" s="7"/>
      <c r="AD86" s="7"/>
    </row>
    <row r="87" spans="1:30" ht="15.75" customHeight="1" x14ac:dyDescent="0.3">
      <c r="A87" s="7"/>
      <c r="B87" s="7"/>
      <c r="C87" s="7"/>
      <c r="D87" s="7"/>
      <c r="E87" s="7"/>
      <c r="F87" s="7"/>
      <c r="G87" s="7"/>
      <c r="H87" s="7"/>
      <c r="I87" s="7"/>
      <c r="J87" s="7"/>
      <c r="K87" s="7"/>
      <c r="L87" s="7"/>
      <c r="M87" s="7"/>
      <c r="N87" s="7"/>
      <c r="O87" s="7"/>
      <c r="P87" s="7"/>
      <c r="Q87" s="7"/>
      <c r="U87" s="7"/>
      <c r="V87" s="7"/>
      <c r="W87" s="7"/>
      <c r="X87" s="7"/>
      <c r="Y87" s="7"/>
      <c r="Z87" s="7"/>
      <c r="AA87" s="7"/>
      <c r="AB87" s="7"/>
      <c r="AC87" s="7"/>
      <c r="AD87" s="7"/>
    </row>
    <row r="88" spans="1:30" ht="15.75" customHeight="1" x14ac:dyDescent="0.3">
      <c r="A88" s="7"/>
      <c r="B88" s="7"/>
      <c r="C88" s="7"/>
      <c r="D88" s="7"/>
      <c r="E88" s="7"/>
      <c r="F88" s="7"/>
      <c r="G88" s="7"/>
      <c r="H88" s="7"/>
      <c r="I88" s="7"/>
      <c r="J88" s="7"/>
      <c r="K88" s="7"/>
      <c r="L88" s="7"/>
      <c r="M88" s="7"/>
      <c r="N88" s="7"/>
      <c r="O88" s="7"/>
      <c r="P88" s="7"/>
      <c r="Q88" s="7"/>
      <c r="U88" s="7"/>
      <c r="V88" s="7"/>
      <c r="W88" s="7"/>
      <c r="X88" s="7"/>
      <c r="Y88" s="7"/>
      <c r="Z88" s="7"/>
      <c r="AA88" s="7"/>
      <c r="AB88" s="7"/>
      <c r="AC88" s="7"/>
      <c r="AD88" s="7"/>
    </row>
    <row r="89" spans="1:30" ht="15.75" customHeight="1" x14ac:dyDescent="0.3">
      <c r="A89" s="7"/>
      <c r="B89" s="7"/>
      <c r="C89" s="7"/>
      <c r="D89" s="7"/>
      <c r="E89" s="7"/>
      <c r="F89" s="7"/>
      <c r="G89" s="7"/>
      <c r="H89" s="7"/>
      <c r="I89" s="7"/>
      <c r="J89" s="7"/>
      <c r="K89" s="7"/>
      <c r="L89" s="7"/>
      <c r="M89" s="7"/>
      <c r="N89" s="7"/>
      <c r="O89" s="7"/>
      <c r="P89" s="7"/>
      <c r="Q89" s="7"/>
      <c r="U89" s="7"/>
      <c r="V89" s="7"/>
      <c r="W89" s="7"/>
      <c r="X89" s="7"/>
      <c r="Y89" s="7"/>
      <c r="Z89" s="7"/>
      <c r="AA89" s="7"/>
      <c r="AB89" s="7"/>
      <c r="AC89" s="7"/>
      <c r="AD89" s="7"/>
    </row>
    <row r="90" spans="1:30" ht="15.75" customHeight="1" x14ac:dyDescent="0.3">
      <c r="A90" s="7"/>
      <c r="B90" s="7"/>
      <c r="C90" s="7"/>
      <c r="D90" s="7"/>
      <c r="E90" s="7"/>
      <c r="F90" s="7"/>
      <c r="G90" s="7"/>
      <c r="H90" s="7"/>
      <c r="I90" s="7"/>
      <c r="J90" s="7"/>
      <c r="K90" s="7"/>
      <c r="L90" s="7"/>
      <c r="M90" s="7"/>
      <c r="N90" s="7"/>
      <c r="O90" s="7"/>
      <c r="P90" s="7"/>
      <c r="Q90" s="7"/>
      <c r="U90" s="7"/>
      <c r="V90" s="7"/>
      <c r="W90" s="7"/>
      <c r="X90" s="7"/>
      <c r="Y90" s="7"/>
      <c r="Z90" s="7"/>
      <c r="AA90" s="7"/>
      <c r="AB90" s="7"/>
      <c r="AC90" s="7"/>
      <c r="AD90" s="7"/>
    </row>
    <row r="91" spans="1:30" ht="15.75" customHeight="1" x14ac:dyDescent="0.3">
      <c r="A91" s="7"/>
      <c r="B91" s="7"/>
      <c r="C91" s="7"/>
      <c r="D91" s="7"/>
      <c r="E91" s="7"/>
      <c r="F91" s="7"/>
      <c r="G91" s="7"/>
      <c r="H91" s="7"/>
      <c r="I91" s="7"/>
      <c r="J91" s="7"/>
      <c r="K91" s="7"/>
      <c r="L91" s="7"/>
      <c r="M91" s="7"/>
      <c r="N91" s="7"/>
      <c r="O91" s="7"/>
      <c r="P91" s="7"/>
      <c r="Q91" s="7"/>
      <c r="U91" s="7"/>
      <c r="V91" s="7"/>
      <c r="W91" s="7"/>
      <c r="X91" s="7"/>
      <c r="Y91" s="7"/>
      <c r="Z91" s="7"/>
      <c r="AA91" s="7"/>
      <c r="AB91" s="7"/>
      <c r="AC91" s="7"/>
      <c r="AD91" s="7"/>
    </row>
    <row r="92" spans="1:30" ht="15.75" customHeight="1" x14ac:dyDescent="0.3">
      <c r="A92" s="7"/>
      <c r="B92" s="7"/>
      <c r="C92" s="7"/>
      <c r="D92" s="7"/>
      <c r="E92" s="7"/>
      <c r="F92" s="7"/>
      <c r="G92" s="7"/>
      <c r="H92" s="7"/>
      <c r="I92" s="7"/>
      <c r="J92" s="7"/>
      <c r="K92" s="7"/>
      <c r="L92" s="7"/>
      <c r="M92" s="7"/>
      <c r="N92" s="7"/>
      <c r="O92" s="7"/>
      <c r="P92" s="7"/>
      <c r="Q92" s="7"/>
      <c r="U92" s="7"/>
      <c r="V92" s="7"/>
      <c r="W92" s="7"/>
      <c r="X92" s="7"/>
      <c r="Y92" s="7"/>
      <c r="Z92" s="7"/>
      <c r="AA92" s="7"/>
      <c r="AB92" s="7"/>
      <c r="AC92" s="7"/>
      <c r="AD92" s="7"/>
    </row>
    <row r="93" spans="1:30" ht="15.75" customHeight="1" x14ac:dyDescent="0.3">
      <c r="A93" s="7"/>
      <c r="B93" s="7"/>
      <c r="C93" s="7"/>
      <c r="D93" s="7"/>
      <c r="E93" s="7"/>
      <c r="F93" s="7"/>
      <c r="G93" s="7"/>
      <c r="H93" s="7"/>
      <c r="I93" s="7"/>
      <c r="J93" s="7"/>
      <c r="K93" s="7"/>
      <c r="L93" s="7"/>
      <c r="M93" s="7"/>
      <c r="N93" s="7"/>
      <c r="O93" s="7"/>
      <c r="P93" s="7"/>
      <c r="Q93" s="7"/>
      <c r="U93" s="7"/>
      <c r="V93" s="7"/>
      <c r="W93" s="7"/>
      <c r="X93" s="7"/>
      <c r="Y93" s="7"/>
      <c r="Z93" s="7"/>
      <c r="AA93" s="7"/>
      <c r="AB93" s="7"/>
      <c r="AC93" s="7"/>
      <c r="AD93" s="7"/>
    </row>
    <row r="94" spans="1:30" ht="15.75" customHeight="1" x14ac:dyDescent="0.3">
      <c r="A94" s="7"/>
      <c r="B94" s="7"/>
      <c r="C94" s="7"/>
      <c r="D94" s="7"/>
      <c r="E94" s="7"/>
      <c r="F94" s="7"/>
      <c r="G94" s="7"/>
      <c r="H94" s="7"/>
      <c r="I94" s="7"/>
      <c r="J94" s="7"/>
      <c r="K94" s="7"/>
      <c r="L94" s="7"/>
      <c r="M94" s="7"/>
      <c r="N94" s="7"/>
      <c r="O94" s="7"/>
      <c r="P94" s="7"/>
      <c r="Q94" s="7"/>
      <c r="U94" s="7"/>
      <c r="V94" s="7"/>
      <c r="W94" s="7"/>
      <c r="X94" s="7"/>
      <c r="Y94" s="7"/>
      <c r="Z94" s="7"/>
      <c r="AA94" s="7"/>
      <c r="AB94" s="7"/>
      <c r="AC94" s="7"/>
      <c r="AD94" s="7"/>
    </row>
    <row r="95" spans="1:30" ht="15.75" customHeight="1" x14ac:dyDescent="0.3">
      <c r="A95" s="7"/>
      <c r="B95" s="7"/>
      <c r="C95" s="7"/>
      <c r="D95" s="7"/>
      <c r="E95" s="7"/>
      <c r="F95" s="7"/>
      <c r="G95" s="7"/>
      <c r="H95" s="7"/>
      <c r="I95" s="7"/>
      <c r="J95" s="7"/>
      <c r="K95" s="7"/>
      <c r="L95" s="7"/>
      <c r="M95" s="7"/>
      <c r="N95" s="7"/>
      <c r="O95" s="7"/>
      <c r="P95" s="7"/>
      <c r="Q95" s="7"/>
      <c r="U95" s="7"/>
      <c r="V95" s="7"/>
      <c r="W95" s="7"/>
      <c r="X95" s="7"/>
      <c r="Y95" s="7"/>
      <c r="Z95" s="7"/>
      <c r="AA95" s="7"/>
      <c r="AB95" s="7"/>
      <c r="AC95" s="7"/>
      <c r="AD95" s="7"/>
    </row>
    <row r="96" spans="1:30" ht="15.75" customHeight="1" x14ac:dyDescent="0.3">
      <c r="A96" s="7"/>
      <c r="B96" s="7"/>
      <c r="C96" s="7"/>
      <c r="D96" s="7"/>
      <c r="E96" s="7"/>
      <c r="F96" s="7"/>
      <c r="G96" s="7"/>
      <c r="H96" s="7"/>
      <c r="I96" s="7"/>
      <c r="J96" s="7"/>
      <c r="K96" s="7"/>
      <c r="L96" s="7"/>
      <c r="M96" s="7"/>
      <c r="N96" s="7"/>
      <c r="O96" s="7"/>
      <c r="P96" s="7"/>
      <c r="Q96" s="7"/>
      <c r="U96" s="7"/>
      <c r="V96" s="7"/>
      <c r="W96" s="7"/>
      <c r="X96" s="7"/>
      <c r="Y96" s="7"/>
      <c r="Z96" s="7"/>
      <c r="AA96" s="7"/>
      <c r="AB96" s="7"/>
      <c r="AC96" s="7"/>
      <c r="AD96" s="7"/>
    </row>
    <row r="97" spans="1:30" ht="15.75" customHeight="1" x14ac:dyDescent="0.3">
      <c r="A97" s="7"/>
      <c r="B97" s="7"/>
      <c r="C97" s="7"/>
      <c r="D97" s="7"/>
      <c r="E97" s="7"/>
      <c r="F97" s="7"/>
      <c r="G97" s="7"/>
      <c r="H97" s="7"/>
      <c r="I97" s="7"/>
      <c r="J97" s="7"/>
      <c r="K97" s="7"/>
      <c r="L97" s="7"/>
      <c r="M97" s="7"/>
      <c r="N97" s="7"/>
      <c r="O97" s="7"/>
      <c r="P97" s="7"/>
      <c r="Q97" s="7"/>
      <c r="U97" s="7"/>
      <c r="V97" s="7"/>
      <c r="W97" s="7"/>
      <c r="X97" s="7"/>
      <c r="Y97" s="7"/>
      <c r="Z97" s="7"/>
      <c r="AA97" s="7"/>
      <c r="AB97" s="7"/>
      <c r="AC97" s="7"/>
      <c r="AD97" s="7"/>
    </row>
    <row r="98" spans="1:30" ht="15.75" customHeight="1" x14ac:dyDescent="0.3">
      <c r="A98" s="7"/>
      <c r="B98" s="7"/>
      <c r="C98" s="7"/>
      <c r="D98" s="7"/>
      <c r="E98" s="7"/>
      <c r="F98" s="7"/>
      <c r="G98" s="7"/>
      <c r="H98" s="7"/>
      <c r="I98" s="7"/>
      <c r="J98" s="7"/>
      <c r="K98" s="7"/>
      <c r="L98" s="7"/>
      <c r="M98" s="7"/>
      <c r="N98" s="7"/>
      <c r="O98" s="7"/>
      <c r="P98" s="7"/>
      <c r="Q98" s="7"/>
      <c r="U98" s="7"/>
      <c r="V98" s="7"/>
      <c r="W98" s="7"/>
      <c r="X98" s="7"/>
      <c r="Y98" s="7"/>
      <c r="Z98" s="7"/>
      <c r="AA98" s="7"/>
      <c r="AB98" s="7"/>
      <c r="AC98" s="7"/>
      <c r="AD98" s="7"/>
    </row>
    <row r="99" spans="1:30" ht="15.75" customHeight="1" x14ac:dyDescent="0.3">
      <c r="A99" s="7"/>
      <c r="B99" s="7"/>
      <c r="C99" s="7"/>
      <c r="D99" s="7"/>
      <c r="E99" s="7"/>
      <c r="F99" s="7"/>
      <c r="G99" s="7"/>
      <c r="H99" s="7"/>
      <c r="I99" s="7"/>
      <c r="J99" s="7"/>
      <c r="K99" s="7"/>
      <c r="L99" s="7"/>
      <c r="M99" s="7"/>
      <c r="N99" s="7"/>
      <c r="O99" s="7"/>
      <c r="P99" s="7"/>
      <c r="Q99" s="7"/>
      <c r="U99" s="7"/>
      <c r="V99" s="7"/>
      <c r="W99" s="7"/>
      <c r="X99" s="7"/>
      <c r="Y99" s="7"/>
      <c r="Z99" s="7"/>
      <c r="AA99" s="7"/>
      <c r="AB99" s="7"/>
      <c r="AC99" s="7"/>
      <c r="AD99" s="7"/>
    </row>
    <row r="100" spans="1:30" ht="15.75" customHeight="1" x14ac:dyDescent="0.3">
      <c r="A100" s="7"/>
      <c r="B100" s="7"/>
      <c r="C100" s="7"/>
      <c r="D100" s="7"/>
      <c r="E100" s="7"/>
      <c r="F100" s="7"/>
      <c r="G100" s="7"/>
      <c r="H100" s="7"/>
      <c r="I100" s="7"/>
      <c r="J100" s="7"/>
      <c r="K100" s="7"/>
      <c r="L100" s="7"/>
      <c r="M100" s="7"/>
      <c r="N100" s="7"/>
      <c r="O100" s="7"/>
      <c r="P100" s="7"/>
      <c r="Q100" s="7"/>
      <c r="U100" s="7"/>
      <c r="V100" s="7"/>
      <c r="W100" s="7"/>
      <c r="X100" s="7"/>
      <c r="Y100" s="7"/>
      <c r="Z100" s="7"/>
      <c r="AA100" s="7"/>
      <c r="AB100" s="7"/>
      <c r="AC100" s="7"/>
      <c r="AD100" s="7"/>
    </row>
    <row r="101" spans="1:30" ht="15.75" customHeight="1" x14ac:dyDescent="0.3">
      <c r="A101" s="7"/>
      <c r="B101" s="7"/>
      <c r="C101" s="7"/>
      <c r="D101" s="7"/>
      <c r="E101" s="7"/>
      <c r="F101" s="7"/>
      <c r="G101" s="7"/>
      <c r="H101" s="7"/>
      <c r="I101" s="7"/>
      <c r="J101" s="7"/>
      <c r="K101" s="7"/>
      <c r="L101" s="7"/>
      <c r="M101" s="7"/>
      <c r="N101" s="7"/>
      <c r="O101" s="7"/>
      <c r="P101" s="7"/>
      <c r="Q101" s="7"/>
      <c r="U101" s="7"/>
      <c r="V101" s="7"/>
      <c r="W101" s="7"/>
      <c r="X101" s="7"/>
      <c r="Y101" s="7"/>
      <c r="Z101" s="7"/>
      <c r="AA101" s="7"/>
      <c r="AB101" s="7"/>
      <c r="AC101" s="7"/>
      <c r="AD101" s="7"/>
    </row>
    <row r="102" spans="1:30" ht="15.75" customHeight="1" x14ac:dyDescent="0.3">
      <c r="A102" s="7"/>
      <c r="B102" s="7"/>
      <c r="C102" s="7"/>
      <c r="D102" s="7"/>
      <c r="E102" s="7"/>
      <c r="F102" s="7"/>
      <c r="G102" s="7"/>
      <c r="H102" s="7"/>
      <c r="I102" s="7"/>
      <c r="J102" s="7"/>
      <c r="K102" s="7"/>
      <c r="L102" s="7"/>
      <c r="M102" s="7"/>
      <c r="N102" s="7"/>
      <c r="O102" s="7"/>
      <c r="P102" s="7"/>
      <c r="Q102" s="7"/>
      <c r="U102" s="7"/>
      <c r="V102" s="7"/>
      <c r="W102" s="7"/>
      <c r="X102" s="7"/>
      <c r="Y102" s="7"/>
      <c r="Z102" s="7"/>
      <c r="AA102" s="7"/>
      <c r="AB102" s="7"/>
      <c r="AC102" s="7"/>
      <c r="AD102" s="7"/>
    </row>
    <row r="103" spans="1:30" ht="15.75" customHeight="1" x14ac:dyDescent="0.3">
      <c r="A103" s="7"/>
      <c r="B103" s="7"/>
      <c r="C103" s="7"/>
      <c r="D103" s="7"/>
      <c r="E103" s="7"/>
      <c r="F103" s="7"/>
      <c r="G103" s="7"/>
      <c r="H103" s="7"/>
      <c r="I103" s="7"/>
      <c r="J103" s="7"/>
      <c r="K103" s="7"/>
      <c r="L103" s="7"/>
      <c r="M103" s="7"/>
      <c r="N103" s="7"/>
      <c r="O103" s="7"/>
      <c r="P103" s="7"/>
      <c r="Q103" s="7"/>
      <c r="U103" s="7"/>
      <c r="V103" s="7"/>
      <c r="W103" s="7"/>
      <c r="X103" s="7"/>
      <c r="Y103" s="7"/>
      <c r="Z103" s="7"/>
      <c r="AA103" s="7"/>
      <c r="AB103" s="7"/>
      <c r="AC103" s="7"/>
      <c r="AD103" s="7"/>
    </row>
    <row r="104" spans="1:30" ht="15.75" customHeight="1" x14ac:dyDescent="0.3">
      <c r="A104" s="7"/>
      <c r="B104" s="7"/>
      <c r="C104" s="7"/>
      <c r="D104" s="7"/>
      <c r="E104" s="7"/>
      <c r="F104" s="7"/>
      <c r="G104" s="7"/>
      <c r="H104" s="7"/>
      <c r="I104" s="7"/>
      <c r="J104" s="7"/>
      <c r="K104" s="7"/>
      <c r="L104" s="7"/>
      <c r="M104" s="7"/>
      <c r="N104" s="7"/>
      <c r="O104" s="7"/>
      <c r="P104" s="7"/>
      <c r="Q104" s="7"/>
      <c r="U104" s="7"/>
      <c r="V104" s="7"/>
      <c r="W104" s="7"/>
      <c r="X104" s="7"/>
      <c r="Y104" s="7"/>
      <c r="Z104" s="7"/>
      <c r="AA104" s="7"/>
      <c r="AB104" s="7"/>
      <c r="AC104" s="7"/>
      <c r="AD104" s="7"/>
    </row>
    <row r="105" spans="1:30" ht="15.75" customHeight="1" x14ac:dyDescent="0.3">
      <c r="A105" s="7"/>
      <c r="B105" s="7"/>
      <c r="C105" s="7"/>
      <c r="D105" s="7"/>
      <c r="E105" s="7"/>
      <c r="F105" s="7"/>
      <c r="G105" s="7"/>
      <c r="H105" s="7"/>
      <c r="I105" s="7"/>
      <c r="J105" s="7"/>
      <c r="K105" s="7"/>
      <c r="L105" s="7"/>
      <c r="M105" s="7"/>
      <c r="N105" s="7"/>
      <c r="O105" s="7"/>
      <c r="P105" s="7"/>
      <c r="Q105" s="7"/>
      <c r="U105" s="7"/>
      <c r="V105" s="7"/>
      <c r="W105" s="7"/>
      <c r="X105" s="7"/>
      <c r="Y105" s="7"/>
      <c r="Z105" s="7"/>
      <c r="AA105" s="7"/>
      <c r="AB105" s="7"/>
      <c r="AC105" s="7"/>
      <c r="AD105" s="7"/>
    </row>
    <row r="106" spans="1:30" ht="15.75" customHeight="1" x14ac:dyDescent="0.3">
      <c r="A106" s="7"/>
      <c r="B106" s="7"/>
      <c r="C106" s="7"/>
      <c r="D106" s="7"/>
      <c r="E106" s="7"/>
      <c r="F106" s="7"/>
      <c r="G106" s="7"/>
      <c r="H106" s="7"/>
      <c r="I106" s="7"/>
      <c r="J106" s="7"/>
      <c r="K106" s="7"/>
      <c r="L106" s="7"/>
      <c r="M106" s="7"/>
      <c r="N106" s="7"/>
      <c r="O106" s="7"/>
      <c r="P106" s="7"/>
      <c r="Q106" s="7"/>
      <c r="U106" s="7"/>
      <c r="V106" s="7"/>
      <c r="W106" s="7"/>
      <c r="X106" s="7"/>
      <c r="Y106" s="7"/>
      <c r="Z106" s="7"/>
      <c r="AA106" s="7"/>
      <c r="AB106" s="7"/>
      <c r="AC106" s="7"/>
      <c r="AD106" s="7"/>
    </row>
    <row r="107" spans="1:30" ht="15.75" customHeight="1" x14ac:dyDescent="0.3">
      <c r="A107" s="7"/>
      <c r="B107" s="7"/>
      <c r="C107" s="7"/>
      <c r="D107" s="7"/>
      <c r="E107" s="7"/>
      <c r="F107" s="7"/>
      <c r="G107" s="7"/>
      <c r="H107" s="7"/>
      <c r="I107" s="7"/>
      <c r="J107" s="7"/>
      <c r="K107" s="7"/>
      <c r="L107" s="7"/>
      <c r="M107" s="7"/>
      <c r="N107" s="7"/>
      <c r="O107" s="7"/>
      <c r="P107" s="7"/>
      <c r="Q107" s="7"/>
      <c r="U107" s="7"/>
      <c r="V107" s="7"/>
      <c r="W107" s="7"/>
      <c r="X107" s="7"/>
      <c r="Y107" s="7"/>
      <c r="Z107" s="7"/>
      <c r="AA107" s="7"/>
      <c r="AB107" s="7"/>
      <c r="AC107" s="7"/>
      <c r="AD107" s="7"/>
    </row>
    <row r="108" spans="1:30" ht="15.75" customHeight="1" x14ac:dyDescent="0.3">
      <c r="A108" s="7"/>
      <c r="B108" s="7"/>
      <c r="C108" s="7"/>
      <c r="D108" s="7"/>
      <c r="E108" s="7"/>
      <c r="F108" s="7"/>
      <c r="G108" s="7"/>
      <c r="H108" s="7"/>
      <c r="I108" s="7"/>
      <c r="J108" s="7"/>
      <c r="K108" s="7"/>
      <c r="L108" s="7"/>
      <c r="M108" s="7"/>
      <c r="N108" s="7"/>
      <c r="O108" s="7"/>
      <c r="P108" s="7"/>
      <c r="Q108" s="7"/>
      <c r="U108" s="7"/>
      <c r="V108" s="7"/>
      <c r="W108" s="7"/>
      <c r="X108" s="7"/>
      <c r="Y108" s="7"/>
      <c r="Z108" s="7"/>
      <c r="AA108" s="7"/>
      <c r="AB108" s="7"/>
      <c r="AC108" s="7"/>
      <c r="AD108" s="7"/>
    </row>
    <row r="109" spans="1:30" ht="15.75" customHeight="1" x14ac:dyDescent="0.3">
      <c r="A109" s="7"/>
      <c r="B109" s="7"/>
      <c r="C109" s="7"/>
      <c r="D109" s="7"/>
      <c r="E109" s="7"/>
      <c r="F109" s="7"/>
      <c r="G109" s="7"/>
      <c r="H109" s="7"/>
      <c r="I109" s="7"/>
      <c r="J109" s="7"/>
      <c r="K109" s="7"/>
      <c r="L109" s="7"/>
      <c r="M109" s="7"/>
      <c r="N109" s="7"/>
      <c r="O109" s="7"/>
      <c r="P109" s="7"/>
      <c r="Q109" s="7"/>
      <c r="U109" s="7"/>
      <c r="V109" s="7"/>
      <c r="W109" s="7"/>
      <c r="X109" s="7"/>
      <c r="Y109" s="7"/>
      <c r="Z109" s="7"/>
      <c r="AA109" s="7"/>
      <c r="AB109" s="7"/>
      <c r="AC109" s="7"/>
      <c r="AD109" s="7"/>
    </row>
    <row r="110" spans="1:30" ht="15.75" customHeight="1" x14ac:dyDescent="0.3">
      <c r="A110" s="7"/>
      <c r="B110" s="7"/>
      <c r="C110" s="7"/>
      <c r="D110" s="7"/>
      <c r="E110" s="7"/>
      <c r="F110" s="7"/>
      <c r="G110" s="7"/>
      <c r="H110" s="7"/>
      <c r="I110" s="7"/>
      <c r="J110" s="7"/>
      <c r="K110" s="7"/>
      <c r="L110" s="7"/>
      <c r="M110" s="7"/>
      <c r="N110" s="7"/>
      <c r="O110" s="7"/>
      <c r="P110" s="7"/>
      <c r="Q110" s="7"/>
      <c r="U110" s="7"/>
      <c r="V110" s="7"/>
      <c r="W110" s="7"/>
      <c r="X110" s="7"/>
      <c r="Y110" s="7"/>
      <c r="Z110" s="7"/>
      <c r="AA110" s="7"/>
      <c r="AB110" s="7"/>
      <c r="AC110" s="7"/>
      <c r="AD110" s="7"/>
    </row>
    <row r="111" spans="1:30" ht="15.75" customHeight="1" x14ac:dyDescent="0.3">
      <c r="A111" s="7"/>
      <c r="B111" s="7"/>
      <c r="C111" s="7"/>
      <c r="D111" s="7"/>
      <c r="E111" s="7"/>
      <c r="F111" s="7"/>
      <c r="G111" s="7"/>
      <c r="H111" s="7"/>
      <c r="I111" s="7"/>
      <c r="J111" s="7"/>
      <c r="K111" s="7"/>
      <c r="L111" s="7"/>
      <c r="M111" s="7"/>
      <c r="N111" s="7"/>
      <c r="O111" s="7"/>
      <c r="P111" s="7"/>
      <c r="Q111" s="7"/>
      <c r="U111" s="7"/>
      <c r="V111" s="7"/>
      <c r="W111" s="7"/>
      <c r="X111" s="7"/>
      <c r="Y111" s="7"/>
      <c r="Z111" s="7"/>
      <c r="AA111" s="7"/>
      <c r="AB111" s="7"/>
      <c r="AC111" s="7"/>
      <c r="AD111" s="7"/>
    </row>
    <row r="112" spans="1:30" ht="15.75" customHeight="1" x14ac:dyDescent="0.3">
      <c r="A112" s="7"/>
      <c r="B112" s="7"/>
      <c r="C112" s="7"/>
      <c r="D112" s="7"/>
      <c r="E112" s="7"/>
      <c r="F112" s="7"/>
      <c r="G112" s="7"/>
      <c r="H112" s="7"/>
      <c r="I112" s="7"/>
      <c r="J112" s="7"/>
      <c r="K112" s="7"/>
      <c r="L112" s="7"/>
      <c r="M112" s="7"/>
      <c r="N112" s="7"/>
      <c r="O112" s="7"/>
      <c r="P112" s="7"/>
      <c r="Q112" s="7"/>
      <c r="U112" s="7"/>
      <c r="V112" s="7"/>
      <c r="W112" s="7"/>
      <c r="X112" s="7"/>
      <c r="Y112" s="7"/>
      <c r="Z112" s="7"/>
      <c r="AA112" s="7"/>
      <c r="AB112" s="7"/>
      <c r="AC112" s="7"/>
      <c r="AD112" s="7"/>
    </row>
    <row r="113" spans="1:30" ht="15.75" customHeight="1" x14ac:dyDescent="0.3">
      <c r="A113" s="7"/>
      <c r="B113" s="7"/>
      <c r="C113" s="7"/>
      <c r="D113" s="7"/>
      <c r="E113" s="7"/>
      <c r="F113" s="7"/>
      <c r="G113" s="7"/>
      <c r="H113" s="7"/>
      <c r="I113" s="7"/>
      <c r="J113" s="7"/>
      <c r="K113" s="7"/>
      <c r="L113" s="7"/>
      <c r="M113" s="7"/>
      <c r="N113" s="7"/>
      <c r="O113" s="7"/>
      <c r="P113" s="7"/>
      <c r="Q113" s="7"/>
      <c r="U113" s="7"/>
      <c r="V113" s="7"/>
      <c r="W113" s="7"/>
      <c r="X113" s="7"/>
      <c r="Y113" s="7"/>
      <c r="Z113" s="7"/>
      <c r="AA113" s="7"/>
      <c r="AB113" s="7"/>
      <c r="AC113" s="7"/>
      <c r="AD113" s="7"/>
    </row>
    <row r="114" spans="1:30" ht="15.75" customHeight="1" x14ac:dyDescent="0.3">
      <c r="A114" s="7"/>
      <c r="B114" s="7"/>
      <c r="C114" s="7"/>
      <c r="D114" s="7"/>
      <c r="E114" s="7"/>
      <c r="F114" s="7"/>
      <c r="G114" s="7"/>
      <c r="H114" s="7"/>
      <c r="I114" s="7"/>
      <c r="J114" s="7"/>
      <c r="K114" s="7"/>
      <c r="L114" s="7"/>
      <c r="M114" s="7"/>
      <c r="N114" s="7"/>
      <c r="O114" s="7"/>
      <c r="P114" s="7"/>
      <c r="Q114" s="7"/>
      <c r="U114" s="7"/>
      <c r="V114" s="7"/>
      <c r="W114" s="7"/>
      <c r="X114" s="7"/>
      <c r="Y114" s="7"/>
      <c r="Z114" s="7"/>
      <c r="AA114" s="7"/>
      <c r="AB114" s="7"/>
      <c r="AC114" s="7"/>
      <c r="AD114" s="7"/>
    </row>
    <row r="115" spans="1:30" ht="15.75" customHeight="1" x14ac:dyDescent="0.3">
      <c r="A115" s="7"/>
      <c r="B115" s="7"/>
      <c r="C115" s="7"/>
      <c r="D115" s="7"/>
      <c r="E115" s="7"/>
      <c r="F115" s="7"/>
      <c r="G115" s="7"/>
      <c r="H115" s="7"/>
      <c r="I115" s="7"/>
      <c r="J115" s="7"/>
      <c r="K115" s="7"/>
      <c r="L115" s="7"/>
      <c r="M115" s="7"/>
      <c r="N115" s="7"/>
      <c r="O115" s="7"/>
      <c r="P115" s="7"/>
      <c r="Q115" s="7"/>
      <c r="U115" s="7"/>
      <c r="V115" s="7"/>
      <c r="W115" s="7"/>
      <c r="X115" s="7"/>
      <c r="Y115" s="7"/>
      <c r="Z115" s="7"/>
      <c r="AA115" s="7"/>
      <c r="AB115" s="7"/>
      <c r="AC115" s="7"/>
      <c r="AD115" s="7"/>
    </row>
    <row r="116" spans="1:30" ht="15.75" customHeight="1" x14ac:dyDescent="0.3">
      <c r="A116" s="7"/>
      <c r="B116" s="7"/>
      <c r="C116" s="7"/>
      <c r="D116" s="7"/>
      <c r="E116" s="7"/>
      <c r="F116" s="7"/>
      <c r="G116" s="7"/>
      <c r="H116" s="7"/>
      <c r="I116" s="7"/>
      <c r="J116" s="7"/>
      <c r="K116" s="7"/>
      <c r="L116" s="7"/>
      <c r="M116" s="7"/>
      <c r="N116" s="7"/>
      <c r="O116" s="7"/>
      <c r="P116" s="7"/>
      <c r="Q116" s="7"/>
      <c r="U116" s="7"/>
      <c r="V116" s="7"/>
      <c r="W116" s="7"/>
      <c r="X116" s="7"/>
      <c r="Y116" s="7"/>
      <c r="Z116" s="7"/>
      <c r="AA116" s="7"/>
      <c r="AB116" s="7"/>
      <c r="AC116" s="7"/>
      <c r="AD116" s="7"/>
    </row>
    <row r="117" spans="1:30" ht="15.75" customHeight="1" x14ac:dyDescent="0.3">
      <c r="A117" s="7"/>
      <c r="B117" s="7"/>
      <c r="C117" s="7"/>
      <c r="D117" s="7"/>
      <c r="E117" s="7"/>
      <c r="F117" s="7"/>
      <c r="G117" s="7"/>
      <c r="H117" s="7"/>
      <c r="I117" s="7"/>
      <c r="J117" s="7"/>
      <c r="K117" s="7"/>
      <c r="L117" s="7"/>
      <c r="M117" s="7"/>
      <c r="N117" s="7"/>
      <c r="O117" s="7"/>
      <c r="P117" s="7"/>
      <c r="Q117" s="7"/>
      <c r="U117" s="7"/>
      <c r="V117" s="7"/>
      <c r="W117" s="7"/>
      <c r="X117" s="7"/>
      <c r="Y117" s="7"/>
      <c r="Z117" s="7"/>
      <c r="AA117" s="7"/>
      <c r="AB117" s="7"/>
      <c r="AC117" s="7"/>
      <c r="AD117" s="7"/>
    </row>
    <row r="118" spans="1:30" ht="15.75" customHeight="1" x14ac:dyDescent="0.3">
      <c r="A118" s="7"/>
      <c r="B118" s="7"/>
      <c r="C118" s="7"/>
      <c r="D118" s="7"/>
      <c r="E118" s="7"/>
      <c r="F118" s="7"/>
      <c r="G118" s="7"/>
      <c r="H118" s="7"/>
      <c r="I118" s="7"/>
      <c r="J118" s="7"/>
      <c r="K118" s="7"/>
      <c r="L118" s="7"/>
      <c r="M118" s="7"/>
      <c r="N118" s="7"/>
      <c r="O118" s="7"/>
      <c r="P118" s="7"/>
      <c r="Q118" s="7"/>
      <c r="U118" s="7"/>
      <c r="V118" s="7"/>
      <c r="W118" s="7"/>
      <c r="X118" s="7"/>
      <c r="Y118" s="7"/>
      <c r="Z118" s="7"/>
      <c r="AA118" s="7"/>
      <c r="AB118" s="7"/>
      <c r="AC118" s="7"/>
      <c r="AD118" s="7"/>
    </row>
    <row r="119" spans="1:30" ht="15.75" customHeight="1" x14ac:dyDescent="0.3">
      <c r="A119" s="7"/>
      <c r="B119" s="7"/>
      <c r="C119" s="7"/>
      <c r="D119" s="7"/>
      <c r="E119" s="7"/>
      <c r="F119" s="7"/>
      <c r="G119" s="7"/>
      <c r="H119" s="7"/>
      <c r="I119" s="7"/>
      <c r="J119" s="7"/>
      <c r="K119" s="7"/>
      <c r="L119" s="7"/>
      <c r="M119" s="7"/>
      <c r="N119" s="7"/>
      <c r="O119" s="7"/>
      <c r="P119" s="7"/>
      <c r="Q119" s="7"/>
      <c r="U119" s="7"/>
      <c r="V119" s="7"/>
      <c r="W119" s="7"/>
      <c r="X119" s="7"/>
      <c r="Y119" s="7"/>
      <c r="Z119" s="7"/>
      <c r="AA119" s="7"/>
      <c r="AB119" s="7"/>
      <c r="AC119" s="7"/>
      <c r="AD119" s="7"/>
    </row>
    <row r="120" spans="1:30" ht="15.75" customHeight="1" x14ac:dyDescent="0.3">
      <c r="A120" s="7"/>
      <c r="B120" s="7"/>
      <c r="C120" s="7"/>
      <c r="D120" s="7"/>
      <c r="E120" s="7"/>
      <c r="F120" s="7"/>
      <c r="G120" s="7"/>
      <c r="H120" s="7"/>
      <c r="I120" s="7"/>
      <c r="J120" s="7"/>
      <c r="K120" s="7"/>
      <c r="L120" s="7"/>
      <c r="M120" s="7"/>
      <c r="N120" s="7"/>
      <c r="O120" s="7"/>
      <c r="P120" s="7"/>
      <c r="Q120" s="7"/>
      <c r="U120" s="7"/>
      <c r="V120" s="7"/>
      <c r="W120" s="7"/>
      <c r="X120" s="7"/>
      <c r="Y120" s="7"/>
      <c r="Z120" s="7"/>
      <c r="AA120" s="7"/>
      <c r="AB120" s="7"/>
      <c r="AC120" s="7"/>
      <c r="AD120" s="7"/>
    </row>
    <row r="121" spans="1:30" ht="15.75" customHeight="1" x14ac:dyDescent="0.3">
      <c r="A121" s="7"/>
      <c r="B121" s="7"/>
      <c r="C121" s="7"/>
      <c r="D121" s="7"/>
      <c r="E121" s="7"/>
      <c r="F121" s="7"/>
      <c r="G121" s="7"/>
      <c r="H121" s="7"/>
      <c r="I121" s="7"/>
      <c r="J121" s="7"/>
      <c r="K121" s="7"/>
      <c r="L121" s="7"/>
      <c r="M121" s="7"/>
      <c r="N121" s="7"/>
      <c r="O121" s="7"/>
      <c r="P121" s="7"/>
      <c r="Q121" s="7"/>
      <c r="U121" s="7"/>
      <c r="V121" s="7"/>
      <c r="W121" s="7"/>
      <c r="X121" s="7"/>
      <c r="Y121" s="7"/>
      <c r="Z121" s="7"/>
      <c r="AA121" s="7"/>
      <c r="AB121" s="7"/>
      <c r="AC121" s="7"/>
      <c r="AD121" s="7"/>
    </row>
    <row r="122" spans="1:30" ht="15.75" customHeight="1" x14ac:dyDescent="0.3">
      <c r="A122" s="7"/>
      <c r="B122" s="7"/>
      <c r="C122" s="7"/>
      <c r="D122" s="7"/>
      <c r="E122" s="7"/>
      <c r="F122" s="7"/>
      <c r="G122" s="7"/>
      <c r="H122" s="7"/>
      <c r="I122" s="7"/>
      <c r="J122" s="7"/>
      <c r="K122" s="7"/>
      <c r="L122" s="7"/>
      <c r="M122" s="7"/>
      <c r="N122" s="7"/>
      <c r="O122" s="7"/>
      <c r="P122" s="7"/>
      <c r="Q122" s="7"/>
      <c r="U122" s="7"/>
      <c r="V122" s="7"/>
      <c r="W122" s="7"/>
      <c r="X122" s="7"/>
      <c r="Y122" s="7"/>
      <c r="Z122" s="7"/>
      <c r="AA122" s="7"/>
      <c r="AB122" s="7"/>
      <c r="AC122" s="7"/>
      <c r="AD122" s="7"/>
    </row>
    <row r="123" spans="1:30" ht="15.75" customHeight="1" x14ac:dyDescent="0.3">
      <c r="A123" s="7"/>
      <c r="B123" s="7"/>
      <c r="C123" s="7"/>
      <c r="D123" s="7"/>
      <c r="E123" s="7"/>
      <c r="F123" s="7"/>
      <c r="G123" s="7"/>
      <c r="H123" s="7"/>
      <c r="I123" s="7"/>
      <c r="J123" s="7"/>
      <c r="K123" s="7"/>
      <c r="L123" s="7"/>
      <c r="M123" s="7"/>
      <c r="N123" s="7"/>
      <c r="O123" s="7"/>
      <c r="P123" s="7"/>
      <c r="Q123" s="7"/>
      <c r="U123" s="7"/>
      <c r="V123" s="7"/>
      <c r="W123" s="7"/>
      <c r="X123" s="7"/>
      <c r="Y123" s="7"/>
      <c r="Z123" s="7"/>
      <c r="AA123" s="7"/>
      <c r="AB123" s="7"/>
      <c r="AC123" s="7"/>
      <c r="AD123" s="7"/>
    </row>
    <row r="124" spans="1:30" ht="15.75" customHeight="1" x14ac:dyDescent="0.3">
      <c r="A124" s="7"/>
      <c r="B124" s="7"/>
      <c r="C124" s="7"/>
      <c r="D124" s="7"/>
      <c r="E124" s="7"/>
      <c r="F124" s="7"/>
      <c r="G124" s="7"/>
      <c r="H124" s="7"/>
      <c r="I124" s="7"/>
      <c r="J124" s="7"/>
      <c r="K124" s="7"/>
      <c r="L124" s="7"/>
      <c r="M124" s="7"/>
      <c r="N124" s="7"/>
      <c r="O124" s="7"/>
      <c r="P124" s="7"/>
      <c r="Q124" s="7"/>
      <c r="U124" s="7"/>
      <c r="V124" s="7"/>
      <c r="W124" s="7"/>
      <c r="X124" s="7"/>
      <c r="Y124" s="7"/>
      <c r="Z124" s="7"/>
      <c r="AA124" s="7"/>
      <c r="AB124" s="7"/>
      <c r="AC124" s="7"/>
      <c r="AD124" s="7"/>
    </row>
    <row r="125" spans="1:30" ht="15.75" customHeight="1" x14ac:dyDescent="0.3">
      <c r="A125" s="7"/>
      <c r="B125" s="7"/>
      <c r="C125" s="7"/>
      <c r="D125" s="7"/>
      <c r="E125" s="7"/>
      <c r="F125" s="7"/>
      <c r="G125" s="7"/>
      <c r="H125" s="7"/>
      <c r="I125" s="7"/>
      <c r="J125" s="7"/>
      <c r="K125" s="7"/>
      <c r="L125" s="7"/>
      <c r="M125" s="7"/>
      <c r="N125" s="7"/>
      <c r="O125" s="7"/>
      <c r="P125" s="7"/>
      <c r="Q125" s="7"/>
      <c r="U125" s="7"/>
      <c r="V125" s="7"/>
      <c r="W125" s="7"/>
      <c r="X125" s="7"/>
      <c r="Y125" s="7"/>
      <c r="Z125" s="7"/>
      <c r="AA125" s="7"/>
      <c r="AB125" s="7"/>
      <c r="AC125" s="7"/>
      <c r="AD125" s="7"/>
    </row>
    <row r="126" spans="1:30" ht="15.75" customHeight="1" x14ac:dyDescent="0.3">
      <c r="A126" s="7"/>
      <c r="B126" s="7"/>
      <c r="C126" s="7"/>
      <c r="D126" s="7"/>
      <c r="E126" s="7"/>
      <c r="F126" s="7"/>
      <c r="G126" s="7"/>
      <c r="H126" s="7"/>
      <c r="I126" s="7"/>
      <c r="J126" s="7"/>
      <c r="K126" s="7"/>
      <c r="L126" s="7"/>
      <c r="M126" s="7"/>
      <c r="N126" s="7"/>
      <c r="O126" s="7"/>
      <c r="P126" s="7"/>
      <c r="Q126" s="7"/>
      <c r="U126" s="7"/>
      <c r="V126" s="7"/>
      <c r="W126" s="7"/>
      <c r="X126" s="7"/>
      <c r="Y126" s="7"/>
      <c r="Z126" s="7"/>
      <c r="AA126" s="7"/>
      <c r="AB126" s="7"/>
      <c r="AC126" s="7"/>
      <c r="AD126" s="7"/>
    </row>
    <row r="127" spans="1:30" ht="15.75" customHeight="1" x14ac:dyDescent="0.3">
      <c r="A127" s="7"/>
      <c r="B127" s="7"/>
      <c r="C127" s="7"/>
      <c r="D127" s="7"/>
      <c r="E127" s="7"/>
      <c r="F127" s="7"/>
      <c r="G127" s="7"/>
      <c r="H127" s="7"/>
      <c r="I127" s="7"/>
      <c r="J127" s="7"/>
      <c r="K127" s="7"/>
      <c r="L127" s="7"/>
      <c r="M127" s="7"/>
      <c r="N127" s="7"/>
      <c r="O127" s="7"/>
      <c r="P127" s="7"/>
      <c r="Q127" s="7"/>
      <c r="U127" s="7"/>
      <c r="V127" s="7"/>
      <c r="W127" s="7"/>
      <c r="X127" s="7"/>
      <c r="Y127" s="7"/>
      <c r="Z127" s="7"/>
      <c r="AA127" s="7"/>
      <c r="AB127" s="7"/>
      <c r="AC127" s="7"/>
      <c r="AD127" s="7"/>
    </row>
    <row r="128" spans="1:30" ht="15.75" customHeight="1" x14ac:dyDescent="0.3">
      <c r="A128" s="7"/>
      <c r="B128" s="7"/>
      <c r="C128" s="7"/>
      <c r="D128" s="7"/>
      <c r="E128" s="7"/>
      <c r="F128" s="7"/>
      <c r="G128" s="7"/>
      <c r="H128" s="7"/>
      <c r="I128" s="7"/>
      <c r="J128" s="7"/>
      <c r="K128" s="7"/>
      <c r="L128" s="7"/>
      <c r="M128" s="7"/>
      <c r="N128" s="7"/>
      <c r="O128" s="7"/>
      <c r="P128" s="7"/>
      <c r="Q128" s="7"/>
      <c r="U128" s="7"/>
      <c r="V128" s="7"/>
      <c r="W128" s="7"/>
      <c r="X128" s="7"/>
      <c r="Y128" s="7"/>
      <c r="Z128" s="7"/>
      <c r="AA128" s="7"/>
      <c r="AB128" s="7"/>
      <c r="AC128" s="7"/>
      <c r="AD128" s="7"/>
    </row>
    <row r="129" spans="1:30" ht="15.75" customHeight="1" x14ac:dyDescent="0.3">
      <c r="A129" s="7"/>
      <c r="B129" s="7"/>
      <c r="C129" s="7"/>
      <c r="D129" s="7"/>
      <c r="E129" s="7"/>
      <c r="F129" s="7"/>
      <c r="G129" s="7"/>
      <c r="H129" s="7"/>
      <c r="I129" s="7"/>
      <c r="J129" s="7"/>
      <c r="K129" s="7"/>
      <c r="L129" s="7"/>
      <c r="M129" s="7"/>
      <c r="N129" s="7"/>
      <c r="O129" s="7"/>
      <c r="P129" s="7"/>
      <c r="Q129" s="7"/>
      <c r="U129" s="7"/>
      <c r="V129" s="7"/>
      <c r="W129" s="7"/>
      <c r="X129" s="7"/>
      <c r="Y129" s="7"/>
      <c r="Z129" s="7"/>
      <c r="AA129" s="7"/>
      <c r="AB129" s="7"/>
      <c r="AC129" s="7"/>
      <c r="AD129" s="7"/>
    </row>
    <row r="130" spans="1:30" ht="15.75" customHeight="1" x14ac:dyDescent="0.3">
      <c r="A130" s="7"/>
      <c r="B130" s="7"/>
      <c r="C130" s="7"/>
      <c r="D130" s="7"/>
      <c r="E130" s="7"/>
      <c r="F130" s="7"/>
      <c r="G130" s="7"/>
      <c r="H130" s="7"/>
      <c r="I130" s="7"/>
      <c r="J130" s="7"/>
      <c r="K130" s="7"/>
      <c r="L130" s="7"/>
      <c r="M130" s="7"/>
      <c r="N130" s="7"/>
      <c r="O130" s="7"/>
      <c r="P130" s="7"/>
      <c r="Q130" s="7"/>
      <c r="U130" s="7"/>
      <c r="V130" s="7"/>
      <c r="W130" s="7"/>
      <c r="X130" s="7"/>
      <c r="Y130" s="7"/>
      <c r="Z130" s="7"/>
      <c r="AA130" s="7"/>
      <c r="AB130" s="7"/>
      <c r="AC130" s="7"/>
      <c r="AD130" s="7"/>
    </row>
    <row r="131" spans="1:30" ht="15.75" customHeight="1" x14ac:dyDescent="0.3">
      <c r="A131" s="7"/>
      <c r="B131" s="7"/>
      <c r="C131" s="7"/>
      <c r="D131" s="7"/>
      <c r="E131" s="7"/>
      <c r="F131" s="7"/>
      <c r="G131" s="7"/>
      <c r="H131" s="7"/>
      <c r="I131" s="7"/>
      <c r="J131" s="7"/>
      <c r="K131" s="7"/>
      <c r="L131" s="7"/>
      <c r="M131" s="7"/>
      <c r="N131" s="7"/>
      <c r="O131" s="7"/>
      <c r="P131" s="7"/>
      <c r="Q131" s="7"/>
      <c r="U131" s="7"/>
      <c r="V131" s="7"/>
      <c r="W131" s="7"/>
      <c r="X131" s="7"/>
      <c r="Y131" s="7"/>
      <c r="Z131" s="7"/>
      <c r="AA131" s="7"/>
      <c r="AB131" s="7"/>
      <c r="AC131" s="7"/>
      <c r="AD131" s="7"/>
    </row>
    <row r="132" spans="1:30" ht="15.75" customHeight="1" x14ac:dyDescent="0.3">
      <c r="A132" s="7"/>
      <c r="B132" s="7"/>
      <c r="C132" s="7"/>
      <c r="D132" s="7"/>
      <c r="E132" s="7"/>
      <c r="F132" s="7"/>
      <c r="G132" s="7"/>
      <c r="H132" s="7"/>
      <c r="I132" s="7"/>
      <c r="J132" s="7"/>
      <c r="K132" s="7"/>
      <c r="L132" s="7"/>
      <c r="M132" s="7"/>
      <c r="N132" s="7"/>
      <c r="O132" s="7"/>
      <c r="P132" s="7"/>
      <c r="Q132" s="7"/>
      <c r="U132" s="7"/>
      <c r="V132" s="7"/>
      <c r="W132" s="7"/>
      <c r="X132" s="7"/>
      <c r="Y132" s="7"/>
      <c r="Z132" s="7"/>
      <c r="AA132" s="7"/>
      <c r="AB132" s="7"/>
      <c r="AC132" s="7"/>
      <c r="AD132" s="7"/>
    </row>
    <row r="133" spans="1:30" ht="15.75" customHeight="1" x14ac:dyDescent="0.3">
      <c r="A133" s="7"/>
      <c r="B133" s="7"/>
      <c r="C133" s="7"/>
      <c r="D133" s="7"/>
      <c r="E133" s="7"/>
      <c r="F133" s="7"/>
      <c r="G133" s="7"/>
      <c r="H133" s="7"/>
      <c r="I133" s="7"/>
      <c r="J133" s="7"/>
      <c r="K133" s="7"/>
      <c r="L133" s="7"/>
      <c r="M133" s="7"/>
      <c r="N133" s="7"/>
      <c r="O133" s="7"/>
      <c r="P133" s="7"/>
      <c r="Q133" s="7"/>
      <c r="U133" s="7"/>
      <c r="V133" s="7"/>
      <c r="W133" s="7"/>
      <c r="X133" s="7"/>
      <c r="Y133" s="7"/>
      <c r="Z133" s="7"/>
      <c r="AA133" s="7"/>
      <c r="AB133" s="7"/>
      <c r="AC133" s="7"/>
      <c r="AD133" s="7"/>
    </row>
    <row r="134" spans="1:30" ht="15.75" customHeight="1" x14ac:dyDescent="0.3">
      <c r="A134" s="7"/>
      <c r="B134" s="7"/>
      <c r="C134" s="7"/>
      <c r="D134" s="7"/>
      <c r="E134" s="7"/>
      <c r="F134" s="7"/>
      <c r="G134" s="7"/>
      <c r="H134" s="7"/>
      <c r="I134" s="7"/>
      <c r="J134" s="7"/>
      <c r="K134" s="7"/>
      <c r="L134" s="7"/>
      <c r="M134" s="7"/>
      <c r="N134" s="7"/>
      <c r="O134" s="7"/>
      <c r="P134" s="7"/>
      <c r="Q134" s="7"/>
      <c r="U134" s="7"/>
      <c r="V134" s="7"/>
      <c r="W134" s="7"/>
      <c r="X134" s="7"/>
      <c r="Y134" s="7"/>
      <c r="Z134" s="7"/>
      <c r="AA134" s="7"/>
      <c r="AB134" s="7"/>
      <c r="AC134" s="7"/>
      <c r="AD134" s="7"/>
    </row>
    <row r="135" spans="1:30" ht="15.75" customHeight="1" x14ac:dyDescent="0.3">
      <c r="A135" s="7"/>
      <c r="B135" s="7"/>
      <c r="C135" s="7"/>
      <c r="D135" s="7"/>
      <c r="E135" s="7"/>
      <c r="F135" s="7"/>
      <c r="G135" s="7"/>
      <c r="H135" s="7"/>
      <c r="I135" s="7"/>
      <c r="J135" s="7"/>
      <c r="K135" s="7"/>
      <c r="L135" s="7"/>
      <c r="M135" s="7"/>
      <c r="N135" s="7"/>
      <c r="O135" s="7"/>
      <c r="P135" s="7"/>
      <c r="Q135" s="7"/>
      <c r="U135" s="7"/>
      <c r="V135" s="7"/>
      <c r="W135" s="7"/>
      <c r="X135" s="7"/>
      <c r="Y135" s="7"/>
      <c r="Z135" s="7"/>
      <c r="AA135" s="7"/>
      <c r="AB135" s="7"/>
      <c r="AC135" s="7"/>
      <c r="AD135" s="7"/>
    </row>
    <row r="136" spans="1:30" ht="15.75" customHeight="1" x14ac:dyDescent="0.3">
      <c r="A136" s="7"/>
      <c r="B136" s="7"/>
      <c r="C136" s="7"/>
      <c r="D136" s="7"/>
      <c r="E136" s="7"/>
      <c r="F136" s="7"/>
      <c r="G136" s="7"/>
      <c r="H136" s="7"/>
      <c r="I136" s="7"/>
      <c r="J136" s="7"/>
      <c r="K136" s="7"/>
      <c r="L136" s="7"/>
      <c r="M136" s="7"/>
      <c r="N136" s="7"/>
      <c r="O136" s="7"/>
      <c r="P136" s="7"/>
      <c r="Q136" s="7"/>
      <c r="U136" s="7"/>
      <c r="V136" s="7"/>
      <c r="W136" s="7"/>
      <c r="X136" s="7"/>
      <c r="Y136" s="7"/>
      <c r="Z136" s="7"/>
      <c r="AA136" s="7"/>
      <c r="AB136" s="7"/>
      <c r="AC136" s="7"/>
      <c r="AD136" s="7"/>
    </row>
    <row r="137" spans="1:30" ht="15.75" customHeight="1" x14ac:dyDescent="0.3">
      <c r="A137" s="7"/>
      <c r="B137" s="7"/>
      <c r="C137" s="7"/>
      <c r="D137" s="7"/>
      <c r="E137" s="7"/>
      <c r="F137" s="7"/>
      <c r="G137" s="7"/>
      <c r="H137" s="7"/>
      <c r="I137" s="7"/>
      <c r="J137" s="7"/>
      <c r="K137" s="7"/>
      <c r="L137" s="7"/>
      <c r="M137" s="7"/>
      <c r="N137" s="7"/>
      <c r="O137" s="7"/>
      <c r="P137" s="7"/>
      <c r="Q137" s="7"/>
      <c r="U137" s="7"/>
      <c r="V137" s="7"/>
      <c r="W137" s="7"/>
      <c r="X137" s="7"/>
      <c r="Y137" s="7"/>
      <c r="Z137" s="7"/>
      <c r="AA137" s="7"/>
      <c r="AB137" s="7"/>
      <c r="AC137" s="7"/>
      <c r="AD137" s="7"/>
    </row>
    <row r="138" spans="1:30" ht="15.75" customHeight="1" x14ac:dyDescent="0.3">
      <c r="A138" s="7"/>
      <c r="B138" s="7"/>
      <c r="C138" s="7"/>
      <c r="D138" s="7"/>
      <c r="E138" s="7"/>
      <c r="F138" s="7"/>
      <c r="G138" s="7"/>
      <c r="H138" s="7"/>
      <c r="I138" s="7"/>
      <c r="J138" s="7"/>
      <c r="K138" s="7"/>
      <c r="L138" s="7"/>
      <c r="M138" s="7"/>
      <c r="N138" s="7"/>
      <c r="O138" s="7"/>
      <c r="P138" s="7"/>
      <c r="Q138" s="7"/>
      <c r="U138" s="7"/>
      <c r="V138" s="7"/>
      <c r="W138" s="7"/>
      <c r="X138" s="7"/>
      <c r="Y138" s="7"/>
      <c r="Z138" s="7"/>
      <c r="AA138" s="7"/>
      <c r="AB138" s="7"/>
      <c r="AC138" s="7"/>
      <c r="AD138" s="7"/>
    </row>
    <row r="139" spans="1:30" ht="15.75" customHeight="1" x14ac:dyDescent="0.3">
      <c r="A139" s="7"/>
      <c r="B139" s="7"/>
      <c r="C139" s="7"/>
      <c r="D139" s="7"/>
      <c r="E139" s="7"/>
      <c r="F139" s="7"/>
      <c r="G139" s="7"/>
      <c r="H139" s="7"/>
      <c r="I139" s="7"/>
      <c r="J139" s="7"/>
      <c r="K139" s="7"/>
      <c r="L139" s="7"/>
      <c r="M139" s="7"/>
      <c r="N139" s="7"/>
      <c r="O139" s="7"/>
      <c r="P139" s="7"/>
      <c r="Q139" s="7"/>
      <c r="U139" s="7"/>
      <c r="V139" s="7"/>
      <c r="W139" s="7"/>
      <c r="X139" s="7"/>
      <c r="Y139" s="7"/>
      <c r="Z139" s="7"/>
      <c r="AA139" s="7"/>
      <c r="AB139" s="7"/>
      <c r="AC139" s="7"/>
      <c r="AD139" s="7"/>
    </row>
    <row r="140" spans="1:30" ht="15.75" customHeight="1" x14ac:dyDescent="0.3">
      <c r="A140" s="7"/>
      <c r="B140" s="7"/>
      <c r="C140" s="7"/>
      <c r="D140" s="7"/>
      <c r="E140" s="7"/>
      <c r="F140" s="7"/>
      <c r="G140" s="7"/>
      <c r="H140" s="7"/>
      <c r="I140" s="7"/>
      <c r="J140" s="7"/>
      <c r="K140" s="7"/>
      <c r="L140" s="7"/>
      <c r="M140" s="7"/>
      <c r="N140" s="7"/>
      <c r="O140" s="7"/>
      <c r="P140" s="7"/>
      <c r="Q140" s="7"/>
      <c r="U140" s="7"/>
      <c r="V140" s="7"/>
      <c r="W140" s="7"/>
      <c r="X140" s="7"/>
      <c r="Y140" s="7"/>
      <c r="Z140" s="7"/>
      <c r="AA140" s="7"/>
      <c r="AB140" s="7"/>
      <c r="AC140" s="7"/>
      <c r="AD140" s="7"/>
    </row>
    <row r="141" spans="1:30" ht="15.75" customHeight="1" x14ac:dyDescent="0.3">
      <c r="A141" s="7"/>
      <c r="B141" s="7"/>
      <c r="C141" s="7"/>
      <c r="D141" s="7"/>
      <c r="E141" s="7"/>
      <c r="F141" s="7"/>
      <c r="G141" s="7"/>
      <c r="H141" s="7"/>
      <c r="I141" s="7"/>
      <c r="J141" s="7"/>
      <c r="K141" s="7"/>
      <c r="L141" s="7"/>
      <c r="M141" s="7"/>
      <c r="N141" s="7"/>
      <c r="O141" s="7"/>
      <c r="P141" s="7"/>
      <c r="Q141" s="7"/>
      <c r="U141" s="7"/>
      <c r="V141" s="7"/>
      <c r="W141" s="7"/>
      <c r="X141" s="7"/>
      <c r="Y141" s="7"/>
      <c r="Z141" s="7"/>
      <c r="AA141" s="7"/>
      <c r="AB141" s="7"/>
      <c r="AC141" s="7"/>
      <c r="AD141" s="7"/>
    </row>
    <row r="142" spans="1:30" ht="15.75" customHeight="1" x14ac:dyDescent="0.3">
      <c r="A142" s="7"/>
      <c r="B142" s="7"/>
      <c r="C142" s="7"/>
      <c r="D142" s="7"/>
      <c r="E142" s="7"/>
      <c r="F142" s="7"/>
      <c r="G142" s="7"/>
      <c r="H142" s="7"/>
      <c r="I142" s="7"/>
      <c r="J142" s="7"/>
      <c r="K142" s="7"/>
      <c r="L142" s="7"/>
      <c r="M142" s="7"/>
      <c r="N142" s="7"/>
      <c r="O142" s="7"/>
      <c r="P142" s="7"/>
      <c r="Q142" s="7"/>
      <c r="U142" s="7"/>
      <c r="V142" s="7"/>
      <c r="W142" s="7"/>
      <c r="X142" s="7"/>
      <c r="Y142" s="7"/>
      <c r="Z142" s="7"/>
      <c r="AA142" s="7"/>
      <c r="AB142" s="7"/>
      <c r="AC142" s="7"/>
      <c r="AD142" s="7"/>
    </row>
    <row r="143" spans="1:30" ht="15.75" customHeight="1" x14ac:dyDescent="0.3">
      <c r="A143" s="7"/>
      <c r="B143" s="7"/>
      <c r="C143" s="7"/>
      <c r="D143" s="7"/>
      <c r="E143" s="7"/>
      <c r="F143" s="7"/>
      <c r="G143" s="7"/>
      <c r="H143" s="7"/>
      <c r="I143" s="7"/>
      <c r="J143" s="7"/>
      <c r="K143" s="7"/>
      <c r="L143" s="7"/>
      <c r="M143" s="7"/>
      <c r="N143" s="7"/>
      <c r="O143" s="7"/>
      <c r="P143" s="7"/>
      <c r="Q143" s="7"/>
      <c r="U143" s="7"/>
      <c r="V143" s="7"/>
      <c r="W143" s="7"/>
      <c r="X143" s="7"/>
      <c r="Y143" s="7"/>
      <c r="Z143" s="7"/>
      <c r="AA143" s="7"/>
      <c r="AB143" s="7"/>
      <c r="AC143" s="7"/>
      <c r="AD143" s="7"/>
    </row>
    <row r="144" spans="1:30" ht="15.75" customHeight="1" x14ac:dyDescent="0.3">
      <c r="A144" s="7"/>
      <c r="B144" s="7"/>
      <c r="C144" s="7"/>
      <c r="D144" s="7"/>
      <c r="E144" s="7"/>
      <c r="F144" s="7"/>
      <c r="G144" s="7"/>
      <c r="H144" s="7"/>
      <c r="I144" s="7"/>
      <c r="J144" s="7"/>
      <c r="K144" s="7"/>
      <c r="L144" s="7"/>
      <c r="M144" s="7"/>
      <c r="N144" s="7"/>
      <c r="O144" s="7"/>
      <c r="P144" s="7"/>
      <c r="Q144" s="7"/>
      <c r="U144" s="7"/>
      <c r="V144" s="7"/>
      <c r="W144" s="7"/>
      <c r="X144" s="7"/>
      <c r="Y144" s="7"/>
      <c r="Z144" s="7"/>
      <c r="AA144" s="7"/>
      <c r="AB144" s="7"/>
      <c r="AC144" s="7"/>
      <c r="AD144" s="7"/>
    </row>
    <row r="145" spans="1:30" ht="15.75" customHeight="1" x14ac:dyDescent="0.3">
      <c r="A145" s="7"/>
      <c r="B145" s="7"/>
      <c r="C145" s="7"/>
      <c r="D145" s="7"/>
      <c r="E145" s="7"/>
      <c r="F145" s="7"/>
      <c r="G145" s="7"/>
      <c r="H145" s="7"/>
      <c r="I145" s="7"/>
      <c r="J145" s="7"/>
      <c r="K145" s="7"/>
      <c r="L145" s="7"/>
      <c r="M145" s="7"/>
      <c r="N145" s="7"/>
      <c r="O145" s="7"/>
      <c r="P145" s="7"/>
      <c r="Q145" s="7"/>
      <c r="U145" s="7"/>
      <c r="V145" s="7"/>
      <c r="W145" s="7"/>
      <c r="X145" s="7"/>
      <c r="Y145" s="7"/>
      <c r="Z145" s="7"/>
      <c r="AA145" s="7"/>
      <c r="AB145" s="7"/>
      <c r="AC145" s="7"/>
      <c r="AD145" s="7"/>
    </row>
    <row r="146" spans="1:30" ht="15.75" customHeight="1" x14ac:dyDescent="0.3">
      <c r="A146" s="7"/>
      <c r="B146" s="7"/>
      <c r="C146" s="7"/>
      <c r="D146" s="7"/>
      <c r="E146" s="7"/>
      <c r="F146" s="7"/>
      <c r="G146" s="7"/>
      <c r="H146" s="7"/>
      <c r="I146" s="7"/>
      <c r="J146" s="7"/>
      <c r="K146" s="7"/>
      <c r="L146" s="7"/>
      <c r="M146" s="7"/>
      <c r="N146" s="7"/>
      <c r="O146" s="7"/>
      <c r="P146" s="7"/>
      <c r="Q146" s="7"/>
      <c r="U146" s="7"/>
      <c r="V146" s="7"/>
      <c r="W146" s="7"/>
      <c r="X146" s="7"/>
      <c r="Y146" s="7"/>
      <c r="Z146" s="7"/>
      <c r="AA146" s="7"/>
      <c r="AB146" s="7"/>
      <c r="AC146" s="7"/>
      <c r="AD146" s="7"/>
    </row>
    <row r="147" spans="1:30" ht="15.75" customHeight="1" x14ac:dyDescent="0.3">
      <c r="A147" s="7"/>
      <c r="B147" s="7"/>
      <c r="C147" s="7"/>
      <c r="D147" s="7"/>
      <c r="E147" s="7"/>
      <c r="F147" s="7"/>
      <c r="G147" s="7"/>
      <c r="H147" s="7"/>
      <c r="I147" s="7"/>
      <c r="J147" s="7"/>
      <c r="K147" s="7"/>
      <c r="L147" s="7"/>
      <c r="M147" s="7"/>
      <c r="N147" s="7"/>
      <c r="O147" s="7"/>
      <c r="P147" s="7"/>
      <c r="Q147" s="7"/>
      <c r="U147" s="7"/>
      <c r="V147" s="7"/>
      <c r="W147" s="7"/>
      <c r="X147" s="7"/>
      <c r="Y147" s="7"/>
      <c r="Z147" s="7"/>
      <c r="AA147" s="7"/>
      <c r="AB147" s="7"/>
      <c r="AC147" s="7"/>
      <c r="AD147" s="7"/>
    </row>
    <row r="148" spans="1:30" ht="15.75" customHeight="1" x14ac:dyDescent="0.3">
      <c r="A148" s="7"/>
      <c r="B148" s="7"/>
      <c r="C148" s="7"/>
      <c r="D148" s="7"/>
      <c r="E148" s="7"/>
      <c r="F148" s="7"/>
      <c r="G148" s="7"/>
      <c r="H148" s="7"/>
      <c r="I148" s="7"/>
      <c r="J148" s="7"/>
      <c r="K148" s="7"/>
      <c r="L148" s="7"/>
      <c r="M148" s="7"/>
      <c r="N148" s="7"/>
      <c r="O148" s="7"/>
      <c r="P148" s="7"/>
      <c r="Q148" s="7"/>
      <c r="U148" s="7"/>
      <c r="V148" s="7"/>
      <c r="W148" s="7"/>
      <c r="X148" s="7"/>
      <c r="Y148" s="7"/>
      <c r="Z148" s="7"/>
      <c r="AA148" s="7"/>
      <c r="AB148" s="7"/>
      <c r="AC148" s="7"/>
      <c r="AD148" s="7"/>
    </row>
    <row r="149" spans="1:30" ht="15.75" customHeight="1" x14ac:dyDescent="0.3">
      <c r="A149" s="7"/>
      <c r="B149" s="7"/>
      <c r="C149" s="7"/>
      <c r="D149" s="7"/>
      <c r="E149" s="7"/>
      <c r="F149" s="7"/>
      <c r="G149" s="7"/>
      <c r="H149" s="7"/>
      <c r="I149" s="7"/>
      <c r="J149" s="7"/>
      <c r="K149" s="7"/>
      <c r="L149" s="7"/>
      <c r="M149" s="7"/>
      <c r="N149" s="7"/>
      <c r="O149" s="7"/>
      <c r="P149" s="7"/>
      <c r="Q149" s="7"/>
      <c r="U149" s="7"/>
      <c r="V149" s="7"/>
      <c r="W149" s="7"/>
      <c r="X149" s="7"/>
      <c r="Y149" s="7"/>
      <c r="Z149" s="7"/>
      <c r="AA149" s="7"/>
      <c r="AB149" s="7"/>
      <c r="AC149" s="7"/>
      <c r="AD149" s="7"/>
    </row>
    <row r="150" spans="1:30" ht="15.75" customHeight="1" x14ac:dyDescent="0.3">
      <c r="A150" s="7"/>
      <c r="B150" s="7"/>
      <c r="C150" s="7"/>
      <c r="D150" s="7"/>
      <c r="E150" s="7"/>
      <c r="F150" s="7"/>
      <c r="G150" s="7"/>
      <c r="H150" s="7"/>
      <c r="I150" s="7"/>
      <c r="J150" s="7"/>
      <c r="K150" s="7"/>
      <c r="L150" s="7"/>
      <c r="M150" s="7"/>
      <c r="N150" s="7"/>
      <c r="O150" s="7"/>
      <c r="P150" s="7"/>
      <c r="Q150" s="7"/>
      <c r="U150" s="7"/>
      <c r="V150" s="7"/>
      <c r="W150" s="7"/>
      <c r="X150" s="7"/>
      <c r="Y150" s="7"/>
      <c r="Z150" s="7"/>
      <c r="AA150" s="7"/>
      <c r="AB150" s="7"/>
      <c r="AC150" s="7"/>
      <c r="AD150" s="7"/>
    </row>
    <row r="151" spans="1:30" ht="15.75" customHeight="1" x14ac:dyDescent="0.3">
      <c r="A151" s="7"/>
      <c r="B151" s="7"/>
      <c r="C151" s="7"/>
      <c r="D151" s="7"/>
      <c r="E151" s="7"/>
      <c r="F151" s="7"/>
      <c r="G151" s="7"/>
      <c r="H151" s="7"/>
      <c r="I151" s="7"/>
      <c r="J151" s="7"/>
      <c r="K151" s="7"/>
      <c r="L151" s="7"/>
      <c r="M151" s="7"/>
      <c r="N151" s="7"/>
      <c r="O151" s="7"/>
      <c r="P151" s="7"/>
      <c r="Q151" s="7"/>
      <c r="U151" s="7"/>
      <c r="V151" s="7"/>
      <c r="W151" s="7"/>
      <c r="X151" s="7"/>
      <c r="Y151" s="7"/>
      <c r="Z151" s="7"/>
      <c r="AA151" s="7"/>
      <c r="AB151" s="7"/>
      <c r="AC151" s="7"/>
      <c r="AD151" s="7"/>
    </row>
    <row r="152" spans="1:30" ht="15.75" customHeight="1" x14ac:dyDescent="0.3">
      <c r="A152" s="7"/>
      <c r="B152" s="7"/>
      <c r="C152" s="7"/>
      <c r="D152" s="7"/>
      <c r="E152" s="7"/>
      <c r="F152" s="7"/>
      <c r="G152" s="7"/>
      <c r="H152" s="7"/>
      <c r="I152" s="7"/>
      <c r="J152" s="7"/>
      <c r="K152" s="7"/>
      <c r="L152" s="7"/>
      <c r="M152" s="7"/>
      <c r="N152" s="7"/>
      <c r="O152" s="7"/>
      <c r="P152" s="7"/>
      <c r="Q152" s="7"/>
      <c r="U152" s="7"/>
      <c r="V152" s="7"/>
      <c r="W152" s="7"/>
      <c r="X152" s="7"/>
      <c r="Y152" s="7"/>
      <c r="Z152" s="7"/>
      <c r="AA152" s="7"/>
      <c r="AB152" s="7"/>
      <c r="AC152" s="7"/>
      <c r="AD152" s="7"/>
    </row>
    <row r="153" spans="1:30" ht="15.75" customHeight="1" x14ac:dyDescent="0.3">
      <c r="A153" s="7"/>
      <c r="B153" s="7"/>
      <c r="C153" s="7"/>
      <c r="D153" s="7"/>
      <c r="E153" s="7"/>
      <c r="F153" s="7"/>
      <c r="G153" s="7"/>
      <c r="H153" s="7"/>
      <c r="I153" s="7"/>
      <c r="J153" s="7"/>
      <c r="K153" s="7"/>
      <c r="L153" s="7"/>
      <c r="M153" s="7"/>
      <c r="N153" s="7"/>
      <c r="O153" s="7"/>
      <c r="P153" s="7"/>
      <c r="Q153" s="7"/>
      <c r="U153" s="7"/>
      <c r="V153" s="7"/>
      <c r="W153" s="7"/>
      <c r="X153" s="7"/>
      <c r="Y153" s="7"/>
      <c r="Z153" s="7"/>
      <c r="AA153" s="7"/>
      <c r="AB153" s="7"/>
      <c r="AC153" s="7"/>
      <c r="AD153" s="7"/>
    </row>
    <row r="154" spans="1:30" ht="15.75" customHeight="1" x14ac:dyDescent="0.3">
      <c r="A154" s="7"/>
      <c r="B154" s="7"/>
      <c r="C154" s="7"/>
      <c r="D154" s="7"/>
      <c r="E154" s="7"/>
      <c r="F154" s="7"/>
      <c r="G154" s="7"/>
      <c r="H154" s="7"/>
      <c r="I154" s="7"/>
      <c r="J154" s="7"/>
      <c r="K154" s="7"/>
      <c r="L154" s="7"/>
      <c r="M154" s="7"/>
      <c r="N154" s="7"/>
      <c r="O154" s="7"/>
      <c r="P154" s="7"/>
      <c r="Q154" s="7"/>
      <c r="U154" s="7"/>
      <c r="V154" s="7"/>
      <c r="W154" s="7"/>
      <c r="X154" s="7"/>
      <c r="Y154" s="7"/>
      <c r="Z154" s="7"/>
      <c r="AA154" s="7"/>
      <c r="AB154" s="7"/>
      <c r="AC154" s="7"/>
      <c r="AD154" s="7"/>
    </row>
    <row r="155" spans="1:30" ht="15.75" customHeight="1" x14ac:dyDescent="0.3">
      <c r="A155" s="7"/>
      <c r="B155" s="7"/>
      <c r="C155" s="7"/>
      <c r="D155" s="7"/>
      <c r="E155" s="7"/>
      <c r="F155" s="7"/>
      <c r="G155" s="7"/>
      <c r="H155" s="7"/>
      <c r="I155" s="7"/>
      <c r="J155" s="7"/>
      <c r="K155" s="7"/>
      <c r="L155" s="7"/>
      <c r="M155" s="7"/>
      <c r="N155" s="7"/>
      <c r="O155" s="7"/>
      <c r="P155" s="7"/>
      <c r="Q155" s="7"/>
      <c r="U155" s="7"/>
      <c r="V155" s="7"/>
      <c r="W155" s="7"/>
      <c r="X155" s="7"/>
      <c r="Y155" s="7"/>
      <c r="Z155" s="7"/>
      <c r="AA155" s="7"/>
      <c r="AB155" s="7"/>
      <c r="AC155" s="7"/>
      <c r="AD155" s="7"/>
    </row>
    <row r="156" spans="1:30" ht="15.75" customHeight="1" x14ac:dyDescent="0.3">
      <c r="A156" s="7"/>
      <c r="B156" s="7"/>
      <c r="C156" s="7"/>
      <c r="D156" s="7"/>
      <c r="E156" s="7"/>
      <c r="F156" s="7"/>
      <c r="G156" s="7"/>
      <c r="H156" s="7"/>
      <c r="I156" s="7"/>
      <c r="J156" s="7"/>
      <c r="K156" s="7"/>
      <c r="L156" s="7"/>
      <c r="M156" s="7"/>
      <c r="N156" s="7"/>
      <c r="O156" s="7"/>
      <c r="P156" s="7"/>
      <c r="Q156" s="7"/>
      <c r="U156" s="7"/>
      <c r="V156" s="7"/>
      <c r="W156" s="7"/>
      <c r="X156" s="7"/>
      <c r="Y156" s="7"/>
      <c r="Z156" s="7"/>
      <c r="AA156" s="7"/>
      <c r="AB156" s="7"/>
      <c r="AC156" s="7"/>
      <c r="AD156" s="7"/>
    </row>
    <row r="157" spans="1:30" ht="15.75" customHeight="1" x14ac:dyDescent="0.3">
      <c r="A157" s="7"/>
      <c r="B157" s="7"/>
      <c r="C157" s="7"/>
      <c r="D157" s="7"/>
      <c r="E157" s="7"/>
      <c r="F157" s="7"/>
      <c r="G157" s="7"/>
      <c r="H157" s="7"/>
      <c r="I157" s="7"/>
      <c r="J157" s="7"/>
      <c r="K157" s="7"/>
      <c r="L157" s="7"/>
      <c r="M157" s="7"/>
      <c r="N157" s="7"/>
      <c r="O157" s="7"/>
      <c r="P157" s="7"/>
      <c r="Q157" s="7"/>
      <c r="U157" s="7"/>
      <c r="V157" s="7"/>
      <c r="W157" s="7"/>
      <c r="X157" s="7"/>
      <c r="Y157" s="7"/>
      <c r="Z157" s="7"/>
      <c r="AA157" s="7"/>
      <c r="AB157" s="7"/>
      <c r="AC157" s="7"/>
      <c r="AD157" s="7"/>
    </row>
    <row r="158" spans="1:30" ht="15.75" customHeight="1" x14ac:dyDescent="0.3">
      <c r="A158" s="7"/>
      <c r="B158" s="7"/>
      <c r="C158" s="7"/>
      <c r="D158" s="7"/>
      <c r="E158" s="7"/>
      <c r="F158" s="7"/>
      <c r="G158" s="7"/>
      <c r="H158" s="7"/>
      <c r="I158" s="7"/>
      <c r="J158" s="7"/>
      <c r="K158" s="7"/>
      <c r="L158" s="7"/>
      <c r="M158" s="7"/>
      <c r="N158" s="7"/>
      <c r="O158" s="7"/>
      <c r="P158" s="7"/>
      <c r="Q158" s="7"/>
      <c r="U158" s="7"/>
      <c r="V158" s="7"/>
      <c r="W158" s="7"/>
      <c r="X158" s="7"/>
      <c r="Y158" s="7"/>
      <c r="Z158" s="7"/>
      <c r="AA158" s="7"/>
      <c r="AB158" s="7"/>
      <c r="AC158" s="7"/>
      <c r="AD158" s="7"/>
    </row>
    <row r="159" spans="1:30" ht="15.75" customHeight="1" x14ac:dyDescent="0.3">
      <c r="A159" s="7"/>
      <c r="B159" s="7"/>
      <c r="C159" s="7"/>
      <c r="D159" s="7"/>
      <c r="E159" s="7"/>
      <c r="F159" s="7"/>
      <c r="G159" s="7"/>
      <c r="H159" s="7"/>
      <c r="I159" s="7"/>
      <c r="J159" s="7"/>
      <c r="K159" s="7"/>
      <c r="L159" s="7"/>
      <c r="M159" s="7"/>
      <c r="N159" s="7"/>
      <c r="O159" s="7"/>
      <c r="P159" s="7"/>
      <c r="Q159" s="7"/>
      <c r="U159" s="7"/>
      <c r="V159" s="7"/>
      <c r="W159" s="7"/>
      <c r="X159" s="7"/>
      <c r="Y159" s="7"/>
      <c r="Z159" s="7"/>
      <c r="AA159" s="7"/>
      <c r="AB159" s="7"/>
      <c r="AC159" s="7"/>
      <c r="AD159" s="7"/>
    </row>
    <row r="160" spans="1:30" ht="15.75" customHeight="1" x14ac:dyDescent="0.3">
      <c r="A160" s="7"/>
      <c r="B160" s="7"/>
      <c r="C160" s="7"/>
      <c r="D160" s="7"/>
      <c r="E160" s="7"/>
      <c r="F160" s="7"/>
      <c r="G160" s="7"/>
      <c r="H160" s="7"/>
      <c r="I160" s="7"/>
      <c r="J160" s="7"/>
      <c r="K160" s="7"/>
      <c r="L160" s="7"/>
      <c r="M160" s="7"/>
      <c r="N160" s="7"/>
      <c r="O160" s="7"/>
      <c r="P160" s="7"/>
      <c r="Q160" s="7"/>
      <c r="U160" s="7"/>
      <c r="V160" s="7"/>
      <c r="W160" s="7"/>
      <c r="X160" s="7"/>
      <c r="Y160" s="7"/>
      <c r="Z160" s="7"/>
      <c r="AA160" s="7"/>
      <c r="AB160" s="7"/>
      <c r="AC160" s="7"/>
      <c r="AD160" s="7"/>
    </row>
    <row r="161" spans="1:30" ht="15.75" customHeight="1" x14ac:dyDescent="0.3">
      <c r="A161" s="7"/>
      <c r="B161" s="7"/>
      <c r="C161" s="7"/>
      <c r="D161" s="7"/>
      <c r="E161" s="7"/>
      <c r="F161" s="7"/>
      <c r="G161" s="7"/>
      <c r="H161" s="7"/>
      <c r="I161" s="7"/>
      <c r="J161" s="7"/>
      <c r="K161" s="7"/>
      <c r="L161" s="7"/>
      <c r="M161" s="7"/>
      <c r="N161" s="7"/>
      <c r="O161" s="7"/>
      <c r="P161" s="7"/>
      <c r="Q161" s="7"/>
      <c r="U161" s="7"/>
      <c r="V161" s="7"/>
      <c r="W161" s="7"/>
      <c r="X161" s="7"/>
      <c r="Y161" s="7"/>
      <c r="Z161" s="7"/>
      <c r="AA161" s="7"/>
      <c r="AB161" s="7"/>
      <c r="AC161" s="7"/>
      <c r="AD161" s="7"/>
    </row>
    <row r="162" spans="1:30" ht="15.75" customHeight="1" x14ac:dyDescent="0.3">
      <c r="A162" s="7"/>
      <c r="B162" s="7"/>
      <c r="C162" s="7"/>
      <c r="D162" s="7"/>
      <c r="E162" s="7"/>
      <c r="F162" s="7"/>
      <c r="G162" s="7"/>
      <c r="H162" s="7"/>
      <c r="I162" s="7"/>
      <c r="J162" s="7"/>
      <c r="K162" s="7"/>
      <c r="L162" s="7"/>
      <c r="M162" s="7"/>
      <c r="N162" s="7"/>
      <c r="O162" s="7"/>
      <c r="P162" s="7"/>
      <c r="Q162" s="7"/>
      <c r="U162" s="7"/>
      <c r="V162" s="7"/>
      <c r="W162" s="7"/>
      <c r="X162" s="7"/>
      <c r="Y162" s="7"/>
      <c r="Z162" s="7"/>
      <c r="AA162" s="7"/>
      <c r="AB162" s="7"/>
      <c r="AC162" s="7"/>
      <c r="AD162" s="7"/>
    </row>
    <row r="163" spans="1:30" ht="15.75" customHeight="1" x14ac:dyDescent="0.3">
      <c r="A163" s="7"/>
      <c r="B163" s="7"/>
      <c r="C163" s="7"/>
      <c r="D163" s="7"/>
      <c r="E163" s="7"/>
      <c r="F163" s="7"/>
      <c r="G163" s="7"/>
      <c r="H163" s="7"/>
      <c r="I163" s="7"/>
      <c r="J163" s="7"/>
      <c r="K163" s="7"/>
      <c r="L163" s="7"/>
      <c r="M163" s="7"/>
      <c r="N163" s="7"/>
      <c r="O163" s="7"/>
      <c r="P163" s="7"/>
      <c r="Q163" s="7"/>
      <c r="U163" s="7"/>
      <c r="V163" s="7"/>
      <c r="W163" s="7"/>
      <c r="X163" s="7"/>
      <c r="Y163" s="7"/>
      <c r="Z163" s="7"/>
      <c r="AA163" s="7"/>
      <c r="AB163" s="7"/>
      <c r="AC163" s="7"/>
      <c r="AD163" s="7"/>
    </row>
    <row r="164" spans="1:30" ht="15.75" customHeight="1" x14ac:dyDescent="0.3">
      <c r="A164" s="7"/>
      <c r="B164" s="7"/>
      <c r="C164" s="7"/>
      <c r="D164" s="7"/>
      <c r="E164" s="7"/>
      <c r="F164" s="7"/>
      <c r="G164" s="7"/>
      <c r="H164" s="7"/>
      <c r="I164" s="7"/>
      <c r="J164" s="7"/>
      <c r="K164" s="7"/>
      <c r="L164" s="7"/>
      <c r="M164" s="7"/>
      <c r="N164" s="7"/>
      <c r="O164" s="7"/>
      <c r="P164" s="7"/>
      <c r="Q164" s="7"/>
      <c r="U164" s="7"/>
      <c r="V164" s="7"/>
      <c r="W164" s="7"/>
      <c r="X164" s="7"/>
      <c r="Y164" s="7"/>
      <c r="Z164" s="7"/>
      <c r="AA164" s="7"/>
      <c r="AB164" s="7"/>
      <c r="AC164" s="7"/>
      <c r="AD164" s="7"/>
    </row>
    <row r="165" spans="1:30" ht="15.75" customHeight="1" x14ac:dyDescent="0.3">
      <c r="A165" s="7"/>
      <c r="B165" s="7"/>
      <c r="C165" s="7"/>
      <c r="D165" s="7"/>
      <c r="E165" s="7"/>
      <c r="F165" s="7"/>
      <c r="G165" s="7"/>
      <c r="H165" s="7"/>
      <c r="I165" s="7"/>
      <c r="J165" s="7"/>
      <c r="K165" s="7"/>
      <c r="L165" s="7"/>
      <c r="M165" s="7"/>
      <c r="N165" s="7"/>
      <c r="O165" s="7"/>
      <c r="P165" s="7"/>
      <c r="Q165" s="7"/>
      <c r="U165" s="7"/>
      <c r="V165" s="7"/>
      <c r="W165" s="7"/>
      <c r="X165" s="7"/>
      <c r="Y165" s="7"/>
      <c r="Z165" s="7"/>
      <c r="AA165" s="7"/>
      <c r="AB165" s="7"/>
      <c r="AC165" s="7"/>
      <c r="AD165" s="7"/>
    </row>
    <row r="166" spans="1:30" ht="15.75" customHeight="1" x14ac:dyDescent="0.3">
      <c r="A166" s="7"/>
      <c r="B166" s="7"/>
      <c r="C166" s="7"/>
      <c r="D166" s="7"/>
      <c r="E166" s="7"/>
      <c r="F166" s="7"/>
      <c r="G166" s="7"/>
      <c r="H166" s="7"/>
      <c r="I166" s="7"/>
      <c r="J166" s="7"/>
      <c r="K166" s="7"/>
      <c r="L166" s="7"/>
      <c r="M166" s="7"/>
      <c r="N166" s="7"/>
      <c r="O166" s="7"/>
      <c r="P166" s="7"/>
      <c r="Q166" s="7"/>
      <c r="U166" s="7"/>
      <c r="V166" s="7"/>
      <c r="W166" s="7"/>
      <c r="X166" s="7"/>
      <c r="Y166" s="7"/>
      <c r="Z166" s="7"/>
      <c r="AA166" s="7"/>
      <c r="AB166" s="7"/>
      <c r="AC166" s="7"/>
      <c r="AD166" s="7"/>
    </row>
    <row r="167" spans="1:30" ht="15.75" customHeight="1" x14ac:dyDescent="0.3">
      <c r="A167" s="7"/>
      <c r="B167" s="7"/>
      <c r="C167" s="7"/>
      <c r="D167" s="7"/>
      <c r="E167" s="7"/>
      <c r="F167" s="7"/>
      <c r="G167" s="7"/>
      <c r="H167" s="7"/>
      <c r="I167" s="7"/>
      <c r="J167" s="7"/>
      <c r="K167" s="7"/>
      <c r="L167" s="7"/>
      <c r="M167" s="7"/>
      <c r="N167" s="7"/>
      <c r="O167" s="7"/>
      <c r="P167" s="7"/>
      <c r="Q167" s="7"/>
      <c r="U167" s="7"/>
      <c r="V167" s="7"/>
      <c r="W167" s="7"/>
      <c r="X167" s="7"/>
      <c r="Y167" s="7"/>
      <c r="Z167" s="7"/>
      <c r="AA167" s="7"/>
      <c r="AB167" s="7"/>
      <c r="AC167" s="7"/>
      <c r="AD167" s="7"/>
    </row>
    <row r="168" spans="1:30" ht="15.75" customHeight="1" x14ac:dyDescent="0.3">
      <c r="A168" s="7"/>
      <c r="B168" s="7"/>
      <c r="C168" s="7"/>
      <c r="D168" s="7"/>
      <c r="E168" s="7"/>
      <c r="F168" s="7"/>
      <c r="G168" s="7"/>
      <c r="H168" s="7"/>
      <c r="I168" s="7"/>
      <c r="J168" s="7"/>
      <c r="K168" s="7"/>
      <c r="L168" s="7"/>
      <c r="M168" s="7"/>
      <c r="N168" s="7"/>
      <c r="O168" s="7"/>
      <c r="P168" s="7"/>
      <c r="Q168" s="7"/>
      <c r="U168" s="7"/>
      <c r="V168" s="7"/>
      <c r="W168" s="7"/>
      <c r="X168" s="7"/>
      <c r="Y168" s="7"/>
      <c r="Z168" s="7"/>
      <c r="AA168" s="7"/>
      <c r="AB168" s="7"/>
      <c r="AC168" s="7"/>
      <c r="AD168" s="7"/>
    </row>
    <row r="169" spans="1:30" ht="15.75" customHeight="1" x14ac:dyDescent="0.3">
      <c r="A169" s="7"/>
      <c r="B169" s="7"/>
      <c r="C169" s="7"/>
      <c r="D169" s="7"/>
      <c r="E169" s="7"/>
      <c r="F169" s="7"/>
      <c r="G169" s="7"/>
      <c r="H169" s="7"/>
      <c r="I169" s="7"/>
      <c r="J169" s="7"/>
      <c r="K169" s="7"/>
      <c r="L169" s="7"/>
      <c r="M169" s="7"/>
      <c r="N169" s="7"/>
      <c r="O169" s="7"/>
      <c r="P169" s="7"/>
      <c r="Q169" s="7"/>
      <c r="U169" s="7"/>
      <c r="V169" s="7"/>
      <c r="W169" s="7"/>
      <c r="X169" s="7"/>
      <c r="Y169" s="7"/>
      <c r="Z169" s="7"/>
      <c r="AA169" s="7"/>
      <c r="AB169" s="7"/>
      <c r="AC169" s="7"/>
      <c r="AD169" s="7"/>
    </row>
    <row r="170" spans="1:30" ht="15.75" customHeight="1" x14ac:dyDescent="0.3">
      <c r="A170" s="7"/>
      <c r="B170" s="7"/>
      <c r="C170" s="7"/>
      <c r="D170" s="7"/>
      <c r="E170" s="7"/>
      <c r="F170" s="7"/>
      <c r="G170" s="7"/>
      <c r="H170" s="7"/>
      <c r="I170" s="7"/>
      <c r="J170" s="7"/>
      <c r="K170" s="7"/>
      <c r="L170" s="7"/>
      <c r="M170" s="7"/>
      <c r="N170" s="7"/>
      <c r="O170" s="7"/>
      <c r="P170" s="7"/>
      <c r="Q170" s="7"/>
      <c r="U170" s="7"/>
      <c r="V170" s="7"/>
      <c r="W170" s="7"/>
      <c r="X170" s="7"/>
      <c r="Y170" s="7"/>
      <c r="Z170" s="7"/>
      <c r="AA170" s="7"/>
      <c r="AB170" s="7"/>
      <c r="AC170" s="7"/>
      <c r="AD170" s="7"/>
    </row>
    <row r="171" spans="1:30" ht="15.75" customHeight="1" x14ac:dyDescent="0.3">
      <c r="A171" s="7"/>
      <c r="B171" s="7"/>
      <c r="C171" s="7"/>
      <c r="D171" s="7"/>
      <c r="E171" s="7"/>
      <c r="F171" s="7"/>
      <c r="G171" s="7"/>
      <c r="H171" s="7"/>
      <c r="I171" s="7"/>
      <c r="J171" s="7"/>
      <c r="K171" s="7"/>
      <c r="L171" s="7"/>
      <c r="M171" s="7"/>
      <c r="N171" s="7"/>
      <c r="O171" s="7"/>
      <c r="P171" s="7"/>
      <c r="Q171" s="7"/>
      <c r="U171" s="7"/>
      <c r="V171" s="7"/>
      <c r="W171" s="7"/>
      <c r="X171" s="7"/>
      <c r="Y171" s="7"/>
      <c r="Z171" s="7"/>
      <c r="AA171" s="7"/>
      <c r="AB171" s="7"/>
      <c r="AC171" s="7"/>
      <c r="AD171" s="7"/>
    </row>
    <row r="172" spans="1:30" ht="15.75" customHeight="1" x14ac:dyDescent="0.3">
      <c r="A172" s="7"/>
      <c r="B172" s="7"/>
      <c r="C172" s="7"/>
      <c r="D172" s="7"/>
      <c r="E172" s="7"/>
      <c r="F172" s="7"/>
      <c r="G172" s="7"/>
      <c r="H172" s="7"/>
      <c r="I172" s="7"/>
      <c r="J172" s="7"/>
      <c r="K172" s="7"/>
      <c r="L172" s="7"/>
      <c r="M172" s="7"/>
      <c r="N172" s="7"/>
      <c r="O172" s="7"/>
      <c r="P172" s="7"/>
      <c r="Q172" s="7"/>
      <c r="U172" s="7"/>
      <c r="V172" s="7"/>
      <c r="W172" s="7"/>
      <c r="X172" s="7"/>
      <c r="Y172" s="7"/>
      <c r="Z172" s="7"/>
      <c r="AA172" s="7"/>
      <c r="AB172" s="7"/>
      <c r="AC172" s="7"/>
      <c r="AD172" s="7"/>
    </row>
    <row r="173" spans="1:30" ht="15.75" customHeight="1" x14ac:dyDescent="0.3">
      <c r="A173" s="7"/>
      <c r="B173" s="7"/>
      <c r="C173" s="7"/>
      <c r="D173" s="7"/>
      <c r="E173" s="7"/>
      <c r="F173" s="7"/>
      <c r="G173" s="7"/>
      <c r="H173" s="7"/>
      <c r="I173" s="7"/>
      <c r="J173" s="7"/>
      <c r="K173" s="7"/>
      <c r="L173" s="7"/>
      <c r="M173" s="7"/>
      <c r="N173" s="7"/>
      <c r="O173" s="7"/>
      <c r="P173" s="7"/>
      <c r="Q173" s="7"/>
      <c r="U173" s="7"/>
      <c r="V173" s="7"/>
      <c r="W173" s="7"/>
      <c r="X173" s="7"/>
      <c r="Y173" s="7"/>
      <c r="Z173" s="7"/>
      <c r="AA173" s="7"/>
      <c r="AB173" s="7"/>
      <c r="AC173" s="7"/>
      <c r="AD173" s="7"/>
    </row>
    <row r="174" spans="1:30" ht="15.75" customHeight="1" x14ac:dyDescent="0.3">
      <c r="A174" s="7"/>
      <c r="B174" s="7"/>
      <c r="C174" s="7"/>
      <c r="D174" s="7"/>
      <c r="E174" s="7"/>
      <c r="F174" s="7"/>
      <c r="G174" s="7"/>
      <c r="H174" s="7"/>
      <c r="I174" s="7"/>
      <c r="J174" s="7"/>
      <c r="K174" s="7"/>
      <c r="L174" s="7"/>
      <c r="M174" s="7"/>
      <c r="N174" s="7"/>
      <c r="O174" s="7"/>
      <c r="P174" s="7"/>
      <c r="Q174" s="7"/>
      <c r="U174" s="7"/>
      <c r="V174" s="7"/>
      <c r="W174" s="7"/>
      <c r="X174" s="7"/>
      <c r="Y174" s="7"/>
      <c r="Z174" s="7"/>
      <c r="AA174" s="7"/>
      <c r="AB174" s="7"/>
      <c r="AC174" s="7"/>
      <c r="AD174" s="7"/>
    </row>
    <row r="175" spans="1:30" ht="15.75" customHeight="1" x14ac:dyDescent="0.3">
      <c r="A175" s="7"/>
      <c r="B175" s="7"/>
      <c r="C175" s="7"/>
      <c r="D175" s="7"/>
      <c r="E175" s="7"/>
      <c r="F175" s="7"/>
      <c r="G175" s="7"/>
      <c r="H175" s="7"/>
      <c r="I175" s="7"/>
      <c r="J175" s="7"/>
      <c r="K175" s="7"/>
      <c r="L175" s="7"/>
      <c r="M175" s="7"/>
      <c r="N175" s="7"/>
      <c r="O175" s="7"/>
      <c r="P175" s="7"/>
      <c r="Q175" s="7"/>
      <c r="U175" s="7"/>
      <c r="V175" s="7"/>
      <c r="W175" s="7"/>
      <c r="X175" s="7"/>
      <c r="Y175" s="7"/>
      <c r="Z175" s="7"/>
      <c r="AA175" s="7"/>
      <c r="AB175" s="7"/>
      <c r="AC175" s="7"/>
      <c r="AD175" s="7"/>
    </row>
    <row r="176" spans="1:30" ht="15.75" customHeight="1" x14ac:dyDescent="0.3">
      <c r="A176" s="7"/>
      <c r="B176" s="7"/>
      <c r="C176" s="7"/>
      <c r="D176" s="7"/>
      <c r="E176" s="7"/>
      <c r="F176" s="7"/>
      <c r="G176" s="7"/>
      <c r="H176" s="7"/>
      <c r="I176" s="7"/>
      <c r="J176" s="7"/>
      <c r="K176" s="7"/>
      <c r="L176" s="7"/>
      <c r="M176" s="7"/>
      <c r="N176" s="7"/>
      <c r="O176" s="7"/>
      <c r="P176" s="7"/>
      <c r="Q176" s="7"/>
      <c r="U176" s="7"/>
      <c r="V176" s="7"/>
      <c r="W176" s="7"/>
      <c r="X176" s="7"/>
      <c r="Y176" s="7"/>
      <c r="Z176" s="7"/>
      <c r="AA176" s="7"/>
      <c r="AB176" s="7"/>
      <c r="AC176" s="7"/>
      <c r="AD176" s="7"/>
    </row>
    <row r="177" spans="1:30" ht="15.75" customHeight="1" x14ac:dyDescent="0.3">
      <c r="A177" s="7"/>
      <c r="B177" s="7"/>
      <c r="C177" s="7"/>
      <c r="D177" s="7"/>
      <c r="E177" s="7"/>
      <c r="F177" s="7"/>
      <c r="G177" s="7"/>
      <c r="H177" s="7"/>
      <c r="I177" s="7"/>
      <c r="J177" s="7"/>
      <c r="K177" s="7"/>
      <c r="L177" s="7"/>
      <c r="M177" s="7"/>
      <c r="N177" s="7"/>
      <c r="O177" s="7"/>
      <c r="P177" s="7"/>
      <c r="Q177" s="7"/>
      <c r="U177" s="7"/>
      <c r="V177" s="7"/>
      <c r="W177" s="7"/>
      <c r="X177" s="7"/>
      <c r="Y177" s="7"/>
      <c r="Z177" s="7"/>
      <c r="AA177" s="7"/>
      <c r="AB177" s="7"/>
      <c r="AC177" s="7"/>
      <c r="AD177" s="7"/>
    </row>
    <row r="178" spans="1:30" ht="15.75" customHeight="1" x14ac:dyDescent="0.3">
      <c r="A178" s="7"/>
      <c r="B178" s="7"/>
      <c r="C178" s="7"/>
      <c r="D178" s="7"/>
      <c r="E178" s="7"/>
      <c r="F178" s="7"/>
      <c r="G178" s="7"/>
      <c r="H178" s="7"/>
      <c r="I178" s="7"/>
      <c r="J178" s="7"/>
      <c r="K178" s="7"/>
      <c r="L178" s="7"/>
      <c r="M178" s="7"/>
      <c r="N178" s="7"/>
      <c r="O178" s="7"/>
      <c r="P178" s="7"/>
      <c r="Q178" s="7"/>
      <c r="U178" s="7"/>
      <c r="V178" s="7"/>
      <c r="W178" s="7"/>
      <c r="X178" s="7"/>
      <c r="Y178" s="7"/>
      <c r="Z178" s="7"/>
      <c r="AA178" s="7"/>
      <c r="AB178" s="7"/>
      <c r="AC178" s="7"/>
      <c r="AD178" s="7"/>
    </row>
    <row r="179" spans="1:30" ht="15.75" customHeight="1" x14ac:dyDescent="0.3">
      <c r="A179" s="7"/>
      <c r="B179" s="7"/>
      <c r="C179" s="7"/>
      <c r="D179" s="7"/>
      <c r="E179" s="7"/>
      <c r="F179" s="7"/>
      <c r="G179" s="7"/>
      <c r="H179" s="7"/>
      <c r="I179" s="7"/>
      <c r="J179" s="7"/>
      <c r="K179" s="7"/>
      <c r="L179" s="7"/>
      <c r="M179" s="7"/>
      <c r="N179" s="7"/>
      <c r="O179" s="7"/>
      <c r="P179" s="7"/>
      <c r="Q179" s="7"/>
      <c r="U179" s="7"/>
      <c r="V179" s="7"/>
      <c r="W179" s="7"/>
      <c r="X179" s="7"/>
      <c r="Y179" s="7"/>
      <c r="Z179" s="7"/>
      <c r="AA179" s="7"/>
      <c r="AB179" s="7"/>
      <c r="AC179" s="7"/>
      <c r="AD179" s="7"/>
    </row>
    <row r="180" spans="1:30" ht="15.75" customHeight="1" x14ac:dyDescent="0.3">
      <c r="A180" s="7"/>
      <c r="B180" s="7"/>
      <c r="C180" s="7"/>
      <c r="D180" s="7"/>
      <c r="E180" s="7"/>
      <c r="F180" s="7"/>
      <c r="G180" s="7"/>
      <c r="H180" s="7"/>
      <c r="I180" s="7"/>
      <c r="J180" s="7"/>
      <c r="K180" s="7"/>
      <c r="L180" s="7"/>
      <c r="M180" s="7"/>
      <c r="N180" s="7"/>
      <c r="O180" s="7"/>
      <c r="P180" s="7"/>
      <c r="Q180" s="7"/>
      <c r="U180" s="7"/>
      <c r="V180" s="7"/>
      <c r="W180" s="7"/>
      <c r="X180" s="7"/>
      <c r="Y180" s="7"/>
      <c r="Z180" s="7"/>
      <c r="AA180" s="7"/>
      <c r="AB180" s="7"/>
      <c r="AC180" s="7"/>
      <c r="AD180" s="7"/>
    </row>
    <row r="181" spans="1:30" ht="15.75" customHeight="1" x14ac:dyDescent="0.3">
      <c r="A181" s="7"/>
      <c r="B181" s="7"/>
      <c r="C181" s="7"/>
      <c r="D181" s="7"/>
      <c r="E181" s="7"/>
      <c r="F181" s="7"/>
      <c r="G181" s="7"/>
      <c r="H181" s="7"/>
      <c r="I181" s="7"/>
      <c r="J181" s="7"/>
      <c r="K181" s="7"/>
      <c r="L181" s="7"/>
      <c r="M181" s="7"/>
      <c r="N181" s="7"/>
      <c r="O181" s="7"/>
      <c r="P181" s="7"/>
      <c r="Q181" s="7"/>
      <c r="U181" s="7"/>
      <c r="V181" s="7"/>
      <c r="W181" s="7"/>
      <c r="X181" s="7"/>
      <c r="Y181" s="7"/>
      <c r="Z181" s="7"/>
      <c r="AA181" s="7"/>
      <c r="AB181" s="7"/>
      <c r="AC181" s="7"/>
      <c r="AD181" s="7"/>
    </row>
    <row r="182" spans="1:30" ht="15.75" customHeight="1" x14ac:dyDescent="0.3">
      <c r="A182" s="7"/>
      <c r="B182" s="7"/>
      <c r="C182" s="7"/>
      <c r="D182" s="7"/>
      <c r="E182" s="7"/>
      <c r="F182" s="7"/>
      <c r="G182" s="7"/>
      <c r="H182" s="7"/>
      <c r="I182" s="7"/>
      <c r="J182" s="7"/>
      <c r="K182" s="7"/>
      <c r="L182" s="7"/>
      <c r="M182" s="7"/>
      <c r="N182" s="7"/>
      <c r="O182" s="7"/>
      <c r="P182" s="7"/>
      <c r="Q182" s="7"/>
      <c r="U182" s="7"/>
      <c r="V182" s="7"/>
      <c r="W182" s="7"/>
      <c r="X182" s="7"/>
      <c r="Y182" s="7"/>
      <c r="Z182" s="7"/>
      <c r="AA182" s="7"/>
      <c r="AB182" s="7"/>
      <c r="AC182" s="7"/>
      <c r="AD182" s="7"/>
    </row>
    <row r="183" spans="1:30" ht="15.75" customHeight="1" x14ac:dyDescent="0.3">
      <c r="A183" s="7"/>
      <c r="B183" s="7"/>
      <c r="C183" s="7"/>
      <c r="D183" s="7"/>
      <c r="E183" s="7"/>
      <c r="F183" s="7"/>
      <c r="G183" s="7"/>
      <c r="H183" s="7"/>
      <c r="I183" s="7"/>
      <c r="J183" s="7"/>
      <c r="K183" s="7"/>
      <c r="L183" s="7"/>
      <c r="M183" s="7"/>
      <c r="N183" s="7"/>
      <c r="O183" s="7"/>
      <c r="P183" s="7"/>
      <c r="Q183" s="7"/>
      <c r="U183" s="7"/>
      <c r="V183" s="7"/>
      <c r="W183" s="7"/>
      <c r="X183" s="7"/>
      <c r="Y183" s="7"/>
      <c r="Z183" s="7"/>
      <c r="AA183" s="7"/>
      <c r="AB183" s="7"/>
      <c r="AC183" s="7"/>
      <c r="AD183" s="7"/>
    </row>
    <row r="184" spans="1:30" ht="15.75" customHeight="1" x14ac:dyDescent="0.3">
      <c r="A184" s="7"/>
      <c r="B184" s="7"/>
      <c r="C184" s="7"/>
      <c r="D184" s="7"/>
      <c r="E184" s="7"/>
      <c r="F184" s="7"/>
      <c r="G184" s="7"/>
      <c r="H184" s="7"/>
      <c r="I184" s="7"/>
      <c r="J184" s="7"/>
      <c r="K184" s="7"/>
      <c r="L184" s="7"/>
      <c r="M184" s="7"/>
      <c r="N184" s="7"/>
      <c r="O184" s="7"/>
      <c r="P184" s="7"/>
      <c r="Q184" s="7"/>
      <c r="U184" s="7"/>
      <c r="V184" s="7"/>
      <c r="W184" s="7"/>
      <c r="X184" s="7"/>
      <c r="Y184" s="7"/>
      <c r="Z184" s="7"/>
      <c r="AA184" s="7"/>
      <c r="AB184" s="7"/>
      <c r="AC184" s="7"/>
      <c r="AD184" s="7"/>
    </row>
    <row r="185" spans="1:30" ht="15.75" customHeight="1" x14ac:dyDescent="0.3">
      <c r="A185" s="7"/>
      <c r="B185" s="7"/>
      <c r="C185" s="7"/>
      <c r="D185" s="7"/>
      <c r="E185" s="7"/>
      <c r="F185" s="7"/>
      <c r="G185" s="7"/>
      <c r="H185" s="7"/>
      <c r="I185" s="7"/>
      <c r="J185" s="7"/>
      <c r="K185" s="7"/>
      <c r="L185" s="7"/>
      <c r="M185" s="7"/>
      <c r="N185" s="7"/>
      <c r="O185" s="7"/>
      <c r="P185" s="7"/>
      <c r="Q185" s="7"/>
      <c r="U185" s="7"/>
      <c r="V185" s="7"/>
      <c r="W185" s="7"/>
      <c r="X185" s="7"/>
      <c r="Y185" s="7"/>
      <c r="Z185" s="7"/>
      <c r="AA185" s="7"/>
      <c r="AB185" s="7"/>
      <c r="AC185" s="7"/>
      <c r="AD185" s="7"/>
    </row>
    <row r="186" spans="1:30" ht="15.75" customHeight="1" x14ac:dyDescent="0.3">
      <c r="A186" s="7"/>
      <c r="B186" s="7"/>
      <c r="C186" s="7"/>
      <c r="D186" s="7"/>
      <c r="E186" s="7"/>
      <c r="F186" s="7"/>
      <c r="G186" s="7"/>
      <c r="H186" s="7"/>
      <c r="I186" s="7"/>
      <c r="J186" s="7"/>
      <c r="K186" s="7"/>
      <c r="L186" s="7"/>
      <c r="M186" s="7"/>
      <c r="N186" s="7"/>
      <c r="O186" s="7"/>
      <c r="P186" s="7"/>
      <c r="Q186" s="7"/>
      <c r="U186" s="7"/>
      <c r="V186" s="7"/>
      <c r="W186" s="7"/>
      <c r="X186" s="7"/>
      <c r="Y186" s="7"/>
      <c r="Z186" s="7"/>
      <c r="AA186" s="7"/>
      <c r="AB186" s="7"/>
      <c r="AC186" s="7"/>
      <c r="AD186" s="7"/>
    </row>
    <row r="187" spans="1:30" ht="15.75" customHeight="1" x14ac:dyDescent="0.3">
      <c r="A187" s="7"/>
      <c r="B187" s="7"/>
      <c r="C187" s="7"/>
      <c r="D187" s="7"/>
      <c r="E187" s="7"/>
      <c r="F187" s="7"/>
      <c r="G187" s="7"/>
      <c r="H187" s="7"/>
      <c r="I187" s="7"/>
      <c r="J187" s="7"/>
      <c r="K187" s="7"/>
      <c r="L187" s="7"/>
      <c r="M187" s="7"/>
      <c r="N187" s="7"/>
      <c r="O187" s="7"/>
      <c r="P187" s="7"/>
      <c r="Q187" s="7"/>
      <c r="U187" s="7"/>
      <c r="V187" s="7"/>
      <c r="W187" s="7"/>
      <c r="X187" s="7"/>
      <c r="Y187" s="7"/>
      <c r="Z187" s="7"/>
      <c r="AA187" s="7"/>
      <c r="AB187" s="7"/>
      <c r="AC187" s="7"/>
      <c r="AD187" s="7"/>
    </row>
    <row r="188" spans="1:30" ht="15.75" customHeight="1" x14ac:dyDescent="0.3">
      <c r="A188" s="7"/>
      <c r="B188" s="7"/>
      <c r="C188" s="7"/>
      <c r="D188" s="7"/>
      <c r="E188" s="7"/>
      <c r="F188" s="7"/>
      <c r="G188" s="7"/>
      <c r="H188" s="7"/>
      <c r="I188" s="7"/>
      <c r="J188" s="7"/>
      <c r="K188" s="7"/>
      <c r="L188" s="7"/>
      <c r="M188" s="7"/>
      <c r="N188" s="7"/>
      <c r="O188" s="7"/>
      <c r="P188" s="7"/>
      <c r="Q188" s="7"/>
      <c r="U188" s="7"/>
      <c r="V188" s="7"/>
      <c r="W188" s="7"/>
      <c r="X188" s="7"/>
      <c r="Y188" s="7"/>
      <c r="Z188" s="7"/>
      <c r="AA188" s="7"/>
      <c r="AB188" s="7"/>
      <c r="AC188" s="7"/>
      <c r="AD188" s="7"/>
    </row>
    <row r="189" spans="1:30" ht="15.75" customHeight="1" x14ac:dyDescent="0.3">
      <c r="A189" s="7"/>
      <c r="B189" s="7"/>
      <c r="C189" s="7"/>
      <c r="D189" s="7"/>
      <c r="E189" s="7"/>
      <c r="F189" s="7"/>
      <c r="G189" s="7"/>
      <c r="H189" s="7"/>
      <c r="I189" s="7"/>
      <c r="J189" s="7"/>
      <c r="K189" s="7"/>
      <c r="L189" s="7"/>
      <c r="M189" s="7"/>
      <c r="N189" s="7"/>
      <c r="O189" s="7"/>
      <c r="P189" s="7"/>
      <c r="Q189" s="7"/>
      <c r="U189" s="7"/>
      <c r="V189" s="7"/>
      <c r="W189" s="7"/>
      <c r="X189" s="7"/>
      <c r="Y189" s="7"/>
      <c r="Z189" s="7"/>
      <c r="AA189" s="7"/>
      <c r="AB189" s="7"/>
      <c r="AC189" s="7"/>
      <c r="AD189" s="7"/>
    </row>
    <row r="190" spans="1:30" ht="15.75" customHeight="1" x14ac:dyDescent="0.3">
      <c r="A190" s="7"/>
      <c r="B190" s="7"/>
      <c r="C190" s="7"/>
      <c r="D190" s="7"/>
      <c r="E190" s="7"/>
      <c r="F190" s="7"/>
      <c r="G190" s="7"/>
      <c r="H190" s="7"/>
      <c r="I190" s="7"/>
      <c r="J190" s="7"/>
      <c r="K190" s="7"/>
      <c r="L190" s="7"/>
      <c r="M190" s="7"/>
      <c r="N190" s="7"/>
      <c r="O190" s="7"/>
      <c r="P190" s="7"/>
      <c r="Q190" s="7"/>
      <c r="U190" s="7"/>
      <c r="V190" s="7"/>
      <c r="W190" s="7"/>
      <c r="X190" s="7"/>
      <c r="Y190" s="7"/>
      <c r="Z190" s="7"/>
      <c r="AA190" s="7"/>
      <c r="AB190" s="7"/>
      <c r="AC190" s="7"/>
      <c r="AD190" s="7"/>
    </row>
    <row r="191" spans="1:30" ht="15.75" customHeight="1" x14ac:dyDescent="0.3">
      <c r="A191" s="7"/>
      <c r="B191" s="7"/>
      <c r="C191" s="7"/>
      <c r="D191" s="7"/>
      <c r="E191" s="7"/>
      <c r="F191" s="7"/>
      <c r="G191" s="7"/>
      <c r="H191" s="7"/>
      <c r="I191" s="7"/>
      <c r="J191" s="7"/>
      <c r="K191" s="7"/>
      <c r="L191" s="7"/>
      <c r="M191" s="7"/>
      <c r="N191" s="7"/>
      <c r="O191" s="7"/>
      <c r="P191" s="7"/>
      <c r="Q191" s="7"/>
      <c r="U191" s="7"/>
      <c r="V191" s="7"/>
      <c r="W191" s="7"/>
      <c r="X191" s="7"/>
      <c r="Y191" s="7"/>
      <c r="Z191" s="7"/>
      <c r="AA191" s="7"/>
      <c r="AB191" s="7"/>
      <c r="AC191" s="7"/>
      <c r="AD191" s="7"/>
    </row>
    <row r="192" spans="1:30" ht="15.75" customHeight="1" x14ac:dyDescent="0.3">
      <c r="A192" s="7"/>
      <c r="B192" s="7"/>
      <c r="C192" s="7"/>
      <c r="D192" s="7"/>
      <c r="E192" s="7"/>
      <c r="F192" s="7"/>
      <c r="G192" s="7"/>
      <c r="H192" s="7"/>
      <c r="I192" s="7"/>
      <c r="J192" s="7"/>
      <c r="K192" s="7"/>
      <c r="L192" s="7"/>
      <c r="M192" s="7"/>
      <c r="N192" s="7"/>
      <c r="O192" s="7"/>
      <c r="P192" s="7"/>
      <c r="Q192" s="7"/>
      <c r="U192" s="7"/>
      <c r="V192" s="7"/>
      <c r="W192" s="7"/>
      <c r="X192" s="7"/>
      <c r="Y192" s="7"/>
      <c r="Z192" s="7"/>
      <c r="AA192" s="7"/>
      <c r="AB192" s="7"/>
      <c r="AC192" s="7"/>
      <c r="AD192" s="7"/>
    </row>
    <row r="193" spans="1:30" ht="15.75" customHeight="1" x14ac:dyDescent="0.3">
      <c r="A193" s="7"/>
      <c r="B193" s="7"/>
      <c r="C193" s="7"/>
      <c r="D193" s="7"/>
      <c r="E193" s="7"/>
      <c r="F193" s="7"/>
      <c r="G193" s="7"/>
      <c r="H193" s="7"/>
      <c r="I193" s="7"/>
      <c r="J193" s="7"/>
      <c r="K193" s="7"/>
      <c r="L193" s="7"/>
      <c r="M193" s="7"/>
      <c r="N193" s="7"/>
      <c r="O193" s="7"/>
      <c r="P193" s="7"/>
      <c r="Q193" s="7"/>
      <c r="U193" s="7"/>
      <c r="V193" s="7"/>
      <c r="W193" s="7"/>
      <c r="X193" s="7"/>
      <c r="Y193" s="7"/>
      <c r="Z193" s="7"/>
      <c r="AA193" s="7"/>
      <c r="AB193" s="7"/>
      <c r="AC193" s="7"/>
      <c r="AD193" s="7"/>
    </row>
    <row r="194" spans="1:30" ht="15.75" customHeight="1" x14ac:dyDescent="0.3">
      <c r="A194" s="7"/>
      <c r="B194" s="7"/>
      <c r="C194" s="7"/>
      <c r="D194" s="7"/>
      <c r="E194" s="7"/>
      <c r="F194" s="7"/>
      <c r="G194" s="7"/>
      <c r="H194" s="7"/>
      <c r="I194" s="7"/>
      <c r="J194" s="7"/>
      <c r="K194" s="7"/>
      <c r="L194" s="7"/>
      <c r="M194" s="7"/>
      <c r="N194" s="7"/>
      <c r="O194" s="7"/>
      <c r="P194" s="7"/>
      <c r="Q194" s="7"/>
      <c r="U194" s="7"/>
      <c r="V194" s="7"/>
      <c r="W194" s="7"/>
      <c r="X194" s="7"/>
      <c r="Y194" s="7"/>
      <c r="Z194" s="7"/>
      <c r="AA194" s="7"/>
      <c r="AB194" s="7"/>
      <c r="AC194" s="7"/>
      <c r="AD194" s="7"/>
    </row>
    <row r="195" spans="1:30" ht="15.75" customHeight="1" x14ac:dyDescent="0.3">
      <c r="A195" s="7"/>
      <c r="B195" s="7"/>
      <c r="C195" s="7"/>
      <c r="D195" s="7"/>
      <c r="E195" s="7"/>
      <c r="F195" s="7"/>
      <c r="G195" s="7"/>
      <c r="H195" s="7"/>
      <c r="I195" s="7"/>
      <c r="J195" s="7"/>
      <c r="K195" s="7"/>
      <c r="L195" s="7"/>
      <c r="M195" s="7"/>
      <c r="N195" s="7"/>
      <c r="O195" s="7"/>
      <c r="P195" s="7"/>
      <c r="Q195" s="7"/>
      <c r="U195" s="7"/>
      <c r="V195" s="7"/>
      <c r="W195" s="7"/>
      <c r="X195" s="7"/>
      <c r="Y195" s="7"/>
      <c r="Z195" s="7"/>
      <c r="AA195" s="7"/>
      <c r="AB195" s="7"/>
      <c r="AC195" s="7"/>
      <c r="AD195" s="7"/>
    </row>
    <row r="196" spans="1:30" ht="15.75" customHeight="1" x14ac:dyDescent="0.3">
      <c r="A196" s="7"/>
      <c r="B196" s="7"/>
      <c r="C196" s="7"/>
      <c r="D196" s="7"/>
      <c r="E196" s="7"/>
      <c r="F196" s="7"/>
      <c r="G196" s="7"/>
      <c r="H196" s="7"/>
      <c r="I196" s="7"/>
      <c r="J196" s="7"/>
      <c r="K196" s="7"/>
      <c r="L196" s="7"/>
      <c r="M196" s="7"/>
      <c r="N196" s="7"/>
      <c r="O196" s="7"/>
      <c r="P196" s="7"/>
      <c r="Q196" s="7"/>
      <c r="U196" s="7"/>
      <c r="V196" s="7"/>
      <c r="W196" s="7"/>
      <c r="X196" s="7"/>
      <c r="Y196" s="7"/>
      <c r="Z196" s="7"/>
      <c r="AA196" s="7"/>
      <c r="AB196" s="7"/>
      <c r="AC196" s="7"/>
      <c r="AD196" s="7"/>
    </row>
    <row r="197" spans="1:30" ht="15.75" customHeight="1" x14ac:dyDescent="0.3">
      <c r="A197" s="7"/>
      <c r="B197" s="7"/>
      <c r="C197" s="7"/>
      <c r="D197" s="7"/>
      <c r="E197" s="7"/>
      <c r="F197" s="7"/>
      <c r="G197" s="7"/>
      <c r="H197" s="7"/>
      <c r="I197" s="7"/>
      <c r="J197" s="7"/>
      <c r="K197" s="7"/>
      <c r="L197" s="7"/>
      <c r="M197" s="7"/>
      <c r="N197" s="7"/>
      <c r="O197" s="7"/>
      <c r="P197" s="7"/>
      <c r="Q197" s="7"/>
      <c r="U197" s="7"/>
      <c r="V197" s="7"/>
      <c r="W197" s="7"/>
      <c r="X197" s="7"/>
      <c r="Y197" s="7"/>
      <c r="Z197" s="7"/>
      <c r="AA197" s="7"/>
      <c r="AB197" s="7"/>
      <c r="AC197" s="7"/>
      <c r="AD197" s="7"/>
    </row>
    <row r="198" spans="1:30" ht="15.75" customHeight="1" x14ac:dyDescent="0.3">
      <c r="A198" s="7"/>
      <c r="B198" s="7"/>
      <c r="C198" s="7"/>
      <c r="D198" s="7"/>
      <c r="E198" s="7"/>
      <c r="F198" s="7"/>
      <c r="G198" s="7"/>
      <c r="H198" s="7"/>
      <c r="I198" s="7"/>
      <c r="J198" s="7"/>
      <c r="K198" s="7"/>
      <c r="L198" s="7"/>
      <c r="M198" s="7"/>
      <c r="N198" s="7"/>
      <c r="O198" s="7"/>
      <c r="P198" s="7"/>
      <c r="Q198" s="7"/>
      <c r="U198" s="7"/>
      <c r="V198" s="7"/>
      <c r="W198" s="7"/>
      <c r="X198" s="7"/>
      <c r="Y198" s="7"/>
      <c r="Z198" s="7"/>
      <c r="AA198" s="7"/>
      <c r="AB198" s="7"/>
      <c r="AC198" s="7"/>
      <c r="AD198" s="7"/>
    </row>
    <row r="199" spans="1:30" ht="15.75" customHeight="1" x14ac:dyDescent="0.3">
      <c r="A199" s="7"/>
      <c r="B199" s="7"/>
      <c r="C199" s="7"/>
      <c r="D199" s="7"/>
      <c r="E199" s="7"/>
      <c r="F199" s="7"/>
      <c r="G199" s="7"/>
      <c r="H199" s="7"/>
      <c r="I199" s="7"/>
      <c r="J199" s="7"/>
      <c r="K199" s="7"/>
      <c r="L199" s="7"/>
      <c r="M199" s="7"/>
      <c r="N199" s="7"/>
      <c r="O199" s="7"/>
      <c r="P199" s="7"/>
      <c r="Q199" s="7"/>
      <c r="U199" s="7"/>
      <c r="V199" s="7"/>
      <c r="W199" s="7"/>
      <c r="X199" s="7"/>
      <c r="Y199" s="7"/>
      <c r="Z199" s="7"/>
      <c r="AA199" s="7"/>
      <c r="AB199" s="7"/>
      <c r="AC199" s="7"/>
      <c r="AD199" s="7"/>
    </row>
    <row r="200" spans="1:30" ht="15.75" customHeight="1" x14ac:dyDescent="0.3">
      <c r="A200" s="7"/>
      <c r="B200" s="7"/>
      <c r="C200" s="7"/>
      <c r="D200" s="7"/>
      <c r="E200" s="7"/>
      <c r="F200" s="7"/>
      <c r="G200" s="7"/>
      <c r="H200" s="7"/>
      <c r="I200" s="7"/>
      <c r="J200" s="7"/>
      <c r="K200" s="7"/>
      <c r="L200" s="7"/>
      <c r="M200" s="7"/>
      <c r="N200" s="7"/>
      <c r="O200" s="7"/>
      <c r="P200" s="7"/>
      <c r="Q200" s="7"/>
      <c r="U200" s="7"/>
      <c r="V200" s="7"/>
      <c r="W200" s="7"/>
      <c r="X200" s="7"/>
      <c r="Y200" s="7"/>
      <c r="Z200" s="7"/>
      <c r="AA200" s="7"/>
      <c r="AB200" s="7"/>
      <c r="AC200" s="7"/>
      <c r="AD200" s="7"/>
    </row>
    <row r="201" spans="1:30" ht="15.75" customHeight="1" x14ac:dyDescent="0.3">
      <c r="A201" s="7"/>
      <c r="B201" s="7"/>
      <c r="C201" s="7"/>
      <c r="D201" s="7"/>
      <c r="E201" s="7"/>
      <c r="F201" s="7"/>
      <c r="G201" s="7"/>
      <c r="H201" s="7"/>
      <c r="I201" s="7"/>
      <c r="J201" s="7"/>
      <c r="K201" s="7"/>
      <c r="L201" s="7"/>
      <c r="M201" s="7"/>
      <c r="N201" s="7"/>
      <c r="O201" s="7"/>
      <c r="P201" s="7"/>
      <c r="Q201" s="7"/>
      <c r="U201" s="7"/>
      <c r="V201" s="7"/>
      <c r="W201" s="7"/>
      <c r="X201" s="7"/>
      <c r="Y201" s="7"/>
      <c r="Z201" s="7"/>
      <c r="AA201" s="7"/>
      <c r="AB201" s="7"/>
      <c r="AC201" s="7"/>
      <c r="AD201" s="7"/>
    </row>
    <row r="202" spans="1:30" ht="15.75" customHeight="1" x14ac:dyDescent="0.3">
      <c r="A202" s="7"/>
      <c r="B202" s="7"/>
      <c r="C202" s="7"/>
      <c r="D202" s="7"/>
      <c r="E202" s="7"/>
      <c r="F202" s="7"/>
      <c r="G202" s="7"/>
      <c r="H202" s="7"/>
      <c r="I202" s="7"/>
      <c r="J202" s="7"/>
      <c r="K202" s="7"/>
      <c r="L202" s="7"/>
      <c r="M202" s="7"/>
      <c r="N202" s="7"/>
      <c r="O202" s="7"/>
      <c r="P202" s="7"/>
      <c r="Q202" s="7"/>
      <c r="U202" s="7"/>
      <c r="V202" s="7"/>
      <c r="W202" s="7"/>
      <c r="X202" s="7"/>
      <c r="Y202" s="7"/>
      <c r="Z202" s="7"/>
      <c r="AA202" s="7"/>
      <c r="AB202" s="7"/>
      <c r="AC202" s="7"/>
      <c r="AD202" s="7"/>
    </row>
    <row r="203" spans="1:30" ht="15.75" customHeight="1" x14ac:dyDescent="0.3">
      <c r="A203" s="7"/>
      <c r="B203" s="7"/>
      <c r="C203" s="7"/>
      <c r="D203" s="7"/>
      <c r="E203" s="7"/>
      <c r="F203" s="7"/>
      <c r="G203" s="7"/>
      <c r="H203" s="7"/>
      <c r="I203" s="7"/>
      <c r="J203" s="7"/>
      <c r="K203" s="7"/>
      <c r="L203" s="7"/>
      <c r="M203" s="7"/>
      <c r="N203" s="7"/>
      <c r="O203" s="7"/>
      <c r="P203" s="7"/>
      <c r="Q203" s="7"/>
      <c r="U203" s="7"/>
      <c r="V203" s="7"/>
      <c r="W203" s="7"/>
      <c r="X203" s="7"/>
      <c r="Y203" s="7"/>
      <c r="Z203" s="7"/>
      <c r="AA203" s="7"/>
      <c r="AB203" s="7"/>
      <c r="AC203" s="7"/>
      <c r="AD203" s="7"/>
    </row>
    <row r="204" spans="1:30" ht="15.75" customHeight="1" x14ac:dyDescent="0.3">
      <c r="A204" s="7"/>
      <c r="B204" s="7"/>
      <c r="C204" s="7"/>
      <c r="D204" s="7"/>
      <c r="E204" s="7"/>
      <c r="F204" s="7"/>
      <c r="G204" s="7"/>
      <c r="H204" s="7"/>
      <c r="I204" s="7"/>
      <c r="J204" s="7"/>
      <c r="K204" s="7"/>
      <c r="L204" s="7"/>
      <c r="M204" s="7"/>
      <c r="N204" s="7"/>
      <c r="O204" s="7"/>
      <c r="P204" s="7"/>
      <c r="Q204" s="7"/>
      <c r="U204" s="7"/>
      <c r="V204" s="7"/>
      <c r="W204" s="7"/>
      <c r="X204" s="7"/>
      <c r="Y204" s="7"/>
      <c r="Z204" s="7"/>
      <c r="AA204" s="7"/>
      <c r="AB204" s="7"/>
      <c r="AC204" s="7"/>
      <c r="AD204" s="7"/>
    </row>
    <row r="205" spans="1:30" ht="15.75" customHeight="1" x14ac:dyDescent="0.3">
      <c r="A205" s="7"/>
      <c r="B205" s="7"/>
      <c r="C205" s="7"/>
      <c r="D205" s="7"/>
      <c r="E205" s="7"/>
      <c r="F205" s="7"/>
      <c r="G205" s="7"/>
      <c r="H205" s="7"/>
      <c r="I205" s="7"/>
      <c r="J205" s="7"/>
      <c r="K205" s="7"/>
      <c r="L205" s="7"/>
      <c r="M205" s="7"/>
      <c r="N205" s="7"/>
      <c r="O205" s="7"/>
      <c r="P205" s="7"/>
      <c r="Q205" s="7"/>
      <c r="U205" s="7"/>
      <c r="V205" s="7"/>
      <c r="W205" s="7"/>
      <c r="X205" s="7"/>
      <c r="Y205" s="7"/>
      <c r="Z205" s="7"/>
      <c r="AA205" s="7"/>
      <c r="AB205" s="7"/>
      <c r="AC205" s="7"/>
      <c r="AD205" s="7"/>
    </row>
    <row r="206" spans="1:30" ht="15.75" customHeight="1" x14ac:dyDescent="0.3">
      <c r="A206" s="7"/>
      <c r="B206" s="7"/>
      <c r="C206" s="7"/>
      <c r="D206" s="7"/>
      <c r="E206" s="7"/>
      <c r="F206" s="7"/>
      <c r="G206" s="7"/>
      <c r="H206" s="7"/>
      <c r="I206" s="7"/>
      <c r="J206" s="7"/>
      <c r="K206" s="7"/>
      <c r="L206" s="7"/>
      <c r="M206" s="7"/>
      <c r="N206" s="7"/>
      <c r="O206" s="7"/>
      <c r="P206" s="7"/>
      <c r="Q206" s="7"/>
      <c r="U206" s="7"/>
      <c r="V206" s="7"/>
      <c r="W206" s="7"/>
      <c r="X206" s="7"/>
      <c r="Y206" s="7"/>
      <c r="Z206" s="7"/>
      <c r="AA206" s="7"/>
      <c r="AB206" s="7"/>
      <c r="AC206" s="7"/>
      <c r="AD206" s="7"/>
    </row>
    <row r="207" spans="1:30" ht="15.75" customHeight="1" x14ac:dyDescent="0.3">
      <c r="A207" s="7"/>
      <c r="B207" s="7"/>
      <c r="C207" s="7"/>
      <c r="D207" s="7"/>
      <c r="E207" s="7"/>
      <c r="F207" s="7"/>
      <c r="G207" s="7"/>
      <c r="H207" s="7"/>
      <c r="I207" s="7"/>
      <c r="J207" s="7"/>
      <c r="K207" s="7"/>
      <c r="L207" s="7"/>
      <c r="M207" s="7"/>
      <c r="N207" s="7"/>
      <c r="O207" s="7"/>
      <c r="P207" s="7"/>
      <c r="Q207" s="7"/>
      <c r="U207" s="7"/>
      <c r="V207" s="7"/>
      <c r="W207" s="7"/>
      <c r="X207" s="7"/>
      <c r="Y207" s="7"/>
      <c r="Z207" s="7"/>
      <c r="AA207" s="7"/>
      <c r="AB207" s="7"/>
      <c r="AC207" s="7"/>
      <c r="AD207" s="7"/>
    </row>
    <row r="208" spans="1:30" ht="15.75" customHeight="1" x14ac:dyDescent="0.3">
      <c r="A208" s="7"/>
      <c r="B208" s="7"/>
      <c r="C208" s="7"/>
      <c r="D208" s="7"/>
      <c r="E208" s="7"/>
      <c r="F208" s="7"/>
      <c r="G208" s="7"/>
      <c r="H208" s="7"/>
      <c r="I208" s="7"/>
      <c r="J208" s="7"/>
      <c r="K208" s="7"/>
      <c r="L208" s="7"/>
      <c r="M208" s="7"/>
      <c r="N208" s="7"/>
      <c r="O208" s="7"/>
      <c r="P208" s="7"/>
      <c r="Q208" s="7"/>
      <c r="U208" s="7"/>
      <c r="V208" s="7"/>
      <c r="W208" s="7"/>
      <c r="X208" s="7"/>
      <c r="Y208" s="7"/>
      <c r="Z208" s="7"/>
      <c r="AA208" s="7"/>
      <c r="AB208" s="7"/>
      <c r="AC208" s="7"/>
      <c r="AD208" s="7"/>
    </row>
    <row r="209" spans="1:30" ht="15.75" customHeight="1" x14ac:dyDescent="0.3">
      <c r="A209" s="7"/>
      <c r="B209" s="7"/>
      <c r="C209" s="7"/>
      <c r="D209" s="7"/>
      <c r="E209" s="7"/>
      <c r="F209" s="7"/>
      <c r="G209" s="7"/>
      <c r="H209" s="7"/>
      <c r="I209" s="7"/>
      <c r="J209" s="7"/>
      <c r="K209" s="7"/>
      <c r="L209" s="7"/>
      <c r="M209" s="7"/>
      <c r="N209" s="7"/>
      <c r="O209" s="7"/>
      <c r="P209" s="7"/>
      <c r="Q209" s="7"/>
      <c r="U209" s="7"/>
      <c r="V209" s="7"/>
      <c r="W209" s="7"/>
      <c r="X209" s="7"/>
      <c r="Y209" s="7"/>
      <c r="Z209" s="7"/>
      <c r="AA209" s="7"/>
      <c r="AB209" s="7"/>
      <c r="AC209" s="7"/>
      <c r="AD209" s="7"/>
    </row>
    <row r="210" spans="1:30" ht="15.75" customHeight="1" x14ac:dyDescent="0.3">
      <c r="A210" s="7"/>
      <c r="B210" s="7"/>
      <c r="C210" s="7"/>
      <c r="D210" s="7"/>
      <c r="E210" s="7"/>
      <c r="F210" s="7"/>
      <c r="G210" s="7"/>
      <c r="H210" s="7"/>
      <c r="I210" s="7"/>
      <c r="J210" s="7"/>
      <c r="K210" s="7"/>
      <c r="L210" s="7"/>
      <c r="M210" s="7"/>
      <c r="N210" s="7"/>
      <c r="O210" s="7"/>
      <c r="P210" s="7"/>
      <c r="Q210" s="7"/>
      <c r="U210" s="7"/>
      <c r="V210" s="7"/>
      <c r="W210" s="7"/>
      <c r="X210" s="7"/>
      <c r="Y210" s="7"/>
      <c r="Z210" s="7"/>
      <c r="AA210" s="7"/>
      <c r="AB210" s="7"/>
      <c r="AC210" s="7"/>
      <c r="AD210" s="7"/>
    </row>
    <row r="211" spans="1:30" ht="15.75" customHeight="1" x14ac:dyDescent="0.3">
      <c r="A211" s="7"/>
      <c r="B211" s="7"/>
      <c r="C211" s="7"/>
      <c r="D211" s="7"/>
      <c r="E211" s="7"/>
      <c r="F211" s="7"/>
      <c r="G211" s="7"/>
      <c r="H211" s="7"/>
      <c r="I211" s="7"/>
      <c r="J211" s="7"/>
      <c r="K211" s="7"/>
      <c r="L211" s="7"/>
      <c r="M211" s="7"/>
      <c r="N211" s="7"/>
      <c r="O211" s="7"/>
      <c r="P211" s="7"/>
      <c r="Q211" s="7"/>
      <c r="U211" s="7"/>
      <c r="V211" s="7"/>
      <c r="W211" s="7"/>
      <c r="X211" s="7"/>
      <c r="Y211" s="7"/>
      <c r="Z211" s="7"/>
      <c r="AA211" s="7"/>
      <c r="AB211" s="7"/>
      <c r="AC211" s="7"/>
      <c r="AD211" s="7"/>
    </row>
    <row r="212" spans="1:30" ht="15.75" customHeight="1" x14ac:dyDescent="0.3">
      <c r="A212" s="7"/>
      <c r="B212" s="7"/>
      <c r="C212" s="7"/>
      <c r="D212" s="7"/>
      <c r="E212" s="7"/>
      <c r="F212" s="7"/>
      <c r="G212" s="7"/>
      <c r="H212" s="7"/>
      <c r="I212" s="7"/>
      <c r="J212" s="7"/>
      <c r="K212" s="7"/>
      <c r="L212" s="7"/>
      <c r="M212" s="7"/>
      <c r="N212" s="7"/>
      <c r="O212" s="7"/>
      <c r="P212" s="7"/>
      <c r="Q212" s="7"/>
      <c r="U212" s="7"/>
      <c r="V212" s="7"/>
      <c r="W212" s="7"/>
      <c r="X212" s="7"/>
      <c r="Y212" s="7"/>
      <c r="Z212" s="7"/>
      <c r="AA212" s="7"/>
      <c r="AB212" s="7"/>
      <c r="AC212" s="7"/>
      <c r="AD212" s="7"/>
    </row>
    <row r="213" spans="1:30" ht="15.75" customHeight="1" x14ac:dyDescent="0.3">
      <c r="A213" s="7"/>
      <c r="B213" s="7"/>
      <c r="C213" s="7"/>
      <c r="D213" s="7"/>
      <c r="E213" s="7"/>
      <c r="F213" s="7"/>
      <c r="G213" s="7"/>
      <c r="H213" s="7"/>
      <c r="I213" s="7"/>
      <c r="J213" s="7"/>
      <c r="K213" s="7"/>
      <c r="L213" s="7"/>
      <c r="M213" s="7"/>
      <c r="N213" s="7"/>
      <c r="O213" s="7"/>
      <c r="P213" s="7"/>
      <c r="Q213" s="7"/>
      <c r="U213" s="7"/>
      <c r="V213" s="7"/>
      <c r="W213" s="7"/>
      <c r="X213" s="7"/>
      <c r="Y213" s="7"/>
      <c r="Z213" s="7"/>
      <c r="AA213" s="7"/>
      <c r="AB213" s="7"/>
      <c r="AC213" s="7"/>
      <c r="AD213" s="7"/>
    </row>
    <row r="214" spans="1:30" ht="15.75" customHeight="1" x14ac:dyDescent="0.3">
      <c r="A214" s="7"/>
      <c r="B214" s="7"/>
      <c r="C214" s="7"/>
      <c r="D214" s="7"/>
      <c r="E214" s="7"/>
      <c r="F214" s="7"/>
      <c r="G214" s="7"/>
      <c r="H214" s="7"/>
      <c r="I214" s="7"/>
      <c r="J214" s="7"/>
      <c r="K214" s="7"/>
      <c r="L214" s="7"/>
      <c r="M214" s="7"/>
      <c r="N214" s="7"/>
      <c r="O214" s="7"/>
      <c r="P214" s="7"/>
      <c r="Q214" s="7"/>
      <c r="U214" s="7"/>
      <c r="V214" s="7"/>
      <c r="W214" s="7"/>
      <c r="X214" s="7"/>
      <c r="Y214" s="7"/>
      <c r="Z214" s="7"/>
      <c r="AA214" s="7"/>
      <c r="AB214" s="7"/>
      <c r="AC214" s="7"/>
      <c r="AD214" s="7"/>
    </row>
    <row r="215" spans="1:30" ht="15.75" customHeight="1" x14ac:dyDescent="0.3">
      <c r="A215" s="7"/>
      <c r="B215" s="7"/>
      <c r="C215" s="7"/>
      <c r="D215" s="7"/>
      <c r="E215" s="7"/>
      <c r="F215" s="7"/>
      <c r="G215" s="7"/>
      <c r="H215" s="7"/>
      <c r="I215" s="7"/>
      <c r="J215" s="7"/>
      <c r="K215" s="7"/>
      <c r="L215" s="7"/>
      <c r="M215" s="7"/>
      <c r="N215" s="7"/>
      <c r="O215" s="7"/>
      <c r="P215" s="7"/>
      <c r="Q215" s="7"/>
      <c r="U215" s="7"/>
      <c r="V215" s="7"/>
      <c r="W215" s="7"/>
      <c r="X215" s="7"/>
      <c r="Y215" s="7"/>
      <c r="Z215" s="7"/>
      <c r="AA215" s="7"/>
      <c r="AB215" s="7"/>
      <c r="AC215" s="7"/>
      <c r="AD215" s="7"/>
    </row>
    <row r="216" spans="1:30" ht="15.75" customHeight="1" x14ac:dyDescent="0.3">
      <c r="A216" s="7"/>
      <c r="B216" s="7"/>
      <c r="C216" s="7"/>
      <c r="D216" s="7"/>
      <c r="E216" s="7"/>
      <c r="F216" s="7"/>
      <c r="G216" s="7"/>
      <c r="H216" s="7"/>
      <c r="I216" s="7"/>
      <c r="J216" s="7"/>
      <c r="K216" s="7"/>
      <c r="L216" s="7"/>
      <c r="M216" s="7"/>
      <c r="N216" s="7"/>
      <c r="O216" s="7"/>
      <c r="P216" s="7"/>
      <c r="Q216" s="7"/>
      <c r="U216" s="7"/>
      <c r="V216" s="7"/>
      <c r="W216" s="7"/>
      <c r="X216" s="7"/>
      <c r="Y216" s="7"/>
      <c r="Z216" s="7"/>
      <c r="AA216" s="7"/>
      <c r="AB216" s="7"/>
      <c r="AC216" s="7"/>
      <c r="AD216" s="7"/>
    </row>
    <row r="217" spans="1:30" ht="15.75" customHeight="1" x14ac:dyDescent="0.3">
      <c r="A217" s="7"/>
      <c r="B217" s="7"/>
      <c r="C217" s="7"/>
      <c r="D217" s="7"/>
      <c r="E217" s="7"/>
      <c r="F217" s="7"/>
      <c r="G217" s="7"/>
      <c r="H217" s="7"/>
      <c r="I217" s="7"/>
      <c r="J217" s="7"/>
      <c r="K217" s="7"/>
      <c r="L217" s="7"/>
      <c r="M217" s="7"/>
      <c r="N217" s="7"/>
      <c r="O217" s="7"/>
      <c r="P217" s="7"/>
      <c r="Q217" s="7"/>
      <c r="U217" s="7"/>
      <c r="V217" s="7"/>
      <c r="W217" s="7"/>
      <c r="X217" s="7"/>
      <c r="Y217" s="7"/>
      <c r="Z217" s="7"/>
      <c r="AA217" s="7"/>
      <c r="AB217" s="7"/>
      <c r="AC217" s="7"/>
      <c r="AD217" s="7"/>
    </row>
    <row r="218" spans="1:30" ht="15.75" customHeight="1" x14ac:dyDescent="0.3">
      <c r="A218" s="7"/>
      <c r="B218" s="7"/>
      <c r="C218" s="7"/>
      <c r="D218" s="7"/>
      <c r="E218" s="7"/>
      <c r="F218" s="7"/>
      <c r="G218" s="7"/>
      <c r="H218" s="7"/>
      <c r="I218" s="7"/>
      <c r="J218" s="7"/>
      <c r="K218" s="7"/>
      <c r="L218" s="7"/>
      <c r="M218" s="7"/>
      <c r="N218" s="7"/>
      <c r="O218" s="7"/>
      <c r="P218" s="7"/>
      <c r="Q218" s="7"/>
      <c r="U218" s="7"/>
      <c r="V218" s="7"/>
      <c r="W218" s="7"/>
      <c r="X218" s="7"/>
      <c r="Y218" s="7"/>
      <c r="Z218" s="7"/>
      <c r="AA218" s="7"/>
      <c r="AB218" s="7"/>
      <c r="AC218" s="7"/>
      <c r="AD218" s="7"/>
    </row>
    <row r="219" spans="1:30" ht="15.75" customHeight="1" x14ac:dyDescent="0.3">
      <c r="A219" s="7"/>
      <c r="B219" s="7"/>
      <c r="C219" s="7"/>
      <c r="D219" s="7"/>
      <c r="E219" s="7"/>
      <c r="F219" s="7"/>
      <c r="G219" s="7"/>
      <c r="H219" s="7"/>
      <c r="I219" s="7"/>
      <c r="J219" s="7"/>
      <c r="K219" s="7"/>
      <c r="L219" s="7"/>
      <c r="M219" s="7"/>
      <c r="N219" s="7"/>
      <c r="O219" s="7"/>
      <c r="P219" s="7"/>
      <c r="Q219" s="7"/>
      <c r="U219" s="7"/>
      <c r="V219" s="7"/>
      <c r="W219" s="7"/>
      <c r="X219" s="7"/>
      <c r="Y219" s="7"/>
      <c r="Z219" s="7"/>
      <c r="AA219" s="7"/>
      <c r="AB219" s="7"/>
      <c r="AC219" s="7"/>
      <c r="AD219" s="7"/>
    </row>
    <row r="220" spans="1:30" ht="15.75" customHeight="1" x14ac:dyDescent="0.3">
      <c r="A220" s="7"/>
      <c r="B220" s="7"/>
      <c r="C220" s="7"/>
      <c r="D220" s="7"/>
      <c r="E220" s="7"/>
      <c r="F220" s="7"/>
      <c r="G220" s="7"/>
      <c r="H220" s="7"/>
      <c r="I220" s="7"/>
      <c r="J220" s="7"/>
      <c r="K220" s="7"/>
      <c r="L220" s="7"/>
      <c r="M220" s="7"/>
      <c r="N220" s="7"/>
      <c r="O220" s="7"/>
      <c r="P220" s="7"/>
      <c r="Q220" s="7"/>
      <c r="U220" s="7"/>
      <c r="V220" s="7"/>
      <c r="W220" s="7"/>
      <c r="X220" s="7"/>
      <c r="Y220" s="7"/>
      <c r="Z220" s="7"/>
      <c r="AA220" s="7"/>
      <c r="AB220" s="7"/>
      <c r="AC220" s="7"/>
      <c r="AD220" s="7"/>
    </row>
    <row r="221" spans="1:30" ht="15.75" customHeight="1" x14ac:dyDescent="0.3">
      <c r="A221" s="7"/>
      <c r="B221" s="7"/>
      <c r="C221" s="7"/>
      <c r="D221" s="7"/>
      <c r="E221" s="7"/>
      <c r="F221" s="7"/>
      <c r="G221" s="7"/>
      <c r="H221" s="7"/>
      <c r="I221" s="7"/>
      <c r="J221" s="7"/>
      <c r="K221" s="7"/>
      <c r="L221" s="7"/>
      <c r="M221" s="7"/>
      <c r="N221" s="7"/>
      <c r="O221" s="7"/>
      <c r="P221" s="7"/>
      <c r="Q221" s="7"/>
      <c r="U221" s="7"/>
      <c r="V221" s="7"/>
      <c r="W221" s="7"/>
      <c r="X221" s="7"/>
      <c r="Y221" s="7"/>
      <c r="Z221" s="7"/>
      <c r="AA221" s="7"/>
      <c r="AB221" s="7"/>
      <c r="AC221" s="7"/>
      <c r="AD221" s="7"/>
    </row>
    <row r="222" spans="1:30" ht="15.75" customHeight="1" x14ac:dyDescent="0.3">
      <c r="A222" s="7"/>
      <c r="B222" s="7"/>
      <c r="C222" s="7"/>
      <c r="D222" s="7"/>
      <c r="E222" s="7"/>
      <c r="F222" s="7"/>
      <c r="G222" s="7"/>
      <c r="H222" s="7"/>
      <c r="I222" s="7"/>
      <c r="J222" s="7"/>
      <c r="K222" s="7"/>
      <c r="L222" s="7"/>
      <c r="M222" s="7"/>
      <c r="N222" s="7"/>
      <c r="O222" s="7"/>
      <c r="P222" s="7"/>
      <c r="Q222" s="7"/>
      <c r="U222" s="7"/>
      <c r="V222" s="7"/>
      <c r="W222" s="7"/>
      <c r="X222" s="7"/>
      <c r="Y222" s="7"/>
      <c r="Z222" s="7"/>
      <c r="AA222" s="7"/>
      <c r="AB222" s="7"/>
      <c r="AC222" s="7"/>
      <c r="AD222" s="7"/>
    </row>
    <row r="223" spans="1:30" ht="15.75" customHeight="1" x14ac:dyDescent="0.3">
      <c r="A223" s="7"/>
      <c r="B223" s="7"/>
      <c r="C223" s="7"/>
      <c r="D223" s="7"/>
      <c r="E223" s="7"/>
      <c r="F223" s="7"/>
      <c r="G223" s="7"/>
      <c r="H223" s="7"/>
      <c r="I223" s="7"/>
      <c r="J223" s="7"/>
      <c r="K223" s="7"/>
      <c r="L223" s="7"/>
      <c r="M223" s="7"/>
      <c r="N223" s="7"/>
      <c r="O223" s="7"/>
      <c r="P223" s="7"/>
      <c r="Q223" s="7"/>
      <c r="U223" s="7"/>
      <c r="V223" s="7"/>
      <c r="W223" s="7"/>
      <c r="X223" s="7"/>
      <c r="Y223" s="7"/>
      <c r="Z223" s="7"/>
      <c r="AA223" s="7"/>
      <c r="AB223" s="7"/>
      <c r="AC223" s="7"/>
      <c r="AD223" s="7"/>
    </row>
    <row r="224" spans="1:30" ht="15.75" customHeight="1" x14ac:dyDescent="0.3">
      <c r="A224" s="7"/>
      <c r="B224" s="7"/>
      <c r="C224" s="7"/>
      <c r="D224" s="7"/>
      <c r="E224" s="7"/>
      <c r="F224" s="7"/>
      <c r="G224" s="7"/>
      <c r="H224" s="7"/>
      <c r="I224" s="7"/>
      <c r="J224" s="7"/>
      <c r="K224" s="7"/>
      <c r="L224" s="7"/>
      <c r="M224" s="7"/>
      <c r="N224" s="7"/>
      <c r="O224" s="7"/>
      <c r="P224" s="7"/>
      <c r="Q224" s="7"/>
      <c r="U224" s="7"/>
      <c r="V224" s="7"/>
      <c r="W224" s="7"/>
      <c r="X224" s="7"/>
      <c r="Y224" s="7"/>
      <c r="Z224" s="7"/>
      <c r="AA224" s="7"/>
      <c r="AB224" s="7"/>
      <c r="AC224" s="7"/>
      <c r="AD224" s="7"/>
    </row>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baseColWidth="10" defaultColWidth="12.6640625" defaultRowHeight="15" customHeight="1" x14ac:dyDescent="0.3"/>
  <cols>
    <col min="1" max="1" width="10.6640625" customWidth="1"/>
    <col min="2" max="2" width="38.44140625" customWidth="1"/>
    <col min="3" max="6" width="10.6640625" customWidth="1"/>
  </cols>
  <sheetData>
    <row r="1" spans="1:6" ht="14.25" customHeight="1" x14ac:dyDescent="0.3">
      <c r="A1" s="7"/>
      <c r="B1" s="7"/>
      <c r="C1" s="7"/>
      <c r="D1" s="7"/>
      <c r="E1" s="7"/>
      <c r="F1" s="7"/>
    </row>
    <row r="2" spans="1:6" ht="14.25" customHeight="1" x14ac:dyDescent="0.3">
      <c r="A2" s="7">
        <v>5111</v>
      </c>
      <c r="B2" s="7" t="s">
        <v>1653</v>
      </c>
      <c r="C2" s="7"/>
      <c r="D2" s="7"/>
      <c r="E2" s="7"/>
      <c r="F2" s="7"/>
    </row>
    <row r="3" spans="1:6" ht="14.25" customHeight="1" x14ac:dyDescent="0.3">
      <c r="A3" s="7">
        <v>5121</v>
      </c>
      <c r="B3" s="7" t="s">
        <v>1654</v>
      </c>
      <c r="C3" s="7"/>
      <c r="D3" s="7"/>
      <c r="E3" s="7"/>
      <c r="F3" s="7"/>
    </row>
    <row r="4" spans="1:6" ht="14.25" customHeight="1" x14ac:dyDescent="0.3">
      <c r="A4" s="7">
        <v>5122</v>
      </c>
      <c r="B4" s="7" t="s">
        <v>1655</v>
      </c>
      <c r="C4" s="7"/>
      <c r="D4" s="7"/>
      <c r="E4" s="7"/>
      <c r="F4" s="7"/>
    </row>
    <row r="5" spans="1:6" ht="14.25" customHeight="1" x14ac:dyDescent="0.3">
      <c r="A5" s="7">
        <v>5123</v>
      </c>
      <c r="B5" s="7" t="s">
        <v>1656</v>
      </c>
      <c r="C5" s="7"/>
      <c r="D5" s="7"/>
      <c r="E5" s="7"/>
      <c r="F5" s="7"/>
    </row>
    <row r="6" spans="1:6" ht="14.25" customHeight="1" x14ac:dyDescent="0.3">
      <c r="A6" s="7">
        <v>5125</v>
      </c>
      <c r="B6" s="7" t="s">
        <v>1657</v>
      </c>
      <c r="C6" s="7"/>
      <c r="D6" s="7"/>
      <c r="E6" s="7"/>
      <c r="F6" s="7"/>
    </row>
    <row r="7" spans="1:6" ht="14.25" customHeight="1" x14ac:dyDescent="0.3">
      <c r="A7" s="7">
        <v>5126</v>
      </c>
      <c r="B7" s="7" t="s">
        <v>1658</v>
      </c>
      <c r="C7" s="7"/>
      <c r="D7" s="7"/>
      <c r="E7" s="7"/>
      <c r="F7" s="7"/>
    </row>
    <row r="8" spans="1:6" ht="14.25" customHeight="1" x14ac:dyDescent="0.3">
      <c r="A8" s="7">
        <v>5211</v>
      </c>
      <c r="B8" s="7" t="s">
        <v>131</v>
      </c>
      <c r="C8" s="7"/>
      <c r="D8" s="7"/>
      <c r="E8" s="7"/>
      <c r="F8" s="7"/>
    </row>
    <row r="9" spans="1:6" ht="14.25" customHeight="1" x14ac:dyDescent="0.3">
      <c r="A9" s="7">
        <v>5212</v>
      </c>
      <c r="B9" s="7" t="s">
        <v>1659</v>
      </c>
      <c r="C9" s="7"/>
      <c r="D9" s="7"/>
      <c r="E9" s="7"/>
      <c r="F9" s="7"/>
    </row>
    <row r="10" spans="1:6" ht="14.25" customHeight="1" x14ac:dyDescent="0.3">
      <c r="A10" s="7">
        <v>5213</v>
      </c>
      <c r="B10" s="7" t="s">
        <v>1660</v>
      </c>
      <c r="C10" s="7"/>
      <c r="D10" s="7"/>
      <c r="E10" s="7"/>
      <c r="F10" s="7"/>
    </row>
    <row r="11" spans="1:6" ht="14.25" customHeight="1" x14ac:dyDescent="0.3">
      <c r="A11" s="7">
        <v>5214</v>
      </c>
      <c r="B11" s="7" t="s">
        <v>1661</v>
      </c>
      <c r="C11" s="7"/>
      <c r="D11" s="7"/>
      <c r="E11" s="7"/>
      <c r="F11" s="7"/>
    </row>
    <row r="12" spans="1:6" ht="14.25" customHeight="1" x14ac:dyDescent="0.3">
      <c r="A12" s="7">
        <v>5215</v>
      </c>
      <c r="B12" s="7" t="s">
        <v>1662</v>
      </c>
      <c r="C12" s="7"/>
      <c r="D12" s="7"/>
      <c r="E12" s="7"/>
      <c r="F12" s="7"/>
    </row>
    <row r="13" spans="1:6" ht="14.25" customHeight="1" x14ac:dyDescent="0.3">
      <c r="A13" s="7">
        <v>5216</v>
      </c>
      <c r="B13" s="7" t="s">
        <v>1663</v>
      </c>
      <c r="C13" s="7"/>
      <c r="D13" s="7"/>
      <c r="E13" s="7"/>
      <c r="F13" s="7"/>
    </row>
    <row r="14" spans="1:6" ht="14.25" customHeight="1" x14ac:dyDescent="0.3">
      <c r="A14" s="7">
        <v>5217</v>
      </c>
      <c r="B14" s="7" t="s">
        <v>1664</v>
      </c>
      <c r="C14" s="7"/>
      <c r="D14" s="7"/>
      <c r="E14" s="7"/>
      <c r="F14" s="7"/>
    </row>
    <row r="15" spans="1:6" ht="14.25" customHeight="1" x14ac:dyDescent="0.3">
      <c r="A15" s="7">
        <v>5218</v>
      </c>
      <c r="B15" s="7" t="s">
        <v>1665</v>
      </c>
      <c r="C15" s="7"/>
      <c r="D15" s="7"/>
      <c r="E15" s="7"/>
      <c r="F15" s="7"/>
    </row>
    <row r="16" spans="1:6" ht="14.25" customHeight="1" x14ac:dyDescent="0.3">
      <c r="A16" s="7">
        <v>5219</v>
      </c>
      <c r="B16" s="7" t="s">
        <v>1666</v>
      </c>
      <c r="C16" s="7"/>
      <c r="D16" s="7"/>
      <c r="E16" s="7"/>
      <c r="F16" s="7"/>
    </row>
    <row r="17" spans="1:6" ht="14.25" customHeight="1" x14ac:dyDescent="0.3">
      <c r="A17" s="7">
        <v>5311</v>
      </c>
      <c r="B17" s="7" t="s">
        <v>1667</v>
      </c>
      <c r="C17" s="7"/>
      <c r="D17" s="7"/>
      <c r="E17" s="7"/>
      <c r="F17" s="7"/>
    </row>
    <row r="18" spans="1:6" ht="14.25" customHeight="1" x14ac:dyDescent="0.3">
      <c r="A18" s="7">
        <v>5312</v>
      </c>
      <c r="B18" s="7" t="s">
        <v>1668</v>
      </c>
      <c r="C18" s="7"/>
      <c r="D18" s="7"/>
      <c r="E18" s="7"/>
      <c r="F18" s="7"/>
    </row>
    <row r="19" spans="1:6" ht="14.25" customHeight="1" x14ac:dyDescent="0.3">
      <c r="A19" s="7">
        <v>5314</v>
      </c>
      <c r="B19" s="7" t="s">
        <v>1669</v>
      </c>
      <c r="C19" s="7"/>
      <c r="D19" s="7"/>
      <c r="E19" s="7"/>
      <c r="F19" s="7"/>
    </row>
    <row r="20" spans="1:6" ht="14.25" customHeight="1" x14ac:dyDescent="0.3">
      <c r="A20" s="7">
        <v>5315</v>
      </c>
      <c r="B20" s="7" t="s">
        <v>1670</v>
      </c>
      <c r="C20" s="7"/>
      <c r="D20" s="7"/>
      <c r="E20" s="7"/>
      <c r="F20" s="7"/>
    </row>
    <row r="21" spans="1:6" ht="14.25" customHeight="1" x14ac:dyDescent="0.3">
      <c r="A21" s="7">
        <v>5316</v>
      </c>
      <c r="B21" s="7" t="s">
        <v>1671</v>
      </c>
      <c r="C21" s="7"/>
      <c r="D21" s="7"/>
      <c r="E21" s="7"/>
      <c r="F21" s="7"/>
    </row>
    <row r="22" spans="1:6" ht="14.25" customHeight="1" x14ac:dyDescent="0.3">
      <c r="A22" s="7">
        <v>5411</v>
      </c>
      <c r="B22" s="7" t="s">
        <v>1672</v>
      </c>
      <c r="C22" s="7"/>
      <c r="D22" s="7"/>
      <c r="E22" s="7"/>
      <c r="F22" s="7"/>
    </row>
    <row r="23" spans="1:6" ht="14.25" customHeight="1" x14ac:dyDescent="0.3">
      <c r="A23" s="7">
        <v>5412</v>
      </c>
      <c r="B23" s="7" t="s">
        <v>1673</v>
      </c>
      <c r="C23" s="7"/>
      <c r="D23" s="7"/>
      <c r="E23" s="7"/>
      <c r="F23" s="7"/>
    </row>
    <row r="24" spans="1:6" ht="14.25" customHeight="1" x14ac:dyDescent="0.3">
      <c r="A24" s="7">
        <v>5415</v>
      </c>
      <c r="B24" s="7" t="s">
        <v>1674</v>
      </c>
      <c r="C24" s="7"/>
      <c r="D24" s="7"/>
      <c r="E24" s="7"/>
      <c r="F24" s="7"/>
    </row>
    <row r="25" spans="1:6" ht="14.25" customHeight="1" x14ac:dyDescent="0.3">
      <c r="A25" s="7">
        <v>5417</v>
      </c>
      <c r="B25" s="7" t="s">
        <v>1675</v>
      </c>
      <c r="C25" s="7"/>
      <c r="D25" s="7"/>
      <c r="E25" s="7"/>
      <c r="F25" s="7"/>
    </row>
    <row r="26" spans="1:6" ht="14.25" customHeight="1" x14ac:dyDescent="0.3">
      <c r="A26" s="7">
        <v>5418</v>
      </c>
      <c r="B26" s="7" t="s">
        <v>1676</v>
      </c>
      <c r="C26" s="7"/>
      <c r="D26" s="7"/>
      <c r="E26" s="7"/>
      <c r="F26" s="7"/>
    </row>
    <row r="27" spans="1:6" ht="14.25" customHeight="1" x14ac:dyDescent="0.3">
      <c r="A27" s="7">
        <v>5419</v>
      </c>
      <c r="B27" s="7" t="s">
        <v>1677</v>
      </c>
      <c r="C27" s="7"/>
      <c r="D27" s="7"/>
      <c r="E27" s="7"/>
      <c r="F27" s="7"/>
    </row>
    <row r="28" spans="1:6" ht="14.25" customHeight="1" x14ac:dyDescent="0.3">
      <c r="A28" s="7">
        <v>5420</v>
      </c>
      <c r="B28" s="7" t="s">
        <v>1678</v>
      </c>
      <c r="C28" s="7"/>
      <c r="D28" s="7"/>
      <c r="E28" s="7"/>
      <c r="F28" s="7"/>
    </row>
    <row r="29" spans="1:6" ht="14.25" customHeight="1" x14ac:dyDescent="0.3">
      <c r="A29" s="7">
        <v>5421</v>
      </c>
      <c r="B29" s="7" t="s">
        <v>1679</v>
      </c>
      <c r="C29" s="7"/>
      <c r="D29" s="7"/>
      <c r="E29" s="7"/>
      <c r="F29" s="7"/>
    </row>
    <row r="30" spans="1:6" ht="14.25" customHeight="1" x14ac:dyDescent="0.3">
      <c r="A30" s="7">
        <v>5422</v>
      </c>
      <c r="B30" s="7" t="s">
        <v>1680</v>
      </c>
      <c r="C30" s="7"/>
      <c r="D30" s="7"/>
      <c r="E30" s="7"/>
      <c r="F30" s="7"/>
    </row>
    <row r="31" spans="1:6" ht="14.25" customHeight="1" x14ac:dyDescent="0.3">
      <c r="A31" s="7">
        <v>5423</v>
      </c>
      <c r="B31" s="7" t="s">
        <v>1681</v>
      </c>
      <c r="C31" s="7"/>
      <c r="D31" s="7"/>
      <c r="E31" s="7"/>
      <c r="F31" s="7"/>
    </row>
    <row r="32" spans="1:6" ht="14.25" customHeight="1" x14ac:dyDescent="0.3">
      <c r="A32" s="7">
        <v>5425</v>
      </c>
      <c r="B32" s="7" t="s">
        <v>1682</v>
      </c>
      <c r="C32" s="7"/>
      <c r="D32" s="7"/>
      <c r="E32" s="7"/>
      <c r="F32" s="7"/>
    </row>
    <row r="33" spans="1:6" ht="14.25" customHeight="1" x14ac:dyDescent="0.3">
      <c r="A33" s="7">
        <v>5426</v>
      </c>
      <c r="B33" s="7" t="s">
        <v>1683</v>
      </c>
      <c r="C33" s="7"/>
      <c r="D33" s="7"/>
      <c r="E33" s="7"/>
      <c r="F33" s="7"/>
    </row>
    <row r="34" spans="1:6" ht="14.25" customHeight="1" x14ac:dyDescent="0.3">
      <c r="A34" s="7">
        <v>5511</v>
      </c>
      <c r="B34" s="7" t="s">
        <v>1684</v>
      </c>
      <c r="C34" s="7"/>
      <c r="D34" s="7"/>
      <c r="E34" s="7"/>
      <c r="F34" s="7"/>
    </row>
    <row r="35" spans="1:6" ht="14.25" customHeight="1" x14ac:dyDescent="0.3">
      <c r="A35" s="7">
        <v>5514</v>
      </c>
      <c r="B35" s="7" t="s">
        <v>1685</v>
      </c>
      <c r="C35" s="7"/>
      <c r="D35" s="7"/>
      <c r="E35" s="7"/>
      <c r="F35" s="7"/>
    </row>
    <row r="36" spans="1:6" ht="14.25" customHeight="1" x14ac:dyDescent="0.3">
      <c r="A36" s="7">
        <v>5515</v>
      </c>
      <c r="B36" s="7" t="s">
        <v>1686</v>
      </c>
      <c r="C36" s="7"/>
      <c r="D36" s="7"/>
      <c r="E36" s="7"/>
      <c r="F36" s="7"/>
    </row>
    <row r="37" spans="1:6" ht="14.25" customHeight="1" x14ac:dyDescent="0.3">
      <c r="A37" s="7">
        <v>5516</v>
      </c>
      <c r="B37" s="7" t="s">
        <v>1687</v>
      </c>
      <c r="C37" s="7"/>
      <c r="D37" s="7"/>
      <c r="E37" s="7"/>
      <c r="F37" s="7"/>
    </row>
    <row r="38" spans="1:6" ht="14.25" customHeight="1" x14ac:dyDescent="0.3">
      <c r="A38" s="7">
        <v>5611</v>
      </c>
      <c r="B38" s="7" t="s">
        <v>1688</v>
      </c>
      <c r="C38" s="7"/>
      <c r="D38" s="7"/>
      <c r="E38" s="7"/>
      <c r="F38" s="7"/>
    </row>
    <row r="39" spans="1:6" ht="14.25" customHeight="1" x14ac:dyDescent="0.3">
      <c r="A39" s="7">
        <v>5612</v>
      </c>
      <c r="B39" s="7" t="s">
        <v>1689</v>
      </c>
      <c r="C39" s="7"/>
      <c r="D39" s="7"/>
      <c r="E39" s="7"/>
      <c r="F39" s="7"/>
    </row>
    <row r="40" spans="1:6" ht="14.25" customHeight="1" x14ac:dyDescent="0.3">
      <c r="A40" s="7">
        <v>5613</v>
      </c>
      <c r="B40" s="7" t="s">
        <v>1690</v>
      </c>
      <c r="C40" s="7"/>
      <c r="D40" s="7"/>
      <c r="E40" s="7"/>
      <c r="F40" s="7"/>
    </row>
    <row r="41" spans="1:6" ht="14.25" customHeight="1" x14ac:dyDescent="0.3">
      <c r="A41" s="7">
        <v>5616</v>
      </c>
      <c r="B41" s="7" t="s">
        <v>1691</v>
      </c>
      <c r="C41" s="7"/>
      <c r="D41" s="7"/>
      <c r="E41" s="7"/>
      <c r="F41" s="7"/>
    </row>
    <row r="42" spans="1:6" ht="14.25" customHeight="1" x14ac:dyDescent="0.3">
      <c r="A42" s="7">
        <v>5617</v>
      </c>
      <c r="B42" s="7" t="s">
        <v>1692</v>
      </c>
      <c r="C42" s="7"/>
      <c r="D42" s="7"/>
      <c r="E42" s="7"/>
      <c r="F42" s="7"/>
    </row>
    <row r="43" spans="1:6" ht="14.25" customHeight="1" x14ac:dyDescent="0.3">
      <c r="A43" s="7">
        <v>5618</v>
      </c>
      <c r="B43" s="7" t="s">
        <v>1693</v>
      </c>
      <c r="C43" s="7"/>
      <c r="D43" s="7"/>
      <c r="E43" s="7"/>
      <c r="F43" s="7"/>
    </row>
    <row r="44" spans="1:6" ht="14.25" customHeight="1" x14ac:dyDescent="0.3">
      <c r="A44" s="7">
        <v>5711</v>
      </c>
      <c r="B44" s="7" t="s">
        <v>1694</v>
      </c>
      <c r="C44" s="7"/>
      <c r="D44" s="7"/>
      <c r="E44" s="7"/>
      <c r="F44" s="7"/>
    </row>
    <row r="45" spans="1:6" ht="14.25" customHeight="1" x14ac:dyDescent="0.3">
      <c r="A45" s="7"/>
      <c r="B45" s="7"/>
      <c r="C45" s="7"/>
      <c r="D45" s="7"/>
      <c r="E45" s="7"/>
      <c r="F45" s="7"/>
    </row>
    <row r="46" spans="1:6" ht="14.25" customHeight="1" x14ac:dyDescent="0.3">
      <c r="A46" s="7"/>
      <c r="B46" s="7"/>
      <c r="C46" s="7"/>
      <c r="D46" s="7"/>
      <c r="E46" s="7"/>
      <c r="F46" s="7"/>
    </row>
    <row r="47" spans="1:6" ht="14.25" customHeight="1" x14ac:dyDescent="0.3">
      <c r="A47" s="7"/>
      <c r="B47" s="7"/>
      <c r="C47" s="7"/>
      <c r="D47" s="7"/>
      <c r="E47" s="7"/>
      <c r="F47" s="7"/>
    </row>
    <row r="48" spans="1:6" ht="14.25" customHeight="1" x14ac:dyDescent="0.3">
      <c r="A48" s="7"/>
      <c r="B48" s="7"/>
      <c r="C48" s="7"/>
      <c r="D48" s="7"/>
      <c r="E48" s="7"/>
      <c r="F48" s="7"/>
    </row>
    <row r="49" spans="1:6" ht="14.25" customHeight="1" x14ac:dyDescent="0.3">
      <c r="A49" s="7"/>
      <c r="B49" s="7"/>
      <c r="C49" s="7"/>
      <c r="D49" s="7"/>
      <c r="E49" s="7"/>
      <c r="F49" s="7"/>
    </row>
    <row r="50" spans="1:6" ht="14.25" customHeight="1" x14ac:dyDescent="0.3">
      <c r="A50" s="7"/>
      <c r="B50" s="7"/>
      <c r="C50" s="7"/>
      <c r="D50" s="7"/>
      <c r="E50" s="7"/>
      <c r="F50" s="7"/>
    </row>
    <row r="51" spans="1:6" ht="14.25" customHeight="1" x14ac:dyDescent="0.3">
      <c r="A51" s="7"/>
      <c r="B51" s="7"/>
      <c r="C51" s="7"/>
      <c r="D51" s="7"/>
      <c r="E51" s="7"/>
      <c r="F51" s="7"/>
    </row>
    <row r="52" spans="1:6" ht="14.25" customHeight="1" x14ac:dyDescent="0.3">
      <c r="A52" s="7"/>
      <c r="B52" s="7"/>
      <c r="C52" s="7"/>
      <c r="D52" s="7"/>
      <c r="E52" s="7"/>
      <c r="F52" s="7"/>
    </row>
    <row r="53" spans="1:6" ht="14.25" customHeight="1" x14ac:dyDescent="0.3">
      <c r="A53" s="7"/>
      <c r="B53" s="7"/>
      <c r="C53" s="7"/>
      <c r="D53" s="7"/>
      <c r="E53" s="7"/>
      <c r="F53" s="7"/>
    </row>
    <row r="54" spans="1:6" ht="14.25" customHeight="1" x14ac:dyDescent="0.3">
      <c r="A54" s="7"/>
      <c r="B54" s="7"/>
      <c r="C54" s="7"/>
      <c r="D54" s="7"/>
      <c r="E54" s="7"/>
      <c r="F54" s="7"/>
    </row>
    <row r="55" spans="1:6" ht="14.25" customHeight="1" x14ac:dyDescent="0.3">
      <c r="A55" s="7"/>
      <c r="B55" s="7"/>
      <c r="C55" s="7"/>
      <c r="D55" s="7"/>
      <c r="E55" s="7"/>
      <c r="F55" s="7"/>
    </row>
    <row r="56" spans="1:6" ht="14.25" customHeight="1" x14ac:dyDescent="0.3">
      <c r="A56" s="7"/>
      <c r="B56" s="7"/>
      <c r="C56" s="7"/>
      <c r="D56" s="7"/>
      <c r="E56" s="7"/>
      <c r="F56" s="7"/>
    </row>
    <row r="57" spans="1:6" ht="14.25" customHeight="1" x14ac:dyDescent="0.3">
      <c r="A57" s="7"/>
      <c r="B57" s="7"/>
      <c r="C57" s="7"/>
      <c r="D57" s="7"/>
      <c r="E57" s="7"/>
      <c r="F57" s="7"/>
    </row>
    <row r="58" spans="1:6" ht="14.25" customHeight="1" x14ac:dyDescent="0.3">
      <c r="A58" s="7"/>
      <c r="B58" s="7"/>
      <c r="C58" s="7"/>
      <c r="D58" s="7"/>
      <c r="E58" s="7"/>
      <c r="F58" s="7"/>
    </row>
    <row r="59" spans="1:6" ht="14.25" customHeight="1" x14ac:dyDescent="0.3">
      <c r="A59" s="7"/>
      <c r="B59" s="7"/>
      <c r="C59" s="7"/>
      <c r="D59" s="7"/>
      <c r="E59" s="7"/>
      <c r="F59" s="7"/>
    </row>
    <row r="60" spans="1:6" ht="14.25" customHeight="1" x14ac:dyDescent="0.3">
      <c r="A60" s="7"/>
      <c r="B60" s="7"/>
      <c r="C60" s="7"/>
      <c r="D60" s="7"/>
      <c r="E60" s="7"/>
      <c r="F60" s="7"/>
    </row>
    <row r="61" spans="1:6" ht="14.25" customHeight="1" x14ac:dyDescent="0.3">
      <c r="A61" s="7"/>
      <c r="B61" s="7"/>
      <c r="C61" s="7"/>
      <c r="D61" s="7"/>
      <c r="E61" s="7"/>
      <c r="F61" s="7"/>
    </row>
    <row r="62" spans="1:6" ht="14.25" customHeight="1" x14ac:dyDescent="0.3">
      <c r="A62" s="7"/>
      <c r="B62" s="7"/>
      <c r="C62" s="7"/>
      <c r="D62" s="7"/>
      <c r="E62" s="7"/>
      <c r="F62" s="7"/>
    </row>
    <row r="63" spans="1:6" ht="14.25" customHeight="1" x14ac:dyDescent="0.3">
      <c r="A63" s="7"/>
      <c r="B63" s="7"/>
      <c r="C63" s="7"/>
      <c r="D63" s="7"/>
      <c r="E63" s="7"/>
      <c r="F63" s="7"/>
    </row>
    <row r="64" spans="1:6" ht="14.25" customHeight="1" x14ac:dyDescent="0.3">
      <c r="A64" s="7"/>
      <c r="B64" s="7"/>
      <c r="C64" s="7"/>
      <c r="D64" s="7"/>
      <c r="E64" s="7"/>
      <c r="F64" s="7"/>
    </row>
    <row r="65" spans="1:6" ht="14.25" customHeight="1" x14ac:dyDescent="0.3">
      <c r="A65" s="7"/>
      <c r="B65" s="7"/>
      <c r="C65" s="7"/>
      <c r="D65" s="7"/>
      <c r="E65" s="7"/>
      <c r="F65" s="7"/>
    </row>
    <row r="66" spans="1:6" ht="14.25" customHeight="1" x14ac:dyDescent="0.3">
      <c r="A66" s="7"/>
      <c r="B66" s="7"/>
      <c r="C66" s="7"/>
      <c r="D66" s="7"/>
      <c r="E66" s="7"/>
      <c r="F66" s="7"/>
    </row>
    <row r="67" spans="1:6" ht="14.25" customHeight="1" x14ac:dyDescent="0.3">
      <c r="A67" s="7"/>
      <c r="B67" s="7"/>
      <c r="C67" s="7"/>
      <c r="D67" s="7"/>
      <c r="E67" s="7"/>
      <c r="F67" s="7"/>
    </row>
    <row r="68" spans="1:6" ht="14.25" customHeight="1" x14ac:dyDescent="0.3">
      <c r="A68" s="7"/>
      <c r="B68" s="7"/>
      <c r="C68" s="7"/>
      <c r="D68" s="7"/>
      <c r="E68" s="7"/>
      <c r="F68" s="7"/>
    </row>
    <row r="69" spans="1:6" ht="14.25" customHeight="1" x14ac:dyDescent="0.3">
      <c r="A69" s="7"/>
      <c r="B69" s="7"/>
      <c r="C69" s="7"/>
      <c r="D69" s="7"/>
      <c r="E69" s="7"/>
      <c r="F69" s="7"/>
    </row>
    <row r="70" spans="1:6" ht="14.25" customHeight="1" x14ac:dyDescent="0.3">
      <c r="A70" s="7"/>
      <c r="B70" s="7"/>
      <c r="C70" s="7"/>
      <c r="D70" s="7"/>
      <c r="E70" s="7"/>
      <c r="F70" s="7"/>
    </row>
    <row r="71" spans="1:6" ht="14.25" customHeight="1" x14ac:dyDescent="0.3">
      <c r="A71" s="7"/>
      <c r="B71" s="7"/>
      <c r="C71" s="7"/>
      <c r="D71" s="7"/>
      <c r="E71" s="7"/>
      <c r="F71" s="7"/>
    </row>
    <row r="72" spans="1:6" ht="14.25" customHeight="1" x14ac:dyDescent="0.3">
      <c r="A72" s="7"/>
      <c r="B72" s="7"/>
      <c r="C72" s="7"/>
      <c r="D72" s="7"/>
      <c r="E72" s="7"/>
      <c r="F72" s="7"/>
    </row>
    <row r="73" spans="1:6" ht="14.25" customHeight="1" x14ac:dyDescent="0.3">
      <c r="A73" s="7"/>
      <c r="B73" s="7"/>
      <c r="C73" s="7"/>
      <c r="D73" s="7"/>
      <c r="E73" s="7"/>
      <c r="F73" s="7"/>
    </row>
    <row r="74" spans="1:6" ht="14.25" customHeight="1" x14ac:dyDescent="0.3">
      <c r="A74" s="7"/>
      <c r="B74" s="7"/>
      <c r="C74" s="7"/>
      <c r="D74" s="7"/>
      <c r="E74" s="7"/>
      <c r="F74" s="7"/>
    </row>
    <row r="75" spans="1:6" ht="14.25" customHeight="1" x14ac:dyDescent="0.3">
      <c r="A75" s="7"/>
      <c r="B75" s="7"/>
      <c r="C75" s="7"/>
      <c r="D75" s="7"/>
      <c r="E75" s="7"/>
      <c r="F75" s="7"/>
    </row>
    <row r="76" spans="1:6" ht="14.25" customHeight="1" x14ac:dyDescent="0.3">
      <c r="A76" s="7"/>
      <c r="B76" s="7"/>
      <c r="C76" s="7"/>
      <c r="D76" s="7"/>
      <c r="E76" s="7"/>
      <c r="F76" s="7"/>
    </row>
    <row r="77" spans="1:6" ht="14.25" customHeight="1" x14ac:dyDescent="0.3">
      <c r="A77" s="7"/>
      <c r="B77" s="7"/>
      <c r="C77" s="7"/>
      <c r="D77" s="7"/>
      <c r="E77" s="7"/>
      <c r="F77" s="7"/>
    </row>
    <row r="78" spans="1:6" ht="14.25" customHeight="1" x14ac:dyDescent="0.3">
      <c r="A78" s="7"/>
      <c r="B78" s="7"/>
      <c r="C78" s="7"/>
      <c r="D78" s="7"/>
      <c r="E78" s="7"/>
      <c r="F78" s="7"/>
    </row>
    <row r="79" spans="1:6" ht="14.25" customHeight="1" x14ac:dyDescent="0.3">
      <c r="A79" s="7"/>
      <c r="B79" s="7"/>
      <c r="C79" s="7"/>
      <c r="D79" s="7"/>
      <c r="E79" s="7"/>
      <c r="F79" s="7"/>
    </row>
    <row r="80" spans="1:6" ht="14.25" customHeight="1" x14ac:dyDescent="0.3">
      <c r="A80" s="7"/>
      <c r="B80" s="7"/>
      <c r="C80" s="7"/>
      <c r="D80" s="7"/>
      <c r="E80" s="7"/>
      <c r="F80" s="7"/>
    </row>
    <row r="81" spans="1:6" ht="14.25" customHeight="1" x14ac:dyDescent="0.3">
      <c r="A81" s="7"/>
      <c r="B81" s="7"/>
      <c r="C81" s="7"/>
      <c r="D81" s="7"/>
      <c r="E81" s="7"/>
      <c r="F81" s="7"/>
    </row>
    <row r="82" spans="1:6" ht="14.25" customHeight="1" x14ac:dyDescent="0.3">
      <c r="A82" s="7"/>
      <c r="B82" s="7"/>
      <c r="C82" s="7"/>
      <c r="D82" s="7"/>
      <c r="E82" s="7"/>
      <c r="F82" s="7"/>
    </row>
    <row r="83" spans="1:6" ht="14.25" customHeight="1" x14ac:dyDescent="0.3">
      <c r="A83" s="7"/>
      <c r="B83" s="7"/>
      <c r="C83" s="7"/>
      <c r="D83" s="7"/>
      <c r="E83" s="7"/>
      <c r="F83" s="7"/>
    </row>
    <row r="84" spans="1:6" ht="14.25" customHeight="1" x14ac:dyDescent="0.3">
      <c r="A84" s="7"/>
      <c r="B84" s="7"/>
      <c r="C84" s="7"/>
      <c r="D84" s="7"/>
      <c r="E84" s="7"/>
      <c r="F84" s="7"/>
    </row>
    <row r="85" spans="1:6" ht="14.25" customHeight="1" x14ac:dyDescent="0.3">
      <c r="A85" s="7"/>
      <c r="B85" s="7"/>
      <c r="C85" s="7"/>
      <c r="D85" s="7"/>
      <c r="E85" s="7"/>
      <c r="F85" s="7"/>
    </row>
    <row r="86" spans="1:6" ht="14.25" customHeight="1" x14ac:dyDescent="0.3">
      <c r="A86" s="7"/>
      <c r="B86" s="7"/>
      <c r="C86" s="7"/>
      <c r="D86" s="7"/>
      <c r="E86" s="7"/>
      <c r="F86" s="7"/>
    </row>
    <row r="87" spans="1:6" ht="14.25" customHeight="1" x14ac:dyDescent="0.3">
      <c r="A87" s="7"/>
      <c r="B87" s="7"/>
      <c r="C87" s="7"/>
      <c r="D87" s="7"/>
      <c r="E87" s="7"/>
      <c r="F87" s="7"/>
    </row>
    <row r="88" spans="1:6" ht="14.25" customHeight="1" x14ac:dyDescent="0.3">
      <c r="A88" s="7"/>
      <c r="B88" s="7"/>
      <c r="C88" s="7"/>
      <c r="D88" s="7"/>
      <c r="E88" s="7"/>
      <c r="F88" s="7"/>
    </row>
    <row r="89" spans="1:6" ht="14.25" customHeight="1" x14ac:dyDescent="0.3">
      <c r="A89" s="7"/>
      <c r="B89" s="7"/>
      <c r="C89" s="7"/>
      <c r="D89" s="7"/>
      <c r="E89" s="7"/>
      <c r="F89" s="7"/>
    </row>
    <row r="90" spans="1:6" ht="14.25" customHeight="1" x14ac:dyDescent="0.3">
      <c r="A90" s="7"/>
      <c r="B90" s="7"/>
      <c r="C90" s="7"/>
      <c r="D90" s="7"/>
      <c r="E90" s="7"/>
      <c r="F90" s="7"/>
    </row>
    <row r="91" spans="1:6" ht="14.25" customHeight="1" x14ac:dyDescent="0.3">
      <c r="A91" s="7"/>
      <c r="B91" s="7"/>
      <c r="C91" s="7"/>
      <c r="D91" s="7"/>
      <c r="E91" s="7"/>
      <c r="F91" s="7"/>
    </row>
    <row r="92" spans="1:6" ht="14.25" customHeight="1" x14ac:dyDescent="0.3">
      <c r="A92" s="7"/>
      <c r="B92" s="7"/>
      <c r="C92" s="7"/>
      <c r="D92" s="7"/>
      <c r="E92" s="7"/>
      <c r="F92" s="7"/>
    </row>
    <row r="93" spans="1:6" ht="14.25" customHeight="1" x14ac:dyDescent="0.3">
      <c r="A93" s="7"/>
      <c r="B93" s="7"/>
      <c r="C93" s="7"/>
      <c r="D93" s="7"/>
      <c r="E93" s="7"/>
      <c r="F93" s="7"/>
    </row>
    <row r="94" spans="1:6" ht="14.25" customHeight="1" x14ac:dyDescent="0.3">
      <c r="A94" s="7"/>
      <c r="B94" s="7"/>
      <c r="C94" s="7"/>
      <c r="D94" s="7"/>
      <c r="E94" s="7"/>
      <c r="F94" s="7"/>
    </row>
    <row r="95" spans="1:6" ht="14.25" customHeight="1" x14ac:dyDescent="0.3">
      <c r="A95" s="7"/>
      <c r="B95" s="7"/>
      <c r="C95" s="7"/>
      <c r="D95" s="7"/>
      <c r="E95" s="7"/>
      <c r="F95" s="7"/>
    </row>
    <row r="96" spans="1:6" ht="14.25" customHeight="1" x14ac:dyDescent="0.3">
      <c r="A96" s="7"/>
      <c r="B96" s="7"/>
      <c r="C96" s="7"/>
      <c r="D96" s="7"/>
      <c r="E96" s="7"/>
      <c r="F96" s="7"/>
    </row>
    <row r="97" spans="1:6" ht="14.25" customHeight="1" x14ac:dyDescent="0.3">
      <c r="A97" s="7"/>
      <c r="B97" s="7"/>
      <c r="C97" s="7"/>
      <c r="D97" s="7"/>
      <c r="E97" s="7"/>
      <c r="F97" s="7"/>
    </row>
    <row r="98" spans="1:6" ht="14.25" customHeight="1" x14ac:dyDescent="0.3">
      <c r="A98" s="7"/>
      <c r="B98" s="7"/>
      <c r="C98" s="7"/>
      <c r="D98" s="7"/>
      <c r="E98" s="7"/>
      <c r="F98" s="7"/>
    </row>
    <row r="99" spans="1:6" ht="14.25" customHeight="1" x14ac:dyDescent="0.3">
      <c r="A99" s="7"/>
      <c r="B99" s="7"/>
      <c r="C99" s="7"/>
      <c r="D99" s="7"/>
      <c r="E99" s="7"/>
      <c r="F99" s="7"/>
    </row>
    <row r="100" spans="1:6" ht="14.25" customHeight="1" x14ac:dyDescent="0.3">
      <c r="A100" s="7"/>
      <c r="B100" s="7"/>
      <c r="C100" s="7"/>
      <c r="D100" s="7"/>
      <c r="E100" s="7"/>
      <c r="F100" s="7"/>
    </row>
    <row r="101" spans="1:6" ht="14.25" customHeight="1" x14ac:dyDescent="0.3">
      <c r="A101" s="7"/>
      <c r="B101" s="7"/>
      <c r="C101" s="7"/>
      <c r="D101" s="7"/>
      <c r="E101" s="7"/>
      <c r="F101" s="7"/>
    </row>
    <row r="102" spans="1:6" ht="14.25" customHeight="1" x14ac:dyDescent="0.3">
      <c r="A102" s="7"/>
      <c r="B102" s="7"/>
      <c r="C102" s="7"/>
      <c r="D102" s="7"/>
      <c r="E102" s="7"/>
      <c r="F102" s="7"/>
    </row>
    <row r="103" spans="1:6" ht="14.25" customHeight="1" x14ac:dyDescent="0.3">
      <c r="A103" s="7"/>
      <c r="B103" s="7"/>
      <c r="C103" s="7"/>
      <c r="D103" s="7"/>
      <c r="E103" s="7"/>
      <c r="F103" s="7"/>
    </row>
    <row r="104" spans="1:6" ht="14.25" customHeight="1" x14ac:dyDescent="0.3">
      <c r="A104" s="7"/>
      <c r="B104" s="7"/>
      <c r="C104" s="7"/>
      <c r="D104" s="7"/>
      <c r="E104" s="7"/>
      <c r="F104" s="7"/>
    </row>
    <row r="105" spans="1:6" ht="14.25" customHeight="1" x14ac:dyDescent="0.3">
      <c r="A105" s="7"/>
      <c r="B105" s="7"/>
      <c r="C105" s="7"/>
      <c r="D105" s="7"/>
      <c r="E105" s="7"/>
      <c r="F105" s="7"/>
    </row>
    <row r="106" spans="1:6" ht="14.25" customHeight="1" x14ac:dyDescent="0.3">
      <c r="A106" s="7"/>
      <c r="B106" s="7"/>
      <c r="C106" s="7"/>
      <c r="D106" s="7"/>
      <c r="E106" s="7"/>
      <c r="F106" s="7"/>
    </row>
    <row r="107" spans="1:6" ht="14.25" customHeight="1" x14ac:dyDescent="0.3">
      <c r="A107" s="7"/>
      <c r="B107" s="7"/>
      <c r="C107" s="7"/>
      <c r="D107" s="7"/>
      <c r="E107" s="7"/>
      <c r="F107" s="7"/>
    </row>
    <row r="108" spans="1:6" ht="14.25" customHeight="1" x14ac:dyDescent="0.3">
      <c r="A108" s="7"/>
      <c r="B108" s="7"/>
      <c r="C108" s="7"/>
      <c r="D108" s="7"/>
      <c r="E108" s="7"/>
      <c r="F108" s="7"/>
    </row>
    <row r="109" spans="1:6" ht="14.25" customHeight="1" x14ac:dyDescent="0.3">
      <c r="A109" s="7"/>
      <c r="B109" s="7"/>
      <c r="C109" s="7"/>
      <c r="D109" s="7"/>
      <c r="E109" s="7"/>
      <c r="F109" s="7"/>
    </row>
    <row r="110" spans="1:6" ht="14.25" customHeight="1" x14ac:dyDescent="0.3">
      <c r="A110" s="7"/>
      <c r="B110" s="7"/>
      <c r="C110" s="7"/>
      <c r="D110" s="7"/>
      <c r="E110" s="7"/>
      <c r="F110" s="7"/>
    </row>
    <row r="111" spans="1:6" ht="14.25" customHeight="1" x14ac:dyDescent="0.3">
      <c r="A111" s="7"/>
      <c r="B111" s="7"/>
      <c r="C111" s="7"/>
      <c r="D111" s="7"/>
      <c r="E111" s="7"/>
      <c r="F111" s="7"/>
    </row>
    <row r="112" spans="1:6" ht="14.25" customHeight="1" x14ac:dyDescent="0.3">
      <c r="A112" s="7"/>
      <c r="B112" s="7"/>
      <c r="C112" s="7"/>
      <c r="D112" s="7"/>
      <c r="E112" s="7"/>
      <c r="F112" s="7"/>
    </row>
    <row r="113" spans="1:6" ht="14.25" customHeight="1" x14ac:dyDescent="0.3">
      <c r="A113" s="7"/>
      <c r="B113" s="7"/>
      <c r="C113" s="7"/>
      <c r="D113" s="7"/>
      <c r="E113" s="7"/>
      <c r="F113" s="7"/>
    </row>
    <row r="114" spans="1:6" ht="14.25" customHeight="1" x14ac:dyDescent="0.3">
      <c r="A114" s="7"/>
      <c r="B114" s="7"/>
      <c r="C114" s="7"/>
      <c r="D114" s="7"/>
      <c r="E114" s="7"/>
      <c r="F114" s="7"/>
    </row>
    <row r="115" spans="1:6" ht="14.25" customHeight="1" x14ac:dyDescent="0.3">
      <c r="A115" s="7"/>
      <c r="B115" s="7"/>
      <c r="C115" s="7"/>
      <c r="D115" s="7"/>
      <c r="E115" s="7"/>
      <c r="F115" s="7"/>
    </row>
    <row r="116" spans="1:6" ht="14.25" customHeight="1" x14ac:dyDescent="0.3">
      <c r="A116" s="7"/>
      <c r="B116" s="7"/>
      <c r="C116" s="7"/>
      <c r="D116" s="7"/>
      <c r="E116" s="7"/>
      <c r="F116" s="7"/>
    </row>
    <row r="117" spans="1:6" ht="14.25" customHeight="1" x14ac:dyDescent="0.3">
      <c r="A117" s="7"/>
      <c r="B117" s="7"/>
      <c r="C117" s="7"/>
      <c r="D117" s="7"/>
      <c r="E117" s="7"/>
      <c r="F117" s="7"/>
    </row>
    <row r="118" spans="1:6" ht="14.25" customHeight="1" x14ac:dyDescent="0.3">
      <c r="A118" s="7"/>
      <c r="B118" s="7"/>
      <c r="C118" s="7"/>
      <c r="D118" s="7"/>
      <c r="E118" s="7"/>
      <c r="F118" s="7"/>
    </row>
    <row r="119" spans="1:6" ht="14.25" customHeight="1" x14ac:dyDescent="0.3">
      <c r="A119" s="7"/>
      <c r="B119" s="7"/>
      <c r="C119" s="7"/>
      <c r="D119" s="7"/>
      <c r="E119" s="7"/>
      <c r="F119" s="7"/>
    </row>
    <row r="120" spans="1:6" ht="14.25" customHeight="1" x14ac:dyDescent="0.3">
      <c r="A120" s="7"/>
      <c r="B120" s="7"/>
      <c r="C120" s="7"/>
      <c r="D120" s="7"/>
      <c r="E120" s="7"/>
      <c r="F120" s="7"/>
    </row>
    <row r="121" spans="1:6" ht="14.25" customHeight="1" x14ac:dyDescent="0.3">
      <c r="A121" s="7"/>
      <c r="B121" s="7"/>
      <c r="C121" s="7"/>
      <c r="D121" s="7"/>
      <c r="E121" s="7"/>
      <c r="F121" s="7"/>
    </row>
    <row r="122" spans="1:6" ht="14.25" customHeight="1" x14ac:dyDescent="0.3">
      <c r="A122" s="7"/>
      <c r="B122" s="7"/>
      <c r="C122" s="7"/>
      <c r="D122" s="7"/>
      <c r="E122" s="7"/>
      <c r="F122" s="7"/>
    </row>
    <row r="123" spans="1:6" ht="14.25" customHeight="1" x14ac:dyDescent="0.3">
      <c r="A123" s="7"/>
      <c r="B123" s="7"/>
      <c r="C123" s="7"/>
      <c r="D123" s="7"/>
      <c r="E123" s="7"/>
      <c r="F123" s="7"/>
    </row>
    <row r="124" spans="1:6" ht="14.25" customHeight="1" x14ac:dyDescent="0.3">
      <c r="A124" s="7"/>
      <c r="B124" s="7"/>
      <c r="C124" s="7"/>
      <c r="D124" s="7"/>
      <c r="E124" s="7"/>
      <c r="F124" s="7"/>
    </row>
    <row r="125" spans="1:6" ht="14.25" customHeight="1" x14ac:dyDescent="0.3">
      <c r="A125" s="7"/>
      <c r="B125" s="7"/>
      <c r="C125" s="7"/>
      <c r="D125" s="7"/>
      <c r="E125" s="7"/>
      <c r="F125" s="7"/>
    </row>
    <row r="126" spans="1:6" ht="14.25" customHeight="1" x14ac:dyDescent="0.3">
      <c r="A126" s="7"/>
      <c r="B126" s="7"/>
      <c r="C126" s="7"/>
      <c r="D126" s="7"/>
      <c r="E126" s="7"/>
      <c r="F126" s="7"/>
    </row>
    <row r="127" spans="1:6" ht="14.25" customHeight="1" x14ac:dyDescent="0.3">
      <c r="A127" s="7"/>
      <c r="B127" s="7"/>
      <c r="C127" s="7"/>
      <c r="D127" s="7"/>
      <c r="E127" s="7"/>
      <c r="F127" s="7"/>
    </row>
    <row r="128" spans="1:6" ht="14.25" customHeight="1" x14ac:dyDescent="0.3">
      <c r="A128" s="7"/>
      <c r="B128" s="7"/>
      <c r="C128" s="7"/>
      <c r="D128" s="7"/>
      <c r="E128" s="7"/>
      <c r="F128" s="7"/>
    </row>
    <row r="129" spans="1:6" ht="14.25" customHeight="1" x14ac:dyDescent="0.3">
      <c r="A129" s="7"/>
      <c r="B129" s="7"/>
      <c r="C129" s="7"/>
      <c r="D129" s="7"/>
      <c r="E129" s="7"/>
      <c r="F129" s="7"/>
    </row>
    <row r="130" spans="1:6" ht="14.25" customHeight="1" x14ac:dyDescent="0.3">
      <c r="A130" s="7"/>
      <c r="B130" s="7"/>
      <c r="C130" s="7"/>
      <c r="D130" s="7"/>
      <c r="E130" s="7"/>
      <c r="F130" s="7"/>
    </row>
    <row r="131" spans="1:6" ht="14.25" customHeight="1" x14ac:dyDescent="0.3">
      <c r="A131" s="7"/>
      <c r="B131" s="7"/>
      <c r="C131" s="7"/>
      <c r="D131" s="7"/>
      <c r="E131" s="7"/>
      <c r="F131" s="7"/>
    </row>
    <row r="132" spans="1:6" ht="14.25" customHeight="1" x14ac:dyDescent="0.3">
      <c r="A132" s="7"/>
      <c r="B132" s="7"/>
      <c r="C132" s="7"/>
      <c r="D132" s="7"/>
      <c r="E132" s="7"/>
      <c r="F132" s="7"/>
    </row>
    <row r="133" spans="1:6" ht="14.25" customHeight="1" x14ac:dyDescent="0.3">
      <c r="A133" s="7"/>
      <c r="B133" s="7"/>
      <c r="C133" s="7"/>
      <c r="D133" s="7"/>
      <c r="E133" s="7"/>
      <c r="F133" s="7"/>
    </row>
    <row r="134" spans="1:6" ht="14.25" customHeight="1" x14ac:dyDescent="0.3">
      <c r="A134" s="7"/>
      <c r="B134" s="7"/>
      <c r="C134" s="7"/>
      <c r="D134" s="7"/>
      <c r="E134" s="7"/>
      <c r="F134" s="7"/>
    </row>
    <row r="135" spans="1:6" ht="14.25" customHeight="1" x14ac:dyDescent="0.3">
      <c r="A135" s="7"/>
      <c r="B135" s="7"/>
      <c r="C135" s="7"/>
      <c r="D135" s="7"/>
      <c r="E135" s="7"/>
      <c r="F135" s="7"/>
    </row>
    <row r="136" spans="1:6" ht="14.25" customHeight="1" x14ac:dyDescent="0.3">
      <c r="A136" s="7"/>
      <c r="B136" s="7"/>
      <c r="C136" s="7"/>
      <c r="D136" s="7"/>
      <c r="E136" s="7"/>
      <c r="F136" s="7"/>
    </row>
    <row r="137" spans="1:6" ht="14.25" customHeight="1" x14ac:dyDescent="0.3">
      <c r="A137" s="7"/>
      <c r="B137" s="7"/>
      <c r="C137" s="7"/>
      <c r="D137" s="7"/>
      <c r="E137" s="7"/>
      <c r="F137" s="7"/>
    </row>
    <row r="138" spans="1:6" ht="14.25" customHeight="1" x14ac:dyDescent="0.3">
      <c r="A138" s="7"/>
      <c r="B138" s="7"/>
      <c r="C138" s="7"/>
      <c r="D138" s="7"/>
      <c r="E138" s="7"/>
      <c r="F138" s="7"/>
    </row>
    <row r="139" spans="1:6" ht="14.25" customHeight="1" x14ac:dyDescent="0.3">
      <c r="A139" s="7"/>
      <c r="B139" s="7"/>
      <c r="C139" s="7"/>
      <c r="D139" s="7"/>
      <c r="E139" s="7"/>
      <c r="F139" s="7"/>
    </row>
    <row r="140" spans="1:6" ht="14.25" customHeight="1" x14ac:dyDescent="0.3">
      <c r="A140" s="7"/>
      <c r="B140" s="7"/>
      <c r="C140" s="7"/>
      <c r="D140" s="7"/>
      <c r="E140" s="7"/>
      <c r="F140" s="7"/>
    </row>
    <row r="141" spans="1:6" ht="14.25" customHeight="1" x14ac:dyDescent="0.3">
      <c r="A141" s="7"/>
      <c r="B141" s="7"/>
      <c r="C141" s="7"/>
      <c r="D141" s="7"/>
      <c r="E141" s="7"/>
      <c r="F141" s="7"/>
    </row>
    <row r="142" spans="1:6" ht="14.25" customHeight="1" x14ac:dyDescent="0.3">
      <c r="A142" s="7"/>
      <c r="B142" s="7"/>
      <c r="C142" s="7"/>
      <c r="D142" s="7"/>
      <c r="E142" s="7"/>
      <c r="F142" s="7"/>
    </row>
    <row r="143" spans="1:6" ht="14.25" customHeight="1" x14ac:dyDescent="0.3">
      <c r="A143" s="7"/>
      <c r="B143" s="7"/>
      <c r="C143" s="7"/>
      <c r="D143" s="7"/>
      <c r="E143" s="7"/>
      <c r="F143" s="7"/>
    </row>
    <row r="144" spans="1:6" ht="14.25" customHeight="1" x14ac:dyDescent="0.3">
      <c r="A144" s="7"/>
      <c r="B144" s="7"/>
      <c r="C144" s="7"/>
      <c r="D144" s="7"/>
      <c r="E144" s="7"/>
      <c r="F144" s="7"/>
    </row>
    <row r="145" spans="1:6" ht="14.25" customHeight="1" x14ac:dyDescent="0.3">
      <c r="A145" s="7"/>
      <c r="B145" s="7"/>
      <c r="C145" s="7"/>
      <c r="D145" s="7"/>
      <c r="E145" s="7"/>
      <c r="F145" s="7"/>
    </row>
    <row r="146" spans="1:6" ht="14.25" customHeight="1" x14ac:dyDescent="0.3">
      <c r="A146" s="7"/>
      <c r="B146" s="7"/>
      <c r="C146" s="7"/>
      <c r="D146" s="7"/>
      <c r="E146" s="7"/>
      <c r="F146" s="7"/>
    </row>
    <row r="147" spans="1:6" ht="14.25" customHeight="1" x14ac:dyDescent="0.3">
      <c r="A147" s="7"/>
      <c r="B147" s="7"/>
      <c r="C147" s="7"/>
      <c r="D147" s="7"/>
      <c r="E147" s="7"/>
      <c r="F147" s="7"/>
    </row>
    <row r="148" spans="1:6" ht="14.25" customHeight="1" x14ac:dyDescent="0.3">
      <c r="A148" s="7"/>
      <c r="B148" s="7"/>
      <c r="C148" s="7"/>
      <c r="D148" s="7"/>
      <c r="E148" s="7"/>
      <c r="F148" s="7"/>
    </row>
    <row r="149" spans="1:6" ht="14.25" customHeight="1" x14ac:dyDescent="0.3">
      <c r="A149" s="7"/>
      <c r="B149" s="7"/>
      <c r="C149" s="7"/>
      <c r="D149" s="7"/>
      <c r="E149" s="7"/>
      <c r="F149" s="7"/>
    </row>
    <row r="150" spans="1:6" ht="14.25" customHeight="1" x14ac:dyDescent="0.3">
      <c r="A150" s="7"/>
      <c r="B150" s="7"/>
      <c r="C150" s="7"/>
      <c r="D150" s="7"/>
      <c r="E150" s="7"/>
      <c r="F150" s="7"/>
    </row>
    <row r="151" spans="1:6" ht="14.25" customHeight="1" x14ac:dyDescent="0.3">
      <c r="A151" s="7"/>
      <c r="B151" s="7"/>
      <c r="C151" s="7"/>
      <c r="D151" s="7"/>
      <c r="E151" s="7"/>
      <c r="F151" s="7"/>
    </row>
    <row r="152" spans="1:6" ht="14.25" customHeight="1" x14ac:dyDescent="0.3">
      <c r="A152" s="7"/>
      <c r="B152" s="7"/>
      <c r="C152" s="7"/>
      <c r="D152" s="7"/>
      <c r="E152" s="7"/>
      <c r="F152" s="7"/>
    </row>
    <row r="153" spans="1:6" ht="14.25" customHeight="1" x14ac:dyDescent="0.3">
      <c r="A153" s="7"/>
      <c r="B153" s="7"/>
      <c r="C153" s="7"/>
      <c r="D153" s="7"/>
      <c r="E153" s="7"/>
      <c r="F153" s="7"/>
    </row>
    <row r="154" spans="1:6" ht="14.25" customHeight="1" x14ac:dyDescent="0.3">
      <c r="A154" s="7"/>
      <c r="B154" s="7"/>
      <c r="C154" s="7"/>
      <c r="D154" s="7"/>
      <c r="E154" s="7"/>
      <c r="F154" s="7"/>
    </row>
    <row r="155" spans="1:6" ht="14.25" customHeight="1" x14ac:dyDescent="0.3">
      <c r="A155" s="7"/>
      <c r="B155" s="7"/>
      <c r="C155" s="7"/>
      <c r="D155" s="7"/>
      <c r="E155" s="7"/>
      <c r="F155" s="7"/>
    </row>
    <row r="156" spans="1:6" ht="14.25" customHeight="1" x14ac:dyDescent="0.3">
      <c r="A156" s="7"/>
      <c r="B156" s="7"/>
      <c r="C156" s="7"/>
      <c r="D156" s="7"/>
      <c r="E156" s="7"/>
      <c r="F156" s="7"/>
    </row>
    <row r="157" spans="1:6" ht="14.25" customHeight="1" x14ac:dyDescent="0.3">
      <c r="A157" s="7"/>
      <c r="B157" s="7"/>
      <c r="C157" s="7"/>
      <c r="D157" s="7"/>
      <c r="E157" s="7"/>
      <c r="F157" s="7"/>
    </row>
    <row r="158" spans="1:6" ht="14.25" customHeight="1" x14ac:dyDescent="0.3">
      <c r="A158" s="7"/>
      <c r="B158" s="7"/>
      <c r="C158" s="7"/>
      <c r="D158" s="7"/>
      <c r="E158" s="7"/>
      <c r="F158" s="7"/>
    </row>
    <row r="159" spans="1:6" ht="14.25" customHeight="1" x14ac:dyDescent="0.3">
      <c r="A159" s="7"/>
      <c r="B159" s="7"/>
      <c r="C159" s="7"/>
      <c r="D159" s="7"/>
      <c r="E159" s="7"/>
      <c r="F159" s="7"/>
    </row>
    <row r="160" spans="1:6" ht="14.25" customHeight="1" x14ac:dyDescent="0.3">
      <c r="A160" s="7"/>
      <c r="B160" s="7"/>
      <c r="C160" s="7"/>
      <c r="D160" s="7"/>
      <c r="E160" s="7"/>
      <c r="F160" s="7"/>
    </row>
    <row r="161" spans="1:6" ht="14.25" customHeight="1" x14ac:dyDescent="0.3">
      <c r="A161" s="7"/>
      <c r="B161" s="7"/>
      <c r="C161" s="7"/>
      <c r="D161" s="7"/>
      <c r="E161" s="7"/>
      <c r="F161" s="7"/>
    </row>
    <row r="162" spans="1:6" ht="14.25" customHeight="1" x14ac:dyDescent="0.3">
      <c r="A162" s="7"/>
      <c r="B162" s="7"/>
      <c r="C162" s="7"/>
      <c r="D162" s="7"/>
      <c r="E162" s="7"/>
      <c r="F162" s="7"/>
    </row>
    <row r="163" spans="1:6" ht="14.25" customHeight="1" x14ac:dyDescent="0.3">
      <c r="A163" s="7"/>
      <c r="B163" s="7"/>
      <c r="C163" s="7"/>
      <c r="D163" s="7"/>
      <c r="E163" s="7"/>
      <c r="F163" s="7"/>
    </row>
    <row r="164" spans="1:6" ht="14.25" customHeight="1" x14ac:dyDescent="0.3">
      <c r="A164" s="7"/>
      <c r="B164" s="7"/>
      <c r="C164" s="7"/>
      <c r="D164" s="7"/>
      <c r="E164" s="7"/>
      <c r="F164" s="7"/>
    </row>
    <row r="165" spans="1:6" ht="14.25" customHeight="1" x14ac:dyDescent="0.3">
      <c r="A165" s="7"/>
      <c r="B165" s="7"/>
      <c r="C165" s="7"/>
      <c r="D165" s="7"/>
      <c r="E165" s="7"/>
      <c r="F165" s="7"/>
    </row>
    <row r="166" spans="1:6" ht="14.25" customHeight="1" x14ac:dyDescent="0.3">
      <c r="A166" s="7"/>
      <c r="B166" s="7"/>
      <c r="C166" s="7"/>
      <c r="D166" s="7"/>
      <c r="E166" s="7"/>
      <c r="F166" s="7"/>
    </row>
    <row r="167" spans="1:6" ht="14.25" customHeight="1" x14ac:dyDescent="0.3">
      <c r="A167" s="7"/>
      <c r="B167" s="7"/>
      <c r="C167" s="7"/>
      <c r="D167" s="7"/>
      <c r="E167" s="7"/>
      <c r="F167" s="7"/>
    </row>
    <row r="168" spans="1:6" ht="14.25" customHeight="1" x14ac:dyDescent="0.3">
      <c r="A168" s="7"/>
      <c r="B168" s="7"/>
      <c r="C168" s="7"/>
      <c r="D168" s="7"/>
      <c r="E168" s="7"/>
      <c r="F168" s="7"/>
    </row>
    <row r="169" spans="1:6" ht="14.25" customHeight="1" x14ac:dyDescent="0.3">
      <c r="A169" s="7"/>
      <c r="B169" s="7"/>
      <c r="C169" s="7"/>
      <c r="D169" s="7"/>
      <c r="E169" s="7"/>
      <c r="F169" s="7"/>
    </row>
    <row r="170" spans="1:6" ht="14.25" customHeight="1" x14ac:dyDescent="0.3">
      <c r="A170" s="7"/>
      <c r="B170" s="7"/>
      <c r="C170" s="7"/>
      <c r="D170" s="7"/>
      <c r="E170" s="7"/>
      <c r="F170" s="7"/>
    </row>
    <row r="171" spans="1:6" ht="14.25" customHeight="1" x14ac:dyDescent="0.3">
      <c r="A171" s="7"/>
      <c r="B171" s="7"/>
      <c r="C171" s="7"/>
      <c r="D171" s="7"/>
      <c r="E171" s="7"/>
      <c r="F171" s="7"/>
    </row>
    <row r="172" spans="1:6" ht="14.25" customHeight="1" x14ac:dyDescent="0.3">
      <c r="A172" s="7"/>
      <c r="B172" s="7"/>
      <c r="C172" s="7"/>
      <c r="D172" s="7"/>
      <c r="E172" s="7"/>
      <c r="F172" s="7"/>
    </row>
    <row r="173" spans="1:6" ht="14.25" customHeight="1" x14ac:dyDescent="0.3">
      <c r="A173" s="7"/>
      <c r="B173" s="7"/>
      <c r="C173" s="7"/>
      <c r="D173" s="7"/>
      <c r="E173" s="7"/>
      <c r="F173" s="7"/>
    </row>
    <row r="174" spans="1:6" ht="14.25" customHeight="1" x14ac:dyDescent="0.3">
      <c r="A174" s="7"/>
      <c r="B174" s="7"/>
      <c r="C174" s="7"/>
      <c r="D174" s="7"/>
      <c r="E174" s="7"/>
      <c r="F174" s="7"/>
    </row>
    <row r="175" spans="1:6" ht="14.25" customHeight="1" x14ac:dyDescent="0.3">
      <c r="A175" s="7"/>
      <c r="B175" s="7"/>
      <c r="C175" s="7"/>
      <c r="D175" s="7"/>
      <c r="E175" s="7"/>
      <c r="F175" s="7"/>
    </row>
    <row r="176" spans="1:6" ht="14.25" customHeight="1" x14ac:dyDescent="0.3">
      <c r="A176" s="7"/>
      <c r="B176" s="7"/>
      <c r="C176" s="7"/>
      <c r="D176" s="7"/>
      <c r="E176" s="7"/>
      <c r="F176" s="7"/>
    </row>
    <row r="177" spans="1:6" ht="14.25" customHeight="1" x14ac:dyDescent="0.3">
      <c r="A177" s="7"/>
      <c r="B177" s="7"/>
      <c r="C177" s="7"/>
      <c r="D177" s="7"/>
      <c r="E177" s="7"/>
      <c r="F177" s="7"/>
    </row>
    <row r="178" spans="1:6" ht="14.25" customHeight="1" x14ac:dyDescent="0.3">
      <c r="A178" s="7"/>
      <c r="B178" s="7"/>
      <c r="C178" s="7"/>
      <c r="D178" s="7"/>
      <c r="E178" s="7"/>
      <c r="F178" s="7"/>
    </row>
    <row r="179" spans="1:6" ht="14.25" customHeight="1" x14ac:dyDescent="0.3">
      <c r="A179" s="7"/>
      <c r="B179" s="7"/>
      <c r="C179" s="7"/>
      <c r="D179" s="7"/>
      <c r="E179" s="7"/>
      <c r="F179" s="7"/>
    </row>
    <row r="180" spans="1:6" ht="14.25" customHeight="1" x14ac:dyDescent="0.3">
      <c r="A180" s="7"/>
      <c r="B180" s="7"/>
      <c r="C180" s="7"/>
      <c r="D180" s="7"/>
      <c r="E180" s="7"/>
      <c r="F180" s="7"/>
    </row>
    <row r="181" spans="1:6" ht="14.25" customHeight="1" x14ac:dyDescent="0.3">
      <c r="A181" s="7"/>
      <c r="B181" s="7"/>
      <c r="C181" s="7"/>
      <c r="D181" s="7"/>
      <c r="E181" s="7"/>
      <c r="F181" s="7"/>
    </row>
    <row r="182" spans="1:6" ht="14.25" customHeight="1" x14ac:dyDescent="0.3">
      <c r="A182" s="7"/>
      <c r="B182" s="7"/>
      <c r="C182" s="7"/>
      <c r="D182" s="7"/>
      <c r="E182" s="7"/>
      <c r="F182" s="7"/>
    </row>
    <row r="183" spans="1:6" ht="14.25" customHeight="1" x14ac:dyDescent="0.3">
      <c r="A183" s="7"/>
      <c r="B183" s="7"/>
      <c r="C183" s="7"/>
      <c r="D183" s="7"/>
      <c r="E183" s="7"/>
      <c r="F183" s="7"/>
    </row>
    <row r="184" spans="1:6" ht="14.25" customHeight="1" x14ac:dyDescent="0.3">
      <c r="A184" s="7"/>
      <c r="B184" s="7"/>
      <c r="C184" s="7"/>
      <c r="D184" s="7"/>
      <c r="E184" s="7"/>
      <c r="F184" s="7"/>
    </row>
    <row r="185" spans="1:6" ht="14.25" customHeight="1" x14ac:dyDescent="0.3">
      <c r="A185" s="7"/>
      <c r="B185" s="7"/>
      <c r="C185" s="7"/>
      <c r="D185" s="7"/>
      <c r="E185" s="7"/>
      <c r="F185" s="7"/>
    </row>
    <row r="186" spans="1:6" ht="14.25" customHeight="1" x14ac:dyDescent="0.3">
      <c r="A186" s="7"/>
      <c r="B186" s="7"/>
      <c r="C186" s="7"/>
      <c r="D186" s="7"/>
      <c r="E186" s="7"/>
      <c r="F186" s="7"/>
    </row>
    <row r="187" spans="1:6" ht="14.25" customHeight="1" x14ac:dyDescent="0.3">
      <c r="A187" s="7"/>
      <c r="B187" s="7"/>
      <c r="C187" s="7"/>
      <c r="D187" s="7"/>
      <c r="E187" s="7"/>
      <c r="F187" s="7"/>
    </row>
    <row r="188" spans="1:6" ht="14.25" customHeight="1" x14ac:dyDescent="0.3">
      <c r="A188" s="7"/>
      <c r="B188" s="7"/>
      <c r="C188" s="7"/>
      <c r="D188" s="7"/>
      <c r="E188" s="7"/>
      <c r="F188" s="7"/>
    </row>
    <row r="189" spans="1:6" ht="14.25" customHeight="1" x14ac:dyDescent="0.3">
      <c r="A189" s="7"/>
      <c r="B189" s="7"/>
      <c r="C189" s="7"/>
      <c r="D189" s="7"/>
      <c r="E189" s="7"/>
      <c r="F189" s="7"/>
    </row>
    <row r="190" spans="1:6" ht="14.25" customHeight="1" x14ac:dyDescent="0.3">
      <c r="A190" s="7"/>
      <c r="B190" s="7"/>
      <c r="C190" s="7"/>
      <c r="D190" s="7"/>
      <c r="E190" s="7"/>
      <c r="F190" s="7"/>
    </row>
    <row r="191" spans="1:6" ht="14.25" customHeight="1" x14ac:dyDescent="0.3">
      <c r="A191" s="7"/>
      <c r="B191" s="7"/>
      <c r="C191" s="7"/>
      <c r="D191" s="7"/>
      <c r="E191" s="7"/>
      <c r="F191" s="7"/>
    </row>
    <row r="192" spans="1:6" ht="14.25" customHeight="1" x14ac:dyDescent="0.3">
      <c r="A192" s="7"/>
      <c r="B192" s="7"/>
      <c r="C192" s="7"/>
      <c r="D192" s="7"/>
      <c r="E192" s="7"/>
      <c r="F192" s="7"/>
    </row>
    <row r="193" spans="1:6" ht="14.25" customHeight="1" x14ac:dyDescent="0.3">
      <c r="A193" s="7"/>
      <c r="B193" s="7"/>
      <c r="C193" s="7"/>
      <c r="D193" s="7"/>
      <c r="E193" s="7"/>
      <c r="F193" s="7"/>
    </row>
    <row r="194" spans="1:6" ht="14.25" customHeight="1" x14ac:dyDescent="0.3">
      <c r="A194" s="7"/>
      <c r="B194" s="7"/>
      <c r="C194" s="7"/>
      <c r="D194" s="7"/>
      <c r="E194" s="7"/>
      <c r="F194" s="7"/>
    </row>
    <row r="195" spans="1:6" ht="14.25" customHeight="1" x14ac:dyDescent="0.3">
      <c r="A195" s="7"/>
      <c r="B195" s="7"/>
      <c r="C195" s="7"/>
      <c r="D195" s="7"/>
      <c r="E195" s="7"/>
      <c r="F195" s="7"/>
    </row>
    <row r="196" spans="1:6" ht="14.25" customHeight="1" x14ac:dyDescent="0.3">
      <c r="A196" s="7"/>
      <c r="B196" s="7"/>
      <c r="C196" s="7"/>
      <c r="D196" s="7"/>
      <c r="E196" s="7"/>
      <c r="F196" s="7"/>
    </row>
    <row r="197" spans="1:6" ht="14.25" customHeight="1" x14ac:dyDescent="0.3">
      <c r="A197" s="7"/>
      <c r="B197" s="7"/>
      <c r="C197" s="7"/>
      <c r="D197" s="7"/>
      <c r="E197" s="7"/>
      <c r="F197" s="7"/>
    </row>
    <row r="198" spans="1:6" ht="14.25" customHeight="1" x14ac:dyDescent="0.3">
      <c r="A198" s="7"/>
      <c r="B198" s="7"/>
      <c r="C198" s="7"/>
      <c r="D198" s="7"/>
      <c r="E198" s="7"/>
      <c r="F198" s="7"/>
    </row>
    <row r="199" spans="1:6" ht="14.25" customHeight="1" x14ac:dyDescent="0.3">
      <c r="A199" s="7"/>
      <c r="B199" s="7"/>
      <c r="C199" s="7"/>
      <c r="D199" s="7"/>
      <c r="E199" s="7"/>
      <c r="F199" s="7"/>
    </row>
    <row r="200" spans="1:6" ht="14.25" customHeight="1" x14ac:dyDescent="0.3">
      <c r="A200" s="7"/>
      <c r="B200" s="7"/>
      <c r="C200" s="7"/>
      <c r="D200" s="7"/>
      <c r="E200" s="7"/>
      <c r="F200" s="7"/>
    </row>
    <row r="201" spans="1:6" ht="14.25" customHeight="1" x14ac:dyDescent="0.3">
      <c r="A201" s="7"/>
      <c r="B201" s="7"/>
      <c r="C201" s="7"/>
      <c r="D201" s="7"/>
      <c r="E201" s="7"/>
      <c r="F201" s="7"/>
    </row>
    <row r="202" spans="1:6" ht="14.25" customHeight="1" x14ac:dyDescent="0.3">
      <c r="A202" s="7"/>
      <c r="B202" s="7"/>
      <c r="C202" s="7"/>
      <c r="D202" s="7"/>
      <c r="E202" s="7"/>
      <c r="F202" s="7"/>
    </row>
    <row r="203" spans="1:6" ht="14.25" customHeight="1" x14ac:dyDescent="0.3">
      <c r="A203" s="7"/>
      <c r="B203" s="7"/>
      <c r="C203" s="7"/>
      <c r="D203" s="7"/>
      <c r="E203" s="7"/>
      <c r="F203" s="7"/>
    </row>
    <row r="204" spans="1:6" ht="14.25" customHeight="1" x14ac:dyDescent="0.3">
      <c r="A204" s="7"/>
      <c r="B204" s="7"/>
      <c r="C204" s="7"/>
      <c r="D204" s="7"/>
      <c r="E204" s="7"/>
      <c r="F204" s="7"/>
    </row>
    <row r="205" spans="1:6" ht="14.25" customHeight="1" x14ac:dyDescent="0.3">
      <c r="A205" s="7"/>
      <c r="B205" s="7"/>
      <c r="C205" s="7"/>
      <c r="D205" s="7"/>
      <c r="E205" s="7"/>
      <c r="F205" s="7"/>
    </row>
    <row r="206" spans="1:6" ht="14.25" customHeight="1" x14ac:dyDescent="0.3">
      <c r="A206" s="7"/>
      <c r="B206" s="7"/>
      <c r="C206" s="7"/>
      <c r="D206" s="7"/>
      <c r="E206" s="7"/>
      <c r="F206" s="7"/>
    </row>
    <row r="207" spans="1:6" ht="14.25" customHeight="1" x14ac:dyDescent="0.3">
      <c r="A207" s="7"/>
      <c r="B207" s="7"/>
      <c r="C207" s="7"/>
      <c r="D207" s="7"/>
      <c r="E207" s="7"/>
      <c r="F207" s="7"/>
    </row>
    <row r="208" spans="1:6" ht="14.25" customHeight="1" x14ac:dyDescent="0.3">
      <c r="A208" s="7"/>
      <c r="B208" s="7"/>
      <c r="C208" s="7"/>
      <c r="D208" s="7"/>
      <c r="E208" s="7"/>
      <c r="F208" s="7"/>
    </row>
    <row r="209" spans="1:6" ht="14.25" customHeight="1" x14ac:dyDescent="0.3">
      <c r="A209" s="7"/>
      <c r="B209" s="7"/>
      <c r="C209" s="7"/>
      <c r="D209" s="7"/>
      <c r="E209" s="7"/>
      <c r="F209" s="7"/>
    </row>
    <row r="210" spans="1:6" ht="14.25" customHeight="1" x14ac:dyDescent="0.3">
      <c r="A210" s="7"/>
      <c r="B210" s="7"/>
      <c r="C210" s="7"/>
      <c r="D210" s="7"/>
      <c r="E210" s="7"/>
      <c r="F210" s="7"/>
    </row>
    <row r="211" spans="1:6" ht="14.25" customHeight="1" x14ac:dyDescent="0.3">
      <c r="A211" s="7"/>
      <c r="B211" s="7"/>
      <c r="C211" s="7"/>
      <c r="D211" s="7"/>
      <c r="E211" s="7"/>
      <c r="F211" s="7"/>
    </row>
    <row r="212" spans="1:6" ht="14.25" customHeight="1" x14ac:dyDescent="0.3">
      <c r="A212" s="7"/>
      <c r="B212" s="7"/>
      <c r="C212" s="7"/>
      <c r="D212" s="7"/>
      <c r="E212" s="7"/>
      <c r="F212" s="7"/>
    </row>
    <row r="213" spans="1:6" ht="14.25" customHeight="1" x14ac:dyDescent="0.3">
      <c r="A213" s="7"/>
      <c r="B213" s="7"/>
      <c r="C213" s="7"/>
      <c r="D213" s="7"/>
      <c r="E213" s="7"/>
      <c r="F213" s="7"/>
    </row>
    <row r="214" spans="1:6" ht="14.25" customHeight="1" x14ac:dyDescent="0.3">
      <c r="A214" s="7"/>
      <c r="B214" s="7"/>
      <c r="C214" s="7"/>
      <c r="D214" s="7"/>
      <c r="E214" s="7"/>
      <c r="F214" s="7"/>
    </row>
    <row r="215" spans="1:6" ht="14.25" customHeight="1" x14ac:dyDescent="0.3">
      <c r="A215" s="7"/>
      <c r="B215" s="7"/>
      <c r="C215" s="7"/>
      <c r="D215" s="7"/>
      <c r="E215" s="7"/>
      <c r="F215" s="7"/>
    </row>
    <row r="216" spans="1:6" ht="14.25" customHeight="1" x14ac:dyDescent="0.3">
      <c r="A216" s="7"/>
      <c r="B216" s="7"/>
      <c r="C216" s="7"/>
      <c r="D216" s="7"/>
      <c r="E216" s="7"/>
      <c r="F216" s="7"/>
    </row>
    <row r="217" spans="1:6" ht="14.25" customHeight="1" x14ac:dyDescent="0.3">
      <c r="A217" s="7"/>
      <c r="B217" s="7"/>
      <c r="C217" s="7"/>
      <c r="D217" s="7"/>
      <c r="E217" s="7"/>
      <c r="F217" s="7"/>
    </row>
    <row r="218" spans="1:6" ht="14.25" customHeight="1" x14ac:dyDescent="0.3">
      <c r="A218" s="7"/>
      <c r="B218" s="7"/>
      <c r="C218" s="7"/>
      <c r="D218" s="7"/>
      <c r="E218" s="7"/>
      <c r="F218" s="7"/>
    </row>
    <row r="219" spans="1:6" ht="14.25" customHeight="1" x14ac:dyDescent="0.3">
      <c r="A219" s="7"/>
      <c r="B219" s="7"/>
      <c r="C219" s="7"/>
      <c r="D219" s="7"/>
      <c r="E219" s="7"/>
      <c r="F219" s="7"/>
    </row>
    <row r="220" spans="1:6" ht="14.25" customHeight="1" x14ac:dyDescent="0.3">
      <c r="A220" s="7"/>
      <c r="B220" s="7"/>
      <c r="C220" s="7"/>
      <c r="D220" s="7"/>
      <c r="E220" s="7"/>
      <c r="F220" s="7"/>
    </row>
    <row r="221" spans="1:6" ht="14.25" customHeight="1" x14ac:dyDescent="0.3">
      <c r="A221" s="7"/>
      <c r="B221" s="7"/>
      <c r="C221" s="7"/>
      <c r="D221" s="7"/>
      <c r="E221" s="7"/>
      <c r="F221" s="7"/>
    </row>
    <row r="222" spans="1:6" ht="14.25" customHeight="1" x14ac:dyDescent="0.3">
      <c r="A222" s="7"/>
      <c r="B222" s="7"/>
      <c r="C222" s="7"/>
      <c r="D222" s="7"/>
      <c r="E222" s="7"/>
      <c r="F222" s="7"/>
    </row>
    <row r="223" spans="1:6" ht="14.25" customHeight="1" x14ac:dyDescent="0.3">
      <c r="A223" s="7"/>
      <c r="B223" s="7"/>
      <c r="C223" s="7"/>
      <c r="D223" s="7"/>
      <c r="E223" s="7"/>
      <c r="F223" s="7"/>
    </row>
    <row r="224" spans="1:6" ht="14.25" customHeight="1" x14ac:dyDescent="0.3">
      <c r="A224" s="7"/>
      <c r="B224" s="7"/>
      <c r="C224" s="7"/>
      <c r="D224" s="7"/>
      <c r="E224" s="7"/>
      <c r="F224" s="7"/>
    </row>
    <row r="225" spans="1:6" ht="14.25" customHeight="1" x14ac:dyDescent="0.3">
      <c r="A225" s="7"/>
      <c r="B225" s="7"/>
      <c r="C225" s="7"/>
      <c r="D225" s="7"/>
      <c r="E225" s="7"/>
      <c r="F225" s="7"/>
    </row>
    <row r="226" spans="1:6" ht="14.25" customHeight="1" x14ac:dyDescent="0.3">
      <c r="A226" s="7"/>
      <c r="B226" s="7"/>
      <c r="C226" s="7"/>
      <c r="D226" s="7"/>
      <c r="E226" s="7"/>
      <c r="F226" s="7"/>
    </row>
    <row r="227" spans="1:6" ht="14.25" customHeight="1" x14ac:dyDescent="0.3">
      <c r="A227" s="7"/>
      <c r="B227" s="7"/>
      <c r="C227" s="7"/>
      <c r="D227" s="7"/>
      <c r="E227" s="7"/>
      <c r="F227" s="7"/>
    </row>
    <row r="228" spans="1:6" ht="14.25" customHeight="1" x14ac:dyDescent="0.3">
      <c r="A228" s="7"/>
      <c r="B228" s="7"/>
      <c r="C228" s="7"/>
      <c r="D228" s="7"/>
      <c r="E228" s="7"/>
      <c r="F228" s="7"/>
    </row>
    <row r="229" spans="1:6" ht="14.25" customHeight="1" x14ac:dyDescent="0.3">
      <c r="A229" s="7"/>
      <c r="B229" s="7"/>
      <c r="C229" s="7"/>
      <c r="D229" s="7"/>
      <c r="E229" s="7"/>
      <c r="F229" s="7"/>
    </row>
    <row r="230" spans="1:6" ht="14.25" customHeight="1" x14ac:dyDescent="0.3">
      <c r="A230" s="7"/>
      <c r="B230" s="7"/>
      <c r="C230" s="7"/>
      <c r="D230" s="7"/>
      <c r="E230" s="7"/>
      <c r="F230" s="7"/>
    </row>
    <row r="231" spans="1:6" ht="14.25" customHeight="1" x14ac:dyDescent="0.3">
      <c r="A231" s="7"/>
      <c r="B231" s="7"/>
      <c r="C231" s="7"/>
      <c r="D231" s="7"/>
      <c r="E231" s="7"/>
      <c r="F231" s="7"/>
    </row>
    <row r="232" spans="1:6" ht="14.25" customHeight="1" x14ac:dyDescent="0.3">
      <c r="A232" s="7"/>
      <c r="B232" s="7"/>
      <c r="C232" s="7"/>
      <c r="D232" s="7"/>
      <c r="E232" s="7"/>
      <c r="F232" s="7"/>
    </row>
    <row r="233" spans="1:6" ht="14.25" customHeight="1" x14ac:dyDescent="0.3">
      <c r="A233" s="7"/>
      <c r="B233" s="7"/>
      <c r="C233" s="7"/>
      <c r="D233" s="7"/>
      <c r="E233" s="7"/>
      <c r="F233" s="7"/>
    </row>
    <row r="234" spans="1:6" ht="14.25" customHeight="1" x14ac:dyDescent="0.3">
      <c r="A234" s="7"/>
      <c r="B234" s="7"/>
      <c r="C234" s="7"/>
      <c r="D234" s="7"/>
      <c r="E234" s="7"/>
      <c r="F234" s="7"/>
    </row>
    <row r="235" spans="1:6" ht="14.25" customHeight="1" x14ac:dyDescent="0.3">
      <c r="A235" s="7"/>
      <c r="B235" s="7"/>
      <c r="C235" s="7"/>
      <c r="D235" s="7"/>
      <c r="E235" s="7"/>
      <c r="F235" s="7"/>
    </row>
    <row r="236" spans="1:6" ht="14.25" customHeight="1" x14ac:dyDescent="0.3">
      <c r="A236" s="7"/>
      <c r="B236" s="7"/>
      <c r="C236" s="7"/>
      <c r="D236" s="7"/>
      <c r="E236" s="7"/>
      <c r="F236" s="7"/>
    </row>
    <row r="237" spans="1:6" ht="14.25" customHeight="1" x14ac:dyDescent="0.3">
      <c r="A237" s="7"/>
      <c r="B237" s="7"/>
      <c r="C237" s="7"/>
      <c r="D237" s="7"/>
      <c r="E237" s="7"/>
      <c r="F237" s="7"/>
    </row>
    <row r="238" spans="1:6" ht="14.25" customHeight="1" x14ac:dyDescent="0.3">
      <c r="A238" s="7"/>
      <c r="B238" s="7"/>
      <c r="C238" s="7"/>
      <c r="D238" s="7"/>
      <c r="E238" s="7"/>
      <c r="F238" s="7"/>
    </row>
    <row r="239" spans="1:6" ht="14.25" customHeight="1" x14ac:dyDescent="0.3">
      <c r="A239" s="7"/>
      <c r="B239" s="7"/>
      <c r="C239" s="7"/>
      <c r="D239" s="7"/>
      <c r="E239" s="7"/>
      <c r="F239" s="7"/>
    </row>
    <row r="240" spans="1:6" ht="14.25" customHeight="1" x14ac:dyDescent="0.3">
      <c r="A240" s="7"/>
      <c r="B240" s="7"/>
      <c r="C240" s="7"/>
      <c r="D240" s="7"/>
      <c r="E240" s="7"/>
      <c r="F240" s="7"/>
    </row>
    <row r="241" spans="1:6" ht="14.25" customHeight="1" x14ac:dyDescent="0.3">
      <c r="A241" s="7"/>
      <c r="B241" s="7"/>
      <c r="C241" s="7"/>
      <c r="D241" s="7"/>
      <c r="E241" s="7"/>
      <c r="F241" s="7"/>
    </row>
    <row r="242" spans="1:6" ht="14.25" customHeight="1" x14ac:dyDescent="0.3">
      <c r="A242" s="7"/>
      <c r="B242" s="7"/>
      <c r="C242" s="7"/>
      <c r="D242" s="7"/>
      <c r="E242" s="7"/>
      <c r="F242" s="7"/>
    </row>
    <row r="243" spans="1:6" ht="14.25" customHeight="1" x14ac:dyDescent="0.3">
      <c r="A243" s="7"/>
      <c r="B243" s="7"/>
      <c r="C243" s="7"/>
      <c r="D243" s="7"/>
      <c r="E243" s="7"/>
      <c r="F243" s="7"/>
    </row>
    <row r="244" spans="1:6" ht="14.25" customHeight="1" x14ac:dyDescent="0.3">
      <c r="A244" s="7"/>
      <c r="B244" s="7"/>
      <c r="C244" s="7"/>
      <c r="D244" s="7"/>
      <c r="E244" s="7"/>
      <c r="F244" s="7"/>
    </row>
    <row r="245" spans="1:6" ht="15.75" customHeight="1" x14ac:dyDescent="0.3"/>
    <row r="246" spans="1:6" ht="15.75" customHeight="1" x14ac:dyDescent="0.3"/>
    <row r="247" spans="1:6" ht="15.75" customHeight="1" x14ac:dyDescent="0.3"/>
    <row r="248" spans="1:6" ht="15.75" customHeight="1" x14ac:dyDescent="0.3"/>
    <row r="249" spans="1:6" ht="15.75" customHeight="1" x14ac:dyDescent="0.3"/>
    <row r="250" spans="1:6" ht="15.75" customHeight="1" x14ac:dyDescent="0.3"/>
    <row r="251" spans="1:6" ht="15.75" customHeight="1" x14ac:dyDescent="0.3"/>
    <row r="252" spans="1:6" ht="15.75" customHeight="1" x14ac:dyDescent="0.3"/>
    <row r="253" spans="1:6" ht="15.75" customHeight="1" x14ac:dyDescent="0.3"/>
    <row r="254" spans="1:6" ht="15.75" customHeight="1" x14ac:dyDescent="0.3"/>
    <row r="255" spans="1:6" ht="15.75" customHeight="1" x14ac:dyDescent="0.3"/>
    <row r="256" spans="1: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Z1000"/>
  <sheetViews>
    <sheetView showGridLines="0" workbookViewId="0"/>
  </sheetViews>
  <sheetFormatPr baseColWidth="10" defaultColWidth="12.6640625" defaultRowHeight="15" customHeight="1" x14ac:dyDescent="0.3"/>
  <cols>
    <col min="1" max="1" width="5.88671875" customWidth="1"/>
    <col min="2" max="2" width="8.6640625" customWidth="1"/>
    <col min="3" max="3" width="16.33203125" customWidth="1"/>
    <col min="4" max="4" width="15.44140625" customWidth="1"/>
    <col min="5" max="5" width="19.109375" customWidth="1"/>
    <col min="6" max="6" width="15" customWidth="1"/>
    <col min="7" max="10" width="14.88671875" customWidth="1"/>
    <col min="11" max="11" width="12" customWidth="1"/>
    <col min="12" max="26" width="10.6640625" customWidth="1"/>
  </cols>
  <sheetData>
    <row r="1" spans="1:26" ht="14.25" customHeight="1" x14ac:dyDescent="0.3">
      <c r="A1" s="295"/>
      <c r="B1" s="338" t="s">
        <v>1695</v>
      </c>
      <c r="C1" s="339"/>
      <c r="D1" s="339"/>
      <c r="E1" s="340"/>
      <c r="F1" s="340"/>
      <c r="G1" s="297"/>
      <c r="H1" s="340" t="s">
        <v>1696</v>
      </c>
      <c r="I1" s="297"/>
      <c r="J1" s="297"/>
      <c r="K1" s="297"/>
      <c r="L1" s="297"/>
      <c r="M1" s="297"/>
      <c r="N1" s="295"/>
      <c r="O1" s="295"/>
      <c r="P1" s="295"/>
      <c r="Q1" s="295"/>
      <c r="R1" s="295"/>
      <c r="S1" s="295"/>
      <c r="T1" s="295"/>
      <c r="U1" s="295"/>
      <c r="V1" s="295"/>
      <c r="W1" s="295"/>
      <c r="X1" s="295"/>
      <c r="Y1" s="295"/>
      <c r="Z1" s="295"/>
    </row>
    <row r="2" spans="1:26" ht="14.25" customHeight="1" x14ac:dyDescent="0.3">
      <c r="A2" s="295"/>
      <c r="B2" s="341"/>
      <c r="C2" s="341"/>
      <c r="D2" s="341"/>
      <c r="E2" s="341"/>
      <c r="F2" s="341"/>
      <c r="G2" s="342">
        <v>1</v>
      </c>
      <c r="H2" s="340">
        <v>1</v>
      </c>
      <c r="I2" s="341"/>
      <c r="J2" s="341"/>
      <c r="K2" s="297"/>
      <c r="L2" s="297"/>
      <c r="M2" s="297"/>
      <c r="N2" s="295"/>
      <c r="O2" s="295"/>
      <c r="P2" s="295"/>
      <c r="Q2" s="295"/>
      <c r="R2" s="295"/>
      <c r="S2" s="295"/>
      <c r="T2" s="295"/>
      <c r="U2" s="295"/>
      <c r="V2" s="295"/>
      <c r="W2" s="295"/>
      <c r="X2" s="295"/>
      <c r="Y2" s="295"/>
      <c r="Z2" s="295"/>
    </row>
    <row r="3" spans="1:26" ht="14.25" customHeight="1" x14ac:dyDescent="0.3">
      <c r="A3" s="295"/>
      <c r="B3" s="343" t="s">
        <v>1697</v>
      </c>
      <c r="C3" s="340"/>
      <c r="D3" s="344"/>
      <c r="E3" s="344"/>
      <c r="F3" s="340"/>
      <c r="G3" s="342">
        <f>+G2*H3</f>
        <v>1.0229999999999999</v>
      </c>
      <c r="H3" s="340">
        <v>1.0229999999999999</v>
      </c>
      <c r="I3" s="345">
        <v>45955</v>
      </c>
      <c r="J3" s="346"/>
      <c r="K3" s="297"/>
      <c r="L3" s="297"/>
      <c r="M3" s="297"/>
      <c r="N3" s="295"/>
      <c r="O3" s="295"/>
      <c r="P3" s="295"/>
      <c r="Q3" s="295"/>
      <c r="R3" s="295"/>
      <c r="S3" s="295"/>
      <c r="T3" s="295"/>
      <c r="U3" s="295"/>
      <c r="V3" s="295"/>
      <c r="W3" s="295"/>
      <c r="X3" s="295"/>
      <c r="Y3" s="295"/>
      <c r="Z3" s="295"/>
    </row>
    <row r="4" spans="1:26" ht="14.25" customHeight="1" x14ac:dyDescent="0.3">
      <c r="A4" s="295"/>
      <c r="B4" s="340">
        <v>2</v>
      </c>
      <c r="C4" s="347" t="s">
        <v>1698</v>
      </c>
      <c r="D4" s="344" t="s">
        <v>1699</v>
      </c>
      <c r="E4" s="344"/>
      <c r="F4" s="340"/>
      <c r="G4" s="342">
        <f>+G3*H4</f>
        <v>1.0434599999999998</v>
      </c>
      <c r="H4" s="348">
        <v>1.02</v>
      </c>
      <c r="I4" s="345">
        <v>45986</v>
      </c>
      <c r="J4" s="346"/>
      <c r="K4" s="297"/>
      <c r="L4" s="297"/>
      <c r="M4" s="297"/>
      <c r="N4" s="295"/>
      <c r="O4" s="295"/>
      <c r="P4" s="295"/>
      <c r="Q4" s="295"/>
      <c r="R4" s="295"/>
      <c r="S4" s="295"/>
      <c r="T4" s="295"/>
      <c r="U4" s="295"/>
      <c r="V4" s="295"/>
      <c r="W4" s="295"/>
      <c r="X4" s="295"/>
      <c r="Y4" s="295"/>
      <c r="Z4" s="295"/>
    </row>
    <row r="5" spans="1:26" ht="14.25" customHeight="1" x14ac:dyDescent="0.3">
      <c r="A5" s="295"/>
      <c r="B5" s="340">
        <v>1</v>
      </c>
      <c r="C5" s="347" t="s">
        <v>1700</v>
      </c>
      <c r="D5" s="344" t="s">
        <v>1701</v>
      </c>
      <c r="E5" s="344"/>
      <c r="F5" s="340"/>
      <c r="G5" s="342">
        <f>+G4*H5</f>
        <v>1.0643291999999998</v>
      </c>
      <c r="H5" s="348">
        <v>1.02</v>
      </c>
      <c r="I5" s="345" t="s">
        <v>1702</v>
      </c>
      <c r="J5" s="346"/>
      <c r="K5" s="297"/>
      <c r="L5" s="297"/>
      <c r="M5" s="297"/>
      <c r="N5" s="295"/>
      <c r="O5" s="295"/>
      <c r="P5" s="295"/>
      <c r="Q5" s="295"/>
      <c r="R5" s="295"/>
      <c r="S5" s="295"/>
      <c r="T5" s="295"/>
      <c r="U5" s="295"/>
      <c r="V5" s="295"/>
      <c r="W5" s="295"/>
      <c r="X5" s="295"/>
      <c r="Y5" s="295"/>
      <c r="Z5" s="295"/>
    </row>
    <row r="6" spans="1:26" ht="14.25" customHeight="1" x14ac:dyDescent="0.3">
      <c r="A6" s="295"/>
      <c r="B6" s="295"/>
      <c r="C6" s="295"/>
      <c r="D6" s="295"/>
      <c r="E6" s="295"/>
      <c r="F6" s="295"/>
      <c r="G6" s="346"/>
      <c r="H6" s="340"/>
      <c r="I6" s="349"/>
      <c r="J6" s="346"/>
      <c r="K6" s="297"/>
      <c r="L6" s="297"/>
      <c r="M6" s="297"/>
      <c r="N6" s="295"/>
      <c r="O6" s="295"/>
      <c r="P6" s="295"/>
      <c r="Q6" s="295"/>
      <c r="R6" s="295"/>
      <c r="S6" s="295"/>
      <c r="T6" s="295"/>
      <c r="U6" s="295"/>
      <c r="V6" s="295"/>
      <c r="W6" s="295"/>
      <c r="X6" s="295"/>
      <c r="Y6" s="295"/>
      <c r="Z6" s="295"/>
    </row>
    <row r="7" spans="1:26" ht="14.25" customHeight="1" x14ac:dyDescent="0.3">
      <c r="A7" s="295"/>
      <c r="B7" s="350" t="s">
        <v>1703</v>
      </c>
      <c r="C7" s="351"/>
      <c r="D7" s="351"/>
      <c r="E7" s="352"/>
      <c r="F7" s="351"/>
      <c r="G7" s="346"/>
      <c r="H7" s="340"/>
      <c r="I7" s="349"/>
      <c r="J7" s="346"/>
      <c r="K7" s="297"/>
      <c r="L7" s="297"/>
      <c r="M7" s="297"/>
      <c r="N7" s="295"/>
      <c r="O7" s="295"/>
      <c r="P7" s="295"/>
      <c r="Q7" s="295"/>
      <c r="R7" s="295"/>
      <c r="S7" s="295"/>
      <c r="T7" s="295"/>
      <c r="U7" s="295"/>
      <c r="V7" s="295"/>
      <c r="W7" s="295"/>
      <c r="X7" s="295"/>
      <c r="Y7" s="295"/>
      <c r="Z7" s="295"/>
    </row>
    <row r="8" spans="1:26" ht="14.25" customHeight="1" x14ac:dyDescent="0.3">
      <c r="A8" s="297"/>
      <c r="B8" s="347"/>
      <c r="C8" s="340"/>
      <c r="D8" s="340"/>
      <c r="E8" s="344"/>
      <c r="F8" s="340"/>
      <c r="G8" s="346"/>
      <c r="H8" s="340"/>
      <c r="I8" s="349"/>
      <c r="J8" s="346"/>
      <c r="K8" s="297"/>
      <c r="L8" s="297"/>
      <c r="M8" s="297"/>
      <c r="N8" s="297"/>
      <c r="O8" s="297"/>
      <c r="P8" s="297"/>
      <c r="Q8" s="297"/>
      <c r="R8" s="297"/>
      <c r="S8" s="297"/>
      <c r="T8" s="297"/>
      <c r="U8" s="297"/>
      <c r="V8" s="297"/>
      <c r="W8" s="297"/>
      <c r="X8" s="297"/>
      <c r="Y8" s="297"/>
      <c r="Z8" s="297"/>
    </row>
    <row r="9" spans="1:26" ht="14.25" customHeight="1" x14ac:dyDescent="0.3">
      <c r="A9" s="295"/>
      <c r="B9" s="340"/>
      <c r="C9" s="340"/>
      <c r="D9" s="344"/>
      <c r="E9" s="344"/>
      <c r="F9" s="340"/>
      <c r="G9" s="346"/>
      <c r="H9" s="340"/>
      <c r="I9" s="349"/>
      <c r="J9" s="346"/>
      <c r="K9" s="297"/>
      <c r="L9" s="297"/>
      <c r="M9" s="297"/>
      <c r="N9" s="295"/>
      <c r="O9" s="295"/>
      <c r="P9" s="295"/>
      <c r="Q9" s="295"/>
      <c r="R9" s="295"/>
      <c r="S9" s="295"/>
      <c r="T9" s="295"/>
      <c r="U9" s="295"/>
      <c r="V9" s="295"/>
      <c r="W9" s="295"/>
      <c r="X9" s="295"/>
      <c r="Y9" s="295"/>
      <c r="Z9" s="295"/>
    </row>
    <row r="10" spans="1:26" ht="14.25" customHeight="1" x14ac:dyDescent="0.3">
      <c r="A10" s="295"/>
      <c r="B10" s="353" t="s">
        <v>1704</v>
      </c>
      <c r="C10" s="354"/>
      <c r="D10" s="354"/>
      <c r="E10" s="295"/>
      <c r="F10" s="295"/>
      <c r="G10" s="297"/>
      <c r="H10" s="297"/>
      <c r="I10" s="297"/>
      <c r="J10" s="1091" t="s">
        <v>1705</v>
      </c>
      <c r="K10" s="355" t="s">
        <v>1706</v>
      </c>
      <c r="L10" s="297"/>
      <c r="M10" s="297"/>
      <c r="N10" s="295"/>
      <c r="O10" s="295"/>
      <c r="P10" s="295"/>
      <c r="Q10" s="295"/>
      <c r="R10" s="295"/>
      <c r="S10" s="295"/>
      <c r="T10" s="295"/>
      <c r="U10" s="295"/>
      <c r="V10" s="295"/>
      <c r="W10" s="295"/>
      <c r="X10" s="295"/>
      <c r="Y10" s="295"/>
      <c r="Z10" s="295"/>
    </row>
    <row r="11" spans="1:26" ht="14.25" customHeight="1" x14ac:dyDescent="0.3">
      <c r="A11" s="295"/>
      <c r="B11" s="295"/>
      <c r="C11" s="295"/>
      <c r="D11" s="295"/>
      <c r="E11" s="295"/>
      <c r="F11" s="295"/>
      <c r="G11" s="356" t="s">
        <v>1707</v>
      </c>
      <c r="H11" s="297"/>
      <c r="I11" s="297"/>
      <c r="J11" s="1092"/>
      <c r="K11" s="357" t="s">
        <v>1708</v>
      </c>
      <c r="L11" s="297"/>
      <c r="M11" s="297"/>
      <c r="N11" s="295"/>
      <c r="O11" s="295"/>
      <c r="P11" s="295"/>
      <c r="Q11" s="295"/>
      <c r="R11" s="295"/>
      <c r="S11" s="295"/>
      <c r="T11" s="295"/>
      <c r="U11" s="295"/>
      <c r="V11" s="295"/>
      <c r="W11" s="295"/>
      <c r="X11" s="295"/>
      <c r="Y11" s="295"/>
      <c r="Z11" s="295"/>
    </row>
    <row r="12" spans="1:26" ht="14.25" customHeight="1" x14ac:dyDescent="0.3">
      <c r="A12" s="295"/>
      <c r="B12" s="297"/>
      <c r="C12" s="297"/>
      <c r="D12" s="297"/>
      <c r="E12" s="297"/>
      <c r="F12" s="358" t="s">
        <v>1709</v>
      </c>
      <c r="G12" s="359">
        <f>+G5</f>
        <v>1.0643291999999998</v>
      </c>
      <c r="H12" s="360">
        <f>+'REAL-BDGT2026'!L198</f>
        <v>1.094841594</v>
      </c>
      <c r="I12" s="360">
        <f>+'REAL-BDGT2026'!O198</f>
        <v>1.0779248339999998</v>
      </c>
      <c r="J12" s="361">
        <f>+'REAL-BDGT2026'!R198</f>
        <v>1.0895473889999998</v>
      </c>
      <c r="K12" s="362"/>
      <c r="L12" s="297"/>
      <c r="M12" s="297"/>
      <c r="N12" s="295"/>
      <c r="O12" s="295"/>
      <c r="P12" s="295"/>
      <c r="Q12" s="295"/>
      <c r="R12" s="295"/>
      <c r="S12" s="295"/>
      <c r="T12" s="295"/>
      <c r="U12" s="295"/>
      <c r="V12" s="295"/>
      <c r="W12" s="295"/>
      <c r="X12" s="295"/>
      <c r="Y12" s="295"/>
      <c r="Z12" s="295"/>
    </row>
    <row r="13" spans="1:26" ht="14.25" customHeight="1" x14ac:dyDescent="0.3">
      <c r="A13" s="295"/>
      <c r="B13" s="297"/>
      <c r="C13" s="363" t="s">
        <v>1710</v>
      </c>
      <c r="D13" s="297"/>
      <c r="E13" s="297"/>
      <c r="F13" s="297"/>
      <c r="G13" s="364" t="s">
        <v>4</v>
      </c>
      <c r="H13" s="364" t="s">
        <v>1711</v>
      </c>
      <c r="I13" s="364">
        <v>46228</v>
      </c>
      <c r="J13" s="365">
        <v>46320</v>
      </c>
      <c r="K13" s="362"/>
      <c r="L13" s="297"/>
      <c r="M13" s="297"/>
      <c r="N13" s="295"/>
      <c r="O13" s="295"/>
      <c r="P13" s="295"/>
      <c r="Q13" s="295"/>
      <c r="R13" s="295"/>
      <c r="S13" s="295"/>
      <c r="T13" s="295"/>
      <c r="U13" s="295"/>
      <c r="V13" s="295"/>
      <c r="W13" s="295"/>
      <c r="X13" s="295"/>
      <c r="Y13" s="295"/>
      <c r="Z13" s="295"/>
    </row>
    <row r="14" spans="1:26" ht="14.25" customHeight="1" x14ac:dyDescent="0.3">
      <c r="A14" s="295"/>
      <c r="B14" s="297"/>
      <c r="C14" s="297"/>
      <c r="D14" s="297"/>
      <c r="E14" s="297"/>
      <c r="F14" s="297"/>
      <c r="G14" s="297"/>
      <c r="H14" s="297"/>
      <c r="I14" s="297"/>
      <c r="J14" s="362"/>
      <c r="K14" s="362"/>
      <c r="L14" s="297"/>
      <c r="M14" s="297"/>
      <c r="N14" s="295"/>
      <c r="O14" s="295"/>
      <c r="P14" s="295"/>
      <c r="Q14" s="295"/>
      <c r="R14" s="295"/>
      <c r="S14" s="295"/>
      <c r="T14" s="295"/>
      <c r="U14" s="295"/>
      <c r="V14" s="295"/>
      <c r="W14" s="295"/>
      <c r="X14" s="295"/>
      <c r="Y14" s="295"/>
      <c r="Z14" s="295"/>
    </row>
    <row r="15" spans="1:26" ht="14.25" customHeight="1" x14ac:dyDescent="0.3">
      <c r="A15" s="295"/>
      <c r="B15" s="295"/>
      <c r="C15" s="297" t="s">
        <v>1712</v>
      </c>
      <c r="D15" s="366"/>
      <c r="E15" s="297" t="s">
        <v>1713</v>
      </c>
      <c r="F15" s="367">
        <v>47922600.600000001</v>
      </c>
      <c r="G15" s="368">
        <f>+F15*$G$12</f>
        <v>51005423.15851751</v>
      </c>
      <c r="H15" s="368">
        <f>+G15*$H$12</f>
        <v>55842858.793515824</v>
      </c>
      <c r="I15" s="368">
        <f>+H15*$I$12</f>
        <v>60194404.295085974</v>
      </c>
      <c r="J15" s="369">
        <f>+I15*$J$12</f>
        <v>65584656.032121301</v>
      </c>
      <c r="K15" s="362"/>
      <c r="L15" s="297"/>
      <c r="M15" s="297"/>
      <c r="N15" s="295"/>
      <c r="O15" s="295"/>
      <c r="P15" s="295"/>
      <c r="Q15" s="295"/>
      <c r="R15" s="295"/>
      <c r="S15" s="295"/>
      <c r="T15" s="295"/>
      <c r="U15" s="295"/>
      <c r="V15" s="295"/>
      <c r="W15" s="295"/>
      <c r="X15" s="295"/>
      <c r="Y15" s="295"/>
      <c r="Z15" s="295"/>
    </row>
    <row r="16" spans="1:26" ht="14.25" customHeight="1" x14ac:dyDescent="0.3">
      <c r="A16" s="295"/>
      <c r="B16" s="295"/>
      <c r="C16" s="297" t="s">
        <v>1714</v>
      </c>
      <c r="D16" s="366"/>
      <c r="E16" s="297"/>
      <c r="F16" s="367">
        <v>11501424.140000001</v>
      </c>
      <c r="G16" s="368">
        <f>+F16*$G$12</f>
        <v>12241301.553786885</v>
      </c>
      <c r="H16" s="368">
        <f>+G16*$H$12</f>
        <v>13402286.10578271</v>
      </c>
      <c r="I16" s="368">
        <f>+H16*$I$12</f>
        <v>14446657.025796331</v>
      </c>
      <c r="J16" s="369">
        <f>+I16*$J$12</f>
        <v>15740317.442234896</v>
      </c>
      <c r="K16" s="362"/>
      <c r="L16" s="297"/>
      <c r="M16" s="297"/>
      <c r="N16" s="295"/>
      <c r="O16" s="295"/>
      <c r="P16" s="295"/>
      <c r="Q16" s="295"/>
      <c r="R16" s="295"/>
      <c r="S16" s="295"/>
      <c r="T16" s="295"/>
      <c r="U16" s="295"/>
      <c r="V16" s="295"/>
      <c r="W16" s="295"/>
      <c r="X16" s="295"/>
      <c r="Y16" s="295"/>
      <c r="Z16" s="295"/>
    </row>
    <row r="17" spans="1:26" ht="14.25" customHeight="1" x14ac:dyDescent="0.3">
      <c r="A17" s="297"/>
      <c r="B17" s="297"/>
      <c r="C17" s="370" t="s">
        <v>1715</v>
      </c>
      <c r="D17" s="371"/>
      <c r="E17" s="370"/>
      <c r="F17" s="372">
        <f>SUM(F15:F16)</f>
        <v>59424024.740000002</v>
      </c>
      <c r="G17" s="373">
        <f>SUM(G15:G16)</f>
        <v>63246724.712304398</v>
      </c>
      <c r="H17" s="373">
        <f>SUM(H15:H16)</f>
        <v>69245144.899298534</v>
      </c>
      <c r="I17" s="373">
        <f>SUM(I15:I16)</f>
        <v>74641061.320882306</v>
      </c>
      <c r="J17" s="374">
        <f>SUM(J15:J16)</f>
        <v>81324973.474356204</v>
      </c>
      <c r="K17" s="375">
        <f>+J17/12</f>
        <v>6777081.122863017</v>
      </c>
      <c r="L17" s="297" t="str">
        <f>+C15</f>
        <v>Prov. Vacaciones</v>
      </c>
      <c r="M17" s="297"/>
      <c r="N17" s="297"/>
      <c r="O17" s="297"/>
      <c r="P17" s="297"/>
      <c r="Q17" s="297"/>
      <c r="R17" s="297"/>
      <c r="S17" s="297"/>
      <c r="T17" s="297"/>
      <c r="U17" s="297"/>
      <c r="V17" s="297"/>
      <c r="W17" s="297"/>
      <c r="X17" s="297"/>
      <c r="Y17" s="297"/>
      <c r="Z17" s="297"/>
    </row>
    <row r="18" spans="1:26" ht="14.25" customHeight="1" x14ac:dyDescent="0.3">
      <c r="A18" s="297"/>
      <c r="B18" s="297"/>
      <c r="C18" s="297"/>
      <c r="D18" s="376"/>
      <c r="E18" s="297"/>
      <c r="F18" s="377"/>
      <c r="G18" s="376"/>
      <c r="H18" s="297"/>
      <c r="I18" s="297"/>
      <c r="J18" s="362"/>
      <c r="K18" s="362"/>
      <c r="L18" s="297"/>
      <c r="M18" s="297"/>
      <c r="N18" s="297"/>
      <c r="O18" s="297"/>
      <c r="P18" s="297"/>
      <c r="Q18" s="297"/>
      <c r="R18" s="297"/>
      <c r="S18" s="297"/>
      <c r="T18" s="297"/>
      <c r="U18" s="297"/>
      <c r="V18" s="297"/>
      <c r="W18" s="297"/>
      <c r="X18" s="297"/>
      <c r="Y18" s="297"/>
      <c r="Z18" s="297"/>
    </row>
    <row r="19" spans="1:26" ht="14.25" customHeight="1" x14ac:dyDescent="0.3">
      <c r="A19" s="295"/>
      <c r="B19" s="297"/>
      <c r="C19" s="297" t="s">
        <v>1716</v>
      </c>
      <c r="D19" s="297"/>
      <c r="E19" s="297" t="s">
        <v>1713</v>
      </c>
      <c r="F19" s="367">
        <v>132024589.98999999</v>
      </c>
      <c r="G19" s="368">
        <f>+F19*$G$12</f>
        <v>140517626.24438468</v>
      </c>
      <c r="H19" s="368">
        <f>+G19*$H$12</f>
        <v>153844541.90249836</v>
      </c>
      <c r="I19" s="368">
        <f>+H19*$I$12</f>
        <v>165832852.29205656</v>
      </c>
      <c r="J19" s="369">
        <f>+I19*$J$12</f>
        <v>180682751.22523287</v>
      </c>
      <c r="K19" s="362"/>
      <c r="L19" s="297"/>
      <c r="M19" s="297"/>
      <c r="N19" s="295"/>
      <c r="O19" s="295"/>
      <c r="P19" s="295"/>
      <c r="Q19" s="295"/>
      <c r="R19" s="295"/>
      <c r="S19" s="295"/>
      <c r="T19" s="295"/>
      <c r="U19" s="295"/>
      <c r="V19" s="295"/>
      <c r="W19" s="295"/>
      <c r="X19" s="295"/>
      <c r="Y19" s="295"/>
      <c r="Z19" s="295"/>
    </row>
    <row r="20" spans="1:26" ht="14.25" customHeight="1" x14ac:dyDescent="0.3">
      <c r="A20" s="295"/>
      <c r="B20" s="297"/>
      <c r="C20" s="297" t="s">
        <v>1717</v>
      </c>
      <c r="D20" s="297"/>
      <c r="E20" s="297"/>
      <c r="F20" s="367">
        <v>31685901.600000001</v>
      </c>
      <c r="G20" s="368">
        <f>+F20*$G$12</f>
        <v>33724230.301206715</v>
      </c>
      <c r="H20" s="368">
        <f>+G20*$H$12</f>
        <v>36922690.059396259</v>
      </c>
      <c r="I20" s="368">
        <f>+H20*$I$12</f>
        <v>39799884.553108156</v>
      </c>
      <c r="J20" s="369">
        <f>+I20*$J$12</f>
        <v>43363860.297340415</v>
      </c>
      <c r="K20" s="362"/>
      <c r="L20" s="297"/>
      <c r="M20" s="297"/>
      <c r="N20" s="295"/>
      <c r="O20" s="295"/>
      <c r="P20" s="295"/>
      <c r="Q20" s="295"/>
      <c r="R20" s="295"/>
      <c r="S20" s="295"/>
      <c r="T20" s="295"/>
      <c r="U20" s="295"/>
      <c r="V20" s="295"/>
      <c r="W20" s="295"/>
      <c r="X20" s="295"/>
      <c r="Y20" s="295"/>
      <c r="Z20" s="295"/>
    </row>
    <row r="21" spans="1:26" ht="14.25" customHeight="1" x14ac:dyDescent="0.3">
      <c r="A21" s="295"/>
      <c r="B21" s="297"/>
      <c r="C21" s="370" t="s">
        <v>1718</v>
      </c>
      <c r="D21" s="370"/>
      <c r="E21" s="370"/>
      <c r="F21" s="372">
        <f>SUM(F19:F20)</f>
        <v>163710491.59</v>
      </c>
      <c r="G21" s="372">
        <f>SUM(G19:G20)</f>
        <v>174241856.54559138</v>
      </c>
      <c r="H21" s="372">
        <f>SUM(H19:H20)</f>
        <v>190767231.96189463</v>
      </c>
      <c r="I21" s="372">
        <f>SUM(I19:I20)</f>
        <v>205632736.84516472</v>
      </c>
      <c r="J21" s="378">
        <f>SUM(J19:J20)</f>
        <v>224046611.52257329</v>
      </c>
      <c r="K21" s="379">
        <f>+J21/12</f>
        <v>18670550.96021444</v>
      </c>
      <c r="L21" s="297" t="str">
        <f>+C19</f>
        <v>Prov. Bono 75%</v>
      </c>
      <c r="M21" s="297"/>
      <c r="N21" s="295"/>
      <c r="O21" s="295"/>
      <c r="P21" s="295"/>
      <c r="Q21" s="295"/>
      <c r="R21" s="295"/>
      <c r="S21" s="295"/>
      <c r="T21" s="295"/>
      <c r="U21" s="295"/>
      <c r="V21" s="295"/>
      <c r="W21" s="295"/>
      <c r="X21" s="295"/>
      <c r="Y21" s="295"/>
      <c r="Z21" s="295"/>
    </row>
    <row r="22" spans="1:26" ht="14.25" customHeight="1" x14ac:dyDescent="0.3">
      <c r="A22" s="295"/>
      <c r="B22" s="297"/>
      <c r="C22" s="297"/>
      <c r="D22" s="297"/>
      <c r="E22" s="297"/>
      <c r="F22" s="297"/>
      <c r="G22" s="297"/>
      <c r="H22" s="297"/>
      <c r="I22" s="297"/>
      <c r="J22" s="297"/>
      <c r="K22" s="297"/>
      <c r="L22" s="297"/>
      <c r="M22" s="297"/>
      <c r="N22" s="295"/>
      <c r="O22" s="295"/>
      <c r="P22" s="295"/>
      <c r="Q22" s="295"/>
      <c r="R22" s="295"/>
      <c r="S22" s="295"/>
      <c r="T22" s="295"/>
      <c r="U22" s="295"/>
      <c r="V22" s="295"/>
      <c r="W22" s="295"/>
      <c r="X22" s="295"/>
      <c r="Y22" s="295"/>
      <c r="Z22" s="295"/>
    </row>
    <row r="23" spans="1:26" ht="14.25" customHeight="1" x14ac:dyDescent="0.3">
      <c r="A23" s="295"/>
      <c r="B23" s="297"/>
      <c r="C23" s="380" t="s">
        <v>1719</v>
      </c>
      <c r="D23" s="381"/>
      <c r="E23" s="381"/>
      <c r="F23" s="382">
        <v>1.26</v>
      </c>
      <c r="G23" s="297"/>
      <c r="H23" s="297"/>
      <c r="I23" s="297"/>
      <c r="J23" s="297"/>
      <c r="K23" s="297"/>
      <c r="L23" s="297"/>
      <c r="M23" s="297"/>
      <c r="N23" s="295"/>
      <c r="O23" s="295"/>
      <c r="P23" s="295"/>
      <c r="Q23" s="295"/>
      <c r="R23" s="295"/>
      <c r="S23" s="295"/>
      <c r="T23" s="295"/>
      <c r="U23" s="295"/>
      <c r="V23" s="295"/>
      <c r="W23" s="295"/>
      <c r="X23" s="295"/>
      <c r="Y23" s="295"/>
      <c r="Z23" s="295"/>
    </row>
    <row r="24" spans="1:26" ht="14.25" customHeight="1" x14ac:dyDescent="0.3">
      <c r="A24" s="295"/>
      <c r="B24" s="297"/>
      <c r="C24" s="297"/>
      <c r="D24" s="297"/>
      <c r="E24" s="297"/>
      <c r="F24" s="297"/>
      <c r="G24" s="297"/>
      <c r="H24" s="297"/>
      <c r="I24" s="297"/>
      <c r="J24" s="297"/>
      <c r="K24" s="297"/>
      <c r="L24" s="297"/>
      <c r="M24" s="297"/>
      <c r="N24" s="295"/>
      <c r="O24" s="295"/>
      <c r="P24" s="295"/>
      <c r="Q24" s="295"/>
      <c r="R24" s="295"/>
      <c r="S24" s="295"/>
      <c r="T24" s="295"/>
      <c r="U24" s="295"/>
      <c r="V24" s="295"/>
      <c r="W24" s="295"/>
      <c r="X24" s="295"/>
      <c r="Y24" s="295"/>
      <c r="Z24" s="295"/>
    </row>
    <row r="25" spans="1:26" ht="14.25" customHeight="1" x14ac:dyDescent="0.3">
      <c r="A25" s="295"/>
      <c r="B25" s="297"/>
      <c r="C25" s="297"/>
      <c r="D25" s="297"/>
      <c r="E25" s="297"/>
      <c r="F25" s="297"/>
      <c r="G25" s="297"/>
      <c r="H25" s="297"/>
      <c r="I25" s="297"/>
      <c r="J25" s="297"/>
      <c r="K25" s="297"/>
      <c r="L25" s="297"/>
      <c r="M25" s="297"/>
      <c r="N25" s="295"/>
      <c r="O25" s="295"/>
      <c r="P25" s="295"/>
      <c r="Q25" s="295"/>
      <c r="R25" s="295"/>
      <c r="S25" s="295"/>
      <c r="T25" s="295"/>
      <c r="U25" s="295"/>
      <c r="V25" s="295"/>
      <c r="W25" s="295"/>
      <c r="X25" s="295"/>
      <c r="Y25" s="295"/>
      <c r="Z25" s="295"/>
    </row>
    <row r="26" spans="1:26" ht="14.25" customHeight="1" x14ac:dyDescent="0.3">
      <c r="A26" s="295"/>
      <c r="B26" s="297"/>
      <c r="C26" s="297"/>
      <c r="D26" s="297"/>
      <c r="E26" s="297"/>
      <c r="F26" s="297"/>
      <c r="G26" s="297"/>
      <c r="H26" s="297"/>
      <c r="I26" s="297"/>
      <c r="J26" s="297"/>
      <c r="K26" s="297"/>
      <c r="L26" s="297"/>
      <c r="M26" s="297"/>
      <c r="N26" s="295"/>
      <c r="O26" s="295"/>
      <c r="P26" s="295"/>
      <c r="Q26" s="295"/>
      <c r="R26" s="295"/>
      <c r="S26" s="295"/>
      <c r="T26" s="295"/>
      <c r="U26" s="295"/>
      <c r="V26" s="295"/>
      <c r="W26" s="295"/>
      <c r="X26" s="295"/>
      <c r="Y26" s="295"/>
      <c r="Z26" s="295"/>
    </row>
    <row r="27" spans="1:26" ht="14.25" customHeight="1" x14ac:dyDescent="0.3">
      <c r="A27" s="295"/>
      <c r="B27" s="297"/>
      <c r="C27" s="297"/>
      <c r="D27" s="297"/>
      <c r="E27" s="297"/>
      <c r="F27" s="297"/>
      <c r="G27" s="297"/>
      <c r="H27" s="297"/>
      <c r="I27" s="297"/>
      <c r="J27" s="297"/>
      <c r="K27" s="297"/>
      <c r="L27" s="297"/>
      <c r="M27" s="297"/>
      <c r="N27" s="295"/>
      <c r="O27" s="295"/>
      <c r="P27" s="295"/>
      <c r="Q27" s="295"/>
      <c r="R27" s="295"/>
      <c r="S27" s="295"/>
      <c r="T27" s="295"/>
      <c r="U27" s="295"/>
      <c r="V27" s="295"/>
      <c r="W27" s="295"/>
      <c r="X27" s="295"/>
      <c r="Y27" s="295"/>
      <c r="Z27" s="295"/>
    </row>
    <row r="28" spans="1:26" ht="14.25" customHeight="1" x14ac:dyDescent="0.3">
      <c r="A28" s="295"/>
      <c r="B28" s="297"/>
      <c r="C28" s="297"/>
      <c r="D28" s="297"/>
      <c r="E28" s="297"/>
      <c r="F28" s="297"/>
      <c r="G28" s="297"/>
      <c r="H28" s="297"/>
      <c r="I28" s="297"/>
      <c r="J28" s="297"/>
      <c r="K28" s="297"/>
      <c r="L28" s="297"/>
      <c r="M28" s="297"/>
      <c r="N28" s="295"/>
      <c r="O28" s="295"/>
      <c r="P28" s="295"/>
      <c r="Q28" s="295"/>
      <c r="R28" s="295"/>
      <c r="S28" s="295"/>
      <c r="T28" s="295"/>
      <c r="U28" s="295"/>
      <c r="V28" s="295"/>
      <c r="W28" s="295"/>
      <c r="X28" s="295"/>
      <c r="Y28" s="295"/>
      <c r="Z28" s="295"/>
    </row>
    <row r="29" spans="1:26" ht="14.25" customHeight="1" x14ac:dyDescent="0.3">
      <c r="A29" s="295"/>
      <c r="B29" s="297"/>
      <c r="C29" s="297"/>
      <c r="D29" s="297"/>
      <c r="E29" s="297"/>
      <c r="F29" s="297"/>
      <c r="G29" s="297"/>
      <c r="H29" s="297"/>
      <c r="I29" s="297"/>
      <c r="J29" s="297"/>
      <c r="K29" s="297"/>
      <c r="L29" s="297"/>
      <c r="M29" s="297"/>
      <c r="N29" s="295"/>
      <c r="O29" s="295"/>
      <c r="P29" s="295"/>
      <c r="Q29" s="295"/>
      <c r="R29" s="295"/>
      <c r="S29" s="295"/>
      <c r="T29" s="295"/>
      <c r="U29" s="295"/>
      <c r="V29" s="295"/>
      <c r="W29" s="295"/>
      <c r="X29" s="295"/>
      <c r="Y29" s="295"/>
      <c r="Z29" s="295"/>
    </row>
    <row r="30" spans="1:26" ht="14.25" customHeight="1" x14ac:dyDescent="0.3">
      <c r="A30" s="295"/>
      <c r="B30" s="297"/>
      <c r="C30" s="297"/>
      <c r="D30" s="297"/>
      <c r="E30" s="297"/>
      <c r="F30" s="297"/>
      <c r="G30" s="297"/>
      <c r="H30" s="297"/>
      <c r="I30" s="297"/>
      <c r="J30" s="297"/>
      <c r="K30" s="297"/>
      <c r="L30" s="297"/>
      <c r="M30" s="297"/>
      <c r="N30" s="295"/>
      <c r="O30" s="295"/>
      <c r="P30" s="295"/>
      <c r="Q30" s="295"/>
      <c r="R30" s="295"/>
      <c r="S30" s="295"/>
      <c r="T30" s="295"/>
      <c r="U30" s="295"/>
      <c r="V30" s="295"/>
      <c r="W30" s="295"/>
      <c r="X30" s="295"/>
      <c r="Y30" s="295"/>
      <c r="Z30" s="295"/>
    </row>
    <row r="31" spans="1:26" ht="14.25" customHeight="1" x14ac:dyDescent="0.3">
      <c r="A31" s="295"/>
      <c r="B31" s="297"/>
      <c r="C31" s="297"/>
      <c r="D31" s="297"/>
      <c r="E31" s="297"/>
      <c r="F31" s="297"/>
      <c r="G31" s="297"/>
      <c r="H31" s="297"/>
      <c r="I31" s="297"/>
      <c r="J31" s="297"/>
      <c r="K31" s="297"/>
      <c r="L31" s="297"/>
      <c r="M31" s="297"/>
      <c r="N31" s="295"/>
      <c r="O31" s="295"/>
      <c r="P31" s="295"/>
      <c r="Q31" s="295"/>
      <c r="R31" s="295"/>
      <c r="S31" s="295"/>
      <c r="T31" s="295"/>
      <c r="U31" s="295"/>
      <c r="V31" s="295"/>
      <c r="W31" s="295"/>
      <c r="X31" s="295"/>
      <c r="Y31" s="295"/>
      <c r="Z31" s="295"/>
    </row>
    <row r="32" spans="1:26" ht="14.25" customHeight="1" x14ac:dyDescent="0.3">
      <c r="A32" s="295"/>
      <c r="B32" s="297"/>
      <c r="C32" s="297"/>
      <c r="D32" s="297"/>
      <c r="E32" s="297"/>
      <c r="F32" s="297"/>
      <c r="G32" s="297"/>
      <c r="H32" s="297"/>
      <c r="I32" s="297"/>
      <c r="J32" s="297"/>
      <c r="K32" s="297"/>
      <c r="L32" s="297"/>
      <c r="M32" s="297"/>
      <c r="N32" s="295"/>
      <c r="O32" s="295"/>
      <c r="P32" s="295"/>
      <c r="Q32" s="295"/>
      <c r="R32" s="295"/>
      <c r="S32" s="295"/>
      <c r="T32" s="295"/>
      <c r="U32" s="295"/>
      <c r="V32" s="295"/>
      <c r="W32" s="295"/>
      <c r="X32" s="295"/>
      <c r="Y32" s="295"/>
      <c r="Z32" s="295"/>
    </row>
    <row r="33" spans="1:26" ht="14.25" customHeight="1" x14ac:dyDescent="0.3">
      <c r="A33" s="295"/>
      <c r="B33" s="297"/>
      <c r="C33" s="297"/>
      <c r="D33" s="297"/>
      <c r="E33" s="297"/>
      <c r="F33" s="297"/>
      <c r="G33" s="297"/>
      <c r="H33" s="297"/>
      <c r="I33" s="297"/>
      <c r="J33" s="297"/>
      <c r="K33" s="297"/>
      <c r="L33" s="297"/>
      <c r="M33" s="297"/>
      <c r="N33" s="295"/>
      <c r="O33" s="295"/>
      <c r="P33" s="295"/>
      <c r="Q33" s="295"/>
      <c r="R33" s="295"/>
      <c r="S33" s="295"/>
      <c r="T33" s="295"/>
      <c r="U33" s="295"/>
      <c r="V33" s="295"/>
      <c r="W33" s="295"/>
      <c r="X33" s="295"/>
      <c r="Y33" s="295"/>
      <c r="Z33" s="295"/>
    </row>
    <row r="34" spans="1:26" ht="14.25" customHeight="1" x14ac:dyDescent="0.3">
      <c r="A34" s="295"/>
      <c r="B34" s="297"/>
      <c r="C34" s="297"/>
      <c r="D34" s="297"/>
      <c r="E34" s="297"/>
      <c r="F34" s="297"/>
      <c r="G34" s="297"/>
      <c r="H34" s="297"/>
      <c r="I34" s="297"/>
      <c r="J34" s="297"/>
      <c r="K34" s="297"/>
      <c r="L34" s="297"/>
      <c r="M34" s="297"/>
      <c r="N34" s="295"/>
      <c r="O34" s="295"/>
      <c r="P34" s="295"/>
      <c r="Q34" s="295"/>
      <c r="R34" s="295"/>
      <c r="S34" s="295"/>
      <c r="T34" s="295"/>
      <c r="U34" s="295"/>
      <c r="V34" s="295"/>
      <c r="W34" s="295"/>
      <c r="X34" s="295"/>
      <c r="Y34" s="295"/>
      <c r="Z34" s="295"/>
    </row>
    <row r="35" spans="1:26" ht="14.25" customHeight="1" x14ac:dyDescent="0.3">
      <c r="A35" s="295"/>
      <c r="B35" s="297"/>
      <c r="C35" s="297"/>
      <c r="D35" s="297"/>
      <c r="E35" s="297"/>
      <c r="F35" s="297"/>
      <c r="G35" s="297"/>
      <c r="H35" s="297"/>
      <c r="I35" s="297"/>
      <c r="J35" s="297"/>
      <c r="K35" s="297"/>
      <c r="L35" s="297"/>
      <c r="M35" s="297"/>
      <c r="N35" s="295"/>
      <c r="O35" s="295"/>
      <c r="P35" s="295"/>
      <c r="Q35" s="295"/>
      <c r="R35" s="295"/>
      <c r="S35" s="295"/>
      <c r="T35" s="295"/>
      <c r="U35" s="295"/>
      <c r="V35" s="295"/>
      <c r="W35" s="295"/>
      <c r="X35" s="295"/>
      <c r="Y35" s="295"/>
      <c r="Z35" s="295"/>
    </row>
    <row r="36" spans="1:26" ht="14.25" customHeight="1" x14ac:dyDescent="0.3">
      <c r="A36" s="295"/>
      <c r="B36" s="297"/>
      <c r="C36" s="297"/>
      <c r="D36" s="297"/>
      <c r="E36" s="297"/>
      <c r="F36" s="297"/>
      <c r="G36" s="297"/>
      <c r="H36" s="297"/>
      <c r="I36" s="297"/>
      <c r="J36" s="297"/>
      <c r="K36" s="297"/>
      <c r="L36" s="297"/>
      <c r="M36" s="297"/>
      <c r="N36" s="295"/>
      <c r="O36" s="295"/>
      <c r="P36" s="295"/>
      <c r="Q36" s="295"/>
      <c r="R36" s="295"/>
      <c r="S36" s="295"/>
      <c r="T36" s="295"/>
      <c r="U36" s="295"/>
      <c r="V36" s="295"/>
      <c r="W36" s="295"/>
      <c r="X36" s="295"/>
      <c r="Y36" s="295"/>
      <c r="Z36" s="295"/>
    </row>
    <row r="37" spans="1:26" ht="14.25" customHeight="1" x14ac:dyDescent="0.3">
      <c r="A37" s="295"/>
      <c r="B37" s="297"/>
      <c r="C37" s="297"/>
      <c r="D37" s="297"/>
      <c r="E37" s="297"/>
      <c r="F37" s="297"/>
      <c r="G37" s="297"/>
      <c r="H37" s="297"/>
      <c r="I37" s="297"/>
      <c r="J37" s="297"/>
      <c r="K37" s="297"/>
      <c r="L37" s="297"/>
      <c r="M37" s="297"/>
      <c r="N37" s="295"/>
      <c r="O37" s="295"/>
      <c r="P37" s="295"/>
      <c r="Q37" s="295"/>
      <c r="R37" s="295"/>
      <c r="S37" s="295"/>
      <c r="T37" s="295"/>
      <c r="U37" s="295"/>
      <c r="V37" s="295"/>
      <c r="W37" s="295"/>
      <c r="X37" s="295"/>
      <c r="Y37" s="295"/>
      <c r="Z37" s="295"/>
    </row>
    <row r="38" spans="1:26" ht="14.25" customHeight="1" x14ac:dyDescent="0.3">
      <c r="A38" s="295"/>
      <c r="B38" s="297"/>
      <c r="C38" s="297"/>
      <c r="D38" s="297"/>
      <c r="E38" s="297"/>
      <c r="F38" s="297"/>
      <c r="G38" s="297"/>
      <c r="H38" s="297"/>
      <c r="I38" s="297"/>
      <c r="J38" s="297"/>
      <c r="K38" s="297"/>
      <c r="L38" s="297"/>
      <c r="M38" s="297"/>
      <c r="N38" s="295"/>
      <c r="O38" s="295"/>
      <c r="P38" s="295"/>
      <c r="Q38" s="295"/>
      <c r="R38" s="295"/>
      <c r="S38" s="295"/>
      <c r="T38" s="295"/>
      <c r="U38" s="295"/>
      <c r="V38" s="295"/>
      <c r="W38" s="295"/>
      <c r="X38" s="295"/>
      <c r="Y38" s="295"/>
      <c r="Z38" s="295"/>
    </row>
    <row r="39" spans="1:26" ht="14.25" customHeight="1" x14ac:dyDescent="0.3">
      <c r="A39" s="295"/>
      <c r="B39" s="297"/>
      <c r="C39" s="297"/>
      <c r="D39" s="297"/>
      <c r="E39" s="297"/>
      <c r="F39" s="297"/>
      <c r="G39" s="297"/>
      <c r="H39" s="297"/>
      <c r="I39" s="297"/>
      <c r="J39" s="297"/>
      <c r="K39" s="297"/>
      <c r="L39" s="297"/>
      <c r="M39" s="297"/>
      <c r="N39" s="295"/>
      <c r="O39" s="295"/>
      <c r="P39" s="295"/>
      <c r="Q39" s="295"/>
      <c r="R39" s="295"/>
      <c r="S39" s="295"/>
      <c r="T39" s="295"/>
      <c r="U39" s="295"/>
      <c r="V39" s="295"/>
      <c r="W39" s="295"/>
      <c r="X39" s="295"/>
      <c r="Y39" s="295"/>
      <c r="Z39" s="295"/>
    </row>
    <row r="40" spans="1:26" ht="14.25" customHeight="1" x14ac:dyDescent="0.3">
      <c r="A40" s="295"/>
      <c r="B40" s="297"/>
      <c r="C40" s="297"/>
      <c r="D40" s="297"/>
      <c r="E40" s="297"/>
      <c r="F40" s="297"/>
      <c r="G40" s="297"/>
      <c r="H40" s="297"/>
      <c r="I40" s="297"/>
      <c r="J40" s="297"/>
      <c r="K40" s="297"/>
      <c r="L40" s="297"/>
      <c r="M40" s="297"/>
      <c r="N40" s="295"/>
      <c r="O40" s="295"/>
      <c r="P40" s="295"/>
      <c r="Q40" s="295"/>
      <c r="R40" s="295"/>
      <c r="S40" s="295"/>
      <c r="T40" s="295"/>
      <c r="U40" s="295"/>
      <c r="V40" s="295"/>
      <c r="W40" s="295"/>
      <c r="X40" s="295"/>
      <c r="Y40" s="295"/>
      <c r="Z40" s="295"/>
    </row>
    <row r="41" spans="1:26" ht="14.25" customHeight="1" x14ac:dyDescent="0.3">
      <c r="A41" s="295"/>
      <c r="B41" s="297"/>
      <c r="C41" s="297"/>
      <c r="D41" s="297"/>
      <c r="E41" s="297"/>
      <c r="F41" s="297"/>
      <c r="G41" s="297"/>
      <c r="H41" s="297"/>
      <c r="I41" s="297"/>
      <c r="J41" s="297"/>
      <c r="K41" s="297"/>
      <c r="L41" s="297"/>
      <c r="M41" s="297"/>
      <c r="N41" s="295"/>
      <c r="O41" s="295"/>
      <c r="P41" s="295"/>
      <c r="Q41" s="295"/>
      <c r="R41" s="295"/>
      <c r="S41" s="295"/>
      <c r="T41" s="295"/>
      <c r="U41" s="295"/>
      <c r="V41" s="295"/>
      <c r="W41" s="295"/>
      <c r="X41" s="295"/>
      <c r="Y41" s="295"/>
      <c r="Z41" s="295"/>
    </row>
    <row r="42" spans="1:26" ht="14.25" customHeight="1" x14ac:dyDescent="0.3">
      <c r="A42" s="295"/>
      <c r="B42" s="297"/>
      <c r="C42" s="297"/>
      <c r="D42" s="297"/>
      <c r="E42" s="297"/>
      <c r="F42" s="297"/>
      <c r="G42" s="297"/>
      <c r="H42" s="297"/>
      <c r="I42" s="297"/>
      <c r="J42" s="297"/>
      <c r="K42" s="297"/>
      <c r="L42" s="297"/>
      <c r="M42" s="297"/>
      <c r="N42" s="295"/>
      <c r="O42" s="295"/>
      <c r="P42" s="295"/>
      <c r="Q42" s="295"/>
      <c r="R42" s="295"/>
      <c r="S42" s="295"/>
      <c r="T42" s="295"/>
      <c r="U42" s="295"/>
      <c r="V42" s="295"/>
      <c r="W42" s="295"/>
      <c r="X42" s="295"/>
      <c r="Y42" s="295"/>
      <c r="Z42" s="295"/>
    </row>
    <row r="43" spans="1:26" ht="14.25" customHeight="1" x14ac:dyDescent="0.3">
      <c r="A43" s="295"/>
      <c r="B43" s="297"/>
      <c r="C43" s="297"/>
      <c r="D43" s="297"/>
      <c r="E43" s="297"/>
      <c r="F43" s="297"/>
      <c r="G43" s="297"/>
      <c r="H43" s="297"/>
      <c r="I43" s="297"/>
      <c r="J43" s="297"/>
      <c r="K43" s="297"/>
      <c r="L43" s="297"/>
      <c r="M43" s="297"/>
      <c r="N43" s="295"/>
      <c r="O43" s="295"/>
      <c r="P43" s="295"/>
      <c r="Q43" s="295"/>
      <c r="R43" s="295"/>
      <c r="S43" s="295"/>
      <c r="T43" s="295"/>
      <c r="U43" s="295"/>
      <c r="V43" s="295"/>
      <c r="W43" s="295"/>
      <c r="X43" s="295"/>
      <c r="Y43" s="295"/>
      <c r="Z43" s="295"/>
    </row>
    <row r="44" spans="1:26" ht="14.25" customHeight="1" x14ac:dyDescent="0.3">
      <c r="A44" s="295"/>
      <c r="B44" s="297"/>
      <c r="C44" s="297"/>
      <c r="D44" s="297"/>
      <c r="E44" s="297"/>
      <c r="F44" s="297"/>
      <c r="G44" s="297"/>
      <c r="H44" s="297"/>
      <c r="I44" s="297"/>
      <c r="J44" s="297"/>
      <c r="K44" s="297"/>
      <c r="L44" s="297"/>
      <c r="M44" s="297"/>
      <c r="N44" s="295"/>
      <c r="O44" s="295"/>
      <c r="P44" s="295"/>
      <c r="Q44" s="295"/>
      <c r="R44" s="295"/>
      <c r="S44" s="295"/>
      <c r="T44" s="295"/>
      <c r="U44" s="295"/>
      <c r="V44" s="295"/>
      <c r="W44" s="295"/>
      <c r="X44" s="295"/>
      <c r="Y44" s="295"/>
      <c r="Z44" s="295"/>
    </row>
    <row r="45" spans="1:26" ht="14.25" customHeight="1" x14ac:dyDescent="0.3">
      <c r="A45" s="295"/>
      <c r="B45" s="297"/>
      <c r="C45" s="297"/>
      <c r="D45" s="297"/>
      <c r="E45" s="297"/>
      <c r="F45" s="297"/>
      <c r="G45" s="297"/>
      <c r="H45" s="297"/>
      <c r="I45" s="297"/>
      <c r="J45" s="297"/>
      <c r="K45" s="297"/>
      <c r="L45" s="297"/>
      <c r="M45" s="297"/>
      <c r="N45" s="295"/>
      <c r="O45" s="295"/>
      <c r="P45" s="295"/>
      <c r="Q45" s="295"/>
      <c r="R45" s="295"/>
      <c r="S45" s="295"/>
      <c r="T45" s="295"/>
      <c r="U45" s="295"/>
      <c r="V45" s="295"/>
      <c r="W45" s="295"/>
      <c r="X45" s="295"/>
      <c r="Y45" s="295"/>
      <c r="Z45" s="295"/>
    </row>
    <row r="46" spans="1:26" ht="14.25" customHeight="1" x14ac:dyDescent="0.3">
      <c r="A46" s="295"/>
      <c r="B46" s="297"/>
      <c r="C46" s="297"/>
      <c r="D46" s="297"/>
      <c r="E46" s="297"/>
      <c r="F46" s="297"/>
      <c r="G46" s="297"/>
      <c r="H46" s="297"/>
      <c r="I46" s="297"/>
      <c r="J46" s="297"/>
      <c r="K46" s="297"/>
      <c r="L46" s="297"/>
      <c r="M46" s="297"/>
      <c r="N46" s="295"/>
      <c r="O46" s="295"/>
      <c r="P46" s="295"/>
      <c r="Q46" s="295"/>
      <c r="R46" s="295"/>
      <c r="S46" s="295"/>
      <c r="T46" s="295"/>
      <c r="U46" s="295"/>
      <c r="V46" s="295"/>
      <c r="W46" s="295"/>
      <c r="X46" s="295"/>
      <c r="Y46" s="295"/>
      <c r="Z46" s="295"/>
    </row>
    <row r="47" spans="1:26" ht="14.25" customHeight="1" x14ac:dyDescent="0.3">
      <c r="A47" s="295"/>
      <c r="B47" s="297"/>
      <c r="C47" s="297"/>
      <c r="D47" s="297"/>
      <c r="E47" s="297"/>
      <c r="F47" s="297"/>
      <c r="G47" s="297"/>
      <c r="H47" s="297"/>
      <c r="I47" s="297"/>
      <c r="J47" s="297"/>
      <c r="K47" s="297"/>
      <c r="L47" s="297"/>
      <c r="M47" s="297"/>
      <c r="N47" s="295"/>
      <c r="O47" s="295"/>
      <c r="P47" s="295"/>
      <c r="Q47" s="295"/>
      <c r="R47" s="295"/>
      <c r="S47" s="295"/>
      <c r="T47" s="295"/>
      <c r="U47" s="295"/>
      <c r="V47" s="295"/>
      <c r="W47" s="295"/>
      <c r="X47" s="295"/>
      <c r="Y47" s="295"/>
      <c r="Z47" s="295"/>
    </row>
    <row r="48" spans="1:26" ht="14.25" customHeight="1" x14ac:dyDescent="0.3">
      <c r="A48" s="295"/>
      <c r="B48" s="297"/>
      <c r="C48" s="297"/>
      <c r="D48" s="297"/>
      <c r="E48" s="297"/>
      <c r="F48" s="297"/>
      <c r="G48" s="297"/>
      <c r="H48" s="297"/>
      <c r="I48" s="297"/>
      <c r="J48" s="297"/>
      <c r="K48" s="297"/>
      <c r="L48" s="297"/>
      <c r="M48" s="297"/>
      <c r="N48" s="295"/>
      <c r="O48" s="295"/>
      <c r="P48" s="295"/>
      <c r="Q48" s="295"/>
      <c r="R48" s="295"/>
      <c r="S48" s="295"/>
      <c r="T48" s="295"/>
      <c r="U48" s="295"/>
      <c r="V48" s="295"/>
      <c r="W48" s="295"/>
      <c r="X48" s="295"/>
      <c r="Y48" s="295"/>
      <c r="Z48" s="295"/>
    </row>
    <row r="49" spans="1:26" ht="14.25" customHeight="1" x14ac:dyDescent="0.3">
      <c r="A49" s="295"/>
      <c r="B49" s="297"/>
      <c r="C49" s="297"/>
      <c r="D49" s="297"/>
      <c r="E49" s="297"/>
      <c r="F49" s="297"/>
      <c r="G49" s="297"/>
      <c r="H49" s="297"/>
      <c r="I49" s="297"/>
      <c r="J49" s="297"/>
      <c r="K49" s="297"/>
      <c r="L49" s="297"/>
      <c r="M49" s="297"/>
      <c r="N49" s="295"/>
      <c r="O49" s="295"/>
      <c r="P49" s="295"/>
      <c r="Q49" s="295"/>
      <c r="R49" s="295"/>
      <c r="S49" s="295"/>
      <c r="T49" s="295"/>
      <c r="U49" s="295"/>
      <c r="V49" s="295"/>
      <c r="W49" s="295"/>
      <c r="X49" s="295"/>
      <c r="Y49" s="295"/>
      <c r="Z49" s="295"/>
    </row>
    <row r="50" spans="1:26" ht="14.25" customHeight="1" x14ac:dyDescent="0.3">
      <c r="A50" s="295"/>
      <c r="B50" s="297"/>
      <c r="C50" s="297"/>
      <c r="D50" s="297"/>
      <c r="E50" s="297"/>
      <c r="F50" s="297"/>
      <c r="G50" s="297"/>
      <c r="H50" s="297"/>
      <c r="I50" s="297"/>
      <c r="J50" s="297"/>
      <c r="K50" s="297"/>
      <c r="L50" s="297"/>
      <c r="M50" s="297"/>
      <c r="N50" s="295"/>
      <c r="O50" s="295"/>
      <c r="P50" s="295"/>
      <c r="Q50" s="295"/>
      <c r="R50" s="295"/>
      <c r="S50" s="295"/>
      <c r="T50" s="295"/>
      <c r="U50" s="295"/>
      <c r="V50" s="295"/>
      <c r="W50" s="295"/>
      <c r="X50" s="295"/>
      <c r="Y50" s="295"/>
      <c r="Z50" s="295"/>
    </row>
    <row r="51" spans="1:26" ht="14.25" customHeight="1" x14ac:dyDescent="0.3">
      <c r="A51" s="295"/>
      <c r="B51" s="297"/>
      <c r="C51" s="297"/>
      <c r="D51" s="297"/>
      <c r="E51" s="297"/>
      <c r="F51" s="297"/>
      <c r="G51" s="297"/>
      <c r="H51" s="297"/>
      <c r="I51" s="297"/>
      <c r="J51" s="297"/>
      <c r="K51" s="297"/>
      <c r="L51" s="297"/>
      <c r="M51" s="297"/>
      <c r="N51" s="295"/>
      <c r="O51" s="295"/>
      <c r="P51" s="295"/>
      <c r="Q51" s="295"/>
      <c r="R51" s="295"/>
      <c r="S51" s="295"/>
      <c r="T51" s="295"/>
      <c r="U51" s="295"/>
      <c r="V51" s="295"/>
      <c r="W51" s="295"/>
      <c r="X51" s="295"/>
      <c r="Y51" s="295"/>
      <c r="Z51" s="295"/>
    </row>
    <row r="52" spans="1:26" ht="14.25" customHeight="1" x14ac:dyDescent="0.3">
      <c r="A52" s="295"/>
      <c r="B52" s="297"/>
      <c r="C52" s="297"/>
      <c r="D52" s="297"/>
      <c r="E52" s="297"/>
      <c r="F52" s="297"/>
      <c r="G52" s="297"/>
      <c r="H52" s="297"/>
      <c r="I52" s="297"/>
      <c r="J52" s="297"/>
      <c r="K52" s="297"/>
      <c r="L52" s="297"/>
      <c r="M52" s="297"/>
      <c r="N52" s="295"/>
      <c r="O52" s="295"/>
      <c r="P52" s="295"/>
      <c r="Q52" s="295"/>
      <c r="R52" s="295"/>
      <c r="S52" s="295"/>
      <c r="T52" s="295"/>
      <c r="U52" s="295"/>
      <c r="V52" s="295"/>
      <c r="W52" s="295"/>
      <c r="X52" s="295"/>
      <c r="Y52" s="295"/>
      <c r="Z52" s="295"/>
    </row>
    <row r="53" spans="1:26" ht="14.25" customHeight="1" x14ac:dyDescent="0.3">
      <c r="A53" s="295"/>
      <c r="B53" s="297"/>
      <c r="C53" s="297"/>
      <c r="D53" s="297"/>
      <c r="E53" s="297"/>
      <c r="F53" s="297"/>
      <c r="G53" s="297"/>
      <c r="H53" s="297"/>
      <c r="I53" s="297"/>
      <c r="J53" s="297"/>
      <c r="K53" s="297"/>
      <c r="L53" s="297"/>
      <c r="M53" s="297"/>
      <c r="N53" s="295"/>
      <c r="O53" s="295"/>
      <c r="P53" s="295"/>
      <c r="Q53" s="295"/>
      <c r="R53" s="295"/>
      <c r="S53" s="295"/>
      <c r="T53" s="295"/>
      <c r="U53" s="295"/>
      <c r="V53" s="295"/>
      <c r="W53" s="295"/>
      <c r="X53" s="295"/>
      <c r="Y53" s="295"/>
      <c r="Z53" s="295"/>
    </row>
    <row r="54" spans="1:26" ht="14.25" customHeight="1" x14ac:dyDescent="0.3">
      <c r="A54" s="295"/>
      <c r="B54" s="297"/>
      <c r="C54" s="297"/>
      <c r="D54" s="297"/>
      <c r="E54" s="297"/>
      <c r="F54" s="297"/>
      <c r="G54" s="297"/>
      <c r="H54" s="297"/>
      <c r="I54" s="297"/>
      <c r="J54" s="297"/>
      <c r="K54" s="297"/>
      <c r="L54" s="297"/>
      <c r="M54" s="297"/>
      <c r="N54" s="295"/>
      <c r="O54" s="295"/>
      <c r="P54" s="295"/>
      <c r="Q54" s="295"/>
      <c r="R54" s="295"/>
      <c r="S54" s="295"/>
      <c r="T54" s="295"/>
      <c r="U54" s="295"/>
      <c r="V54" s="295"/>
      <c r="W54" s="295"/>
      <c r="X54" s="295"/>
      <c r="Y54" s="295"/>
      <c r="Z54" s="295"/>
    </row>
    <row r="55" spans="1:26" ht="14.25" customHeight="1" x14ac:dyDescent="0.3">
      <c r="A55" s="295"/>
      <c r="B55" s="297"/>
      <c r="C55" s="297"/>
      <c r="D55" s="297"/>
      <c r="E55" s="297"/>
      <c r="F55" s="297"/>
      <c r="G55" s="297"/>
      <c r="H55" s="297"/>
      <c r="I55" s="297"/>
      <c r="J55" s="297"/>
      <c r="K55" s="297"/>
      <c r="L55" s="297"/>
      <c r="M55" s="297"/>
      <c r="N55" s="295"/>
      <c r="O55" s="295"/>
      <c r="P55" s="295"/>
      <c r="Q55" s="295"/>
      <c r="R55" s="295"/>
      <c r="S55" s="295"/>
      <c r="T55" s="295"/>
      <c r="U55" s="295"/>
      <c r="V55" s="295"/>
      <c r="W55" s="295"/>
      <c r="X55" s="295"/>
      <c r="Y55" s="295"/>
      <c r="Z55" s="295"/>
    </row>
    <row r="56" spans="1:26" ht="14.25" customHeight="1" x14ac:dyDescent="0.3">
      <c r="A56" s="295"/>
      <c r="B56" s="297"/>
      <c r="C56" s="297"/>
      <c r="D56" s="297"/>
      <c r="E56" s="297"/>
      <c r="F56" s="297"/>
      <c r="G56" s="297"/>
      <c r="H56" s="297"/>
      <c r="I56" s="297"/>
      <c r="J56" s="297"/>
      <c r="K56" s="297"/>
      <c r="L56" s="297"/>
      <c r="M56" s="297"/>
      <c r="N56" s="295"/>
      <c r="O56" s="295"/>
      <c r="P56" s="295"/>
      <c r="Q56" s="295"/>
      <c r="R56" s="295"/>
      <c r="S56" s="295"/>
      <c r="T56" s="295"/>
      <c r="U56" s="295"/>
      <c r="V56" s="295"/>
      <c r="W56" s="295"/>
      <c r="X56" s="295"/>
      <c r="Y56" s="295"/>
      <c r="Z56" s="295"/>
    </row>
    <row r="57" spans="1:26" ht="14.25" customHeight="1" x14ac:dyDescent="0.3">
      <c r="A57" s="295"/>
      <c r="B57" s="297"/>
      <c r="C57" s="297"/>
      <c r="D57" s="297"/>
      <c r="E57" s="297"/>
      <c r="F57" s="297"/>
      <c r="G57" s="297"/>
      <c r="H57" s="297"/>
      <c r="I57" s="297"/>
      <c r="J57" s="297"/>
      <c r="K57" s="297"/>
      <c r="L57" s="297"/>
      <c r="M57" s="297"/>
      <c r="N57" s="295"/>
      <c r="O57" s="295"/>
      <c r="P57" s="295"/>
      <c r="Q57" s="295"/>
      <c r="R57" s="295"/>
      <c r="S57" s="295"/>
      <c r="T57" s="295"/>
      <c r="U57" s="295"/>
      <c r="V57" s="295"/>
      <c r="W57" s="295"/>
      <c r="X57" s="295"/>
      <c r="Y57" s="295"/>
      <c r="Z57" s="295"/>
    </row>
    <row r="58" spans="1:26" ht="14.25" customHeight="1" x14ac:dyDescent="0.3">
      <c r="A58" s="295"/>
      <c r="B58" s="297"/>
      <c r="C58" s="297"/>
      <c r="D58" s="297"/>
      <c r="E58" s="297"/>
      <c r="F58" s="297"/>
      <c r="G58" s="297"/>
      <c r="H58" s="297"/>
      <c r="I58" s="297"/>
      <c r="J58" s="297"/>
      <c r="K58" s="297"/>
      <c r="L58" s="297"/>
      <c r="M58" s="297"/>
      <c r="N58" s="295"/>
      <c r="O58" s="295"/>
      <c r="P58" s="295"/>
      <c r="Q58" s="295"/>
      <c r="R58" s="295"/>
      <c r="S58" s="295"/>
      <c r="T58" s="295"/>
      <c r="U58" s="295"/>
      <c r="V58" s="295"/>
      <c r="W58" s="295"/>
      <c r="X58" s="295"/>
      <c r="Y58" s="295"/>
      <c r="Z58" s="295"/>
    </row>
    <row r="59" spans="1:26" ht="14.25" customHeight="1" x14ac:dyDescent="0.3">
      <c r="A59" s="295"/>
      <c r="B59" s="297"/>
      <c r="C59" s="297"/>
      <c r="D59" s="297"/>
      <c r="E59" s="297"/>
      <c r="F59" s="297"/>
      <c r="G59" s="297"/>
      <c r="H59" s="297"/>
      <c r="I59" s="297"/>
      <c r="J59" s="297"/>
      <c r="K59" s="297"/>
      <c r="L59" s="297"/>
      <c r="M59" s="297"/>
      <c r="N59" s="295"/>
      <c r="O59" s="295"/>
      <c r="P59" s="295"/>
      <c r="Q59" s="295"/>
      <c r="R59" s="295"/>
      <c r="S59" s="295"/>
      <c r="T59" s="295"/>
      <c r="U59" s="295"/>
      <c r="V59" s="295"/>
      <c r="W59" s="295"/>
      <c r="X59" s="295"/>
      <c r="Y59" s="295"/>
      <c r="Z59" s="295"/>
    </row>
    <row r="60" spans="1:26" ht="14.25" customHeight="1" x14ac:dyDescent="0.3">
      <c r="A60" s="295"/>
      <c r="B60" s="297"/>
      <c r="C60" s="297"/>
      <c r="D60" s="297"/>
      <c r="E60" s="297"/>
      <c r="F60" s="297"/>
      <c r="G60" s="297"/>
      <c r="H60" s="297"/>
      <c r="I60" s="297"/>
      <c r="J60" s="297"/>
      <c r="K60" s="297"/>
      <c r="L60" s="297"/>
      <c r="M60" s="297"/>
      <c r="N60" s="295"/>
      <c r="O60" s="295"/>
      <c r="P60" s="295"/>
      <c r="Q60" s="295"/>
      <c r="R60" s="295"/>
      <c r="S60" s="295"/>
      <c r="T60" s="295"/>
      <c r="U60" s="295"/>
      <c r="V60" s="295"/>
      <c r="W60" s="295"/>
      <c r="X60" s="295"/>
      <c r="Y60" s="295"/>
      <c r="Z60" s="295"/>
    </row>
    <row r="61" spans="1:26" ht="14.25" customHeight="1" x14ac:dyDescent="0.3">
      <c r="A61" s="295"/>
      <c r="B61" s="297"/>
      <c r="C61" s="297"/>
      <c r="D61" s="297"/>
      <c r="E61" s="297"/>
      <c r="F61" s="297"/>
      <c r="G61" s="297"/>
      <c r="H61" s="297"/>
      <c r="I61" s="297"/>
      <c r="J61" s="297"/>
      <c r="K61" s="297"/>
      <c r="L61" s="297"/>
      <c r="M61" s="297"/>
      <c r="N61" s="295"/>
      <c r="O61" s="295"/>
      <c r="P61" s="295"/>
      <c r="Q61" s="295"/>
      <c r="R61" s="295"/>
      <c r="S61" s="295"/>
      <c r="T61" s="295"/>
      <c r="U61" s="295"/>
      <c r="V61" s="295"/>
      <c r="W61" s="295"/>
      <c r="X61" s="295"/>
      <c r="Y61" s="295"/>
      <c r="Z61" s="295"/>
    </row>
    <row r="62" spans="1:26" ht="14.25" customHeight="1" x14ac:dyDescent="0.3">
      <c r="A62" s="295"/>
      <c r="B62" s="297"/>
      <c r="C62" s="297"/>
      <c r="D62" s="297"/>
      <c r="E62" s="297"/>
      <c r="F62" s="297"/>
      <c r="G62" s="297"/>
      <c r="H62" s="297"/>
      <c r="I62" s="297"/>
      <c r="J62" s="297"/>
      <c r="K62" s="297"/>
      <c r="L62" s="297"/>
      <c r="M62" s="297"/>
      <c r="N62" s="295"/>
      <c r="O62" s="295"/>
      <c r="P62" s="295"/>
      <c r="Q62" s="295"/>
      <c r="R62" s="295"/>
      <c r="S62" s="295"/>
      <c r="T62" s="295"/>
      <c r="U62" s="295"/>
      <c r="V62" s="295"/>
      <c r="W62" s="295"/>
      <c r="X62" s="295"/>
      <c r="Y62" s="295"/>
      <c r="Z62" s="295"/>
    </row>
    <row r="63" spans="1:26" ht="14.25" customHeight="1" x14ac:dyDescent="0.3">
      <c r="A63" s="295"/>
      <c r="B63" s="297"/>
      <c r="C63" s="297"/>
      <c r="D63" s="297"/>
      <c r="E63" s="297"/>
      <c r="F63" s="297"/>
      <c r="G63" s="297"/>
      <c r="H63" s="297"/>
      <c r="I63" s="297"/>
      <c r="J63" s="297"/>
      <c r="K63" s="297"/>
      <c r="L63" s="297"/>
      <c r="M63" s="297"/>
      <c r="N63" s="295"/>
      <c r="O63" s="295"/>
      <c r="P63" s="295"/>
      <c r="Q63" s="295"/>
      <c r="R63" s="295"/>
      <c r="S63" s="295"/>
      <c r="T63" s="295"/>
      <c r="U63" s="295"/>
      <c r="V63" s="295"/>
      <c r="W63" s="295"/>
      <c r="X63" s="295"/>
      <c r="Y63" s="295"/>
      <c r="Z63" s="295"/>
    </row>
    <row r="64" spans="1:26" ht="14.25" customHeight="1" x14ac:dyDescent="0.3">
      <c r="A64" s="295"/>
      <c r="B64" s="297"/>
      <c r="C64" s="297"/>
      <c r="D64" s="297"/>
      <c r="E64" s="297"/>
      <c r="F64" s="297"/>
      <c r="G64" s="297"/>
      <c r="H64" s="297"/>
      <c r="I64" s="297"/>
      <c r="J64" s="297"/>
      <c r="K64" s="297"/>
      <c r="L64" s="297"/>
      <c r="M64" s="297"/>
      <c r="N64" s="295"/>
      <c r="O64" s="295"/>
      <c r="P64" s="295"/>
      <c r="Q64" s="295"/>
      <c r="R64" s="295"/>
      <c r="S64" s="295"/>
      <c r="T64" s="295"/>
      <c r="U64" s="295"/>
      <c r="V64" s="295"/>
      <c r="W64" s="295"/>
      <c r="X64" s="295"/>
      <c r="Y64" s="295"/>
      <c r="Z64" s="295"/>
    </row>
    <row r="65" spans="1:26" ht="14.25" customHeight="1" x14ac:dyDescent="0.3">
      <c r="A65" s="295"/>
      <c r="B65" s="297"/>
      <c r="C65" s="297"/>
      <c r="D65" s="297"/>
      <c r="E65" s="297"/>
      <c r="F65" s="297"/>
      <c r="G65" s="297"/>
      <c r="H65" s="297"/>
      <c r="I65" s="297"/>
      <c r="J65" s="297"/>
      <c r="K65" s="297"/>
      <c r="L65" s="297"/>
      <c r="M65" s="297"/>
      <c r="N65" s="295"/>
      <c r="O65" s="295"/>
      <c r="P65" s="295"/>
      <c r="Q65" s="295"/>
      <c r="R65" s="295"/>
      <c r="S65" s="295"/>
      <c r="T65" s="295"/>
      <c r="U65" s="295"/>
      <c r="V65" s="295"/>
      <c r="W65" s="295"/>
      <c r="X65" s="295"/>
      <c r="Y65" s="295"/>
      <c r="Z65" s="295"/>
    </row>
    <row r="66" spans="1:26" ht="14.25" customHeight="1" x14ac:dyDescent="0.3">
      <c r="A66" s="295"/>
      <c r="B66" s="297"/>
      <c r="C66" s="297"/>
      <c r="D66" s="297"/>
      <c r="E66" s="297"/>
      <c r="F66" s="297"/>
      <c r="G66" s="297"/>
      <c r="H66" s="297"/>
      <c r="I66" s="297"/>
      <c r="J66" s="297"/>
      <c r="K66" s="297"/>
      <c r="L66" s="297"/>
      <c r="M66" s="297"/>
      <c r="N66" s="295"/>
      <c r="O66" s="295"/>
      <c r="P66" s="295"/>
      <c r="Q66" s="295"/>
      <c r="R66" s="295"/>
      <c r="S66" s="295"/>
      <c r="T66" s="295"/>
      <c r="U66" s="295"/>
      <c r="V66" s="295"/>
      <c r="W66" s="295"/>
      <c r="X66" s="295"/>
      <c r="Y66" s="295"/>
      <c r="Z66" s="295"/>
    </row>
    <row r="67" spans="1:26" ht="14.25" customHeight="1" x14ac:dyDescent="0.3">
      <c r="A67" s="295"/>
      <c r="B67" s="297"/>
      <c r="C67" s="297"/>
      <c r="D67" s="297"/>
      <c r="E67" s="297"/>
      <c r="F67" s="297"/>
      <c r="G67" s="297"/>
      <c r="H67" s="297"/>
      <c r="I67" s="297"/>
      <c r="J67" s="297"/>
      <c r="K67" s="297"/>
      <c r="L67" s="297"/>
      <c r="M67" s="297"/>
      <c r="N67" s="295"/>
      <c r="O67" s="295"/>
      <c r="P67" s="295"/>
      <c r="Q67" s="295"/>
      <c r="R67" s="295"/>
      <c r="S67" s="295"/>
      <c r="T67" s="295"/>
      <c r="U67" s="295"/>
      <c r="V67" s="295"/>
      <c r="W67" s="295"/>
      <c r="X67" s="295"/>
      <c r="Y67" s="295"/>
      <c r="Z67" s="295"/>
    </row>
    <row r="68" spans="1:26" ht="14.25" customHeight="1" x14ac:dyDescent="0.3">
      <c r="A68" s="295"/>
      <c r="B68" s="297"/>
      <c r="C68" s="297"/>
      <c r="D68" s="297"/>
      <c r="E68" s="297"/>
      <c r="F68" s="297"/>
      <c r="G68" s="297"/>
      <c r="H68" s="297"/>
      <c r="I68" s="297"/>
      <c r="J68" s="297"/>
      <c r="K68" s="297"/>
      <c r="L68" s="297"/>
      <c r="M68" s="297"/>
      <c r="N68" s="295"/>
      <c r="O68" s="295"/>
      <c r="P68" s="295"/>
      <c r="Q68" s="295"/>
      <c r="R68" s="295"/>
      <c r="S68" s="295"/>
      <c r="T68" s="295"/>
      <c r="U68" s="295"/>
      <c r="V68" s="295"/>
      <c r="W68" s="295"/>
      <c r="X68" s="295"/>
      <c r="Y68" s="295"/>
      <c r="Z68" s="295"/>
    </row>
    <row r="69" spans="1:26" ht="14.25" customHeight="1" x14ac:dyDescent="0.3">
      <c r="A69" s="295"/>
      <c r="B69" s="297"/>
      <c r="C69" s="297"/>
      <c r="D69" s="297"/>
      <c r="E69" s="297"/>
      <c r="F69" s="297"/>
      <c r="G69" s="297"/>
      <c r="H69" s="297"/>
      <c r="I69" s="297"/>
      <c r="J69" s="297"/>
      <c r="K69" s="297"/>
      <c r="L69" s="297"/>
      <c r="M69" s="297"/>
      <c r="N69" s="295"/>
      <c r="O69" s="295"/>
      <c r="P69" s="295"/>
      <c r="Q69" s="295"/>
      <c r="R69" s="295"/>
      <c r="S69" s="295"/>
      <c r="T69" s="295"/>
      <c r="U69" s="295"/>
      <c r="V69" s="295"/>
      <c r="W69" s="295"/>
      <c r="X69" s="295"/>
      <c r="Y69" s="295"/>
      <c r="Z69" s="295"/>
    </row>
    <row r="70" spans="1:26" ht="14.25" customHeight="1" x14ac:dyDescent="0.3">
      <c r="A70" s="295"/>
      <c r="B70" s="297"/>
      <c r="C70" s="297"/>
      <c r="D70" s="297"/>
      <c r="E70" s="297"/>
      <c r="F70" s="297"/>
      <c r="G70" s="297"/>
      <c r="H70" s="297"/>
      <c r="I70" s="297"/>
      <c r="J70" s="297"/>
      <c r="K70" s="297"/>
      <c r="L70" s="297"/>
      <c r="M70" s="297"/>
      <c r="N70" s="295"/>
      <c r="O70" s="295"/>
      <c r="P70" s="295"/>
      <c r="Q70" s="295"/>
      <c r="R70" s="295"/>
      <c r="S70" s="295"/>
      <c r="T70" s="295"/>
      <c r="U70" s="295"/>
      <c r="V70" s="295"/>
      <c r="W70" s="295"/>
      <c r="X70" s="295"/>
      <c r="Y70" s="295"/>
      <c r="Z70" s="295"/>
    </row>
    <row r="71" spans="1:26" ht="14.25" customHeight="1" x14ac:dyDescent="0.3">
      <c r="A71" s="295"/>
      <c r="B71" s="297"/>
      <c r="C71" s="297"/>
      <c r="D71" s="297"/>
      <c r="E71" s="297"/>
      <c r="F71" s="297"/>
      <c r="G71" s="297"/>
      <c r="H71" s="297"/>
      <c r="I71" s="297"/>
      <c r="J71" s="297"/>
      <c r="K71" s="297"/>
      <c r="L71" s="297"/>
      <c r="M71" s="297"/>
      <c r="N71" s="295"/>
      <c r="O71" s="295"/>
      <c r="P71" s="295"/>
      <c r="Q71" s="295"/>
      <c r="R71" s="295"/>
      <c r="S71" s="295"/>
      <c r="T71" s="295"/>
      <c r="U71" s="295"/>
      <c r="V71" s="295"/>
      <c r="W71" s="295"/>
      <c r="X71" s="295"/>
      <c r="Y71" s="295"/>
      <c r="Z71" s="295"/>
    </row>
    <row r="72" spans="1:26" ht="14.25" customHeight="1" x14ac:dyDescent="0.3">
      <c r="A72" s="295"/>
      <c r="B72" s="297"/>
      <c r="C72" s="297"/>
      <c r="D72" s="297"/>
      <c r="E72" s="297"/>
      <c r="F72" s="297"/>
      <c r="G72" s="297"/>
      <c r="H72" s="297"/>
      <c r="I72" s="297"/>
      <c r="J72" s="297"/>
      <c r="K72" s="297"/>
      <c r="L72" s="297"/>
      <c r="M72" s="297"/>
      <c r="N72" s="295"/>
      <c r="O72" s="295"/>
      <c r="P72" s="295"/>
      <c r="Q72" s="295"/>
      <c r="R72" s="295"/>
      <c r="S72" s="295"/>
      <c r="T72" s="295"/>
      <c r="U72" s="295"/>
      <c r="V72" s="295"/>
      <c r="W72" s="295"/>
      <c r="X72" s="295"/>
      <c r="Y72" s="295"/>
      <c r="Z72" s="295"/>
    </row>
    <row r="73" spans="1:26" ht="14.25" customHeight="1" x14ac:dyDescent="0.3">
      <c r="A73" s="295"/>
      <c r="B73" s="297"/>
      <c r="C73" s="297"/>
      <c r="D73" s="297"/>
      <c r="E73" s="297"/>
      <c r="F73" s="297"/>
      <c r="G73" s="297"/>
      <c r="H73" s="297"/>
      <c r="I73" s="297"/>
      <c r="J73" s="297"/>
      <c r="K73" s="297"/>
      <c r="L73" s="297"/>
      <c r="M73" s="297"/>
      <c r="N73" s="295"/>
      <c r="O73" s="295"/>
      <c r="P73" s="295"/>
      <c r="Q73" s="295"/>
      <c r="R73" s="295"/>
      <c r="S73" s="295"/>
      <c r="T73" s="295"/>
      <c r="U73" s="295"/>
      <c r="V73" s="295"/>
      <c r="W73" s="295"/>
      <c r="X73" s="295"/>
      <c r="Y73" s="295"/>
      <c r="Z73" s="295"/>
    </row>
    <row r="74" spans="1:26" ht="14.25" customHeight="1" x14ac:dyDescent="0.3">
      <c r="A74" s="295"/>
      <c r="B74" s="297"/>
      <c r="C74" s="297"/>
      <c r="D74" s="297"/>
      <c r="E74" s="297"/>
      <c r="F74" s="297"/>
      <c r="G74" s="297"/>
      <c r="H74" s="297"/>
      <c r="I74" s="297"/>
      <c r="J74" s="297"/>
      <c r="K74" s="297"/>
      <c r="L74" s="297"/>
      <c r="M74" s="297"/>
      <c r="N74" s="295"/>
      <c r="O74" s="295"/>
      <c r="P74" s="295"/>
      <c r="Q74" s="295"/>
      <c r="R74" s="295"/>
      <c r="S74" s="295"/>
      <c r="T74" s="295"/>
      <c r="U74" s="295"/>
      <c r="V74" s="295"/>
      <c r="W74" s="295"/>
      <c r="X74" s="295"/>
      <c r="Y74" s="295"/>
      <c r="Z74" s="295"/>
    </row>
    <row r="75" spans="1:26" ht="14.25" customHeight="1" x14ac:dyDescent="0.3">
      <c r="A75" s="295"/>
      <c r="B75" s="297"/>
      <c r="C75" s="297"/>
      <c r="D75" s="297"/>
      <c r="E75" s="297"/>
      <c r="F75" s="297"/>
      <c r="G75" s="297"/>
      <c r="H75" s="297"/>
      <c r="I75" s="297"/>
      <c r="J75" s="297"/>
      <c r="K75" s="297"/>
      <c r="L75" s="297"/>
      <c r="M75" s="297"/>
      <c r="N75" s="295"/>
      <c r="O75" s="295"/>
      <c r="P75" s="295"/>
      <c r="Q75" s="295"/>
      <c r="R75" s="295"/>
      <c r="S75" s="295"/>
      <c r="T75" s="295"/>
      <c r="U75" s="295"/>
      <c r="V75" s="295"/>
      <c r="W75" s="295"/>
      <c r="X75" s="295"/>
      <c r="Y75" s="295"/>
      <c r="Z75" s="295"/>
    </row>
    <row r="76" spans="1:26" ht="14.25" customHeight="1" x14ac:dyDescent="0.3">
      <c r="A76" s="295"/>
      <c r="B76" s="297"/>
      <c r="C76" s="297"/>
      <c r="D76" s="297"/>
      <c r="E76" s="297"/>
      <c r="F76" s="297"/>
      <c r="G76" s="297"/>
      <c r="H76" s="297"/>
      <c r="I76" s="297"/>
      <c r="J76" s="297"/>
      <c r="K76" s="297"/>
      <c r="L76" s="297"/>
      <c r="M76" s="297"/>
      <c r="N76" s="295"/>
      <c r="O76" s="295"/>
      <c r="P76" s="295"/>
      <c r="Q76" s="295"/>
      <c r="R76" s="295"/>
      <c r="S76" s="295"/>
      <c r="T76" s="295"/>
      <c r="U76" s="295"/>
      <c r="V76" s="295"/>
      <c r="W76" s="295"/>
      <c r="X76" s="295"/>
      <c r="Y76" s="295"/>
      <c r="Z76" s="295"/>
    </row>
    <row r="77" spans="1:26" ht="14.25" customHeight="1" x14ac:dyDescent="0.3">
      <c r="A77" s="295"/>
      <c r="B77" s="297"/>
      <c r="C77" s="297"/>
      <c r="D77" s="297"/>
      <c r="E77" s="297"/>
      <c r="F77" s="297"/>
      <c r="G77" s="297"/>
      <c r="H77" s="297"/>
      <c r="I77" s="297"/>
      <c r="J77" s="297"/>
      <c r="K77" s="297"/>
      <c r="L77" s="297"/>
      <c r="M77" s="297"/>
      <c r="N77" s="295"/>
      <c r="O77" s="295"/>
      <c r="P77" s="295"/>
      <c r="Q77" s="295"/>
      <c r="R77" s="295"/>
      <c r="S77" s="295"/>
      <c r="T77" s="295"/>
      <c r="U77" s="295"/>
      <c r="V77" s="295"/>
      <c r="W77" s="295"/>
      <c r="X77" s="295"/>
      <c r="Y77" s="295"/>
      <c r="Z77" s="295"/>
    </row>
    <row r="78" spans="1:26" ht="14.25" customHeight="1" x14ac:dyDescent="0.3">
      <c r="A78" s="295"/>
      <c r="B78" s="297"/>
      <c r="C78" s="297"/>
      <c r="D78" s="297"/>
      <c r="E78" s="297"/>
      <c r="F78" s="297"/>
      <c r="G78" s="297"/>
      <c r="H78" s="297"/>
      <c r="I78" s="297"/>
      <c r="J78" s="297"/>
      <c r="K78" s="297"/>
      <c r="L78" s="297"/>
      <c r="M78" s="297"/>
      <c r="N78" s="295"/>
      <c r="O78" s="295"/>
      <c r="P78" s="295"/>
      <c r="Q78" s="295"/>
      <c r="R78" s="295"/>
      <c r="S78" s="295"/>
      <c r="T78" s="295"/>
      <c r="U78" s="295"/>
      <c r="V78" s="295"/>
      <c r="W78" s="295"/>
      <c r="X78" s="295"/>
      <c r="Y78" s="295"/>
      <c r="Z78" s="295"/>
    </row>
    <row r="79" spans="1:26" ht="14.25" customHeight="1" x14ac:dyDescent="0.3">
      <c r="A79" s="295"/>
      <c r="B79" s="297"/>
      <c r="C79" s="297"/>
      <c r="D79" s="297"/>
      <c r="E79" s="297"/>
      <c r="F79" s="297"/>
      <c r="G79" s="297"/>
      <c r="H79" s="297"/>
      <c r="I79" s="297"/>
      <c r="J79" s="297"/>
      <c r="K79" s="297"/>
      <c r="L79" s="297"/>
      <c r="M79" s="297"/>
      <c r="N79" s="295"/>
      <c r="O79" s="295"/>
      <c r="P79" s="295"/>
      <c r="Q79" s="295"/>
      <c r="R79" s="295"/>
      <c r="S79" s="295"/>
      <c r="T79" s="295"/>
      <c r="U79" s="295"/>
      <c r="V79" s="295"/>
      <c r="W79" s="295"/>
      <c r="X79" s="295"/>
      <c r="Y79" s="295"/>
      <c r="Z79" s="295"/>
    </row>
    <row r="80" spans="1:26" ht="14.25" customHeight="1" x14ac:dyDescent="0.3">
      <c r="A80" s="295"/>
      <c r="B80" s="297"/>
      <c r="C80" s="297"/>
      <c r="D80" s="297"/>
      <c r="E80" s="297"/>
      <c r="F80" s="297"/>
      <c r="G80" s="297"/>
      <c r="H80" s="297"/>
      <c r="I80" s="297"/>
      <c r="J80" s="297"/>
      <c r="K80" s="297"/>
      <c r="L80" s="297"/>
      <c r="M80" s="297"/>
      <c r="N80" s="295"/>
      <c r="O80" s="295"/>
      <c r="P80" s="295"/>
      <c r="Q80" s="295"/>
      <c r="R80" s="295"/>
      <c r="S80" s="295"/>
      <c r="T80" s="295"/>
      <c r="U80" s="295"/>
      <c r="V80" s="295"/>
      <c r="W80" s="295"/>
      <c r="X80" s="295"/>
      <c r="Y80" s="295"/>
      <c r="Z80" s="295"/>
    </row>
    <row r="81" spans="1:26" ht="14.25" customHeight="1" x14ac:dyDescent="0.3">
      <c r="A81" s="295"/>
      <c r="B81" s="297"/>
      <c r="C81" s="297"/>
      <c r="D81" s="297"/>
      <c r="E81" s="297"/>
      <c r="F81" s="297"/>
      <c r="G81" s="297"/>
      <c r="H81" s="297"/>
      <c r="I81" s="297"/>
      <c r="J81" s="297"/>
      <c r="K81" s="297"/>
      <c r="L81" s="297"/>
      <c r="M81" s="297"/>
      <c r="N81" s="295"/>
      <c r="O81" s="295"/>
      <c r="P81" s="295"/>
      <c r="Q81" s="295"/>
      <c r="R81" s="295"/>
      <c r="S81" s="295"/>
      <c r="T81" s="295"/>
      <c r="U81" s="295"/>
      <c r="V81" s="295"/>
      <c r="W81" s="295"/>
      <c r="X81" s="295"/>
      <c r="Y81" s="295"/>
      <c r="Z81" s="295"/>
    </row>
    <row r="82" spans="1:26" ht="14.25" customHeight="1" x14ac:dyDescent="0.3">
      <c r="A82" s="295"/>
      <c r="B82" s="297"/>
      <c r="C82" s="297"/>
      <c r="D82" s="297"/>
      <c r="E82" s="297"/>
      <c r="F82" s="297"/>
      <c r="G82" s="297"/>
      <c r="H82" s="297"/>
      <c r="I82" s="297"/>
      <c r="J82" s="297"/>
      <c r="K82" s="297"/>
      <c r="L82" s="297"/>
      <c r="M82" s="297"/>
      <c r="N82" s="295"/>
      <c r="O82" s="295"/>
      <c r="P82" s="295"/>
      <c r="Q82" s="295"/>
      <c r="R82" s="295"/>
      <c r="S82" s="295"/>
      <c r="T82" s="295"/>
      <c r="U82" s="295"/>
      <c r="V82" s="295"/>
      <c r="W82" s="295"/>
      <c r="X82" s="295"/>
      <c r="Y82" s="295"/>
      <c r="Z82" s="295"/>
    </row>
    <row r="83" spans="1:26" ht="14.25" customHeight="1" x14ac:dyDescent="0.3">
      <c r="A83" s="295"/>
      <c r="B83" s="297"/>
      <c r="C83" s="297"/>
      <c r="D83" s="297"/>
      <c r="E83" s="297"/>
      <c r="F83" s="297"/>
      <c r="G83" s="297"/>
      <c r="H83" s="297"/>
      <c r="I83" s="297"/>
      <c r="J83" s="297"/>
      <c r="K83" s="297"/>
      <c r="L83" s="297"/>
      <c r="M83" s="297"/>
      <c r="N83" s="295"/>
      <c r="O83" s="295"/>
      <c r="P83" s="295"/>
      <c r="Q83" s="295"/>
      <c r="R83" s="295"/>
      <c r="S83" s="295"/>
      <c r="T83" s="295"/>
      <c r="U83" s="295"/>
      <c r="V83" s="295"/>
      <c r="W83" s="295"/>
      <c r="X83" s="295"/>
      <c r="Y83" s="295"/>
      <c r="Z83" s="295"/>
    </row>
    <row r="84" spans="1:26" ht="14.25" customHeight="1" x14ac:dyDescent="0.3">
      <c r="A84" s="295"/>
      <c r="B84" s="297"/>
      <c r="C84" s="297"/>
      <c r="D84" s="297"/>
      <c r="E84" s="297"/>
      <c r="F84" s="297"/>
      <c r="G84" s="297"/>
      <c r="H84" s="297"/>
      <c r="I84" s="297"/>
      <c r="J84" s="297"/>
      <c r="K84" s="297"/>
      <c r="L84" s="297"/>
      <c r="M84" s="297"/>
      <c r="N84" s="295"/>
      <c r="O84" s="295"/>
      <c r="P84" s="295"/>
      <c r="Q84" s="295"/>
      <c r="R84" s="295"/>
      <c r="S84" s="295"/>
      <c r="T84" s="295"/>
      <c r="U84" s="295"/>
      <c r="V84" s="295"/>
      <c r="W84" s="295"/>
      <c r="X84" s="295"/>
      <c r="Y84" s="295"/>
      <c r="Z84" s="295"/>
    </row>
    <row r="85" spans="1:26" ht="14.25" customHeight="1" x14ac:dyDescent="0.3">
      <c r="A85" s="295"/>
      <c r="B85" s="297"/>
      <c r="C85" s="297"/>
      <c r="D85" s="297"/>
      <c r="E85" s="297"/>
      <c r="F85" s="297"/>
      <c r="G85" s="297"/>
      <c r="H85" s="297"/>
      <c r="I85" s="297"/>
      <c r="J85" s="297"/>
      <c r="K85" s="297"/>
      <c r="L85" s="297"/>
      <c r="M85" s="297"/>
      <c r="N85" s="295"/>
      <c r="O85" s="295"/>
      <c r="P85" s="295"/>
      <c r="Q85" s="295"/>
      <c r="R85" s="295"/>
      <c r="S85" s="295"/>
      <c r="T85" s="295"/>
      <c r="U85" s="295"/>
      <c r="V85" s="295"/>
      <c r="W85" s="295"/>
      <c r="X85" s="295"/>
      <c r="Y85" s="295"/>
      <c r="Z85" s="295"/>
    </row>
    <row r="86" spans="1:26" ht="14.25" customHeight="1" x14ac:dyDescent="0.3">
      <c r="A86" s="295"/>
      <c r="B86" s="297"/>
      <c r="C86" s="297"/>
      <c r="D86" s="297"/>
      <c r="E86" s="297"/>
      <c r="F86" s="297"/>
      <c r="G86" s="297"/>
      <c r="H86" s="297"/>
      <c r="I86" s="297"/>
      <c r="J86" s="297"/>
      <c r="K86" s="297"/>
      <c r="L86" s="297"/>
      <c r="M86" s="297"/>
      <c r="N86" s="295"/>
      <c r="O86" s="295"/>
      <c r="P86" s="295"/>
      <c r="Q86" s="295"/>
      <c r="R86" s="295"/>
      <c r="S86" s="295"/>
      <c r="T86" s="295"/>
      <c r="U86" s="295"/>
      <c r="V86" s="295"/>
      <c r="W86" s="295"/>
      <c r="X86" s="295"/>
      <c r="Y86" s="295"/>
      <c r="Z86" s="295"/>
    </row>
    <row r="87" spans="1:26" ht="14.25" customHeight="1" x14ac:dyDescent="0.3">
      <c r="A87" s="295"/>
      <c r="B87" s="297"/>
      <c r="C87" s="297"/>
      <c r="D87" s="297"/>
      <c r="E87" s="297"/>
      <c r="F87" s="297"/>
      <c r="G87" s="297"/>
      <c r="H87" s="297"/>
      <c r="I87" s="297"/>
      <c r="J87" s="297"/>
      <c r="K87" s="297"/>
      <c r="L87" s="297"/>
      <c r="M87" s="297"/>
      <c r="N87" s="295"/>
      <c r="O87" s="295"/>
      <c r="P87" s="295"/>
      <c r="Q87" s="295"/>
      <c r="R87" s="295"/>
      <c r="S87" s="295"/>
      <c r="T87" s="295"/>
      <c r="U87" s="295"/>
      <c r="V87" s="295"/>
      <c r="W87" s="295"/>
      <c r="X87" s="295"/>
      <c r="Y87" s="295"/>
      <c r="Z87" s="295"/>
    </row>
    <row r="88" spans="1:26" ht="14.25" customHeight="1" x14ac:dyDescent="0.3">
      <c r="A88" s="295"/>
      <c r="B88" s="297"/>
      <c r="C88" s="297"/>
      <c r="D88" s="297"/>
      <c r="E88" s="297"/>
      <c r="F88" s="297"/>
      <c r="G88" s="297"/>
      <c r="H88" s="297"/>
      <c r="I88" s="297"/>
      <c r="J88" s="297"/>
      <c r="K88" s="297"/>
      <c r="L88" s="297"/>
      <c r="M88" s="297"/>
      <c r="N88" s="295"/>
      <c r="O88" s="295"/>
      <c r="P88" s="295"/>
      <c r="Q88" s="295"/>
      <c r="R88" s="295"/>
      <c r="S88" s="295"/>
      <c r="T88" s="295"/>
      <c r="U88" s="295"/>
      <c r="V88" s="295"/>
      <c r="W88" s="295"/>
      <c r="X88" s="295"/>
      <c r="Y88" s="295"/>
      <c r="Z88" s="295"/>
    </row>
    <row r="89" spans="1:26" ht="14.25" customHeight="1" x14ac:dyDescent="0.3">
      <c r="A89" s="295"/>
      <c r="B89" s="297"/>
      <c r="C89" s="297"/>
      <c r="D89" s="297"/>
      <c r="E89" s="297"/>
      <c r="F89" s="297"/>
      <c r="G89" s="297"/>
      <c r="H89" s="297"/>
      <c r="I89" s="297"/>
      <c r="J89" s="297"/>
      <c r="K89" s="297"/>
      <c r="L89" s="297"/>
      <c r="M89" s="297"/>
      <c r="N89" s="295"/>
      <c r="O89" s="295"/>
      <c r="P89" s="295"/>
      <c r="Q89" s="295"/>
      <c r="R89" s="295"/>
      <c r="S89" s="295"/>
      <c r="T89" s="295"/>
      <c r="U89" s="295"/>
      <c r="V89" s="295"/>
      <c r="W89" s="295"/>
      <c r="X89" s="295"/>
      <c r="Y89" s="295"/>
      <c r="Z89" s="295"/>
    </row>
    <row r="90" spans="1:26" ht="14.25" customHeight="1" x14ac:dyDescent="0.3">
      <c r="A90" s="295"/>
      <c r="B90" s="297"/>
      <c r="C90" s="297"/>
      <c r="D90" s="297"/>
      <c r="E90" s="297"/>
      <c r="F90" s="297"/>
      <c r="G90" s="297"/>
      <c r="H90" s="297"/>
      <c r="I90" s="297"/>
      <c r="J90" s="297"/>
      <c r="K90" s="297"/>
      <c r="L90" s="297"/>
      <c r="M90" s="297"/>
      <c r="N90" s="295"/>
      <c r="O90" s="295"/>
      <c r="P90" s="295"/>
      <c r="Q90" s="295"/>
      <c r="R90" s="295"/>
      <c r="S90" s="295"/>
      <c r="T90" s="295"/>
      <c r="U90" s="295"/>
      <c r="V90" s="295"/>
      <c r="W90" s="295"/>
      <c r="X90" s="295"/>
      <c r="Y90" s="295"/>
      <c r="Z90" s="295"/>
    </row>
    <row r="91" spans="1:26" ht="14.25" customHeight="1" x14ac:dyDescent="0.3">
      <c r="A91" s="295"/>
      <c r="B91" s="297"/>
      <c r="C91" s="297"/>
      <c r="D91" s="297"/>
      <c r="E91" s="297"/>
      <c r="F91" s="297"/>
      <c r="G91" s="297"/>
      <c r="H91" s="297"/>
      <c r="I91" s="297"/>
      <c r="J91" s="297"/>
      <c r="K91" s="297"/>
      <c r="L91" s="297"/>
      <c r="M91" s="297"/>
      <c r="N91" s="295"/>
      <c r="O91" s="295"/>
      <c r="P91" s="295"/>
      <c r="Q91" s="295"/>
      <c r="R91" s="295"/>
      <c r="S91" s="295"/>
      <c r="T91" s="295"/>
      <c r="U91" s="295"/>
      <c r="V91" s="295"/>
      <c r="W91" s="295"/>
      <c r="X91" s="295"/>
      <c r="Y91" s="295"/>
      <c r="Z91" s="295"/>
    </row>
    <row r="92" spans="1:26" ht="14.25" customHeight="1" x14ac:dyDescent="0.3">
      <c r="A92" s="295"/>
      <c r="B92" s="297"/>
      <c r="C92" s="297"/>
      <c r="D92" s="297"/>
      <c r="E92" s="297"/>
      <c r="F92" s="297"/>
      <c r="G92" s="297"/>
      <c r="H92" s="297"/>
      <c r="I92" s="297"/>
      <c r="J92" s="297"/>
      <c r="K92" s="297"/>
      <c r="L92" s="297"/>
      <c r="M92" s="297"/>
      <c r="N92" s="295"/>
      <c r="O92" s="295"/>
      <c r="P92" s="295"/>
      <c r="Q92" s="295"/>
      <c r="R92" s="295"/>
      <c r="S92" s="295"/>
      <c r="T92" s="295"/>
      <c r="U92" s="295"/>
      <c r="V92" s="295"/>
      <c r="W92" s="295"/>
      <c r="X92" s="295"/>
      <c r="Y92" s="295"/>
      <c r="Z92" s="295"/>
    </row>
    <row r="93" spans="1:26" ht="14.25" customHeight="1" x14ac:dyDescent="0.3">
      <c r="A93" s="295"/>
      <c r="B93" s="297"/>
      <c r="C93" s="297"/>
      <c r="D93" s="297"/>
      <c r="E93" s="297"/>
      <c r="F93" s="297"/>
      <c r="G93" s="297"/>
      <c r="H93" s="297"/>
      <c r="I93" s="297"/>
      <c r="J93" s="297"/>
      <c r="K93" s="297"/>
      <c r="L93" s="297"/>
      <c r="M93" s="297"/>
      <c r="N93" s="295"/>
      <c r="O93" s="295"/>
      <c r="P93" s="295"/>
      <c r="Q93" s="295"/>
      <c r="R93" s="295"/>
      <c r="S93" s="295"/>
      <c r="T93" s="295"/>
      <c r="U93" s="295"/>
      <c r="V93" s="295"/>
      <c r="W93" s="295"/>
      <c r="X93" s="295"/>
      <c r="Y93" s="295"/>
      <c r="Z93" s="295"/>
    </row>
    <row r="94" spans="1:26" ht="14.25" customHeight="1" x14ac:dyDescent="0.3">
      <c r="A94" s="295"/>
      <c r="B94" s="297"/>
      <c r="C94" s="297"/>
      <c r="D94" s="297"/>
      <c r="E94" s="297"/>
      <c r="F94" s="297"/>
      <c r="G94" s="297"/>
      <c r="H94" s="297"/>
      <c r="I94" s="297"/>
      <c r="J94" s="297"/>
      <c r="K94" s="297"/>
      <c r="L94" s="297"/>
      <c r="M94" s="297"/>
      <c r="N94" s="295"/>
      <c r="O94" s="295"/>
      <c r="P94" s="295"/>
      <c r="Q94" s="295"/>
      <c r="R94" s="295"/>
      <c r="S94" s="295"/>
      <c r="T94" s="295"/>
      <c r="U94" s="295"/>
      <c r="V94" s="295"/>
      <c r="W94" s="295"/>
      <c r="X94" s="295"/>
      <c r="Y94" s="295"/>
      <c r="Z94" s="295"/>
    </row>
    <row r="95" spans="1:26" ht="14.25" customHeight="1" x14ac:dyDescent="0.3">
      <c r="A95" s="295"/>
      <c r="B95" s="297"/>
      <c r="C95" s="297"/>
      <c r="D95" s="297"/>
      <c r="E95" s="297"/>
      <c r="F95" s="297"/>
      <c r="G95" s="297"/>
      <c r="H95" s="297"/>
      <c r="I95" s="297"/>
      <c r="J95" s="297"/>
      <c r="K95" s="297"/>
      <c r="L95" s="297"/>
      <c r="M95" s="297"/>
      <c r="N95" s="295"/>
      <c r="O95" s="295"/>
      <c r="P95" s="295"/>
      <c r="Q95" s="295"/>
      <c r="R95" s="295"/>
      <c r="S95" s="295"/>
      <c r="T95" s="295"/>
      <c r="U95" s="295"/>
      <c r="V95" s="295"/>
      <c r="W95" s="295"/>
      <c r="X95" s="295"/>
      <c r="Y95" s="295"/>
      <c r="Z95" s="295"/>
    </row>
    <row r="96" spans="1:26" ht="14.25" customHeight="1" x14ac:dyDescent="0.3">
      <c r="A96" s="295"/>
      <c r="B96" s="297"/>
      <c r="C96" s="297"/>
      <c r="D96" s="297"/>
      <c r="E96" s="297"/>
      <c r="F96" s="297"/>
      <c r="G96" s="297"/>
      <c r="H96" s="297"/>
      <c r="I96" s="297"/>
      <c r="J96" s="297"/>
      <c r="K96" s="297"/>
      <c r="L96" s="297"/>
      <c r="M96" s="297"/>
      <c r="N96" s="295"/>
      <c r="O96" s="295"/>
      <c r="P96" s="295"/>
      <c r="Q96" s="295"/>
      <c r="R96" s="295"/>
      <c r="S96" s="295"/>
      <c r="T96" s="295"/>
      <c r="U96" s="295"/>
      <c r="V96" s="295"/>
      <c r="W96" s="295"/>
      <c r="X96" s="295"/>
      <c r="Y96" s="295"/>
      <c r="Z96" s="295"/>
    </row>
    <row r="97" spans="1:26" ht="14.25" customHeight="1" x14ac:dyDescent="0.3">
      <c r="A97" s="295"/>
      <c r="B97" s="297"/>
      <c r="C97" s="297"/>
      <c r="D97" s="297"/>
      <c r="E97" s="297"/>
      <c r="F97" s="297"/>
      <c r="G97" s="297"/>
      <c r="H97" s="297"/>
      <c r="I97" s="297"/>
      <c r="J97" s="297"/>
      <c r="K97" s="297"/>
      <c r="L97" s="297"/>
      <c r="M97" s="297"/>
      <c r="N97" s="295"/>
      <c r="O97" s="295"/>
      <c r="P97" s="295"/>
      <c r="Q97" s="295"/>
      <c r="R97" s="295"/>
      <c r="S97" s="295"/>
      <c r="T97" s="295"/>
      <c r="U97" s="295"/>
      <c r="V97" s="295"/>
      <c r="W97" s="295"/>
      <c r="X97" s="295"/>
      <c r="Y97" s="295"/>
      <c r="Z97" s="295"/>
    </row>
    <row r="98" spans="1:26" ht="14.25" customHeight="1" x14ac:dyDescent="0.3">
      <c r="A98" s="295"/>
      <c r="B98" s="297"/>
      <c r="C98" s="297"/>
      <c r="D98" s="297"/>
      <c r="E98" s="297"/>
      <c r="F98" s="297"/>
      <c r="G98" s="297"/>
      <c r="H98" s="297"/>
      <c r="I98" s="297"/>
      <c r="J98" s="297"/>
      <c r="K98" s="297"/>
      <c r="L98" s="297"/>
      <c r="M98" s="297"/>
      <c r="N98" s="295"/>
      <c r="O98" s="295"/>
      <c r="P98" s="295"/>
      <c r="Q98" s="295"/>
      <c r="R98" s="295"/>
      <c r="S98" s="295"/>
      <c r="T98" s="295"/>
      <c r="U98" s="295"/>
      <c r="V98" s="295"/>
      <c r="W98" s="295"/>
      <c r="X98" s="295"/>
      <c r="Y98" s="295"/>
      <c r="Z98" s="295"/>
    </row>
    <row r="99" spans="1:26" ht="14.25" customHeight="1" x14ac:dyDescent="0.3">
      <c r="A99" s="295"/>
      <c r="B99" s="297"/>
      <c r="C99" s="297"/>
      <c r="D99" s="297"/>
      <c r="E99" s="297"/>
      <c r="F99" s="297"/>
      <c r="G99" s="297"/>
      <c r="H99" s="297"/>
      <c r="I99" s="297"/>
      <c r="J99" s="297"/>
      <c r="K99" s="297"/>
      <c r="L99" s="297"/>
      <c r="M99" s="297"/>
      <c r="N99" s="295"/>
      <c r="O99" s="295"/>
      <c r="P99" s="295"/>
      <c r="Q99" s="295"/>
      <c r="R99" s="295"/>
      <c r="S99" s="295"/>
      <c r="T99" s="295"/>
      <c r="U99" s="295"/>
      <c r="V99" s="295"/>
      <c r="W99" s="295"/>
      <c r="X99" s="295"/>
      <c r="Y99" s="295"/>
      <c r="Z99" s="295"/>
    </row>
    <row r="100" spans="1:26" ht="14.25" customHeight="1" x14ac:dyDescent="0.3">
      <c r="A100" s="295"/>
      <c r="B100" s="297"/>
      <c r="C100" s="297"/>
      <c r="D100" s="297"/>
      <c r="E100" s="297"/>
      <c r="F100" s="297"/>
      <c r="G100" s="297"/>
      <c r="H100" s="297"/>
      <c r="I100" s="297"/>
      <c r="J100" s="297"/>
      <c r="K100" s="297"/>
      <c r="L100" s="297"/>
      <c r="M100" s="297"/>
      <c r="N100" s="295"/>
      <c r="O100" s="295"/>
      <c r="P100" s="295"/>
      <c r="Q100" s="295"/>
      <c r="R100" s="295"/>
      <c r="S100" s="295"/>
      <c r="T100" s="295"/>
      <c r="U100" s="295"/>
      <c r="V100" s="295"/>
      <c r="W100" s="295"/>
      <c r="X100" s="295"/>
      <c r="Y100" s="295"/>
      <c r="Z100" s="295"/>
    </row>
    <row r="101" spans="1:26" ht="14.25" customHeight="1" x14ac:dyDescent="0.3">
      <c r="A101" s="295"/>
      <c r="B101" s="297"/>
      <c r="C101" s="297"/>
      <c r="D101" s="297"/>
      <c r="E101" s="297"/>
      <c r="F101" s="297"/>
      <c r="G101" s="297"/>
      <c r="H101" s="297"/>
      <c r="I101" s="297"/>
      <c r="J101" s="297"/>
      <c r="K101" s="297"/>
      <c r="L101" s="297"/>
      <c r="M101" s="297"/>
      <c r="N101" s="295"/>
      <c r="O101" s="295"/>
      <c r="P101" s="295"/>
      <c r="Q101" s="295"/>
      <c r="R101" s="295"/>
      <c r="S101" s="295"/>
      <c r="T101" s="295"/>
      <c r="U101" s="295"/>
      <c r="V101" s="295"/>
      <c r="W101" s="295"/>
      <c r="X101" s="295"/>
      <c r="Y101" s="295"/>
      <c r="Z101" s="295"/>
    </row>
    <row r="102" spans="1:26" ht="14.25" customHeight="1" x14ac:dyDescent="0.3">
      <c r="A102" s="295"/>
      <c r="B102" s="297"/>
      <c r="C102" s="297"/>
      <c r="D102" s="297"/>
      <c r="E102" s="297"/>
      <c r="F102" s="297"/>
      <c r="G102" s="297"/>
      <c r="H102" s="297"/>
      <c r="I102" s="297"/>
      <c r="J102" s="297"/>
      <c r="K102" s="297"/>
      <c r="L102" s="297"/>
      <c r="M102" s="297"/>
      <c r="N102" s="295"/>
      <c r="O102" s="295"/>
      <c r="P102" s="295"/>
      <c r="Q102" s="295"/>
      <c r="R102" s="295"/>
      <c r="S102" s="295"/>
      <c r="T102" s="295"/>
      <c r="U102" s="295"/>
      <c r="V102" s="295"/>
      <c r="W102" s="295"/>
      <c r="X102" s="295"/>
      <c r="Y102" s="295"/>
      <c r="Z102" s="295"/>
    </row>
    <row r="103" spans="1:26" ht="14.25" customHeight="1" x14ac:dyDescent="0.3">
      <c r="A103" s="295"/>
      <c r="B103" s="297"/>
      <c r="C103" s="297"/>
      <c r="D103" s="297"/>
      <c r="E103" s="297"/>
      <c r="F103" s="297"/>
      <c r="G103" s="297"/>
      <c r="H103" s="297"/>
      <c r="I103" s="297"/>
      <c r="J103" s="297"/>
      <c r="K103" s="297"/>
      <c r="L103" s="297"/>
      <c r="M103" s="297"/>
      <c r="N103" s="295"/>
      <c r="O103" s="295"/>
      <c r="P103" s="295"/>
      <c r="Q103" s="295"/>
      <c r="R103" s="295"/>
      <c r="S103" s="295"/>
      <c r="T103" s="295"/>
      <c r="U103" s="295"/>
      <c r="V103" s="295"/>
      <c r="W103" s="295"/>
      <c r="X103" s="295"/>
      <c r="Y103" s="295"/>
      <c r="Z103" s="295"/>
    </row>
    <row r="104" spans="1:26" ht="14.25" customHeight="1" x14ac:dyDescent="0.3">
      <c r="A104" s="295"/>
      <c r="B104" s="297"/>
      <c r="C104" s="297"/>
      <c r="D104" s="297"/>
      <c r="E104" s="297"/>
      <c r="F104" s="297"/>
      <c r="G104" s="297"/>
      <c r="H104" s="297"/>
      <c r="I104" s="297"/>
      <c r="J104" s="297"/>
      <c r="K104" s="297"/>
      <c r="L104" s="297"/>
      <c r="M104" s="297"/>
      <c r="N104" s="295"/>
      <c r="O104" s="295"/>
      <c r="P104" s="295"/>
      <c r="Q104" s="295"/>
      <c r="R104" s="295"/>
      <c r="S104" s="295"/>
      <c r="T104" s="295"/>
      <c r="U104" s="295"/>
      <c r="V104" s="295"/>
      <c r="W104" s="295"/>
      <c r="X104" s="295"/>
      <c r="Y104" s="295"/>
      <c r="Z104" s="295"/>
    </row>
    <row r="105" spans="1:26" ht="14.25" customHeight="1" x14ac:dyDescent="0.3">
      <c r="A105" s="295"/>
      <c r="B105" s="297"/>
      <c r="C105" s="297"/>
      <c r="D105" s="297"/>
      <c r="E105" s="297"/>
      <c r="F105" s="297"/>
      <c r="G105" s="297"/>
      <c r="H105" s="297"/>
      <c r="I105" s="297"/>
      <c r="J105" s="297"/>
      <c r="K105" s="297"/>
      <c r="L105" s="297"/>
      <c r="M105" s="297"/>
      <c r="N105" s="295"/>
      <c r="O105" s="295"/>
      <c r="P105" s="295"/>
      <c r="Q105" s="295"/>
      <c r="R105" s="295"/>
      <c r="S105" s="295"/>
      <c r="T105" s="295"/>
      <c r="U105" s="295"/>
      <c r="V105" s="295"/>
      <c r="W105" s="295"/>
      <c r="X105" s="295"/>
      <c r="Y105" s="295"/>
      <c r="Z105" s="295"/>
    </row>
    <row r="106" spans="1:26" ht="14.25" customHeight="1" x14ac:dyDescent="0.3">
      <c r="A106" s="295"/>
      <c r="B106" s="297"/>
      <c r="C106" s="297"/>
      <c r="D106" s="297"/>
      <c r="E106" s="297"/>
      <c r="F106" s="297"/>
      <c r="G106" s="297"/>
      <c r="H106" s="297"/>
      <c r="I106" s="297"/>
      <c r="J106" s="297"/>
      <c r="K106" s="297"/>
      <c r="L106" s="297"/>
      <c r="M106" s="297"/>
      <c r="N106" s="295"/>
      <c r="O106" s="295"/>
      <c r="P106" s="295"/>
      <c r="Q106" s="295"/>
      <c r="R106" s="295"/>
      <c r="S106" s="295"/>
      <c r="T106" s="295"/>
      <c r="U106" s="295"/>
      <c r="V106" s="295"/>
      <c r="W106" s="295"/>
      <c r="X106" s="295"/>
      <c r="Y106" s="295"/>
      <c r="Z106" s="295"/>
    </row>
    <row r="107" spans="1:26" ht="14.25" customHeight="1" x14ac:dyDescent="0.3">
      <c r="A107" s="295"/>
      <c r="B107" s="297"/>
      <c r="C107" s="297"/>
      <c r="D107" s="297"/>
      <c r="E107" s="297"/>
      <c r="F107" s="297"/>
      <c r="G107" s="297"/>
      <c r="H107" s="297"/>
      <c r="I107" s="297"/>
      <c r="J107" s="297"/>
      <c r="K107" s="297"/>
      <c r="L107" s="297"/>
      <c r="M107" s="297"/>
      <c r="N107" s="295"/>
      <c r="O107" s="295"/>
      <c r="P107" s="295"/>
      <c r="Q107" s="295"/>
      <c r="R107" s="295"/>
      <c r="S107" s="295"/>
      <c r="T107" s="295"/>
      <c r="U107" s="295"/>
      <c r="V107" s="295"/>
      <c r="W107" s="295"/>
      <c r="X107" s="295"/>
      <c r="Y107" s="295"/>
      <c r="Z107" s="295"/>
    </row>
    <row r="108" spans="1:26" ht="14.25" customHeight="1" x14ac:dyDescent="0.3">
      <c r="A108" s="295"/>
      <c r="B108" s="297"/>
      <c r="C108" s="297"/>
      <c r="D108" s="297"/>
      <c r="E108" s="297"/>
      <c r="F108" s="297"/>
      <c r="G108" s="297"/>
      <c r="H108" s="297"/>
      <c r="I108" s="297"/>
      <c r="J108" s="297"/>
      <c r="K108" s="297"/>
      <c r="L108" s="297"/>
      <c r="M108" s="297"/>
      <c r="N108" s="295"/>
      <c r="O108" s="295"/>
      <c r="P108" s="295"/>
      <c r="Q108" s="295"/>
      <c r="R108" s="295"/>
      <c r="S108" s="295"/>
      <c r="T108" s="295"/>
      <c r="U108" s="295"/>
      <c r="V108" s="295"/>
      <c r="W108" s="295"/>
      <c r="X108" s="295"/>
      <c r="Y108" s="295"/>
      <c r="Z108" s="295"/>
    </row>
    <row r="109" spans="1:26" ht="14.25" customHeight="1" x14ac:dyDescent="0.3">
      <c r="A109" s="295"/>
      <c r="B109" s="297"/>
      <c r="C109" s="297"/>
      <c r="D109" s="297"/>
      <c r="E109" s="297"/>
      <c r="F109" s="297"/>
      <c r="G109" s="297"/>
      <c r="H109" s="297"/>
      <c r="I109" s="297"/>
      <c r="J109" s="297"/>
      <c r="K109" s="297"/>
      <c r="L109" s="297"/>
      <c r="M109" s="297"/>
      <c r="N109" s="295"/>
      <c r="O109" s="295"/>
      <c r="P109" s="295"/>
      <c r="Q109" s="295"/>
      <c r="R109" s="295"/>
      <c r="S109" s="295"/>
      <c r="T109" s="295"/>
      <c r="U109" s="295"/>
      <c r="V109" s="295"/>
      <c r="W109" s="295"/>
      <c r="X109" s="295"/>
      <c r="Y109" s="295"/>
      <c r="Z109" s="295"/>
    </row>
    <row r="110" spans="1:26" ht="14.25" customHeight="1" x14ac:dyDescent="0.3">
      <c r="A110" s="295"/>
      <c r="B110" s="297"/>
      <c r="C110" s="297"/>
      <c r="D110" s="297"/>
      <c r="E110" s="297"/>
      <c r="F110" s="297"/>
      <c r="G110" s="297"/>
      <c r="H110" s="297"/>
      <c r="I110" s="297"/>
      <c r="J110" s="297"/>
      <c r="K110" s="297"/>
      <c r="L110" s="297"/>
      <c r="M110" s="297"/>
      <c r="N110" s="295"/>
      <c r="O110" s="295"/>
      <c r="P110" s="295"/>
      <c r="Q110" s="295"/>
      <c r="R110" s="295"/>
      <c r="S110" s="295"/>
      <c r="T110" s="295"/>
      <c r="U110" s="295"/>
      <c r="V110" s="295"/>
      <c r="W110" s="295"/>
      <c r="X110" s="295"/>
      <c r="Y110" s="295"/>
      <c r="Z110" s="295"/>
    </row>
    <row r="111" spans="1:26" ht="14.25" customHeight="1" x14ac:dyDescent="0.3">
      <c r="A111" s="295"/>
      <c r="B111" s="297"/>
      <c r="C111" s="297"/>
      <c r="D111" s="297"/>
      <c r="E111" s="297"/>
      <c r="F111" s="297"/>
      <c r="G111" s="297"/>
      <c r="H111" s="297"/>
      <c r="I111" s="297"/>
      <c r="J111" s="297"/>
      <c r="K111" s="297"/>
      <c r="L111" s="297"/>
      <c r="M111" s="297"/>
      <c r="N111" s="295"/>
      <c r="O111" s="295"/>
      <c r="P111" s="295"/>
      <c r="Q111" s="295"/>
      <c r="R111" s="295"/>
      <c r="S111" s="295"/>
      <c r="T111" s="295"/>
      <c r="U111" s="295"/>
      <c r="V111" s="295"/>
      <c r="W111" s="295"/>
      <c r="X111" s="295"/>
      <c r="Y111" s="295"/>
      <c r="Z111" s="295"/>
    </row>
    <row r="112" spans="1:26" ht="14.25" customHeight="1" x14ac:dyDescent="0.3">
      <c r="A112" s="295"/>
      <c r="B112" s="297"/>
      <c r="C112" s="297"/>
      <c r="D112" s="297"/>
      <c r="E112" s="297"/>
      <c r="F112" s="297"/>
      <c r="G112" s="297"/>
      <c r="H112" s="297"/>
      <c r="I112" s="297"/>
      <c r="J112" s="297"/>
      <c r="K112" s="297"/>
      <c r="L112" s="297"/>
      <c r="M112" s="297"/>
      <c r="N112" s="295"/>
      <c r="O112" s="295"/>
      <c r="P112" s="295"/>
      <c r="Q112" s="295"/>
      <c r="R112" s="295"/>
      <c r="S112" s="295"/>
      <c r="T112" s="295"/>
      <c r="U112" s="295"/>
      <c r="V112" s="295"/>
      <c r="W112" s="295"/>
      <c r="X112" s="295"/>
      <c r="Y112" s="295"/>
      <c r="Z112" s="295"/>
    </row>
    <row r="113" spans="1:26" ht="14.25" customHeight="1" x14ac:dyDescent="0.3">
      <c r="A113" s="295"/>
      <c r="B113" s="297"/>
      <c r="C113" s="297"/>
      <c r="D113" s="297"/>
      <c r="E113" s="297"/>
      <c r="F113" s="297"/>
      <c r="G113" s="297"/>
      <c r="H113" s="297"/>
      <c r="I113" s="297"/>
      <c r="J113" s="297"/>
      <c r="K113" s="297"/>
      <c r="L113" s="297"/>
      <c r="M113" s="297"/>
      <c r="N113" s="295"/>
      <c r="O113" s="295"/>
      <c r="P113" s="295"/>
      <c r="Q113" s="295"/>
      <c r="R113" s="295"/>
      <c r="S113" s="295"/>
      <c r="T113" s="295"/>
      <c r="U113" s="295"/>
      <c r="V113" s="295"/>
      <c r="W113" s="295"/>
      <c r="X113" s="295"/>
      <c r="Y113" s="295"/>
      <c r="Z113" s="295"/>
    </row>
    <row r="114" spans="1:26" ht="14.25" customHeight="1" x14ac:dyDescent="0.3">
      <c r="A114" s="295"/>
      <c r="B114" s="297"/>
      <c r="C114" s="297"/>
      <c r="D114" s="297"/>
      <c r="E114" s="297"/>
      <c r="F114" s="297"/>
      <c r="G114" s="297"/>
      <c r="H114" s="297"/>
      <c r="I114" s="297"/>
      <c r="J114" s="297"/>
      <c r="K114" s="297"/>
      <c r="L114" s="297"/>
      <c r="M114" s="297"/>
      <c r="N114" s="295"/>
      <c r="O114" s="295"/>
      <c r="P114" s="295"/>
      <c r="Q114" s="295"/>
      <c r="R114" s="295"/>
      <c r="S114" s="295"/>
      <c r="T114" s="295"/>
      <c r="U114" s="295"/>
      <c r="V114" s="295"/>
      <c r="W114" s="295"/>
      <c r="X114" s="295"/>
      <c r="Y114" s="295"/>
      <c r="Z114" s="295"/>
    </row>
    <row r="115" spans="1:26" ht="14.25" customHeight="1" x14ac:dyDescent="0.3">
      <c r="A115" s="295"/>
      <c r="B115" s="297"/>
      <c r="C115" s="297"/>
      <c r="D115" s="297"/>
      <c r="E115" s="297"/>
      <c r="F115" s="297"/>
      <c r="G115" s="297"/>
      <c r="H115" s="297"/>
      <c r="I115" s="297"/>
      <c r="J115" s="297"/>
      <c r="K115" s="297"/>
      <c r="L115" s="297"/>
      <c r="M115" s="297"/>
      <c r="N115" s="295"/>
      <c r="O115" s="295"/>
      <c r="P115" s="295"/>
      <c r="Q115" s="295"/>
      <c r="R115" s="295"/>
      <c r="S115" s="295"/>
      <c r="T115" s="295"/>
      <c r="U115" s="295"/>
      <c r="V115" s="295"/>
      <c r="W115" s="295"/>
      <c r="X115" s="295"/>
      <c r="Y115" s="295"/>
      <c r="Z115" s="295"/>
    </row>
    <row r="116" spans="1:26" ht="14.25" customHeight="1" x14ac:dyDescent="0.3">
      <c r="A116" s="295"/>
      <c r="B116" s="297"/>
      <c r="C116" s="297"/>
      <c r="D116" s="297"/>
      <c r="E116" s="297"/>
      <c r="F116" s="297"/>
      <c r="G116" s="297"/>
      <c r="H116" s="297"/>
      <c r="I116" s="297"/>
      <c r="J116" s="297"/>
      <c r="K116" s="297"/>
      <c r="L116" s="297"/>
      <c r="M116" s="297"/>
      <c r="N116" s="295"/>
      <c r="O116" s="295"/>
      <c r="P116" s="295"/>
      <c r="Q116" s="295"/>
      <c r="R116" s="295"/>
      <c r="S116" s="295"/>
      <c r="T116" s="295"/>
      <c r="U116" s="295"/>
      <c r="V116" s="295"/>
      <c r="W116" s="295"/>
      <c r="X116" s="295"/>
      <c r="Y116" s="295"/>
      <c r="Z116" s="295"/>
    </row>
    <row r="117" spans="1:26" ht="14.25" customHeight="1" x14ac:dyDescent="0.3">
      <c r="A117" s="295"/>
      <c r="B117" s="297"/>
      <c r="C117" s="297"/>
      <c r="D117" s="297"/>
      <c r="E117" s="297"/>
      <c r="F117" s="297"/>
      <c r="G117" s="297"/>
      <c r="H117" s="297"/>
      <c r="I117" s="297"/>
      <c r="J117" s="297"/>
      <c r="K117" s="297"/>
      <c r="L117" s="297"/>
      <c r="M117" s="297"/>
      <c r="N117" s="295"/>
      <c r="O117" s="295"/>
      <c r="P117" s="295"/>
      <c r="Q117" s="295"/>
      <c r="R117" s="295"/>
      <c r="S117" s="295"/>
      <c r="T117" s="295"/>
      <c r="U117" s="295"/>
      <c r="V117" s="295"/>
      <c r="W117" s="295"/>
      <c r="X117" s="295"/>
      <c r="Y117" s="295"/>
      <c r="Z117" s="295"/>
    </row>
    <row r="118" spans="1:26" ht="14.25" customHeight="1" x14ac:dyDescent="0.3">
      <c r="A118" s="295"/>
      <c r="B118" s="297"/>
      <c r="C118" s="297"/>
      <c r="D118" s="297"/>
      <c r="E118" s="297"/>
      <c r="F118" s="297"/>
      <c r="G118" s="297"/>
      <c r="H118" s="297"/>
      <c r="I118" s="297"/>
      <c r="J118" s="297"/>
      <c r="K118" s="297"/>
      <c r="L118" s="297"/>
      <c r="M118" s="297"/>
      <c r="N118" s="295"/>
      <c r="O118" s="295"/>
      <c r="P118" s="295"/>
      <c r="Q118" s="295"/>
      <c r="R118" s="295"/>
      <c r="S118" s="295"/>
      <c r="T118" s="295"/>
      <c r="U118" s="295"/>
      <c r="V118" s="295"/>
      <c r="W118" s="295"/>
      <c r="X118" s="295"/>
      <c r="Y118" s="295"/>
      <c r="Z118" s="295"/>
    </row>
    <row r="119" spans="1:26" ht="14.25" customHeight="1" x14ac:dyDescent="0.3">
      <c r="A119" s="295"/>
      <c r="B119" s="297"/>
      <c r="C119" s="297"/>
      <c r="D119" s="297"/>
      <c r="E119" s="297"/>
      <c r="F119" s="297"/>
      <c r="G119" s="297"/>
      <c r="H119" s="297"/>
      <c r="I119" s="297"/>
      <c r="J119" s="297"/>
      <c r="K119" s="297"/>
      <c r="L119" s="297"/>
      <c r="M119" s="297"/>
      <c r="N119" s="295"/>
      <c r="O119" s="295"/>
      <c r="P119" s="295"/>
      <c r="Q119" s="295"/>
      <c r="R119" s="295"/>
      <c r="S119" s="295"/>
      <c r="T119" s="295"/>
      <c r="U119" s="295"/>
      <c r="V119" s="295"/>
      <c r="W119" s="295"/>
      <c r="X119" s="295"/>
      <c r="Y119" s="295"/>
      <c r="Z119" s="295"/>
    </row>
    <row r="120" spans="1:26" ht="14.25" customHeight="1" x14ac:dyDescent="0.3">
      <c r="A120" s="295"/>
      <c r="B120" s="297"/>
      <c r="C120" s="297"/>
      <c r="D120" s="297"/>
      <c r="E120" s="297"/>
      <c r="F120" s="297"/>
      <c r="G120" s="297"/>
      <c r="H120" s="297"/>
      <c r="I120" s="297"/>
      <c r="J120" s="297"/>
      <c r="K120" s="297"/>
      <c r="L120" s="297"/>
      <c r="M120" s="297"/>
      <c r="N120" s="295"/>
      <c r="O120" s="295"/>
      <c r="P120" s="295"/>
      <c r="Q120" s="295"/>
      <c r="R120" s="295"/>
      <c r="S120" s="295"/>
      <c r="T120" s="295"/>
      <c r="U120" s="295"/>
      <c r="V120" s="295"/>
      <c r="W120" s="295"/>
      <c r="X120" s="295"/>
      <c r="Y120" s="295"/>
      <c r="Z120" s="295"/>
    </row>
    <row r="121" spans="1:26" ht="14.25" customHeight="1" x14ac:dyDescent="0.3">
      <c r="A121" s="295"/>
      <c r="B121" s="297"/>
      <c r="C121" s="297"/>
      <c r="D121" s="297"/>
      <c r="E121" s="297"/>
      <c r="F121" s="297"/>
      <c r="G121" s="297"/>
      <c r="H121" s="297"/>
      <c r="I121" s="297"/>
      <c r="J121" s="297"/>
      <c r="K121" s="297"/>
      <c r="L121" s="297"/>
      <c r="M121" s="297"/>
      <c r="N121" s="295"/>
      <c r="O121" s="295"/>
      <c r="P121" s="295"/>
      <c r="Q121" s="295"/>
      <c r="R121" s="295"/>
      <c r="S121" s="295"/>
      <c r="T121" s="295"/>
      <c r="U121" s="295"/>
      <c r="V121" s="295"/>
      <c r="W121" s="295"/>
      <c r="X121" s="295"/>
      <c r="Y121" s="295"/>
      <c r="Z121" s="295"/>
    </row>
    <row r="122" spans="1:26" ht="14.25" customHeight="1" x14ac:dyDescent="0.3">
      <c r="A122" s="295"/>
      <c r="B122" s="297"/>
      <c r="C122" s="297"/>
      <c r="D122" s="297"/>
      <c r="E122" s="297"/>
      <c r="F122" s="297"/>
      <c r="G122" s="297"/>
      <c r="H122" s="297"/>
      <c r="I122" s="297"/>
      <c r="J122" s="297"/>
      <c r="K122" s="297"/>
      <c r="L122" s="297"/>
      <c r="M122" s="297"/>
      <c r="N122" s="295"/>
      <c r="O122" s="295"/>
      <c r="P122" s="295"/>
      <c r="Q122" s="295"/>
      <c r="R122" s="295"/>
      <c r="S122" s="295"/>
      <c r="T122" s="295"/>
      <c r="U122" s="295"/>
      <c r="V122" s="295"/>
      <c r="W122" s="295"/>
      <c r="X122" s="295"/>
      <c r="Y122" s="295"/>
      <c r="Z122" s="295"/>
    </row>
    <row r="123" spans="1:26" ht="14.25" customHeight="1" x14ac:dyDescent="0.3">
      <c r="A123" s="295"/>
      <c r="B123" s="297"/>
      <c r="C123" s="297"/>
      <c r="D123" s="297"/>
      <c r="E123" s="297"/>
      <c r="F123" s="297"/>
      <c r="G123" s="297"/>
      <c r="H123" s="297"/>
      <c r="I123" s="297"/>
      <c r="J123" s="297"/>
      <c r="K123" s="297"/>
      <c r="L123" s="297"/>
      <c r="M123" s="297"/>
      <c r="N123" s="295"/>
      <c r="O123" s="295"/>
      <c r="P123" s="295"/>
      <c r="Q123" s="295"/>
      <c r="R123" s="295"/>
      <c r="S123" s="295"/>
      <c r="T123" s="295"/>
      <c r="U123" s="295"/>
      <c r="V123" s="295"/>
      <c r="W123" s="295"/>
      <c r="X123" s="295"/>
      <c r="Y123" s="295"/>
      <c r="Z123" s="295"/>
    </row>
    <row r="124" spans="1:26" ht="14.25" customHeight="1" x14ac:dyDescent="0.3">
      <c r="A124" s="295"/>
      <c r="B124" s="297"/>
      <c r="C124" s="297"/>
      <c r="D124" s="297"/>
      <c r="E124" s="297"/>
      <c r="F124" s="297"/>
      <c r="G124" s="297"/>
      <c r="H124" s="297"/>
      <c r="I124" s="297"/>
      <c r="J124" s="297"/>
      <c r="K124" s="297"/>
      <c r="L124" s="297"/>
      <c r="M124" s="297"/>
      <c r="N124" s="295"/>
      <c r="O124" s="295"/>
      <c r="P124" s="295"/>
      <c r="Q124" s="295"/>
      <c r="R124" s="295"/>
      <c r="S124" s="295"/>
      <c r="T124" s="295"/>
      <c r="U124" s="295"/>
      <c r="V124" s="295"/>
      <c r="W124" s="295"/>
      <c r="X124" s="295"/>
      <c r="Y124" s="295"/>
      <c r="Z124" s="295"/>
    </row>
    <row r="125" spans="1:26" ht="14.25" customHeight="1" x14ac:dyDescent="0.3">
      <c r="A125" s="295"/>
      <c r="B125" s="297"/>
      <c r="C125" s="297"/>
      <c r="D125" s="297"/>
      <c r="E125" s="297"/>
      <c r="F125" s="297"/>
      <c r="G125" s="297"/>
      <c r="H125" s="297"/>
      <c r="I125" s="297"/>
      <c r="J125" s="297"/>
      <c r="K125" s="297"/>
      <c r="L125" s="297"/>
      <c r="M125" s="297"/>
      <c r="N125" s="295"/>
      <c r="O125" s="295"/>
      <c r="P125" s="295"/>
      <c r="Q125" s="295"/>
      <c r="R125" s="295"/>
      <c r="S125" s="295"/>
      <c r="T125" s="295"/>
      <c r="U125" s="295"/>
      <c r="V125" s="295"/>
      <c r="W125" s="295"/>
      <c r="X125" s="295"/>
      <c r="Y125" s="295"/>
      <c r="Z125" s="295"/>
    </row>
    <row r="126" spans="1:26" ht="14.25" customHeight="1" x14ac:dyDescent="0.3">
      <c r="A126" s="295"/>
      <c r="B126" s="297"/>
      <c r="C126" s="297"/>
      <c r="D126" s="297"/>
      <c r="E126" s="297"/>
      <c r="F126" s="297"/>
      <c r="G126" s="297"/>
      <c r="H126" s="297"/>
      <c r="I126" s="297"/>
      <c r="J126" s="297"/>
      <c r="K126" s="297"/>
      <c r="L126" s="297"/>
      <c r="M126" s="297"/>
      <c r="N126" s="295"/>
      <c r="O126" s="295"/>
      <c r="P126" s="295"/>
      <c r="Q126" s="295"/>
      <c r="R126" s="295"/>
      <c r="S126" s="295"/>
      <c r="T126" s="295"/>
      <c r="U126" s="295"/>
      <c r="V126" s="295"/>
      <c r="W126" s="295"/>
      <c r="X126" s="295"/>
      <c r="Y126" s="295"/>
      <c r="Z126" s="295"/>
    </row>
    <row r="127" spans="1:26" ht="14.25" customHeight="1" x14ac:dyDescent="0.3">
      <c r="A127" s="295"/>
      <c r="B127" s="297"/>
      <c r="C127" s="297"/>
      <c r="D127" s="297"/>
      <c r="E127" s="297"/>
      <c r="F127" s="297"/>
      <c r="G127" s="297"/>
      <c r="H127" s="297"/>
      <c r="I127" s="297"/>
      <c r="J127" s="297"/>
      <c r="K127" s="297"/>
      <c r="L127" s="297"/>
      <c r="M127" s="297"/>
      <c r="N127" s="295"/>
      <c r="O127" s="295"/>
      <c r="P127" s="295"/>
      <c r="Q127" s="295"/>
      <c r="R127" s="295"/>
      <c r="S127" s="295"/>
      <c r="T127" s="295"/>
      <c r="U127" s="295"/>
      <c r="V127" s="295"/>
      <c r="W127" s="295"/>
      <c r="X127" s="295"/>
      <c r="Y127" s="295"/>
      <c r="Z127" s="295"/>
    </row>
    <row r="128" spans="1:26" ht="14.25" customHeight="1" x14ac:dyDescent="0.3">
      <c r="A128" s="295"/>
      <c r="B128" s="297"/>
      <c r="C128" s="297"/>
      <c r="D128" s="297"/>
      <c r="E128" s="297"/>
      <c r="F128" s="297"/>
      <c r="G128" s="297"/>
      <c r="H128" s="297"/>
      <c r="I128" s="297"/>
      <c r="J128" s="297"/>
      <c r="K128" s="297"/>
      <c r="L128" s="297"/>
      <c r="M128" s="297"/>
      <c r="N128" s="295"/>
      <c r="O128" s="295"/>
      <c r="P128" s="295"/>
      <c r="Q128" s="295"/>
      <c r="R128" s="295"/>
      <c r="S128" s="295"/>
      <c r="T128" s="295"/>
      <c r="U128" s="295"/>
      <c r="V128" s="295"/>
      <c r="W128" s="295"/>
      <c r="X128" s="295"/>
      <c r="Y128" s="295"/>
      <c r="Z128" s="295"/>
    </row>
    <row r="129" spans="1:26" ht="14.25" customHeight="1" x14ac:dyDescent="0.3">
      <c r="A129" s="295"/>
      <c r="B129" s="297"/>
      <c r="C129" s="297"/>
      <c r="D129" s="297"/>
      <c r="E129" s="297"/>
      <c r="F129" s="297"/>
      <c r="G129" s="297"/>
      <c r="H129" s="297"/>
      <c r="I129" s="297"/>
      <c r="J129" s="297"/>
      <c r="K129" s="297"/>
      <c r="L129" s="297"/>
      <c r="M129" s="297"/>
      <c r="N129" s="295"/>
      <c r="O129" s="295"/>
      <c r="P129" s="295"/>
      <c r="Q129" s="295"/>
      <c r="R129" s="295"/>
      <c r="S129" s="295"/>
      <c r="T129" s="295"/>
      <c r="U129" s="295"/>
      <c r="V129" s="295"/>
      <c r="W129" s="295"/>
      <c r="X129" s="295"/>
      <c r="Y129" s="295"/>
      <c r="Z129" s="295"/>
    </row>
    <row r="130" spans="1:26" ht="14.25" customHeight="1" x14ac:dyDescent="0.3">
      <c r="A130" s="295"/>
      <c r="B130" s="297"/>
      <c r="C130" s="297"/>
      <c r="D130" s="297"/>
      <c r="E130" s="297"/>
      <c r="F130" s="297"/>
      <c r="G130" s="297"/>
      <c r="H130" s="297"/>
      <c r="I130" s="297"/>
      <c r="J130" s="297"/>
      <c r="K130" s="297"/>
      <c r="L130" s="297"/>
      <c r="M130" s="297"/>
      <c r="N130" s="295"/>
      <c r="O130" s="295"/>
      <c r="P130" s="295"/>
      <c r="Q130" s="295"/>
      <c r="R130" s="295"/>
      <c r="S130" s="295"/>
      <c r="T130" s="295"/>
      <c r="U130" s="295"/>
      <c r="V130" s="295"/>
      <c r="W130" s="295"/>
      <c r="X130" s="295"/>
      <c r="Y130" s="295"/>
      <c r="Z130" s="295"/>
    </row>
    <row r="131" spans="1:26" ht="14.25" customHeight="1" x14ac:dyDescent="0.3">
      <c r="A131" s="295"/>
      <c r="B131" s="297"/>
      <c r="C131" s="297"/>
      <c r="D131" s="297"/>
      <c r="E131" s="297"/>
      <c r="F131" s="297"/>
      <c r="G131" s="297"/>
      <c r="H131" s="297"/>
      <c r="I131" s="297"/>
      <c r="J131" s="297"/>
      <c r="K131" s="297"/>
      <c r="L131" s="297"/>
      <c r="M131" s="297"/>
      <c r="N131" s="295"/>
      <c r="O131" s="295"/>
      <c r="P131" s="295"/>
      <c r="Q131" s="295"/>
      <c r="R131" s="295"/>
      <c r="S131" s="295"/>
      <c r="T131" s="295"/>
      <c r="U131" s="295"/>
      <c r="V131" s="295"/>
      <c r="W131" s="295"/>
      <c r="X131" s="295"/>
      <c r="Y131" s="295"/>
      <c r="Z131" s="295"/>
    </row>
    <row r="132" spans="1:26" ht="14.25" customHeight="1" x14ac:dyDescent="0.3">
      <c r="A132" s="295"/>
      <c r="B132" s="297"/>
      <c r="C132" s="297"/>
      <c r="D132" s="297"/>
      <c r="E132" s="297"/>
      <c r="F132" s="297"/>
      <c r="G132" s="297"/>
      <c r="H132" s="297"/>
      <c r="I132" s="297"/>
      <c r="J132" s="297"/>
      <c r="K132" s="297"/>
      <c r="L132" s="297"/>
      <c r="M132" s="297"/>
      <c r="N132" s="295"/>
      <c r="O132" s="295"/>
      <c r="P132" s="295"/>
      <c r="Q132" s="295"/>
      <c r="R132" s="295"/>
      <c r="S132" s="295"/>
      <c r="T132" s="295"/>
      <c r="U132" s="295"/>
      <c r="V132" s="295"/>
      <c r="W132" s="295"/>
      <c r="X132" s="295"/>
      <c r="Y132" s="295"/>
      <c r="Z132" s="295"/>
    </row>
    <row r="133" spans="1:26" ht="14.25" customHeight="1" x14ac:dyDescent="0.3">
      <c r="A133" s="295"/>
      <c r="B133" s="297"/>
      <c r="C133" s="297"/>
      <c r="D133" s="297"/>
      <c r="E133" s="297"/>
      <c r="F133" s="297"/>
      <c r="G133" s="297"/>
      <c r="H133" s="297"/>
      <c r="I133" s="297"/>
      <c r="J133" s="297"/>
      <c r="K133" s="297"/>
      <c r="L133" s="297"/>
      <c r="M133" s="297"/>
      <c r="N133" s="295"/>
      <c r="O133" s="295"/>
      <c r="P133" s="295"/>
      <c r="Q133" s="295"/>
      <c r="R133" s="295"/>
      <c r="S133" s="295"/>
      <c r="T133" s="295"/>
      <c r="U133" s="295"/>
      <c r="V133" s="295"/>
      <c r="W133" s="295"/>
      <c r="X133" s="295"/>
      <c r="Y133" s="295"/>
      <c r="Z133" s="295"/>
    </row>
    <row r="134" spans="1:26" ht="14.25" customHeight="1" x14ac:dyDescent="0.3">
      <c r="A134" s="295"/>
      <c r="B134" s="297"/>
      <c r="C134" s="297"/>
      <c r="D134" s="297"/>
      <c r="E134" s="297"/>
      <c r="F134" s="297"/>
      <c r="G134" s="297"/>
      <c r="H134" s="297"/>
      <c r="I134" s="297"/>
      <c r="J134" s="297"/>
      <c r="K134" s="297"/>
      <c r="L134" s="297"/>
      <c r="M134" s="297"/>
      <c r="N134" s="295"/>
      <c r="O134" s="295"/>
      <c r="P134" s="295"/>
      <c r="Q134" s="295"/>
      <c r="R134" s="295"/>
      <c r="S134" s="295"/>
      <c r="T134" s="295"/>
      <c r="U134" s="295"/>
      <c r="V134" s="295"/>
      <c r="W134" s="295"/>
      <c r="X134" s="295"/>
      <c r="Y134" s="295"/>
      <c r="Z134" s="295"/>
    </row>
    <row r="135" spans="1:26" ht="14.25" customHeight="1" x14ac:dyDescent="0.3">
      <c r="A135" s="295"/>
      <c r="B135" s="297"/>
      <c r="C135" s="297"/>
      <c r="D135" s="297"/>
      <c r="E135" s="297"/>
      <c r="F135" s="297"/>
      <c r="G135" s="297"/>
      <c r="H135" s="297"/>
      <c r="I135" s="297"/>
      <c r="J135" s="297"/>
      <c r="K135" s="297"/>
      <c r="L135" s="297"/>
      <c r="M135" s="297"/>
      <c r="N135" s="295"/>
      <c r="O135" s="295"/>
      <c r="P135" s="295"/>
      <c r="Q135" s="295"/>
      <c r="R135" s="295"/>
      <c r="S135" s="295"/>
      <c r="T135" s="295"/>
      <c r="U135" s="295"/>
      <c r="V135" s="295"/>
      <c r="W135" s="295"/>
      <c r="X135" s="295"/>
      <c r="Y135" s="295"/>
      <c r="Z135" s="295"/>
    </row>
    <row r="136" spans="1:26" ht="14.25" customHeight="1" x14ac:dyDescent="0.3">
      <c r="A136" s="295"/>
      <c r="B136" s="297"/>
      <c r="C136" s="297"/>
      <c r="D136" s="297"/>
      <c r="E136" s="297"/>
      <c r="F136" s="297"/>
      <c r="G136" s="297"/>
      <c r="H136" s="297"/>
      <c r="I136" s="297"/>
      <c r="J136" s="297"/>
      <c r="K136" s="297"/>
      <c r="L136" s="297"/>
      <c r="M136" s="297"/>
      <c r="N136" s="295"/>
      <c r="O136" s="295"/>
      <c r="P136" s="295"/>
      <c r="Q136" s="295"/>
      <c r="R136" s="295"/>
      <c r="S136" s="295"/>
      <c r="T136" s="295"/>
      <c r="U136" s="295"/>
      <c r="V136" s="295"/>
      <c r="W136" s="295"/>
      <c r="X136" s="295"/>
      <c r="Y136" s="295"/>
      <c r="Z136" s="295"/>
    </row>
    <row r="137" spans="1:26" ht="14.25" customHeight="1" x14ac:dyDescent="0.3">
      <c r="A137" s="295"/>
      <c r="B137" s="297"/>
      <c r="C137" s="297"/>
      <c r="D137" s="297"/>
      <c r="E137" s="297"/>
      <c r="F137" s="297"/>
      <c r="G137" s="297"/>
      <c r="H137" s="297"/>
      <c r="I137" s="297"/>
      <c r="J137" s="297"/>
      <c r="K137" s="297"/>
      <c r="L137" s="297"/>
      <c r="M137" s="297"/>
      <c r="N137" s="295"/>
      <c r="O137" s="295"/>
      <c r="P137" s="295"/>
      <c r="Q137" s="295"/>
      <c r="R137" s="295"/>
      <c r="S137" s="295"/>
      <c r="T137" s="295"/>
      <c r="U137" s="295"/>
      <c r="V137" s="295"/>
      <c r="W137" s="295"/>
      <c r="X137" s="295"/>
      <c r="Y137" s="295"/>
      <c r="Z137" s="295"/>
    </row>
    <row r="138" spans="1:26" ht="14.25" customHeight="1" x14ac:dyDescent="0.3">
      <c r="A138" s="295"/>
      <c r="B138" s="297"/>
      <c r="C138" s="297"/>
      <c r="D138" s="297"/>
      <c r="E138" s="297"/>
      <c r="F138" s="297"/>
      <c r="G138" s="297"/>
      <c r="H138" s="297"/>
      <c r="I138" s="297"/>
      <c r="J138" s="297"/>
      <c r="K138" s="297"/>
      <c r="L138" s="297"/>
      <c r="M138" s="297"/>
      <c r="N138" s="295"/>
      <c r="O138" s="295"/>
      <c r="P138" s="295"/>
      <c r="Q138" s="295"/>
      <c r="R138" s="295"/>
      <c r="S138" s="295"/>
      <c r="T138" s="295"/>
      <c r="U138" s="295"/>
      <c r="V138" s="295"/>
      <c r="W138" s="295"/>
      <c r="X138" s="295"/>
      <c r="Y138" s="295"/>
      <c r="Z138" s="295"/>
    </row>
    <row r="139" spans="1:26" ht="14.25" customHeight="1" x14ac:dyDescent="0.3">
      <c r="A139" s="295"/>
      <c r="B139" s="297"/>
      <c r="C139" s="297"/>
      <c r="D139" s="297"/>
      <c r="E139" s="297"/>
      <c r="F139" s="297"/>
      <c r="G139" s="297"/>
      <c r="H139" s="297"/>
      <c r="I139" s="297"/>
      <c r="J139" s="297"/>
      <c r="K139" s="297"/>
      <c r="L139" s="297"/>
      <c r="M139" s="297"/>
      <c r="N139" s="295"/>
      <c r="O139" s="295"/>
      <c r="P139" s="295"/>
      <c r="Q139" s="295"/>
      <c r="R139" s="295"/>
      <c r="S139" s="295"/>
      <c r="T139" s="295"/>
      <c r="U139" s="295"/>
      <c r="V139" s="295"/>
      <c r="W139" s="295"/>
      <c r="X139" s="295"/>
      <c r="Y139" s="295"/>
      <c r="Z139" s="295"/>
    </row>
    <row r="140" spans="1:26" ht="14.25" customHeight="1" x14ac:dyDescent="0.3">
      <c r="A140" s="295"/>
      <c r="B140" s="297"/>
      <c r="C140" s="297"/>
      <c r="D140" s="297"/>
      <c r="E140" s="297"/>
      <c r="F140" s="297"/>
      <c r="G140" s="297"/>
      <c r="H140" s="297"/>
      <c r="I140" s="297"/>
      <c r="J140" s="297"/>
      <c r="K140" s="297"/>
      <c r="L140" s="297"/>
      <c r="M140" s="297"/>
      <c r="N140" s="295"/>
      <c r="O140" s="295"/>
      <c r="P140" s="295"/>
      <c r="Q140" s="295"/>
      <c r="R140" s="295"/>
      <c r="S140" s="295"/>
      <c r="T140" s="295"/>
      <c r="U140" s="295"/>
      <c r="V140" s="295"/>
      <c r="W140" s="295"/>
      <c r="X140" s="295"/>
      <c r="Y140" s="295"/>
      <c r="Z140" s="295"/>
    </row>
    <row r="141" spans="1:26" ht="14.25" customHeight="1" x14ac:dyDescent="0.3">
      <c r="A141" s="295"/>
      <c r="B141" s="297"/>
      <c r="C141" s="297"/>
      <c r="D141" s="297"/>
      <c r="E141" s="297"/>
      <c r="F141" s="297"/>
      <c r="G141" s="297"/>
      <c r="H141" s="297"/>
      <c r="I141" s="297"/>
      <c r="J141" s="297"/>
      <c r="K141" s="297"/>
      <c r="L141" s="297"/>
      <c r="M141" s="297"/>
      <c r="N141" s="295"/>
      <c r="O141" s="295"/>
      <c r="P141" s="295"/>
      <c r="Q141" s="295"/>
      <c r="R141" s="295"/>
      <c r="S141" s="295"/>
      <c r="T141" s="295"/>
      <c r="U141" s="295"/>
      <c r="V141" s="295"/>
      <c r="W141" s="295"/>
      <c r="X141" s="295"/>
      <c r="Y141" s="295"/>
      <c r="Z141" s="295"/>
    </row>
    <row r="142" spans="1:26" ht="14.25" customHeight="1" x14ac:dyDescent="0.3">
      <c r="A142" s="295"/>
      <c r="B142" s="297"/>
      <c r="C142" s="297"/>
      <c r="D142" s="297"/>
      <c r="E142" s="297"/>
      <c r="F142" s="297"/>
      <c r="G142" s="297"/>
      <c r="H142" s="297"/>
      <c r="I142" s="297"/>
      <c r="J142" s="297"/>
      <c r="K142" s="297"/>
      <c r="L142" s="297"/>
      <c r="M142" s="297"/>
      <c r="N142" s="295"/>
      <c r="O142" s="295"/>
      <c r="P142" s="295"/>
      <c r="Q142" s="295"/>
      <c r="R142" s="295"/>
      <c r="S142" s="295"/>
      <c r="T142" s="295"/>
      <c r="U142" s="295"/>
      <c r="V142" s="295"/>
      <c r="W142" s="295"/>
      <c r="X142" s="295"/>
      <c r="Y142" s="295"/>
      <c r="Z142" s="295"/>
    </row>
    <row r="143" spans="1:26" ht="14.25" customHeight="1" x14ac:dyDescent="0.3">
      <c r="A143" s="295"/>
      <c r="B143" s="297"/>
      <c r="C143" s="297"/>
      <c r="D143" s="297"/>
      <c r="E143" s="297"/>
      <c r="F143" s="297"/>
      <c r="G143" s="297"/>
      <c r="H143" s="297"/>
      <c r="I143" s="297"/>
      <c r="J143" s="297"/>
      <c r="K143" s="297"/>
      <c r="L143" s="297"/>
      <c r="M143" s="297"/>
      <c r="N143" s="295"/>
      <c r="O143" s="295"/>
      <c r="P143" s="295"/>
      <c r="Q143" s="295"/>
      <c r="R143" s="295"/>
      <c r="S143" s="295"/>
      <c r="T143" s="295"/>
      <c r="U143" s="295"/>
      <c r="V143" s="295"/>
      <c r="W143" s="295"/>
      <c r="X143" s="295"/>
      <c r="Y143" s="295"/>
      <c r="Z143" s="295"/>
    </row>
    <row r="144" spans="1:26" ht="14.25" customHeight="1" x14ac:dyDescent="0.3">
      <c r="A144" s="295"/>
      <c r="B144" s="297"/>
      <c r="C144" s="297"/>
      <c r="D144" s="297"/>
      <c r="E144" s="297"/>
      <c r="F144" s="297"/>
      <c r="G144" s="297"/>
      <c r="H144" s="297"/>
      <c r="I144" s="297"/>
      <c r="J144" s="297"/>
      <c r="K144" s="297"/>
      <c r="L144" s="297"/>
      <c r="M144" s="297"/>
      <c r="N144" s="295"/>
      <c r="O144" s="295"/>
      <c r="P144" s="295"/>
      <c r="Q144" s="295"/>
      <c r="R144" s="295"/>
      <c r="S144" s="295"/>
      <c r="T144" s="295"/>
      <c r="U144" s="295"/>
      <c r="V144" s="295"/>
      <c r="W144" s="295"/>
      <c r="X144" s="295"/>
      <c r="Y144" s="295"/>
      <c r="Z144" s="295"/>
    </row>
    <row r="145" spans="1:26" ht="14.25" customHeight="1" x14ac:dyDescent="0.3">
      <c r="A145" s="295"/>
      <c r="B145" s="297"/>
      <c r="C145" s="297"/>
      <c r="D145" s="297"/>
      <c r="E145" s="297"/>
      <c r="F145" s="297"/>
      <c r="G145" s="297"/>
      <c r="H145" s="297"/>
      <c r="I145" s="297"/>
      <c r="J145" s="297"/>
      <c r="K145" s="297"/>
      <c r="L145" s="297"/>
      <c r="M145" s="297"/>
      <c r="N145" s="295"/>
      <c r="O145" s="295"/>
      <c r="P145" s="295"/>
      <c r="Q145" s="295"/>
      <c r="R145" s="295"/>
      <c r="S145" s="295"/>
      <c r="T145" s="295"/>
      <c r="U145" s="295"/>
      <c r="V145" s="295"/>
      <c r="W145" s="295"/>
      <c r="X145" s="295"/>
      <c r="Y145" s="295"/>
      <c r="Z145" s="295"/>
    </row>
    <row r="146" spans="1:26" ht="14.25" customHeight="1" x14ac:dyDescent="0.3">
      <c r="A146" s="295"/>
      <c r="B146" s="297"/>
      <c r="C146" s="297"/>
      <c r="D146" s="297"/>
      <c r="E146" s="297"/>
      <c r="F146" s="297"/>
      <c r="G146" s="297"/>
      <c r="H146" s="297"/>
      <c r="I146" s="297"/>
      <c r="J146" s="297"/>
      <c r="K146" s="297"/>
      <c r="L146" s="297"/>
      <c r="M146" s="297"/>
      <c r="N146" s="295"/>
      <c r="O146" s="295"/>
      <c r="P146" s="295"/>
      <c r="Q146" s="295"/>
      <c r="R146" s="295"/>
      <c r="S146" s="295"/>
      <c r="T146" s="295"/>
      <c r="U146" s="295"/>
      <c r="V146" s="295"/>
      <c r="W146" s="295"/>
      <c r="X146" s="295"/>
      <c r="Y146" s="295"/>
      <c r="Z146" s="295"/>
    </row>
    <row r="147" spans="1:26" ht="14.25" customHeight="1" x14ac:dyDescent="0.3">
      <c r="A147" s="295"/>
      <c r="B147" s="297"/>
      <c r="C147" s="297"/>
      <c r="D147" s="297"/>
      <c r="E147" s="297"/>
      <c r="F147" s="297"/>
      <c r="G147" s="297"/>
      <c r="H147" s="297"/>
      <c r="I147" s="297"/>
      <c r="J147" s="297"/>
      <c r="K147" s="297"/>
      <c r="L147" s="297"/>
      <c r="M147" s="297"/>
      <c r="N147" s="295"/>
      <c r="O147" s="295"/>
      <c r="P147" s="295"/>
      <c r="Q147" s="295"/>
      <c r="R147" s="295"/>
      <c r="S147" s="295"/>
      <c r="T147" s="295"/>
      <c r="U147" s="295"/>
      <c r="V147" s="295"/>
      <c r="W147" s="295"/>
      <c r="X147" s="295"/>
      <c r="Y147" s="295"/>
      <c r="Z147" s="295"/>
    </row>
    <row r="148" spans="1:26" ht="14.25" customHeight="1" x14ac:dyDescent="0.3">
      <c r="A148" s="295"/>
      <c r="B148" s="297"/>
      <c r="C148" s="297"/>
      <c r="D148" s="297"/>
      <c r="E148" s="297"/>
      <c r="F148" s="297"/>
      <c r="G148" s="297"/>
      <c r="H148" s="297"/>
      <c r="I148" s="297"/>
      <c r="J148" s="297"/>
      <c r="K148" s="297"/>
      <c r="L148" s="297"/>
      <c r="M148" s="297"/>
      <c r="N148" s="295"/>
      <c r="O148" s="295"/>
      <c r="P148" s="295"/>
      <c r="Q148" s="295"/>
      <c r="R148" s="295"/>
      <c r="S148" s="295"/>
      <c r="T148" s="295"/>
      <c r="U148" s="295"/>
      <c r="V148" s="295"/>
      <c r="W148" s="295"/>
      <c r="X148" s="295"/>
      <c r="Y148" s="295"/>
      <c r="Z148" s="295"/>
    </row>
    <row r="149" spans="1:26" ht="14.25" customHeight="1" x14ac:dyDescent="0.3">
      <c r="A149" s="295"/>
      <c r="B149" s="297"/>
      <c r="C149" s="297"/>
      <c r="D149" s="297"/>
      <c r="E149" s="297"/>
      <c r="F149" s="297"/>
      <c r="G149" s="297"/>
      <c r="H149" s="297"/>
      <c r="I149" s="297"/>
      <c r="J149" s="297"/>
      <c r="K149" s="297"/>
      <c r="L149" s="297"/>
      <c r="M149" s="297"/>
      <c r="N149" s="295"/>
      <c r="O149" s="295"/>
      <c r="P149" s="295"/>
      <c r="Q149" s="295"/>
      <c r="R149" s="295"/>
      <c r="S149" s="295"/>
      <c r="T149" s="295"/>
      <c r="U149" s="295"/>
      <c r="V149" s="295"/>
      <c r="W149" s="295"/>
      <c r="X149" s="295"/>
      <c r="Y149" s="295"/>
      <c r="Z149" s="295"/>
    </row>
    <row r="150" spans="1:26" ht="14.25" customHeight="1" x14ac:dyDescent="0.3">
      <c r="A150" s="295"/>
      <c r="B150" s="297"/>
      <c r="C150" s="297"/>
      <c r="D150" s="297"/>
      <c r="E150" s="297"/>
      <c r="F150" s="297"/>
      <c r="G150" s="297"/>
      <c r="H150" s="297"/>
      <c r="I150" s="297"/>
      <c r="J150" s="297"/>
      <c r="K150" s="297"/>
      <c r="L150" s="297"/>
      <c r="M150" s="297"/>
      <c r="N150" s="295"/>
      <c r="O150" s="295"/>
      <c r="P150" s="295"/>
      <c r="Q150" s="295"/>
      <c r="R150" s="295"/>
      <c r="S150" s="295"/>
      <c r="T150" s="295"/>
      <c r="U150" s="295"/>
      <c r="V150" s="295"/>
      <c r="W150" s="295"/>
      <c r="X150" s="295"/>
      <c r="Y150" s="295"/>
      <c r="Z150" s="295"/>
    </row>
    <row r="151" spans="1:26" ht="14.25" customHeight="1" x14ac:dyDescent="0.3">
      <c r="A151" s="295"/>
      <c r="B151" s="297"/>
      <c r="C151" s="297"/>
      <c r="D151" s="297"/>
      <c r="E151" s="297"/>
      <c r="F151" s="297"/>
      <c r="G151" s="297"/>
      <c r="H151" s="297"/>
      <c r="I151" s="297"/>
      <c r="J151" s="297"/>
      <c r="K151" s="297"/>
      <c r="L151" s="297"/>
      <c r="M151" s="297"/>
      <c r="N151" s="295"/>
      <c r="O151" s="295"/>
      <c r="P151" s="295"/>
      <c r="Q151" s="295"/>
      <c r="R151" s="295"/>
      <c r="S151" s="295"/>
      <c r="T151" s="295"/>
      <c r="U151" s="295"/>
      <c r="V151" s="295"/>
      <c r="W151" s="295"/>
      <c r="X151" s="295"/>
      <c r="Y151" s="295"/>
      <c r="Z151" s="295"/>
    </row>
    <row r="152" spans="1:26" ht="14.25" customHeight="1" x14ac:dyDescent="0.3">
      <c r="A152" s="295"/>
      <c r="B152" s="297"/>
      <c r="C152" s="297"/>
      <c r="D152" s="297"/>
      <c r="E152" s="297"/>
      <c r="F152" s="297"/>
      <c r="G152" s="297"/>
      <c r="H152" s="297"/>
      <c r="I152" s="297"/>
      <c r="J152" s="297"/>
      <c r="K152" s="297"/>
      <c r="L152" s="297"/>
      <c r="M152" s="297"/>
      <c r="N152" s="295"/>
      <c r="O152" s="295"/>
      <c r="P152" s="295"/>
      <c r="Q152" s="295"/>
      <c r="R152" s="295"/>
      <c r="S152" s="295"/>
      <c r="T152" s="295"/>
      <c r="U152" s="295"/>
      <c r="V152" s="295"/>
      <c r="W152" s="295"/>
      <c r="X152" s="295"/>
      <c r="Y152" s="295"/>
      <c r="Z152" s="295"/>
    </row>
    <row r="153" spans="1:26" ht="14.25" customHeight="1" x14ac:dyDescent="0.3">
      <c r="A153" s="295"/>
      <c r="B153" s="297"/>
      <c r="C153" s="297"/>
      <c r="D153" s="297"/>
      <c r="E153" s="297"/>
      <c r="F153" s="297"/>
      <c r="G153" s="297"/>
      <c r="H153" s="297"/>
      <c r="I153" s="297"/>
      <c r="J153" s="297"/>
      <c r="K153" s="297"/>
      <c r="L153" s="297"/>
      <c r="M153" s="297"/>
      <c r="N153" s="295"/>
      <c r="O153" s="295"/>
      <c r="P153" s="295"/>
      <c r="Q153" s="295"/>
      <c r="R153" s="295"/>
      <c r="S153" s="295"/>
      <c r="T153" s="295"/>
      <c r="U153" s="295"/>
      <c r="V153" s="295"/>
      <c r="W153" s="295"/>
      <c r="X153" s="295"/>
      <c r="Y153" s="295"/>
      <c r="Z153" s="295"/>
    </row>
    <row r="154" spans="1:26" ht="14.25" customHeight="1" x14ac:dyDescent="0.3">
      <c r="A154" s="295"/>
      <c r="B154" s="297"/>
      <c r="C154" s="297"/>
      <c r="D154" s="297"/>
      <c r="E154" s="297"/>
      <c r="F154" s="297"/>
      <c r="G154" s="297"/>
      <c r="H154" s="297"/>
      <c r="I154" s="297"/>
      <c r="J154" s="297"/>
      <c r="K154" s="297"/>
      <c r="L154" s="297"/>
      <c r="M154" s="297"/>
      <c r="N154" s="295"/>
      <c r="O154" s="295"/>
      <c r="P154" s="295"/>
      <c r="Q154" s="295"/>
      <c r="R154" s="295"/>
      <c r="S154" s="295"/>
      <c r="T154" s="295"/>
      <c r="U154" s="295"/>
      <c r="V154" s="295"/>
      <c r="W154" s="295"/>
      <c r="X154" s="295"/>
      <c r="Y154" s="295"/>
      <c r="Z154" s="295"/>
    </row>
    <row r="155" spans="1:26" ht="14.25" customHeight="1" x14ac:dyDescent="0.3">
      <c r="A155" s="295"/>
      <c r="B155" s="297"/>
      <c r="C155" s="297"/>
      <c r="D155" s="297"/>
      <c r="E155" s="297"/>
      <c r="F155" s="297"/>
      <c r="G155" s="297"/>
      <c r="H155" s="297"/>
      <c r="I155" s="297"/>
      <c r="J155" s="297"/>
      <c r="K155" s="297"/>
      <c r="L155" s="297"/>
      <c r="M155" s="297"/>
      <c r="N155" s="295"/>
      <c r="O155" s="295"/>
      <c r="P155" s="295"/>
      <c r="Q155" s="295"/>
      <c r="R155" s="295"/>
      <c r="S155" s="295"/>
      <c r="T155" s="295"/>
      <c r="U155" s="295"/>
      <c r="V155" s="295"/>
      <c r="W155" s="295"/>
      <c r="X155" s="295"/>
      <c r="Y155" s="295"/>
      <c r="Z155" s="295"/>
    </row>
    <row r="156" spans="1:26" ht="14.25" customHeight="1" x14ac:dyDescent="0.3">
      <c r="A156" s="295"/>
      <c r="B156" s="297"/>
      <c r="C156" s="297"/>
      <c r="D156" s="297"/>
      <c r="E156" s="297"/>
      <c r="F156" s="297"/>
      <c r="G156" s="297"/>
      <c r="H156" s="297"/>
      <c r="I156" s="297"/>
      <c r="J156" s="297"/>
      <c r="K156" s="297"/>
      <c r="L156" s="297"/>
      <c r="M156" s="297"/>
      <c r="N156" s="295"/>
      <c r="O156" s="295"/>
      <c r="P156" s="295"/>
      <c r="Q156" s="295"/>
      <c r="R156" s="295"/>
      <c r="S156" s="295"/>
      <c r="T156" s="295"/>
      <c r="U156" s="295"/>
      <c r="V156" s="295"/>
      <c r="W156" s="295"/>
      <c r="X156" s="295"/>
      <c r="Y156" s="295"/>
      <c r="Z156" s="295"/>
    </row>
    <row r="157" spans="1:26" ht="14.25" customHeight="1" x14ac:dyDescent="0.3">
      <c r="A157" s="295"/>
      <c r="B157" s="297"/>
      <c r="C157" s="297"/>
      <c r="D157" s="297"/>
      <c r="E157" s="297"/>
      <c r="F157" s="297"/>
      <c r="G157" s="297"/>
      <c r="H157" s="297"/>
      <c r="I157" s="297"/>
      <c r="J157" s="297"/>
      <c r="K157" s="297"/>
      <c r="L157" s="297"/>
      <c r="M157" s="297"/>
      <c r="N157" s="295"/>
      <c r="O157" s="295"/>
      <c r="P157" s="295"/>
      <c r="Q157" s="295"/>
      <c r="R157" s="295"/>
      <c r="S157" s="295"/>
      <c r="T157" s="295"/>
      <c r="U157" s="295"/>
      <c r="V157" s="295"/>
      <c r="W157" s="295"/>
      <c r="X157" s="295"/>
      <c r="Y157" s="295"/>
      <c r="Z157" s="295"/>
    </row>
    <row r="158" spans="1:26" ht="14.25" customHeight="1" x14ac:dyDescent="0.3">
      <c r="A158" s="295"/>
      <c r="B158" s="297"/>
      <c r="C158" s="297"/>
      <c r="D158" s="297"/>
      <c r="E158" s="297"/>
      <c r="F158" s="297"/>
      <c r="G158" s="297"/>
      <c r="H158" s="297"/>
      <c r="I158" s="297"/>
      <c r="J158" s="297"/>
      <c r="K158" s="297"/>
      <c r="L158" s="297"/>
      <c r="M158" s="297"/>
      <c r="N158" s="295"/>
      <c r="O158" s="295"/>
      <c r="P158" s="295"/>
      <c r="Q158" s="295"/>
      <c r="R158" s="295"/>
      <c r="S158" s="295"/>
      <c r="T158" s="295"/>
      <c r="U158" s="295"/>
      <c r="V158" s="295"/>
      <c r="W158" s="295"/>
      <c r="X158" s="295"/>
      <c r="Y158" s="295"/>
      <c r="Z158" s="295"/>
    </row>
    <row r="159" spans="1:26" ht="14.25" customHeight="1" x14ac:dyDescent="0.3">
      <c r="A159" s="295"/>
      <c r="B159" s="297"/>
      <c r="C159" s="297"/>
      <c r="D159" s="297"/>
      <c r="E159" s="297"/>
      <c r="F159" s="297"/>
      <c r="G159" s="297"/>
      <c r="H159" s="297"/>
      <c r="I159" s="297"/>
      <c r="J159" s="297"/>
      <c r="K159" s="297"/>
      <c r="L159" s="297"/>
      <c r="M159" s="297"/>
      <c r="N159" s="295"/>
      <c r="O159" s="295"/>
      <c r="P159" s="295"/>
      <c r="Q159" s="295"/>
      <c r="R159" s="295"/>
      <c r="S159" s="295"/>
      <c r="T159" s="295"/>
      <c r="U159" s="295"/>
      <c r="V159" s="295"/>
      <c r="W159" s="295"/>
      <c r="X159" s="295"/>
      <c r="Y159" s="295"/>
      <c r="Z159" s="295"/>
    </row>
    <row r="160" spans="1:26" ht="14.25" customHeight="1" x14ac:dyDescent="0.3">
      <c r="A160" s="295"/>
      <c r="B160" s="297"/>
      <c r="C160" s="297"/>
      <c r="D160" s="297"/>
      <c r="E160" s="297"/>
      <c r="F160" s="297"/>
      <c r="G160" s="297"/>
      <c r="H160" s="297"/>
      <c r="I160" s="297"/>
      <c r="J160" s="297"/>
      <c r="K160" s="297"/>
      <c r="L160" s="297"/>
      <c r="M160" s="297"/>
      <c r="N160" s="295"/>
      <c r="O160" s="295"/>
      <c r="P160" s="295"/>
      <c r="Q160" s="295"/>
      <c r="R160" s="295"/>
      <c r="S160" s="295"/>
      <c r="T160" s="295"/>
      <c r="U160" s="295"/>
      <c r="V160" s="295"/>
      <c r="W160" s="295"/>
      <c r="X160" s="295"/>
      <c r="Y160" s="295"/>
      <c r="Z160" s="295"/>
    </row>
    <row r="161" spans="1:26" ht="14.25" customHeight="1" x14ac:dyDescent="0.3">
      <c r="A161" s="295"/>
      <c r="B161" s="297"/>
      <c r="C161" s="297"/>
      <c r="D161" s="297"/>
      <c r="E161" s="297"/>
      <c r="F161" s="297"/>
      <c r="G161" s="297"/>
      <c r="H161" s="297"/>
      <c r="I161" s="297"/>
      <c r="J161" s="297"/>
      <c r="K161" s="297"/>
      <c r="L161" s="297"/>
      <c r="M161" s="297"/>
      <c r="N161" s="295"/>
      <c r="O161" s="295"/>
      <c r="P161" s="295"/>
      <c r="Q161" s="295"/>
      <c r="R161" s="295"/>
      <c r="S161" s="295"/>
      <c r="T161" s="295"/>
      <c r="U161" s="295"/>
      <c r="V161" s="295"/>
      <c r="W161" s="295"/>
      <c r="X161" s="295"/>
      <c r="Y161" s="295"/>
      <c r="Z161" s="295"/>
    </row>
    <row r="162" spans="1:26" ht="14.25" customHeight="1" x14ac:dyDescent="0.3">
      <c r="A162" s="295"/>
      <c r="B162" s="297"/>
      <c r="C162" s="297"/>
      <c r="D162" s="297"/>
      <c r="E162" s="297"/>
      <c r="F162" s="297"/>
      <c r="G162" s="297"/>
      <c r="H162" s="297"/>
      <c r="I162" s="297"/>
      <c r="J162" s="297"/>
      <c r="K162" s="297"/>
      <c r="L162" s="297"/>
      <c r="M162" s="297"/>
      <c r="N162" s="295"/>
      <c r="O162" s="295"/>
      <c r="P162" s="295"/>
      <c r="Q162" s="295"/>
      <c r="R162" s="295"/>
      <c r="S162" s="295"/>
      <c r="T162" s="295"/>
      <c r="U162" s="295"/>
      <c r="V162" s="295"/>
      <c r="W162" s="295"/>
      <c r="X162" s="295"/>
      <c r="Y162" s="295"/>
      <c r="Z162" s="295"/>
    </row>
    <row r="163" spans="1:26" ht="14.25" customHeight="1" x14ac:dyDescent="0.3">
      <c r="A163" s="295"/>
      <c r="B163" s="297"/>
      <c r="C163" s="297"/>
      <c r="D163" s="297"/>
      <c r="E163" s="297"/>
      <c r="F163" s="297"/>
      <c r="G163" s="297"/>
      <c r="H163" s="297"/>
      <c r="I163" s="297"/>
      <c r="J163" s="297"/>
      <c r="K163" s="297"/>
      <c r="L163" s="297"/>
      <c r="M163" s="297"/>
      <c r="N163" s="295"/>
      <c r="O163" s="295"/>
      <c r="P163" s="295"/>
      <c r="Q163" s="295"/>
      <c r="R163" s="295"/>
      <c r="S163" s="295"/>
      <c r="T163" s="295"/>
      <c r="U163" s="295"/>
      <c r="V163" s="295"/>
      <c r="W163" s="295"/>
      <c r="X163" s="295"/>
      <c r="Y163" s="295"/>
      <c r="Z163" s="295"/>
    </row>
    <row r="164" spans="1:26" ht="14.25" customHeight="1" x14ac:dyDescent="0.3">
      <c r="A164" s="295"/>
      <c r="B164" s="297"/>
      <c r="C164" s="297"/>
      <c r="D164" s="297"/>
      <c r="E164" s="297"/>
      <c r="F164" s="297"/>
      <c r="G164" s="297"/>
      <c r="H164" s="297"/>
      <c r="I164" s="297"/>
      <c r="J164" s="297"/>
      <c r="K164" s="297"/>
      <c r="L164" s="297"/>
      <c r="M164" s="297"/>
      <c r="N164" s="295"/>
      <c r="O164" s="295"/>
      <c r="P164" s="295"/>
      <c r="Q164" s="295"/>
      <c r="R164" s="295"/>
      <c r="S164" s="295"/>
      <c r="T164" s="295"/>
      <c r="U164" s="295"/>
      <c r="V164" s="295"/>
      <c r="W164" s="295"/>
      <c r="X164" s="295"/>
      <c r="Y164" s="295"/>
      <c r="Z164" s="295"/>
    </row>
    <row r="165" spans="1:26" ht="14.25" customHeight="1" x14ac:dyDescent="0.3">
      <c r="A165" s="295"/>
      <c r="B165" s="297"/>
      <c r="C165" s="297"/>
      <c r="D165" s="297"/>
      <c r="E165" s="297"/>
      <c r="F165" s="297"/>
      <c r="G165" s="297"/>
      <c r="H165" s="297"/>
      <c r="I165" s="297"/>
      <c r="J165" s="297"/>
      <c r="K165" s="297"/>
      <c r="L165" s="297"/>
      <c r="M165" s="297"/>
      <c r="N165" s="295"/>
      <c r="O165" s="295"/>
      <c r="P165" s="295"/>
      <c r="Q165" s="295"/>
      <c r="R165" s="295"/>
      <c r="S165" s="295"/>
      <c r="T165" s="295"/>
      <c r="U165" s="295"/>
      <c r="V165" s="295"/>
      <c r="W165" s="295"/>
      <c r="X165" s="295"/>
      <c r="Y165" s="295"/>
      <c r="Z165" s="295"/>
    </row>
    <row r="166" spans="1:26" ht="14.25" customHeight="1" x14ac:dyDescent="0.3">
      <c r="A166" s="295"/>
      <c r="B166" s="297"/>
      <c r="C166" s="297"/>
      <c r="D166" s="297"/>
      <c r="E166" s="297"/>
      <c r="F166" s="297"/>
      <c r="G166" s="297"/>
      <c r="H166" s="297"/>
      <c r="I166" s="297"/>
      <c r="J166" s="297"/>
      <c r="K166" s="297"/>
      <c r="L166" s="297"/>
      <c r="M166" s="297"/>
      <c r="N166" s="295"/>
      <c r="O166" s="295"/>
      <c r="P166" s="295"/>
      <c r="Q166" s="295"/>
      <c r="R166" s="295"/>
      <c r="S166" s="295"/>
      <c r="T166" s="295"/>
      <c r="U166" s="295"/>
      <c r="V166" s="295"/>
      <c r="W166" s="295"/>
      <c r="X166" s="295"/>
      <c r="Y166" s="295"/>
      <c r="Z166" s="295"/>
    </row>
    <row r="167" spans="1:26" ht="14.25" customHeight="1" x14ac:dyDescent="0.3">
      <c r="A167" s="295"/>
      <c r="B167" s="297"/>
      <c r="C167" s="297"/>
      <c r="D167" s="297"/>
      <c r="E167" s="297"/>
      <c r="F167" s="297"/>
      <c r="G167" s="297"/>
      <c r="H167" s="297"/>
      <c r="I167" s="297"/>
      <c r="J167" s="297"/>
      <c r="K167" s="297"/>
      <c r="L167" s="297"/>
      <c r="M167" s="297"/>
      <c r="N167" s="295"/>
      <c r="O167" s="295"/>
      <c r="P167" s="295"/>
      <c r="Q167" s="295"/>
      <c r="R167" s="295"/>
      <c r="S167" s="295"/>
      <c r="T167" s="295"/>
      <c r="U167" s="295"/>
      <c r="V167" s="295"/>
      <c r="W167" s="295"/>
      <c r="X167" s="295"/>
      <c r="Y167" s="295"/>
      <c r="Z167" s="295"/>
    </row>
    <row r="168" spans="1:26" ht="14.25" customHeight="1" x14ac:dyDescent="0.3">
      <c r="A168" s="295"/>
      <c r="B168" s="297"/>
      <c r="C168" s="297"/>
      <c r="D168" s="297"/>
      <c r="E168" s="297"/>
      <c r="F168" s="297"/>
      <c r="G168" s="297"/>
      <c r="H168" s="297"/>
      <c r="I168" s="297"/>
      <c r="J168" s="297"/>
      <c r="K168" s="297"/>
      <c r="L168" s="297"/>
      <c r="M168" s="297"/>
      <c r="N168" s="295"/>
      <c r="O168" s="295"/>
      <c r="P168" s="295"/>
      <c r="Q168" s="295"/>
      <c r="R168" s="295"/>
      <c r="S168" s="295"/>
      <c r="T168" s="295"/>
      <c r="U168" s="295"/>
      <c r="V168" s="295"/>
      <c r="W168" s="295"/>
      <c r="X168" s="295"/>
      <c r="Y168" s="295"/>
      <c r="Z168" s="295"/>
    </row>
    <row r="169" spans="1:26" ht="14.25" customHeight="1" x14ac:dyDescent="0.3">
      <c r="A169" s="295"/>
      <c r="B169" s="297"/>
      <c r="C169" s="297"/>
      <c r="D169" s="297"/>
      <c r="E169" s="297"/>
      <c r="F169" s="297"/>
      <c r="G169" s="297"/>
      <c r="H169" s="297"/>
      <c r="I169" s="297"/>
      <c r="J169" s="297"/>
      <c r="K169" s="297"/>
      <c r="L169" s="297"/>
      <c r="M169" s="297"/>
      <c r="N169" s="295"/>
      <c r="O169" s="295"/>
      <c r="P169" s="295"/>
      <c r="Q169" s="295"/>
      <c r="R169" s="295"/>
      <c r="S169" s="295"/>
      <c r="T169" s="295"/>
      <c r="U169" s="295"/>
      <c r="V169" s="295"/>
      <c r="W169" s="295"/>
      <c r="X169" s="295"/>
      <c r="Y169" s="295"/>
      <c r="Z169" s="295"/>
    </row>
    <row r="170" spans="1:26" ht="14.25" customHeight="1" x14ac:dyDescent="0.3">
      <c r="A170" s="295"/>
      <c r="B170" s="297"/>
      <c r="C170" s="297"/>
      <c r="D170" s="297"/>
      <c r="E170" s="297"/>
      <c r="F170" s="297"/>
      <c r="G170" s="297"/>
      <c r="H170" s="297"/>
      <c r="I170" s="297"/>
      <c r="J170" s="297"/>
      <c r="K170" s="297"/>
      <c r="L170" s="297"/>
      <c r="M170" s="297"/>
      <c r="N170" s="295"/>
      <c r="O170" s="295"/>
      <c r="P170" s="295"/>
      <c r="Q170" s="295"/>
      <c r="R170" s="295"/>
      <c r="S170" s="295"/>
      <c r="T170" s="295"/>
      <c r="U170" s="295"/>
      <c r="V170" s="295"/>
      <c r="W170" s="295"/>
      <c r="X170" s="295"/>
      <c r="Y170" s="295"/>
      <c r="Z170" s="295"/>
    </row>
    <row r="171" spans="1:26" ht="14.25" customHeight="1" x14ac:dyDescent="0.3">
      <c r="A171" s="295"/>
      <c r="B171" s="297"/>
      <c r="C171" s="297"/>
      <c r="D171" s="297"/>
      <c r="E171" s="297"/>
      <c r="F171" s="297"/>
      <c r="G171" s="297"/>
      <c r="H171" s="297"/>
      <c r="I171" s="297"/>
      <c r="J171" s="297"/>
      <c r="K171" s="297"/>
      <c r="L171" s="297"/>
      <c r="M171" s="297"/>
      <c r="N171" s="295"/>
      <c r="O171" s="295"/>
      <c r="P171" s="295"/>
      <c r="Q171" s="295"/>
      <c r="R171" s="295"/>
      <c r="S171" s="295"/>
      <c r="T171" s="295"/>
      <c r="U171" s="295"/>
      <c r="V171" s="295"/>
      <c r="W171" s="295"/>
      <c r="X171" s="295"/>
      <c r="Y171" s="295"/>
      <c r="Z171" s="295"/>
    </row>
    <row r="172" spans="1:26" ht="14.25" customHeight="1" x14ac:dyDescent="0.3">
      <c r="A172" s="295"/>
      <c r="B172" s="297"/>
      <c r="C172" s="297"/>
      <c r="D172" s="297"/>
      <c r="E172" s="297"/>
      <c r="F172" s="297"/>
      <c r="G172" s="297"/>
      <c r="H172" s="297"/>
      <c r="I172" s="297"/>
      <c r="J172" s="297"/>
      <c r="K172" s="297"/>
      <c r="L172" s="297"/>
      <c r="M172" s="297"/>
      <c r="N172" s="295"/>
      <c r="O172" s="295"/>
      <c r="P172" s="295"/>
      <c r="Q172" s="295"/>
      <c r="R172" s="295"/>
      <c r="S172" s="295"/>
      <c r="T172" s="295"/>
      <c r="U172" s="295"/>
      <c r="V172" s="295"/>
      <c r="W172" s="295"/>
      <c r="X172" s="295"/>
      <c r="Y172" s="295"/>
      <c r="Z172" s="295"/>
    </row>
    <row r="173" spans="1:26" ht="14.25" customHeight="1" x14ac:dyDescent="0.3">
      <c r="A173" s="295"/>
      <c r="B173" s="297"/>
      <c r="C173" s="297"/>
      <c r="D173" s="297"/>
      <c r="E173" s="297"/>
      <c r="F173" s="297"/>
      <c r="G173" s="297"/>
      <c r="H173" s="297"/>
      <c r="I173" s="297"/>
      <c r="J173" s="297"/>
      <c r="K173" s="297"/>
      <c r="L173" s="297"/>
      <c r="M173" s="297"/>
      <c r="N173" s="295"/>
      <c r="O173" s="295"/>
      <c r="P173" s="295"/>
      <c r="Q173" s="295"/>
      <c r="R173" s="295"/>
      <c r="S173" s="295"/>
      <c r="T173" s="295"/>
      <c r="U173" s="295"/>
      <c r="V173" s="295"/>
      <c r="W173" s="295"/>
      <c r="X173" s="295"/>
      <c r="Y173" s="295"/>
      <c r="Z173" s="295"/>
    </row>
    <row r="174" spans="1:26" ht="14.25" customHeight="1" x14ac:dyDescent="0.3">
      <c r="A174" s="295"/>
      <c r="B174" s="297"/>
      <c r="C174" s="297"/>
      <c r="D174" s="297"/>
      <c r="E174" s="297"/>
      <c r="F174" s="297"/>
      <c r="G174" s="297"/>
      <c r="H174" s="297"/>
      <c r="I174" s="297"/>
      <c r="J174" s="297"/>
      <c r="K174" s="297"/>
      <c r="L174" s="297"/>
      <c r="M174" s="297"/>
      <c r="N174" s="295"/>
      <c r="O174" s="295"/>
      <c r="P174" s="295"/>
      <c r="Q174" s="295"/>
      <c r="R174" s="295"/>
      <c r="S174" s="295"/>
      <c r="T174" s="295"/>
      <c r="U174" s="295"/>
      <c r="V174" s="295"/>
      <c r="W174" s="295"/>
      <c r="X174" s="295"/>
      <c r="Y174" s="295"/>
      <c r="Z174" s="295"/>
    </row>
    <row r="175" spans="1:26" ht="14.25" customHeight="1" x14ac:dyDescent="0.3">
      <c r="A175" s="295"/>
      <c r="B175" s="297"/>
      <c r="C175" s="297"/>
      <c r="D175" s="297"/>
      <c r="E175" s="297"/>
      <c r="F175" s="297"/>
      <c r="G175" s="297"/>
      <c r="H175" s="297"/>
      <c r="I175" s="297"/>
      <c r="J175" s="297"/>
      <c r="K175" s="297"/>
      <c r="L175" s="297"/>
      <c r="M175" s="297"/>
      <c r="N175" s="295"/>
      <c r="O175" s="295"/>
      <c r="P175" s="295"/>
      <c r="Q175" s="295"/>
      <c r="R175" s="295"/>
      <c r="S175" s="295"/>
      <c r="T175" s="295"/>
      <c r="U175" s="295"/>
      <c r="V175" s="295"/>
      <c r="W175" s="295"/>
      <c r="X175" s="295"/>
      <c r="Y175" s="295"/>
      <c r="Z175" s="295"/>
    </row>
    <row r="176" spans="1:26" ht="14.25" customHeight="1" x14ac:dyDescent="0.3">
      <c r="A176" s="295"/>
      <c r="B176" s="297"/>
      <c r="C176" s="297"/>
      <c r="D176" s="297"/>
      <c r="E176" s="297"/>
      <c r="F176" s="297"/>
      <c r="G176" s="297"/>
      <c r="H176" s="297"/>
      <c r="I176" s="297"/>
      <c r="J176" s="297"/>
      <c r="K176" s="297"/>
      <c r="L176" s="297"/>
      <c r="M176" s="297"/>
      <c r="N176" s="295"/>
      <c r="O176" s="295"/>
      <c r="P176" s="295"/>
      <c r="Q176" s="295"/>
      <c r="R176" s="295"/>
      <c r="S176" s="295"/>
      <c r="T176" s="295"/>
      <c r="U176" s="295"/>
      <c r="V176" s="295"/>
      <c r="W176" s="295"/>
      <c r="X176" s="295"/>
      <c r="Y176" s="295"/>
      <c r="Z176" s="295"/>
    </row>
    <row r="177" spans="1:26" ht="14.25" customHeight="1" x14ac:dyDescent="0.3">
      <c r="A177" s="295"/>
      <c r="B177" s="297"/>
      <c r="C177" s="297"/>
      <c r="D177" s="297"/>
      <c r="E177" s="297"/>
      <c r="F177" s="297"/>
      <c r="G177" s="297"/>
      <c r="H177" s="297"/>
      <c r="I177" s="297"/>
      <c r="J177" s="297"/>
      <c r="K177" s="297"/>
      <c r="L177" s="297"/>
      <c r="M177" s="297"/>
      <c r="N177" s="295"/>
      <c r="O177" s="295"/>
      <c r="P177" s="295"/>
      <c r="Q177" s="295"/>
      <c r="R177" s="295"/>
      <c r="S177" s="295"/>
      <c r="T177" s="295"/>
      <c r="U177" s="295"/>
      <c r="V177" s="295"/>
      <c r="W177" s="295"/>
      <c r="X177" s="295"/>
      <c r="Y177" s="295"/>
      <c r="Z177" s="295"/>
    </row>
    <row r="178" spans="1:26" ht="14.25" customHeight="1" x14ac:dyDescent="0.3">
      <c r="A178" s="295"/>
      <c r="B178" s="297"/>
      <c r="C178" s="297"/>
      <c r="D178" s="297"/>
      <c r="E178" s="297"/>
      <c r="F178" s="297"/>
      <c r="G178" s="297"/>
      <c r="H178" s="297"/>
      <c r="I178" s="297"/>
      <c r="J178" s="297"/>
      <c r="K178" s="297"/>
      <c r="L178" s="297"/>
      <c r="M178" s="297"/>
      <c r="N178" s="295"/>
      <c r="O178" s="295"/>
      <c r="P178" s="295"/>
      <c r="Q178" s="295"/>
      <c r="R178" s="295"/>
      <c r="S178" s="295"/>
      <c r="T178" s="295"/>
      <c r="U178" s="295"/>
      <c r="V178" s="295"/>
      <c r="W178" s="295"/>
      <c r="X178" s="295"/>
      <c r="Y178" s="295"/>
      <c r="Z178" s="295"/>
    </row>
    <row r="179" spans="1:26" ht="14.25" customHeight="1" x14ac:dyDescent="0.3">
      <c r="A179" s="295"/>
      <c r="B179" s="297"/>
      <c r="C179" s="297"/>
      <c r="D179" s="297"/>
      <c r="E179" s="297"/>
      <c r="F179" s="297"/>
      <c r="G179" s="297"/>
      <c r="H179" s="297"/>
      <c r="I179" s="297"/>
      <c r="J179" s="297"/>
      <c r="K179" s="297"/>
      <c r="L179" s="297"/>
      <c r="M179" s="297"/>
      <c r="N179" s="295"/>
      <c r="O179" s="295"/>
      <c r="P179" s="295"/>
      <c r="Q179" s="295"/>
      <c r="R179" s="295"/>
      <c r="S179" s="295"/>
      <c r="T179" s="295"/>
      <c r="U179" s="295"/>
      <c r="V179" s="295"/>
      <c r="W179" s="295"/>
      <c r="X179" s="295"/>
      <c r="Y179" s="295"/>
      <c r="Z179" s="295"/>
    </row>
    <row r="180" spans="1:26" ht="14.25" customHeight="1" x14ac:dyDescent="0.3">
      <c r="A180" s="295"/>
      <c r="B180" s="297"/>
      <c r="C180" s="297"/>
      <c r="D180" s="297"/>
      <c r="E180" s="297"/>
      <c r="F180" s="297"/>
      <c r="G180" s="297"/>
      <c r="H180" s="297"/>
      <c r="I180" s="297"/>
      <c r="J180" s="297"/>
      <c r="K180" s="297"/>
      <c r="L180" s="297"/>
      <c r="M180" s="297"/>
      <c r="N180" s="295"/>
      <c r="O180" s="295"/>
      <c r="P180" s="295"/>
      <c r="Q180" s="295"/>
      <c r="R180" s="295"/>
      <c r="S180" s="295"/>
      <c r="T180" s="295"/>
      <c r="U180" s="295"/>
      <c r="V180" s="295"/>
      <c r="W180" s="295"/>
      <c r="X180" s="295"/>
      <c r="Y180" s="295"/>
      <c r="Z180" s="295"/>
    </row>
    <row r="181" spans="1:26" ht="14.25" customHeight="1" x14ac:dyDescent="0.3">
      <c r="A181" s="295"/>
      <c r="B181" s="297"/>
      <c r="C181" s="297"/>
      <c r="D181" s="297"/>
      <c r="E181" s="297"/>
      <c r="F181" s="297"/>
      <c r="G181" s="297"/>
      <c r="H181" s="297"/>
      <c r="I181" s="297"/>
      <c r="J181" s="297"/>
      <c r="K181" s="297"/>
      <c r="L181" s="297"/>
      <c r="M181" s="297"/>
      <c r="N181" s="295"/>
      <c r="O181" s="295"/>
      <c r="P181" s="295"/>
      <c r="Q181" s="295"/>
      <c r="R181" s="295"/>
      <c r="S181" s="295"/>
      <c r="T181" s="295"/>
      <c r="U181" s="295"/>
      <c r="V181" s="295"/>
      <c r="W181" s="295"/>
      <c r="X181" s="295"/>
      <c r="Y181" s="295"/>
      <c r="Z181" s="295"/>
    </row>
    <row r="182" spans="1:26" ht="14.25" customHeight="1" x14ac:dyDescent="0.3">
      <c r="A182" s="295"/>
      <c r="B182" s="297"/>
      <c r="C182" s="297"/>
      <c r="D182" s="297"/>
      <c r="E182" s="297"/>
      <c r="F182" s="297"/>
      <c r="G182" s="297"/>
      <c r="H182" s="297"/>
      <c r="I182" s="297"/>
      <c r="J182" s="297"/>
      <c r="K182" s="297"/>
      <c r="L182" s="297"/>
      <c r="M182" s="297"/>
      <c r="N182" s="295"/>
      <c r="O182" s="295"/>
      <c r="P182" s="295"/>
      <c r="Q182" s="295"/>
      <c r="R182" s="295"/>
      <c r="S182" s="295"/>
      <c r="T182" s="295"/>
      <c r="U182" s="295"/>
      <c r="V182" s="295"/>
      <c r="W182" s="295"/>
      <c r="X182" s="295"/>
      <c r="Y182" s="295"/>
      <c r="Z182" s="295"/>
    </row>
    <row r="183" spans="1:26" ht="14.25" customHeight="1" x14ac:dyDescent="0.3">
      <c r="A183" s="295"/>
      <c r="B183" s="297"/>
      <c r="C183" s="297"/>
      <c r="D183" s="297"/>
      <c r="E183" s="297"/>
      <c r="F183" s="297"/>
      <c r="G183" s="297"/>
      <c r="H183" s="297"/>
      <c r="I183" s="297"/>
      <c r="J183" s="297"/>
      <c r="K183" s="297"/>
      <c r="L183" s="297"/>
      <c r="M183" s="297"/>
      <c r="N183" s="295"/>
      <c r="O183" s="295"/>
      <c r="P183" s="295"/>
      <c r="Q183" s="295"/>
      <c r="R183" s="295"/>
      <c r="S183" s="295"/>
      <c r="T183" s="295"/>
      <c r="U183" s="295"/>
      <c r="V183" s="295"/>
      <c r="W183" s="295"/>
      <c r="X183" s="295"/>
      <c r="Y183" s="295"/>
      <c r="Z183" s="295"/>
    </row>
    <row r="184" spans="1:26" ht="14.25" customHeight="1" x14ac:dyDescent="0.3">
      <c r="A184" s="295"/>
      <c r="B184" s="297"/>
      <c r="C184" s="297"/>
      <c r="D184" s="297"/>
      <c r="E184" s="297"/>
      <c r="F184" s="297"/>
      <c r="G184" s="297"/>
      <c r="H184" s="297"/>
      <c r="I184" s="297"/>
      <c r="J184" s="297"/>
      <c r="K184" s="297"/>
      <c r="L184" s="297"/>
      <c r="M184" s="297"/>
      <c r="N184" s="295"/>
      <c r="O184" s="295"/>
      <c r="P184" s="295"/>
      <c r="Q184" s="295"/>
      <c r="R184" s="295"/>
      <c r="S184" s="295"/>
      <c r="T184" s="295"/>
      <c r="U184" s="295"/>
      <c r="V184" s="295"/>
      <c r="W184" s="295"/>
      <c r="X184" s="295"/>
      <c r="Y184" s="295"/>
      <c r="Z184" s="295"/>
    </row>
    <row r="185" spans="1:26" ht="14.25" customHeight="1" x14ac:dyDescent="0.3">
      <c r="A185" s="295"/>
      <c r="B185" s="297"/>
      <c r="C185" s="297"/>
      <c r="D185" s="297"/>
      <c r="E185" s="297"/>
      <c r="F185" s="297"/>
      <c r="G185" s="297"/>
      <c r="H185" s="297"/>
      <c r="I185" s="297"/>
      <c r="J185" s="297"/>
      <c r="K185" s="297"/>
      <c r="L185" s="297"/>
      <c r="M185" s="297"/>
      <c r="N185" s="295"/>
      <c r="O185" s="295"/>
      <c r="P185" s="295"/>
      <c r="Q185" s="295"/>
      <c r="R185" s="295"/>
      <c r="S185" s="295"/>
      <c r="T185" s="295"/>
      <c r="U185" s="295"/>
      <c r="V185" s="295"/>
      <c r="W185" s="295"/>
      <c r="X185" s="295"/>
      <c r="Y185" s="295"/>
      <c r="Z185" s="295"/>
    </row>
    <row r="186" spans="1:26" ht="14.25" customHeight="1" x14ac:dyDescent="0.3">
      <c r="A186" s="295"/>
      <c r="B186" s="297"/>
      <c r="C186" s="297"/>
      <c r="D186" s="297"/>
      <c r="E186" s="297"/>
      <c r="F186" s="297"/>
      <c r="G186" s="297"/>
      <c r="H186" s="297"/>
      <c r="I186" s="297"/>
      <c r="J186" s="297"/>
      <c r="K186" s="297"/>
      <c r="L186" s="297"/>
      <c r="M186" s="297"/>
      <c r="N186" s="295"/>
      <c r="O186" s="295"/>
      <c r="P186" s="295"/>
      <c r="Q186" s="295"/>
      <c r="R186" s="295"/>
      <c r="S186" s="295"/>
      <c r="T186" s="295"/>
      <c r="U186" s="295"/>
      <c r="V186" s="295"/>
      <c r="W186" s="295"/>
      <c r="X186" s="295"/>
      <c r="Y186" s="295"/>
      <c r="Z186" s="295"/>
    </row>
    <row r="187" spans="1:26" ht="14.25" customHeight="1" x14ac:dyDescent="0.3">
      <c r="A187" s="295"/>
      <c r="B187" s="297"/>
      <c r="C187" s="297"/>
      <c r="D187" s="297"/>
      <c r="E187" s="297"/>
      <c r="F187" s="297"/>
      <c r="G187" s="297"/>
      <c r="H187" s="297"/>
      <c r="I187" s="297"/>
      <c r="J187" s="297"/>
      <c r="K187" s="297"/>
      <c r="L187" s="297"/>
      <c r="M187" s="297"/>
      <c r="N187" s="295"/>
      <c r="O187" s="295"/>
      <c r="P187" s="295"/>
      <c r="Q187" s="295"/>
      <c r="R187" s="295"/>
      <c r="S187" s="295"/>
      <c r="T187" s="295"/>
      <c r="U187" s="295"/>
      <c r="V187" s="295"/>
      <c r="W187" s="295"/>
      <c r="X187" s="295"/>
      <c r="Y187" s="295"/>
      <c r="Z187" s="295"/>
    </row>
    <row r="188" spans="1:26" ht="14.25" customHeight="1" x14ac:dyDescent="0.3">
      <c r="A188" s="295"/>
      <c r="B188" s="297"/>
      <c r="C188" s="297"/>
      <c r="D188" s="297"/>
      <c r="E188" s="297"/>
      <c r="F188" s="297"/>
      <c r="G188" s="297"/>
      <c r="H188" s="297"/>
      <c r="I188" s="297"/>
      <c r="J188" s="297"/>
      <c r="K188" s="297"/>
      <c r="L188" s="297"/>
      <c r="M188" s="297"/>
      <c r="N188" s="295"/>
      <c r="O188" s="295"/>
      <c r="P188" s="295"/>
      <c r="Q188" s="295"/>
      <c r="R188" s="295"/>
      <c r="S188" s="295"/>
      <c r="T188" s="295"/>
      <c r="U188" s="295"/>
      <c r="V188" s="295"/>
      <c r="W188" s="295"/>
      <c r="X188" s="295"/>
      <c r="Y188" s="295"/>
      <c r="Z188" s="295"/>
    </row>
    <row r="189" spans="1:26" ht="14.25" customHeight="1" x14ac:dyDescent="0.3">
      <c r="A189" s="295"/>
      <c r="B189" s="297"/>
      <c r="C189" s="297"/>
      <c r="D189" s="297"/>
      <c r="E189" s="297"/>
      <c r="F189" s="297"/>
      <c r="G189" s="297"/>
      <c r="H189" s="297"/>
      <c r="I189" s="297"/>
      <c r="J189" s="297"/>
      <c r="K189" s="297"/>
      <c r="L189" s="297"/>
      <c r="M189" s="297"/>
      <c r="N189" s="295"/>
      <c r="O189" s="295"/>
      <c r="P189" s="295"/>
      <c r="Q189" s="295"/>
      <c r="R189" s="295"/>
      <c r="S189" s="295"/>
      <c r="T189" s="295"/>
      <c r="U189" s="295"/>
      <c r="V189" s="295"/>
      <c r="W189" s="295"/>
      <c r="X189" s="295"/>
      <c r="Y189" s="295"/>
      <c r="Z189" s="295"/>
    </row>
    <row r="190" spans="1:26" ht="14.25" customHeight="1" x14ac:dyDescent="0.3">
      <c r="A190" s="295"/>
      <c r="B190" s="297"/>
      <c r="C190" s="297"/>
      <c r="D190" s="297"/>
      <c r="E190" s="297"/>
      <c r="F190" s="297"/>
      <c r="G190" s="297"/>
      <c r="H190" s="297"/>
      <c r="I190" s="297"/>
      <c r="J190" s="297"/>
      <c r="K190" s="297"/>
      <c r="L190" s="297"/>
      <c r="M190" s="297"/>
      <c r="N190" s="295"/>
      <c r="O190" s="295"/>
      <c r="P190" s="295"/>
      <c r="Q190" s="295"/>
      <c r="R190" s="295"/>
      <c r="S190" s="295"/>
      <c r="T190" s="295"/>
      <c r="U190" s="295"/>
      <c r="V190" s="295"/>
      <c r="W190" s="295"/>
      <c r="X190" s="295"/>
      <c r="Y190" s="295"/>
      <c r="Z190" s="295"/>
    </row>
    <row r="191" spans="1:26" ht="14.25" customHeight="1" x14ac:dyDescent="0.3">
      <c r="A191" s="295"/>
      <c r="B191" s="297"/>
      <c r="C191" s="297"/>
      <c r="D191" s="297"/>
      <c r="E191" s="297"/>
      <c r="F191" s="297"/>
      <c r="G191" s="297"/>
      <c r="H191" s="297"/>
      <c r="I191" s="297"/>
      <c r="J191" s="297"/>
      <c r="K191" s="297"/>
      <c r="L191" s="297"/>
      <c r="M191" s="297"/>
      <c r="N191" s="295"/>
      <c r="O191" s="295"/>
      <c r="P191" s="295"/>
      <c r="Q191" s="295"/>
      <c r="R191" s="295"/>
      <c r="S191" s="295"/>
      <c r="T191" s="295"/>
      <c r="U191" s="295"/>
      <c r="V191" s="295"/>
      <c r="W191" s="295"/>
      <c r="X191" s="295"/>
      <c r="Y191" s="295"/>
      <c r="Z191" s="295"/>
    </row>
    <row r="192" spans="1:26" ht="14.25" customHeight="1" x14ac:dyDescent="0.3">
      <c r="A192" s="295"/>
      <c r="B192" s="297"/>
      <c r="C192" s="297"/>
      <c r="D192" s="297"/>
      <c r="E192" s="297"/>
      <c r="F192" s="297"/>
      <c r="G192" s="297"/>
      <c r="H192" s="297"/>
      <c r="I192" s="297"/>
      <c r="J192" s="297"/>
      <c r="K192" s="297"/>
      <c r="L192" s="297"/>
      <c r="M192" s="297"/>
      <c r="N192" s="295"/>
      <c r="O192" s="295"/>
      <c r="P192" s="295"/>
      <c r="Q192" s="295"/>
      <c r="R192" s="295"/>
      <c r="S192" s="295"/>
      <c r="T192" s="295"/>
      <c r="U192" s="295"/>
      <c r="V192" s="295"/>
      <c r="W192" s="295"/>
      <c r="X192" s="295"/>
      <c r="Y192" s="295"/>
      <c r="Z192" s="295"/>
    </row>
    <row r="193" spans="1:26" ht="14.25" customHeight="1" x14ac:dyDescent="0.3">
      <c r="A193" s="295"/>
      <c r="B193" s="297"/>
      <c r="C193" s="297"/>
      <c r="D193" s="297"/>
      <c r="E193" s="297"/>
      <c r="F193" s="297"/>
      <c r="G193" s="297"/>
      <c r="H193" s="297"/>
      <c r="I193" s="297"/>
      <c r="J193" s="297"/>
      <c r="K193" s="297"/>
      <c r="L193" s="297"/>
      <c r="M193" s="297"/>
      <c r="N193" s="295"/>
      <c r="O193" s="295"/>
      <c r="P193" s="295"/>
      <c r="Q193" s="295"/>
      <c r="R193" s="295"/>
      <c r="S193" s="295"/>
      <c r="T193" s="295"/>
      <c r="U193" s="295"/>
      <c r="V193" s="295"/>
      <c r="W193" s="295"/>
      <c r="X193" s="295"/>
      <c r="Y193" s="295"/>
      <c r="Z193" s="295"/>
    </row>
    <row r="194" spans="1:26" ht="14.25" customHeight="1" x14ac:dyDescent="0.3">
      <c r="A194" s="295"/>
      <c r="B194" s="297"/>
      <c r="C194" s="297"/>
      <c r="D194" s="297"/>
      <c r="E194" s="297"/>
      <c r="F194" s="297"/>
      <c r="G194" s="297"/>
      <c r="H194" s="297"/>
      <c r="I194" s="297"/>
      <c r="J194" s="297"/>
      <c r="K194" s="297"/>
      <c r="L194" s="297"/>
      <c r="M194" s="297"/>
      <c r="N194" s="295"/>
      <c r="O194" s="295"/>
      <c r="P194" s="295"/>
      <c r="Q194" s="295"/>
      <c r="R194" s="295"/>
      <c r="S194" s="295"/>
      <c r="T194" s="295"/>
      <c r="U194" s="295"/>
      <c r="V194" s="295"/>
      <c r="W194" s="295"/>
      <c r="X194" s="295"/>
      <c r="Y194" s="295"/>
      <c r="Z194" s="295"/>
    </row>
    <row r="195" spans="1:26" ht="14.25" customHeight="1" x14ac:dyDescent="0.3">
      <c r="A195" s="295"/>
      <c r="B195" s="297"/>
      <c r="C195" s="297"/>
      <c r="D195" s="297"/>
      <c r="E195" s="297"/>
      <c r="F195" s="297"/>
      <c r="G195" s="297"/>
      <c r="H195" s="297"/>
      <c r="I195" s="297"/>
      <c r="J195" s="297"/>
      <c r="K195" s="297"/>
      <c r="L195" s="297"/>
      <c r="M195" s="297"/>
      <c r="N195" s="295"/>
      <c r="O195" s="295"/>
      <c r="P195" s="295"/>
      <c r="Q195" s="295"/>
      <c r="R195" s="295"/>
      <c r="S195" s="295"/>
      <c r="T195" s="295"/>
      <c r="U195" s="295"/>
      <c r="V195" s="295"/>
      <c r="W195" s="295"/>
      <c r="X195" s="295"/>
      <c r="Y195" s="295"/>
      <c r="Z195" s="295"/>
    </row>
    <row r="196" spans="1:26" ht="14.25" customHeight="1" x14ac:dyDescent="0.3">
      <c r="A196" s="295"/>
      <c r="B196" s="297"/>
      <c r="C196" s="297"/>
      <c r="D196" s="297"/>
      <c r="E196" s="297"/>
      <c r="F196" s="297"/>
      <c r="G196" s="297"/>
      <c r="H196" s="297"/>
      <c r="I196" s="297"/>
      <c r="J196" s="297"/>
      <c r="K196" s="297"/>
      <c r="L196" s="297"/>
      <c r="M196" s="297"/>
      <c r="N196" s="295"/>
      <c r="O196" s="295"/>
      <c r="P196" s="295"/>
      <c r="Q196" s="295"/>
      <c r="R196" s="295"/>
      <c r="S196" s="295"/>
      <c r="T196" s="295"/>
      <c r="U196" s="295"/>
      <c r="V196" s="295"/>
      <c r="W196" s="295"/>
      <c r="X196" s="295"/>
      <c r="Y196" s="295"/>
      <c r="Z196" s="295"/>
    </row>
    <row r="197" spans="1:26" ht="14.25" customHeight="1" x14ac:dyDescent="0.3">
      <c r="A197" s="295"/>
      <c r="B197" s="297"/>
      <c r="C197" s="297"/>
      <c r="D197" s="297"/>
      <c r="E197" s="297"/>
      <c r="F197" s="297"/>
      <c r="G197" s="297"/>
      <c r="H197" s="297"/>
      <c r="I197" s="297"/>
      <c r="J197" s="297"/>
      <c r="K197" s="297"/>
      <c r="L197" s="297"/>
      <c r="M197" s="297"/>
      <c r="N197" s="295"/>
      <c r="O197" s="295"/>
      <c r="P197" s="295"/>
      <c r="Q197" s="295"/>
      <c r="R197" s="295"/>
      <c r="S197" s="295"/>
      <c r="T197" s="295"/>
      <c r="U197" s="295"/>
      <c r="V197" s="295"/>
      <c r="W197" s="295"/>
      <c r="X197" s="295"/>
      <c r="Y197" s="295"/>
      <c r="Z197" s="295"/>
    </row>
    <row r="198" spans="1:26" ht="14.25" customHeight="1" x14ac:dyDescent="0.3">
      <c r="A198" s="295"/>
      <c r="B198" s="297"/>
      <c r="C198" s="297"/>
      <c r="D198" s="297"/>
      <c r="E198" s="297"/>
      <c r="F198" s="297"/>
      <c r="G198" s="297"/>
      <c r="H198" s="297"/>
      <c r="I198" s="297"/>
      <c r="J198" s="297"/>
      <c r="K198" s="297"/>
      <c r="L198" s="297"/>
      <c r="M198" s="297"/>
      <c r="N198" s="295"/>
      <c r="O198" s="295"/>
      <c r="P198" s="295"/>
      <c r="Q198" s="295"/>
      <c r="R198" s="295"/>
      <c r="S198" s="295"/>
      <c r="T198" s="295"/>
      <c r="U198" s="295"/>
      <c r="V198" s="295"/>
      <c r="W198" s="295"/>
      <c r="X198" s="295"/>
      <c r="Y198" s="295"/>
      <c r="Z198" s="295"/>
    </row>
    <row r="199" spans="1:26" ht="14.25" customHeight="1" x14ac:dyDescent="0.3">
      <c r="A199" s="295"/>
      <c r="B199" s="297"/>
      <c r="C199" s="297"/>
      <c r="D199" s="297"/>
      <c r="E199" s="297"/>
      <c r="F199" s="297"/>
      <c r="G199" s="297"/>
      <c r="H199" s="297"/>
      <c r="I199" s="297"/>
      <c r="J199" s="297"/>
      <c r="K199" s="297"/>
      <c r="L199" s="297"/>
      <c r="M199" s="297"/>
      <c r="N199" s="295"/>
      <c r="O199" s="295"/>
      <c r="P199" s="295"/>
      <c r="Q199" s="295"/>
      <c r="R199" s="295"/>
      <c r="S199" s="295"/>
      <c r="T199" s="295"/>
      <c r="U199" s="295"/>
      <c r="V199" s="295"/>
      <c r="W199" s="295"/>
      <c r="X199" s="295"/>
      <c r="Y199" s="295"/>
      <c r="Z199" s="295"/>
    </row>
    <row r="200" spans="1:26" ht="14.25" customHeight="1" x14ac:dyDescent="0.3">
      <c r="A200" s="295"/>
      <c r="B200" s="297"/>
      <c r="C200" s="297"/>
      <c r="D200" s="297"/>
      <c r="E200" s="297"/>
      <c r="F200" s="297"/>
      <c r="G200" s="297"/>
      <c r="H200" s="297"/>
      <c r="I200" s="297"/>
      <c r="J200" s="297"/>
      <c r="K200" s="297"/>
      <c r="L200" s="297"/>
      <c r="M200" s="297"/>
      <c r="N200" s="295"/>
      <c r="O200" s="295"/>
      <c r="P200" s="295"/>
      <c r="Q200" s="295"/>
      <c r="R200" s="295"/>
      <c r="S200" s="295"/>
      <c r="T200" s="295"/>
      <c r="U200" s="295"/>
      <c r="V200" s="295"/>
      <c r="W200" s="295"/>
      <c r="X200" s="295"/>
      <c r="Y200" s="295"/>
      <c r="Z200" s="295"/>
    </row>
    <row r="201" spans="1:26" ht="14.25" customHeight="1" x14ac:dyDescent="0.3">
      <c r="A201" s="295"/>
      <c r="B201" s="297"/>
      <c r="C201" s="297"/>
      <c r="D201" s="297"/>
      <c r="E201" s="297"/>
      <c r="F201" s="297"/>
      <c r="G201" s="297"/>
      <c r="H201" s="297"/>
      <c r="I201" s="297"/>
      <c r="J201" s="297"/>
      <c r="K201" s="297"/>
      <c r="L201" s="297"/>
      <c r="M201" s="297"/>
      <c r="N201" s="295"/>
      <c r="O201" s="295"/>
      <c r="P201" s="295"/>
      <c r="Q201" s="295"/>
      <c r="R201" s="295"/>
      <c r="S201" s="295"/>
      <c r="T201" s="295"/>
      <c r="U201" s="295"/>
      <c r="V201" s="295"/>
      <c r="W201" s="295"/>
      <c r="X201" s="295"/>
      <c r="Y201" s="295"/>
      <c r="Z201" s="295"/>
    </row>
    <row r="202" spans="1:26" ht="14.25" customHeight="1" x14ac:dyDescent="0.3">
      <c r="A202" s="295"/>
      <c r="B202" s="297"/>
      <c r="C202" s="297"/>
      <c r="D202" s="297"/>
      <c r="E202" s="297"/>
      <c r="F202" s="297"/>
      <c r="G202" s="297"/>
      <c r="H202" s="297"/>
      <c r="I202" s="297"/>
      <c r="J202" s="297"/>
      <c r="K202" s="297"/>
      <c r="L202" s="297"/>
      <c r="M202" s="297"/>
      <c r="N202" s="295"/>
      <c r="O202" s="295"/>
      <c r="P202" s="295"/>
      <c r="Q202" s="295"/>
      <c r="R202" s="295"/>
      <c r="S202" s="295"/>
      <c r="T202" s="295"/>
      <c r="U202" s="295"/>
      <c r="V202" s="295"/>
      <c r="W202" s="295"/>
      <c r="X202" s="295"/>
      <c r="Y202" s="295"/>
      <c r="Z202" s="295"/>
    </row>
    <row r="203" spans="1:26" ht="14.25" customHeight="1" x14ac:dyDescent="0.3">
      <c r="A203" s="295"/>
      <c r="B203" s="297"/>
      <c r="C203" s="297"/>
      <c r="D203" s="297"/>
      <c r="E203" s="297"/>
      <c r="F203" s="297"/>
      <c r="G203" s="297"/>
      <c r="H203" s="297"/>
      <c r="I203" s="297"/>
      <c r="J203" s="297"/>
      <c r="K203" s="297"/>
      <c r="L203" s="297"/>
      <c r="M203" s="297"/>
      <c r="N203" s="295"/>
      <c r="O203" s="295"/>
      <c r="P203" s="295"/>
      <c r="Q203" s="295"/>
      <c r="R203" s="295"/>
      <c r="S203" s="295"/>
      <c r="T203" s="295"/>
      <c r="U203" s="295"/>
      <c r="V203" s="295"/>
      <c r="W203" s="295"/>
      <c r="X203" s="295"/>
      <c r="Y203" s="295"/>
      <c r="Z203" s="295"/>
    </row>
    <row r="204" spans="1:26" ht="14.25" customHeight="1" x14ac:dyDescent="0.3">
      <c r="A204" s="295"/>
      <c r="B204" s="297"/>
      <c r="C204" s="297"/>
      <c r="D204" s="297"/>
      <c r="E204" s="297"/>
      <c r="F204" s="297"/>
      <c r="G204" s="297"/>
      <c r="H204" s="297"/>
      <c r="I204" s="297"/>
      <c r="J204" s="297"/>
      <c r="K204" s="297"/>
      <c r="L204" s="297"/>
      <c r="M204" s="297"/>
      <c r="N204" s="295"/>
      <c r="O204" s="295"/>
      <c r="P204" s="295"/>
      <c r="Q204" s="295"/>
      <c r="R204" s="295"/>
      <c r="S204" s="295"/>
      <c r="T204" s="295"/>
      <c r="U204" s="295"/>
      <c r="V204" s="295"/>
      <c r="W204" s="295"/>
      <c r="X204" s="295"/>
      <c r="Y204" s="295"/>
      <c r="Z204" s="295"/>
    </row>
    <row r="205" spans="1:26" ht="14.25" customHeight="1" x14ac:dyDescent="0.3">
      <c r="A205" s="295"/>
      <c r="B205" s="297"/>
      <c r="C205" s="297"/>
      <c r="D205" s="297"/>
      <c r="E205" s="297"/>
      <c r="F205" s="297"/>
      <c r="G205" s="297"/>
      <c r="H205" s="297"/>
      <c r="I205" s="297"/>
      <c r="J205" s="297"/>
      <c r="K205" s="297"/>
      <c r="L205" s="297"/>
      <c r="M205" s="297"/>
      <c r="N205" s="295"/>
      <c r="O205" s="295"/>
      <c r="P205" s="295"/>
      <c r="Q205" s="295"/>
      <c r="R205" s="295"/>
      <c r="S205" s="295"/>
      <c r="T205" s="295"/>
      <c r="U205" s="295"/>
      <c r="V205" s="295"/>
      <c r="W205" s="295"/>
      <c r="X205" s="295"/>
      <c r="Y205" s="295"/>
      <c r="Z205" s="295"/>
    </row>
    <row r="206" spans="1:26" ht="14.25" customHeight="1" x14ac:dyDescent="0.3">
      <c r="A206" s="295"/>
      <c r="B206" s="297"/>
      <c r="C206" s="297"/>
      <c r="D206" s="297"/>
      <c r="E206" s="297"/>
      <c r="F206" s="297"/>
      <c r="G206" s="297"/>
      <c r="H206" s="297"/>
      <c r="I206" s="297"/>
      <c r="J206" s="297"/>
      <c r="K206" s="297"/>
      <c r="L206" s="297"/>
      <c r="M206" s="297"/>
      <c r="N206" s="295"/>
      <c r="O206" s="295"/>
      <c r="P206" s="295"/>
      <c r="Q206" s="295"/>
      <c r="R206" s="295"/>
      <c r="S206" s="295"/>
      <c r="T206" s="295"/>
      <c r="U206" s="295"/>
      <c r="V206" s="295"/>
      <c r="W206" s="295"/>
      <c r="X206" s="295"/>
      <c r="Y206" s="295"/>
      <c r="Z206" s="295"/>
    </row>
    <row r="207" spans="1:26" ht="14.25" customHeight="1" x14ac:dyDescent="0.3">
      <c r="A207" s="295"/>
      <c r="B207" s="297"/>
      <c r="C207" s="297"/>
      <c r="D207" s="297"/>
      <c r="E207" s="297"/>
      <c r="F207" s="297"/>
      <c r="G207" s="297"/>
      <c r="H207" s="297"/>
      <c r="I207" s="297"/>
      <c r="J207" s="297"/>
      <c r="K207" s="297"/>
      <c r="L207" s="297"/>
      <c r="M207" s="297"/>
      <c r="N207" s="295"/>
      <c r="O207" s="295"/>
      <c r="P207" s="295"/>
      <c r="Q207" s="295"/>
      <c r="R207" s="295"/>
      <c r="S207" s="295"/>
      <c r="T207" s="295"/>
      <c r="U207" s="295"/>
      <c r="V207" s="295"/>
      <c r="W207" s="295"/>
      <c r="X207" s="295"/>
      <c r="Y207" s="295"/>
      <c r="Z207" s="295"/>
    </row>
    <row r="208" spans="1:26" ht="14.25" customHeight="1" x14ac:dyDescent="0.3">
      <c r="A208" s="295"/>
      <c r="B208" s="297"/>
      <c r="C208" s="297"/>
      <c r="D208" s="297"/>
      <c r="E208" s="297"/>
      <c r="F208" s="297"/>
      <c r="G208" s="297"/>
      <c r="H208" s="297"/>
      <c r="I208" s="297"/>
      <c r="J208" s="297"/>
      <c r="K208" s="297"/>
      <c r="L208" s="297"/>
      <c r="M208" s="297"/>
      <c r="N208" s="295"/>
      <c r="O208" s="295"/>
      <c r="P208" s="295"/>
      <c r="Q208" s="295"/>
      <c r="R208" s="295"/>
      <c r="S208" s="295"/>
      <c r="T208" s="295"/>
      <c r="U208" s="295"/>
      <c r="V208" s="295"/>
      <c r="W208" s="295"/>
      <c r="X208" s="295"/>
      <c r="Y208" s="295"/>
      <c r="Z208" s="295"/>
    </row>
    <row r="209" spans="1:26" ht="14.25" customHeight="1" x14ac:dyDescent="0.3">
      <c r="A209" s="295"/>
      <c r="B209" s="297"/>
      <c r="C209" s="297"/>
      <c r="D209" s="297"/>
      <c r="E209" s="297"/>
      <c r="F209" s="297"/>
      <c r="G209" s="297"/>
      <c r="H209" s="297"/>
      <c r="I209" s="297"/>
      <c r="J209" s="297"/>
      <c r="K209" s="297"/>
      <c r="L209" s="297"/>
      <c r="M209" s="297"/>
      <c r="N209" s="295"/>
      <c r="O209" s="295"/>
      <c r="P209" s="295"/>
      <c r="Q209" s="295"/>
      <c r="R209" s="295"/>
      <c r="S209" s="295"/>
      <c r="T209" s="295"/>
      <c r="U209" s="295"/>
      <c r="V209" s="295"/>
      <c r="W209" s="295"/>
      <c r="X209" s="295"/>
      <c r="Y209" s="295"/>
      <c r="Z209" s="295"/>
    </row>
    <row r="210" spans="1:26" ht="14.25" customHeight="1" x14ac:dyDescent="0.3">
      <c r="A210" s="295"/>
      <c r="B210" s="297"/>
      <c r="C210" s="297"/>
      <c r="D210" s="297"/>
      <c r="E210" s="297"/>
      <c r="F210" s="297"/>
      <c r="G210" s="297"/>
      <c r="H210" s="297"/>
      <c r="I210" s="297"/>
      <c r="J210" s="297"/>
      <c r="K210" s="297"/>
      <c r="L210" s="297"/>
      <c r="M210" s="297"/>
      <c r="N210" s="295"/>
      <c r="O210" s="295"/>
      <c r="P210" s="295"/>
      <c r="Q210" s="295"/>
      <c r="R210" s="295"/>
      <c r="S210" s="295"/>
      <c r="T210" s="295"/>
      <c r="U210" s="295"/>
      <c r="V210" s="295"/>
      <c r="W210" s="295"/>
      <c r="X210" s="295"/>
      <c r="Y210" s="295"/>
      <c r="Z210" s="295"/>
    </row>
    <row r="211" spans="1:26" ht="14.25" customHeight="1" x14ac:dyDescent="0.3">
      <c r="A211" s="295"/>
      <c r="B211" s="297"/>
      <c r="C211" s="297"/>
      <c r="D211" s="297"/>
      <c r="E211" s="297"/>
      <c r="F211" s="297"/>
      <c r="G211" s="297"/>
      <c r="H211" s="297"/>
      <c r="I211" s="297"/>
      <c r="J211" s="297"/>
      <c r="K211" s="297"/>
      <c r="L211" s="297"/>
      <c r="M211" s="297"/>
      <c r="N211" s="295"/>
      <c r="O211" s="295"/>
      <c r="P211" s="295"/>
      <c r="Q211" s="295"/>
      <c r="R211" s="295"/>
      <c r="S211" s="295"/>
      <c r="T211" s="295"/>
      <c r="U211" s="295"/>
      <c r="V211" s="295"/>
      <c r="W211" s="295"/>
      <c r="X211" s="295"/>
      <c r="Y211" s="295"/>
      <c r="Z211" s="295"/>
    </row>
    <row r="212" spans="1:26" ht="14.25" customHeight="1" x14ac:dyDescent="0.3">
      <c r="A212" s="295"/>
      <c r="B212" s="297"/>
      <c r="C212" s="297"/>
      <c r="D212" s="297"/>
      <c r="E212" s="297"/>
      <c r="F212" s="297"/>
      <c r="G212" s="297"/>
      <c r="H212" s="297"/>
      <c r="I212" s="297"/>
      <c r="J212" s="297"/>
      <c r="K212" s="297"/>
      <c r="L212" s="297"/>
      <c r="M212" s="297"/>
      <c r="N212" s="295"/>
      <c r="O212" s="295"/>
      <c r="P212" s="295"/>
      <c r="Q212" s="295"/>
      <c r="R212" s="295"/>
      <c r="S212" s="295"/>
      <c r="T212" s="295"/>
      <c r="U212" s="295"/>
      <c r="V212" s="295"/>
      <c r="W212" s="295"/>
      <c r="X212" s="295"/>
      <c r="Y212" s="295"/>
      <c r="Z212" s="295"/>
    </row>
    <row r="213" spans="1:26" ht="14.25" customHeight="1" x14ac:dyDescent="0.3">
      <c r="A213" s="295"/>
      <c r="B213" s="297"/>
      <c r="C213" s="297"/>
      <c r="D213" s="297"/>
      <c r="E213" s="297"/>
      <c r="F213" s="297"/>
      <c r="G213" s="297"/>
      <c r="H213" s="297"/>
      <c r="I213" s="297"/>
      <c r="J213" s="297"/>
      <c r="K213" s="297"/>
      <c r="L213" s="297"/>
      <c r="M213" s="297"/>
      <c r="N213" s="295"/>
      <c r="O213" s="295"/>
      <c r="P213" s="295"/>
      <c r="Q213" s="295"/>
      <c r="R213" s="295"/>
      <c r="S213" s="295"/>
      <c r="T213" s="295"/>
      <c r="U213" s="295"/>
      <c r="V213" s="295"/>
      <c r="W213" s="295"/>
      <c r="X213" s="295"/>
      <c r="Y213" s="295"/>
      <c r="Z213" s="295"/>
    </row>
    <row r="214" spans="1:26" ht="14.25" customHeight="1" x14ac:dyDescent="0.3">
      <c r="A214" s="295"/>
      <c r="B214" s="297"/>
      <c r="C214" s="297"/>
      <c r="D214" s="297"/>
      <c r="E214" s="297"/>
      <c r="F214" s="297"/>
      <c r="G214" s="297"/>
      <c r="H214" s="297"/>
      <c r="I214" s="297"/>
      <c r="J214" s="297"/>
      <c r="K214" s="297"/>
      <c r="L214" s="297"/>
      <c r="M214" s="297"/>
      <c r="N214" s="295"/>
      <c r="O214" s="295"/>
      <c r="P214" s="295"/>
      <c r="Q214" s="295"/>
      <c r="R214" s="295"/>
      <c r="S214" s="295"/>
      <c r="T214" s="295"/>
      <c r="U214" s="295"/>
      <c r="V214" s="295"/>
      <c r="W214" s="295"/>
      <c r="X214" s="295"/>
      <c r="Y214" s="295"/>
      <c r="Z214" s="295"/>
    </row>
    <row r="215" spans="1:26" ht="14.25" customHeight="1" x14ac:dyDescent="0.3">
      <c r="A215" s="295"/>
      <c r="B215" s="297"/>
      <c r="C215" s="297"/>
      <c r="D215" s="297"/>
      <c r="E215" s="297"/>
      <c r="F215" s="297"/>
      <c r="G215" s="297"/>
      <c r="H215" s="297"/>
      <c r="I215" s="297"/>
      <c r="J215" s="297"/>
      <c r="K215" s="297"/>
      <c r="L215" s="297"/>
      <c r="M215" s="297"/>
      <c r="N215" s="295"/>
      <c r="O215" s="295"/>
      <c r="P215" s="295"/>
      <c r="Q215" s="295"/>
      <c r="R215" s="295"/>
      <c r="S215" s="295"/>
      <c r="T215" s="295"/>
      <c r="U215" s="295"/>
      <c r="V215" s="295"/>
      <c r="W215" s="295"/>
      <c r="X215" s="295"/>
      <c r="Y215" s="295"/>
      <c r="Z215" s="295"/>
    </row>
    <row r="216" spans="1:26" ht="14.25" customHeight="1" x14ac:dyDescent="0.3">
      <c r="A216" s="295"/>
      <c r="B216" s="297"/>
      <c r="C216" s="297"/>
      <c r="D216" s="297"/>
      <c r="E216" s="297"/>
      <c r="F216" s="297"/>
      <c r="G216" s="297"/>
      <c r="H216" s="297"/>
      <c r="I216" s="297"/>
      <c r="J216" s="297"/>
      <c r="K216" s="297"/>
      <c r="L216" s="297"/>
      <c r="M216" s="297"/>
      <c r="N216" s="295"/>
      <c r="O216" s="295"/>
      <c r="P216" s="295"/>
      <c r="Q216" s="295"/>
      <c r="R216" s="295"/>
      <c r="S216" s="295"/>
      <c r="T216" s="295"/>
      <c r="U216" s="295"/>
      <c r="V216" s="295"/>
      <c r="W216" s="295"/>
      <c r="X216" s="295"/>
      <c r="Y216" s="295"/>
      <c r="Z216" s="295"/>
    </row>
    <row r="217" spans="1:26" ht="14.25" customHeight="1" x14ac:dyDescent="0.3">
      <c r="A217" s="295"/>
      <c r="B217" s="297"/>
      <c r="C217" s="297"/>
      <c r="D217" s="297"/>
      <c r="E217" s="297"/>
      <c r="F217" s="297"/>
      <c r="G217" s="297"/>
      <c r="H217" s="297"/>
      <c r="I217" s="297"/>
      <c r="J217" s="297"/>
      <c r="K217" s="297"/>
      <c r="L217" s="297"/>
      <c r="M217" s="297"/>
      <c r="N217" s="295"/>
      <c r="O217" s="295"/>
      <c r="P217" s="295"/>
      <c r="Q217" s="295"/>
      <c r="R217" s="295"/>
      <c r="S217" s="295"/>
      <c r="T217" s="295"/>
      <c r="U217" s="295"/>
      <c r="V217" s="295"/>
      <c r="W217" s="295"/>
      <c r="X217" s="295"/>
      <c r="Y217" s="295"/>
      <c r="Z217" s="295"/>
    </row>
    <row r="218" spans="1:26" ht="14.25" customHeight="1" x14ac:dyDescent="0.3">
      <c r="A218" s="295"/>
      <c r="B218" s="297"/>
      <c r="C218" s="297"/>
      <c r="D218" s="297"/>
      <c r="E218" s="297"/>
      <c r="F218" s="297"/>
      <c r="G218" s="297"/>
      <c r="H218" s="297"/>
      <c r="I218" s="297"/>
      <c r="J218" s="297"/>
      <c r="K218" s="297"/>
      <c r="L218" s="297"/>
      <c r="M218" s="297"/>
      <c r="N218" s="295"/>
      <c r="O218" s="295"/>
      <c r="P218" s="295"/>
      <c r="Q218" s="295"/>
      <c r="R218" s="295"/>
      <c r="S218" s="295"/>
      <c r="T218" s="295"/>
      <c r="U218" s="295"/>
      <c r="V218" s="295"/>
      <c r="W218" s="295"/>
      <c r="X218" s="295"/>
      <c r="Y218" s="295"/>
      <c r="Z218" s="295"/>
    </row>
    <row r="219" spans="1:26" ht="14.25" customHeight="1" x14ac:dyDescent="0.3">
      <c r="A219" s="295"/>
      <c r="B219" s="297"/>
      <c r="C219" s="297"/>
      <c r="D219" s="297"/>
      <c r="E219" s="297"/>
      <c r="F219" s="297"/>
      <c r="G219" s="297"/>
      <c r="H219" s="297"/>
      <c r="I219" s="297"/>
      <c r="J219" s="297"/>
      <c r="K219" s="297"/>
      <c r="L219" s="297"/>
      <c r="M219" s="297"/>
      <c r="N219" s="295"/>
      <c r="O219" s="295"/>
      <c r="P219" s="295"/>
      <c r="Q219" s="295"/>
      <c r="R219" s="295"/>
      <c r="S219" s="295"/>
      <c r="T219" s="295"/>
      <c r="U219" s="295"/>
      <c r="V219" s="295"/>
      <c r="W219" s="295"/>
      <c r="X219" s="295"/>
      <c r="Y219" s="295"/>
      <c r="Z219" s="295"/>
    </row>
    <row r="220" spans="1:26" ht="14.25" customHeight="1" x14ac:dyDescent="0.3">
      <c r="A220" s="295"/>
      <c r="B220" s="297"/>
      <c r="C220" s="297"/>
      <c r="D220" s="297"/>
      <c r="E220" s="297"/>
      <c r="F220" s="297"/>
      <c r="G220" s="297"/>
      <c r="H220" s="297"/>
      <c r="I220" s="297"/>
      <c r="J220" s="297"/>
      <c r="K220" s="297"/>
      <c r="L220" s="297"/>
      <c r="M220" s="297"/>
      <c r="N220" s="295"/>
      <c r="O220" s="295"/>
      <c r="P220" s="295"/>
      <c r="Q220" s="295"/>
      <c r="R220" s="295"/>
      <c r="S220" s="295"/>
      <c r="T220" s="295"/>
      <c r="U220" s="295"/>
      <c r="V220" s="295"/>
      <c r="W220" s="295"/>
      <c r="X220" s="295"/>
      <c r="Y220" s="295"/>
      <c r="Z220" s="295"/>
    </row>
    <row r="221" spans="1:26" ht="14.25" customHeight="1" x14ac:dyDescent="0.3">
      <c r="A221" s="295"/>
      <c r="B221" s="297"/>
      <c r="C221" s="297"/>
      <c r="D221" s="297"/>
      <c r="E221" s="297"/>
      <c r="F221" s="297"/>
      <c r="G221" s="297"/>
      <c r="H221" s="297"/>
      <c r="I221" s="297"/>
      <c r="J221" s="297"/>
      <c r="K221" s="297"/>
      <c r="L221" s="297"/>
      <c r="M221" s="297"/>
      <c r="N221" s="295"/>
      <c r="O221" s="295"/>
      <c r="P221" s="295"/>
      <c r="Q221" s="295"/>
      <c r="R221" s="295"/>
      <c r="S221" s="295"/>
      <c r="T221" s="295"/>
      <c r="U221" s="295"/>
      <c r="V221" s="295"/>
      <c r="W221" s="295"/>
      <c r="X221" s="295"/>
      <c r="Y221" s="295"/>
      <c r="Z221" s="295"/>
    </row>
    <row r="222" spans="1:26" ht="14.25" customHeight="1" x14ac:dyDescent="0.3">
      <c r="A222" s="295"/>
      <c r="B222" s="297"/>
      <c r="C222" s="297"/>
      <c r="D222" s="297"/>
      <c r="E222" s="297"/>
      <c r="F222" s="297"/>
      <c r="G222" s="297"/>
      <c r="H222" s="297"/>
      <c r="I222" s="297"/>
      <c r="J222" s="297"/>
      <c r="K222" s="297"/>
      <c r="L222" s="297"/>
      <c r="M222" s="297"/>
      <c r="N222" s="295"/>
      <c r="O222" s="295"/>
      <c r="P222" s="295"/>
      <c r="Q222" s="295"/>
      <c r="R222" s="295"/>
      <c r="S222" s="295"/>
      <c r="T222" s="295"/>
      <c r="U222" s="295"/>
      <c r="V222" s="295"/>
      <c r="W222" s="295"/>
      <c r="X222" s="295"/>
      <c r="Y222" s="295"/>
      <c r="Z222" s="295"/>
    </row>
    <row r="223" spans="1:26" ht="14.25" customHeight="1" x14ac:dyDescent="0.3">
      <c r="A223" s="295"/>
      <c r="B223" s="297"/>
      <c r="C223" s="297"/>
      <c r="D223" s="297"/>
      <c r="E223" s="297"/>
      <c r="F223" s="297"/>
      <c r="G223" s="297"/>
      <c r="H223" s="297"/>
      <c r="I223" s="297"/>
      <c r="J223" s="297"/>
      <c r="K223" s="297"/>
      <c r="L223" s="297"/>
      <c r="M223" s="297"/>
      <c r="N223" s="295"/>
      <c r="O223" s="295"/>
      <c r="P223" s="295"/>
      <c r="Q223" s="295"/>
      <c r="R223" s="295"/>
      <c r="S223" s="295"/>
      <c r="T223" s="295"/>
      <c r="U223" s="295"/>
      <c r="V223" s="295"/>
      <c r="W223" s="295"/>
      <c r="X223" s="295"/>
      <c r="Y223" s="295"/>
      <c r="Z223" s="295"/>
    </row>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J10:J11"/>
  </mergeCell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showGridLines="0" workbookViewId="0"/>
  </sheetViews>
  <sheetFormatPr baseColWidth="10" defaultColWidth="12.6640625" defaultRowHeight="15" customHeight="1" outlineLevelRow="1" x14ac:dyDescent="0.3"/>
  <cols>
    <col min="1" max="1" width="36" customWidth="1"/>
    <col min="2" max="13" width="16.6640625" customWidth="1"/>
    <col min="14" max="14" width="17.88671875" customWidth="1"/>
    <col min="15" max="15" width="15.6640625" customWidth="1"/>
    <col min="16" max="17" width="10.6640625" customWidth="1"/>
  </cols>
  <sheetData>
    <row r="1" spans="1:26" ht="15" customHeight="1" outlineLevel="1" x14ac:dyDescent="0.3">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row>
    <row r="2" spans="1:26" ht="12.75" customHeight="1" outlineLevel="1" x14ac:dyDescent="0.3">
      <c r="A2" s="384" t="s">
        <v>1720</v>
      </c>
      <c r="B2" s="385"/>
      <c r="C2" s="385">
        <v>20</v>
      </c>
      <c r="D2" s="385">
        <v>18</v>
      </c>
      <c r="E2" s="385">
        <v>19</v>
      </c>
      <c r="F2" s="385">
        <v>21</v>
      </c>
      <c r="G2" s="385">
        <v>20</v>
      </c>
      <c r="H2" s="385">
        <v>22</v>
      </c>
      <c r="I2" s="385">
        <v>20</v>
      </c>
      <c r="J2" s="385">
        <v>22</v>
      </c>
      <c r="K2" s="385">
        <v>22</v>
      </c>
      <c r="L2" s="385">
        <v>19</v>
      </c>
      <c r="M2" s="385">
        <v>19</v>
      </c>
      <c r="N2" s="383"/>
      <c r="O2" s="383"/>
      <c r="P2" s="383"/>
      <c r="Q2" s="383"/>
      <c r="R2" s="383"/>
      <c r="S2" s="383"/>
      <c r="T2" s="383"/>
      <c r="U2" s="383"/>
      <c r="V2" s="383"/>
      <c r="W2" s="383"/>
      <c r="X2" s="383"/>
      <c r="Y2" s="383"/>
      <c r="Z2" s="383"/>
    </row>
    <row r="3" spans="1:26" ht="12.75" customHeight="1" outlineLevel="1" x14ac:dyDescent="0.3">
      <c r="A3" s="386"/>
      <c r="B3" s="387"/>
      <c r="C3" s="387"/>
      <c r="D3" s="387"/>
      <c r="E3" s="387"/>
      <c r="F3" s="387"/>
      <c r="G3" s="388"/>
      <c r="H3" s="388"/>
      <c r="I3" s="387"/>
      <c r="J3" s="389"/>
      <c r="K3" s="387"/>
      <c r="L3" s="387"/>
      <c r="M3" s="387"/>
      <c r="N3" s="383"/>
      <c r="O3" s="383"/>
      <c r="P3" s="383"/>
      <c r="Q3" s="383"/>
      <c r="R3" s="383"/>
      <c r="S3" s="383"/>
      <c r="T3" s="383"/>
      <c r="U3" s="383"/>
      <c r="V3" s="383"/>
      <c r="W3" s="383"/>
      <c r="X3" s="383"/>
      <c r="Y3" s="383"/>
      <c r="Z3" s="383"/>
    </row>
    <row r="4" spans="1:26" ht="12.75" customHeight="1" outlineLevel="1" x14ac:dyDescent="0.3">
      <c r="A4" s="383"/>
      <c r="B4" s="389" t="s">
        <v>0</v>
      </c>
      <c r="C4" s="389" t="s">
        <v>0</v>
      </c>
      <c r="D4" s="389" t="s">
        <v>0</v>
      </c>
      <c r="E4" s="389" t="s">
        <v>0</v>
      </c>
      <c r="F4" s="389" t="s">
        <v>0</v>
      </c>
      <c r="G4" s="389" t="s">
        <v>0</v>
      </c>
      <c r="H4" s="389" t="s">
        <v>0</v>
      </c>
      <c r="I4" s="389" t="s">
        <v>0</v>
      </c>
      <c r="J4" s="389" t="s">
        <v>0</v>
      </c>
      <c r="K4" s="389" t="s">
        <v>1606</v>
      </c>
      <c r="L4" s="389" t="s">
        <v>1606</v>
      </c>
      <c r="M4" s="389" t="s">
        <v>1606</v>
      </c>
      <c r="N4" s="383"/>
      <c r="O4" s="383"/>
      <c r="P4" s="383"/>
      <c r="Q4" s="383"/>
      <c r="R4" s="383"/>
      <c r="S4" s="383"/>
      <c r="T4" s="383"/>
      <c r="U4" s="383"/>
      <c r="V4" s="383"/>
      <c r="W4" s="383"/>
      <c r="X4" s="383"/>
      <c r="Y4" s="383"/>
      <c r="Z4" s="383"/>
    </row>
    <row r="5" spans="1:26" ht="12.75" customHeight="1" outlineLevel="1" x14ac:dyDescent="0.3">
      <c r="A5" s="390" t="s">
        <v>1721</v>
      </c>
      <c r="B5" s="391">
        <v>45658</v>
      </c>
      <c r="C5" s="391">
        <v>45689</v>
      </c>
      <c r="D5" s="391">
        <v>45747</v>
      </c>
      <c r="E5" s="391">
        <f t="shared" ref="E5:M5" si="0">+D5+30</f>
        <v>45777</v>
      </c>
      <c r="F5" s="391">
        <f t="shared" si="0"/>
        <v>45807</v>
      </c>
      <c r="G5" s="391">
        <f t="shared" si="0"/>
        <v>45837</v>
      </c>
      <c r="H5" s="391">
        <f t="shared" si="0"/>
        <v>45867</v>
      </c>
      <c r="I5" s="391">
        <f t="shared" si="0"/>
        <v>45897</v>
      </c>
      <c r="J5" s="391">
        <f t="shared" si="0"/>
        <v>45927</v>
      </c>
      <c r="K5" s="392">
        <f t="shared" si="0"/>
        <v>45957</v>
      </c>
      <c r="L5" s="392">
        <f t="shared" si="0"/>
        <v>45987</v>
      </c>
      <c r="M5" s="392">
        <f t="shared" si="0"/>
        <v>46017</v>
      </c>
      <c r="N5" s="386"/>
      <c r="O5" s="383"/>
      <c r="P5" s="383"/>
      <c r="Q5" s="383"/>
      <c r="R5" s="393"/>
      <c r="S5" s="393"/>
      <c r="T5" s="393"/>
      <c r="U5" s="393"/>
      <c r="V5" s="393"/>
      <c r="W5" s="393"/>
      <c r="X5" s="393"/>
      <c r="Y5" s="393"/>
      <c r="Z5" s="393"/>
    </row>
    <row r="6" spans="1:26" ht="12.75" customHeight="1" outlineLevel="1" x14ac:dyDescent="0.3">
      <c r="A6" s="394" t="s">
        <v>1722</v>
      </c>
      <c r="B6" s="395">
        <v>1490306</v>
      </c>
      <c r="C6" s="395">
        <v>1355716</v>
      </c>
      <c r="D6" s="395">
        <v>1520755</v>
      </c>
      <c r="E6" s="395">
        <v>1602317</v>
      </c>
      <c r="F6" s="395">
        <v>1682330</v>
      </c>
      <c r="G6" s="395">
        <v>1666122</v>
      </c>
      <c r="H6" s="395">
        <v>1751014</v>
      </c>
      <c r="I6" s="395">
        <v>1703302</v>
      </c>
      <c r="J6" s="395">
        <v>1734745</v>
      </c>
      <c r="K6" s="396">
        <v>1750000</v>
      </c>
      <c r="L6" s="396">
        <v>1602317</v>
      </c>
      <c r="M6" s="396">
        <v>1602317</v>
      </c>
      <c r="N6" s="393"/>
      <c r="O6" s="383"/>
      <c r="P6" s="383"/>
      <c r="Q6" s="383"/>
      <c r="R6" s="393"/>
      <c r="S6" s="393"/>
      <c r="T6" s="393"/>
      <c r="U6" s="393"/>
      <c r="V6" s="393"/>
      <c r="W6" s="393"/>
      <c r="X6" s="393"/>
      <c r="Y6" s="393"/>
      <c r="Z6" s="393"/>
    </row>
    <row r="7" spans="1:26" ht="12.75" customHeight="1" outlineLevel="1" x14ac:dyDescent="0.3">
      <c r="A7" s="394" t="s">
        <v>1723</v>
      </c>
      <c r="B7" s="395">
        <v>213669</v>
      </c>
      <c r="C7" s="395">
        <v>190015</v>
      </c>
      <c r="D7" s="395">
        <v>208388</v>
      </c>
      <c r="E7" s="395">
        <v>213716</v>
      </c>
      <c r="F7" s="395">
        <v>225462</v>
      </c>
      <c r="G7" s="395">
        <v>230982</v>
      </c>
      <c r="H7" s="395">
        <v>241030</v>
      </c>
      <c r="I7" s="395">
        <v>233048</v>
      </c>
      <c r="J7" s="395">
        <v>233018</v>
      </c>
      <c r="K7" s="396">
        <v>250000</v>
      </c>
      <c r="L7" s="396">
        <v>213716</v>
      </c>
      <c r="M7" s="396">
        <v>213716</v>
      </c>
      <c r="N7" s="393"/>
      <c r="O7" s="383"/>
      <c r="P7" s="383"/>
      <c r="Q7" s="383"/>
      <c r="R7" s="393"/>
      <c r="S7" s="393"/>
      <c r="T7" s="393"/>
      <c r="U7" s="393"/>
      <c r="V7" s="393"/>
      <c r="W7" s="393"/>
      <c r="X7" s="393"/>
      <c r="Y7" s="393"/>
      <c r="Z7" s="393"/>
    </row>
    <row r="8" spans="1:26" ht="12.75" customHeight="1" outlineLevel="1" x14ac:dyDescent="0.3">
      <c r="A8" s="394" t="s">
        <v>1724</v>
      </c>
      <c r="B8" s="397">
        <v>763760</v>
      </c>
      <c r="C8" s="397">
        <v>721443</v>
      </c>
      <c r="D8" s="397">
        <v>781327</v>
      </c>
      <c r="E8" s="397">
        <v>818781</v>
      </c>
      <c r="F8" s="397">
        <v>852102</v>
      </c>
      <c r="G8" s="395">
        <v>847647</v>
      </c>
      <c r="H8" s="395">
        <v>914890</v>
      </c>
      <c r="I8" s="395">
        <v>872560</v>
      </c>
      <c r="J8" s="395">
        <v>889037</v>
      </c>
      <c r="K8" s="396">
        <v>910000</v>
      </c>
      <c r="L8" s="396">
        <v>818781</v>
      </c>
      <c r="M8" s="396">
        <v>818781</v>
      </c>
      <c r="N8" s="393"/>
      <c r="O8" s="383"/>
      <c r="P8" s="383"/>
      <c r="Q8" s="383"/>
      <c r="R8" s="393"/>
      <c r="S8" s="393"/>
      <c r="T8" s="393"/>
      <c r="U8" s="393"/>
      <c r="V8" s="393"/>
      <c r="W8" s="393"/>
      <c r="X8" s="393"/>
      <c r="Y8" s="393"/>
      <c r="Z8" s="393"/>
    </row>
    <row r="9" spans="1:26" ht="12.75" customHeight="1" outlineLevel="1" x14ac:dyDescent="0.3">
      <c r="A9" s="398" t="s">
        <v>1725</v>
      </c>
      <c r="B9" s="395">
        <v>815603</v>
      </c>
      <c r="C9" s="395">
        <v>797198</v>
      </c>
      <c r="D9" s="395">
        <v>919640</v>
      </c>
      <c r="E9" s="395">
        <v>975702</v>
      </c>
      <c r="F9" s="395">
        <v>1037849</v>
      </c>
      <c r="G9" s="399">
        <v>1037505</v>
      </c>
      <c r="H9" s="399">
        <v>1125351</v>
      </c>
      <c r="I9" s="395">
        <v>1127209</v>
      </c>
      <c r="J9" s="395">
        <v>1157003</v>
      </c>
      <c r="K9" s="396">
        <v>1157003</v>
      </c>
      <c r="L9" s="396">
        <v>975702</v>
      </c>
      <c r="M9" s="396">
        <v>975702</v>
      </c>
      <c r="N9" s="393"/>
      <c r="O9" s="383"/>
      <c r="P9" s="383"/>
      <c r="Q9" s="383"/>
      <c r="R9" s="393"/>
      <c r="S9" s="393"/>
      <c r="T9" s="393"/>
      <c r="U9" s="393"/>
      <c r="V9" s="393"/>
      <c r="W9" s="393"/>
      <c r="X9" s="393"/>
      <c r="Y9" s="393"/>
      <c r="Z9" s="393"/>
    </row>
    <row r="10" spans="1:26" ht="12.75" customHeight="1" outlineLevel="1" x14ac:dyDescent="0.3">
      <c r="A10" s="398" t="s">
        <v>1726</v>
      </c>
      <c r="B10" s="395">
        <v>213655</v>
      </c>
      <c r="C10" s="395">
        <v>190000</v>
      </c>
      <c r="D10" s="395">
        <v>208408</v>
      </c>
      <c r="E10" s="395">
        <v>213654</v>
      </c>
      <c r="F10" s="395">
        <v>225525</v>
      </c>
      <c r="G10" s="399">
        <v>230993</v>
      </c>
      <c r="H10" s="399">
        <v>241068</v>
      </c>
      <c r="I10" s="395">
        <v>233115</v>
      </c>
      <c r="J10" s="395">
        <v>233023</v>
      </c>
      <c r="K10" s="396">
        <v>233023</v>
      </c>
      <c r="L10" s="396">
        <v>213654</v>
      </c>
      <c r="M10" s="396">
        <v>213654</v>
      </c>
      <c r="N10" s="393"/>
      <c r="O10" s="383"/>
      <c r="P10" s="383"/>
      <c r="Q10" s="383"/>
      <c r="R10" s="393"/>
      <c r="S10" s="393"/>
      <c r="T10" s="393"/>
      <c r="U10" s="393"/>
      <c r="V10" s="393"/>
      <c r="W10" s="393"/>
      <c r="X10" s="393"/>
      <c r="Y10" s="393"/>
      <c r="Z10" s="393"/>
    </row>
    <row r="11" spans="1:26" ht="12.75" customHeight="1" outlineLevel="1" x14ac:dyDescent="0.3">
      <c r="A11" s="400" t="s">
        <v>1727</v>
      </c>
      <c r="B11" s="397">
        <v>220374</v>
      </c>
      <c r="C11" s="397">
        <v>229948</v>
      </c>
      <c r="D11" s="397">
        <v>254773</v>
      </c>
      <c r="E11" s="397">
        <v>260754</v>
      </c>
      <c r="F11" s="397">
        <v>285776</v>
      </c>
      <c r="G11" s="401">
        <v>288842</v>
      </c>
      <c r="H11" s="401">
        <v>324566</v>
      </c>
      <c r="I11" s="395">
        <v>325357</v>
      </c>
      <c r="J11" s="397">
        <v>335574</v>
      </c>
      <c r="K11" s="402">
        <v>335574</v>
      </c>
      <c r="L11" s="402">
        <v>260754</v>
      </c>
      <c r="M11" s="402">
        <v>260754</v>
      </c>
      <c r="N11" s="393"/>
      <c r="O11" s="383"/>
      <c r="P11" s="383"/>
      <c r="Q11" s="383"/>
      <c r="R11" s="393"/>
      <c r="S11" s="393"/>
      <c r="T11" s="393"/>
      <c r="U11" s="393"/>
      <c r="V11" s="393"/>
      <c r="W11" s="393"/>
      <c r="X11" s="393"/>
      <c r="Y11" s="393"/>
      <c r="Z11" s="393"/>
    </row>
    <row r="12" spans="1:26" ht="12.75" customHeight="1" outlineLevel="1" x14ac:dyDescent="0.3">
      <c r="A12" s="394" t="s">
        <v>1728</v>
      </c>
      <c r="B12" s="399">
        <v>9286473</v>
      </c>
      <c r="C12" s="395">
        <v>8514062</v>
      </c>
      <c r="D12" s="395">
        <v>9117807</v>
      </c>
      <c r="E12" s="395">
        <v>9173479</v>
      </c>
      <c r="F12" s="395">
        <v>9361132</v>
      </c>
      <c r="G12" s="395">
        <v>9051190</v>
      </c>
      <c r="H12" s="395">
        <v>9745031</v>
      </c>
      <c r="I12" s="395">
        <v>9274503</v>
      </c>
      <c r="J12" s="395">
        <v>9473415</v>
      </c>
      <c r="K12" s="396">
        <v>9600000</v>
      </c>
      <c r="L12" s="396">
        <v>9173479</v>
      </c>
      <c r="M12" s="396">
        <v>9173479</v>
      </c>
      <c r="N12" s="393"/>
      <c r="O12" s="383"/>
      <c r="P12" s="383"/>
      <c r="Q12" s="383"/>
      <c r="R12" s="393"/>
      <c r="S12" s="393"/>
      <c r="T12" s="393"/>
      <c r="U12" s="393"/>
      <c r="V12" s="393"/>
      <c r="W12" s="393"/>
      <c r="X12" s="393"/>
      <c r="Y12" s="393"/>
      <c r="Z12" s="393"/>
    </row>
    <row r="13" spans="1:26" ht="12.75" customHeight="1" outlineLevel="1" x14ac:dyDescent="0.3">
      <c r="A13" s="394" t="s">
        <v>1729</v>
      </c>
      <c r="B13" s="399">
        <v>2612360</v>
      </c>
      <c r="C13" s="395">
        <v>2472690</v>
      </c>
      <c r="D13" s="395">
        <v>2621948</v>
      </c>
      <c r="E13" s="395">
        <v>2645479</v>
      </c>
      <c r="F13" s="395">
        <v>2666197</v>
      </c>
      <c r="G13" s="395">
        <v>2487094</v>
      </c>
      <c r="H13" s="395">
        <v>2680119</v>
      </c>
      <c r="I13" s="395">
        <v>2553801</v>
      </c>
      <c r="J13" s="395">
        <v>2647447</v>
      </c>
      <c r="K13" s="396">
        <v>2647447</v>
      </c>
      <c r="L13" s="396">
        <v>2645479</v>
      </c>
      <c r="M13" s="396">
        <v>2645479</v>
      </c>
      <c r="N13" s="393"/>
      <c r="O13" s="383"/>
      <c r="P13" s="383"/>
      <c r="Q13" s="383"/>
      <c r="R13" s="393"/>
      <c r="S13" s="393"/>
      <c r="T13" s="393"/>
      <c r="U13" s="393"/>
      <c r="V13" s="393"/>
      <c r="W13" s="393"/>
      <c r="X13" s="393"/>
      <c r="Y13" s="393"/>
      <c r="Z13" s="393"/>
    </row>
    <row r="14" spans="1:26" ht="12.75" hidden="1" customHeight="1" outlineLevel="1" x14ac:dyDescent="0.3">
      <c r="A14" s="403" t="s">
        <v>1730</v>
      </c>
      <c r="B14" s="387"/>
      <c r="C14" s="404">
        <f t="shared" ref="C14:H14" si="1">+C25/B25</f>
        <v>1.0239830508474577</v>
      </c>
      <c r="D14" s="404">
        <f t="shared" si="1"/>
        <v>1.0369941239758338</v>
      </c>
      <c r="E14" s="404">
        <f t="shared" si="1"/>
        <v>1.0280127693535515</v>
      </c>
      <c r="F14" s="404">
        <f t="shared" si="1"/>
        <v>1.0149833087493207</v>
      </c>
      <c r="G14" s="404">
        <f t="shared" si="1"/>
        <v>1.0159859262658713</v>
      </c>
      <c r="H14" s="404">
        <f t="shared" si="1"/>
        <v>1.0189716178574115</v>
      </c>
      <c r="I14" s="404"/>
      <c r="J14" s="387"/>
      <c r="K14" s="387"/>
      <c r="L14" s="387"/>
      <c r="M14" s="387"/>
      <c r="N14" s="393"/>
      <c r="O14" s="383"/>
      <c r="P14" s="383"/>
      <c r="Q14" s="383"/>
      <c r="R14" s="393"/>
      <c r="S14" s="393"/>
      <c r="T14" s="393"/>
      <c r="U14" s="393"/>
      <c r="V14" s="393"/>
      <c r="W14" s="393"/>
      <c r="X14" s="393"/>
      <c r="Y14" s="393"/>
      <c r="Z14" s="393"/>
    </row>
    <row r="15" spans="1:26" ht="12.75" hidden="1" customHeight="1" outlineLevel="1" x14ac:dyDescent="0.3">
      <c r="A15" s="405"/>
      <c r="B15" s="387"/>
      <c r="C15" s="387"/>
      <c r="D15" s="387"/>
      <c r="E15" s="387"/>
      <c r="F15" s="387"/>
      <c r="G15" s="387"/>
      <c r="H15" s="387"/>
      <c r="I15" s="387"/>
      <c r="J15" s="387"/>
      <c r="K15" s="387"/>
      <c r="L15" s="387"/>
      <c r="M15" s="387"/>
      <c r="N15" s="393"/>
      <c r="O15" s="383"/>
      <c r="P15" s="383"/>
      <c r="Q15" s="383"/>
      <c r="R15" s="393"/>
      <c r="S15" s="393"/>
      <c r="T15" s="393"/>
      <c r="U15" s="393"/>
      <c r="V15" s="393"/>
      <c r="W15" s="393"/>
      <c r="X15" s="393"/>
      <c r="Y15" s="393"/>
      <c r="Z15" s="393"/>
    </row>
    <row r="16" spans="1:26" ht="12.75" hidden="1" customHeight="1" outlineLevel="1" x14ac:dyDescent="0.3">
      <c r="A16" s="386" t="s">
        <v>1731</v>
      </c>
      <c r="B16" s="406" t="e">
        <f>(+B6/#REF!)</f>
        <v>#REF!</v>
      </c>
      <c r="C16" s="406" t="e">
        <f>(+#REF!/#REF!)</f>
        <v>#REF!</v>
      </c>
      <c r="D16" s="406" t="e">
        <f>(+#REF!/#REF!)</f>
        <v>#REF!</v>
      </c>
      <c r="E16" s="406" t="e">
        <f>(+#REF!/#REF!)</f>
        <v>#REF!</v>
      </c>
      <c r="F16" s="406" t="e">
        <f>(+#REF!/#REF!)</f>
        <v>#REF!</v>
      </c>
      <c r="G16" s="406" t="e">
        <f>(+#REF!/#REF!)</f>
        <v>#REF!</v>
      </c>
      <c r="H16" s="406" t="e">
        <f>(+#REF!/#REF!)</f>
        <v>#REF!</v>
      </c>
      <c r="I16" s="406" t="e">
        <f>(+#REF!/#REF!)</f>
        <v>#REF!</v>
      </c>
      <c r="J16" s="406" t="e">
        <f>(+#REF!/#REF!)</f>
        <v>#REF!</v>
      </c>
      <c r="K16" s="406" t="e">
        <f>(+#REF!/#REF!)</f>
        <v>#REF!</v>
      </c>
      <c r="L16" s="406" t="e">
        <f>(+#REF!/#REF!)</f>
        <v>#REF!</v>
      </c>
      <c r="M16" s="406" t="e">
        <f>(+#REF!/#REF!)</f>
        <v>#REF!</v>
      </c>
      <c r="N16" s="383"/>
      <c r="O16" s="383"/>
      <c r="P16" s="383"/>
      <c r="Q16" s="383"/>
      <c r="R16" s="383"/>
      <c r="S16" s="383"/>
      <c r="T16" s="383"/>
      <c r="U16" s="383"/>
      <c r="V16" s="383"/>
      <c r="W16" s="383"/>
      <c r="X16" s="383"/>
      <c r="Y16" s="383"/>
      <c r="Z16" s="383"/>
    </row>
    <row r="17" spans="1:26" ht="12.75" hidden="1" customHeight="1" outlineLevel="1" x14ac:dyDescent="0.3">
      <c r="A17" s="386" t="s">
        <v>1732</v>
      </c>
      <c r="B17" s="406" t="e">
        <f>(+B7/#REF!)</f>
        <v>#REF!</v>
      </c>
      <c r="C17" s="406" t="e">
        <f>(+#REF!/#REF!)</f>
        <v>#REF!</v>
      </c>
      <c r="D17" s="406" t="e">
        <f>(+#REF!/#REF!)</f>
        <v>#REF!</v>
      </c>
      <c r="E17" s="406" t="e">
        <f>(+#REF!/#REF!)</f>
        <v>#REF!</v>
      </c>
      <c r="F17" s="406" t="e">
        <f>(+#REF!/#REF!)</f>
        <v>#REF!</v>
      </c>
      <c r="G17" s="406" t="e">
        <f>(+#REF!/#REF!)</f>
        <v>#REF!</v>
      </c>
      <c r="H17" s="406" t="e">
        <f>(+#REF!/#REF!)</f>
        <v>#REF!</v>
      </c>
      <c r="I17" s="406" t="e">
        <f>(+#REF!/#REF!)</f>
        <v>#REF!</v>
      </c>
      <c r="J17" s="406" t="e">
        <f>(+#REF!/#REF!)</f>
        <v>#REF!</v>
      </c>
      <c r="K17" s="406" t="e">
        <f>(+#REF!/#REF!)</f>
        <v>#REF!</v>
      </c>
      <c r="L17" s="406" t="e">
        <f>(+#REF!/#REF!)</f>
        <v>#REF!</v>
      </c>
      <c r="M17" s="406" t="e">
        <f>(+#REF!/#REF!)</f>
        <v>#REF!</v>
      </c>
      <c r="N17" s="383"/>
      <c r="O17" s="383"/>
      <c r="P17" s="383"/>
      <c r="Q17" s="383"/>
      <c r="R17" s="383"/>
      <c r="S17" s="383"/>
      <c r="T17" s="383"/>
      <c r="U17" s="383"/>
      <c r="V17" s="383"/>
      <c r="W17" s="383"/>
      <c r="X17" s="383"/>
      <c r="Y17" s="383"/>
      <c r="Z17" s="383"/>
    </row>
    <row r="18" spans="1:26" ht="12.75" hidden="1" customHeight="1" outlineLevel="1" x14ac:dyDescent="0.3">
      <c r="A18" s="386" t="s">
        <v>1733</v>
      </c>
      <c r="B18" s="406" t="e">
        <f>(+B8/#REF!)</f>
        <v>#REF!</v>
      </c>
      <c r="C18" s="406" t="e">
        <f>(+#REF!/#REF!)</f>
        <v>#REF!</v>
      </c>
      <c r="D18" s="406" t="e">
        <f>(+#REF!/#REF!)</f>
        <v>#REF!</v>
      </c>
      <c r="E18" s="406" t="e">
        <f>(+#REF!/#REF!)</f>
        <v>#REF!</v>
      </c>
      <c r="F18" s="406" t="e">
        <f>(+#REF!/#REF!)</f>
        <v>#REF!</v>
      </c>
      <c r="G18" s="406" t="e">
        <f>(+#REF!/#REF!)</f>
        <v>#REF!</v>
      </c>
      <c r="H18" s="406" t="e">
        <f>(+#REF!/#REF!)</f>
        <v>#REF!</v>
      </c>
      <c r="I18" s="406" t="e">
        <f>(+#REF!/#REF!)</f>
        <v>#REF!</v>
      </c>
      <c r="J18" s="406" t="e">
        <f>(+#REF!/#REF!)</f>
        <v>#REF!</v>
      </c>
      <c r="K18" s="406" t="e">
        <f>(+#REF!/#REF!)</f>
        <v>#REF!</v>
      </c>
      <c r="L18" s="406" t="e">
        <f>(+#REF!/#REF!)</f>
        <v>#REF!</v>
      </c>
      <c r="M18" s="406" t="e">
        <f>(+#REF!/#REF!)</f>
        <v>#REF!</v>
      </c>
      <c r="N18" s="383"/>
      <c r="O18" s="383"/>
      <c r="P18" s="383"/>
      <c r="Q18" s="383"/>
      <c r="R18" s="383"/>
      <c r="S18" s="383"/>
      <c r="T18" s="383"/>
      <c r="U18" s="383"/>
      <c r="V18" s="383"/>
      <c r="W18" s="383"/>
      <c r="X18" s="383"/>
      <c r="Y18" s="383"/>
      <c r="Z18" s="383"/>
    </row>
    <row r="19" spans="1:26" ht="12.75" hidden="1" customHeight="1" outlineLevel="1" x14ac:dyDescent="0.3">
      <c r="A19" s="386" t="s">
        <v>1734</v>
      </c>
      <c r="B19" s="406" t="e">
        <f>(+B9/#REF!)</f>
        <v>#REF!</v>
      </c>
      <c r="C19" s="406"/>
      <c r="D19" s="406"/>
      <c r="E19" s="406"/>
      <c r="F19" s="406"/>
      <c r="G19" s="406"/>
      <c r="H19" s="406" t="e">
        <f>(+#REF!/#REF!)</f>
        <v>#REF!</v>
      </c>
      <c r="I19" s="406" t="e">
        <f>(+#REF!/#REF!)</f>
        <v>#REF!</v>
      </c>
      <c r="J19" s="406" t="e">
        <f>(+#REF!/#REF!)</f>
        <v>#REF!</v>
      </c>
      <c r="K19" s="406" t="e">
        <f>(+#REF!/#REF!)</f>
        <v>#REF!</v>
      </c>
      <c r="L19" s="406" t="e">
        <f>(+#REF!/#REF!)</f>
        <v>#REF!</v>
      </c>
      <c r="M19" s="406" t="e">
        <f>(+#REF!/#REF!)</f>
        <v>#REF!</v>
      </c>
      <c r="N19" s="383"/>
      <c r="O19" s="383"/>
      <c r="P19" s="383"/>
      <c r="Q19" s="383"/>
      <c r="R19" s="383"/>
      <c r="S19" s="383"/>
      <c r="T19" s="383"/>
      <c r="U19" s="383"/>
      <c r="V19" s="383"/>
      <c r="W19" s="383"/>
      <c r="X19" s="383"/>
      <c r="Y19" s="383"/>
      <c r="Z19" s="383"/>
    </row>
    <row r="20" spans="1:26" ht="12.75" hidden="1" customHeight="1" outlineLevel="1" x14ac:dyDescent="0.3">
      <c r="A20" s="386" t="s">
        <v>1735</v>
      </c>
      <c r="B20" s="406" t="e">
        <f>(+B10/#REF!)</f>
        <v>#REF!</v>
      </c>
      <c r="C20" s="406"/>
      <c r="D20" s="406"/>
      <c r="E20" s="406"/>
      <c r="F20" s="406"/>
      <c r="G20" s="406"/>
      <c r="H20" s="406" t="e">
        <f>(+#REF!/#REF!)</f>
        <v>#REF!</v>
      </c>
      <c r="I20" s="406" t="e">
        <f>(+#REF!/#REF!)</f>
        <v>#REF!</v>
      </c>
      <c r="J20" s="406" t="e">
        <f>(+#REF!/#REF!)</f>
        <v>#REF!</v>
      </c>
      <c r="K20" s="406" t="e">
        <f>(+#REF!/#REF!)</f>
        <v>#REF!</v>
      </c>
      <c r="L20" s="406" t="e">
        <f>(+#REF!/#REF!)</f>
        <v>#REF!</v>
      </c>
      <c r="M20" s="406" t="e">
        <f>(+#REF!/#REF!)</f>
        <v>#REF!</v>
      </c>
      <c r="N20" s="383"/>
      <c r="O20" s="383"/>
      <c r="P20" s="383"/>
      <c r="Q20" s="383"/>
      <c r="R20" s="383"/>
      <c r="S20" s="383"/>
      <c r="T20" s="383"/>
      <c r="U20" s="383"/>
      <c r="V20" s="383"/>
      <c r="W20" s="383"/>
      <c r="X20" s="383"/>
      <c r="Y20" s="383"/>
      <c r="Z20" s="383"/>
    </row>
    <row r="21" spans="1:26" ht="12.75" hidden="1" customHeight="1" outlineLevel="1" x14ac:dyDescent="0.3">
      <c r="A21" s="386" t="s">
        <v>1736</v>
      </c>
      <c r="B21" s="406" t="e">
        <f>(+B11/#REF!)</f>
        <v>#REF!</v>
      </c>
      <c r="C21" s="406"/>
      <c r="D21" s="406"/>
      <c r="E21" s="406"/>
      <c r="F21" s="406"/>
      <c r="G21" s="406"/>
      <c r="H21" s="406" t="e">
        <f>(+#REF!/#REF!)</f>
        <v>#REF!</v>
      </c>
      <c r="I21" s="406" t="e">
        <f>(+#REF!/#REF!)</f>
        <v>#REF!</v>
      </c>
      <c r="J21" s="406" t="e">
        <f>(+#REF!/#REF!)</f>
        <v>#REF!</v>
      </c>
      <c r="K21" s="406" t="e">
        <f>(+#REF!/#REF!)</f>
        <v>#REF!</v>
      </c>
      <c r="L21" s="406" t="e">
        <f>(+#REF!/#REF!)</f>
        <v>#REF!</v>
      </c>
      <c r="M21" s="406" t="e">
        <f>(+#REF!/#REF!)</f>
        <v>#REF!</v>
      </c>
      <c r="N21" s="383"/>
      <c r="O21" s="383"/>
      <c r="P21" s="383"/>
      <c r="Q21" s="383"/>
      <c r="R21" s="383"/>
      <c r="S21" s="383"/>
      <c r="T21" s="383"/>
      <c r="U21" s="383"/>
      <c r="V21" s="383"/>
      <c r="W21" s="383"/>
      <c r="X21" s="383"/>
      <c r="Y21" s="383"/>
      <c r="Z21" s="383"/>
    </row>
    <row r="22" spans="1:26" ht="12.75" hidden="1" customHeight="1" outlineLevel="1" x14ac:dyDescent="0.3">
      <c r="A22" s="383"/>
      <c r="B22" s="383"/>
      <c r="C22" s="383"/>
      <c r="D22" s="383"/>
      <c r="E22" s="383"/>
      <c r="F22" s="383"/>
      <c r="G22" s="383"/>
      <c r="H22" s="383"/>
      <c r="I22" s="383"/>
      <c r="J22" s="383"/>
      <c r="K22" s="383"/>
      <c r="L22" s="383"/>
      <c r="M22" s="383"/>
      <c r="N22" s="383"/>
      <c r="O22" s="383"/>
      <c r="P22" s="383"/>
      <c r="Q22" s="383"/>
      <c r="R22" s="383"/>
      <c r="S22" s="383"/>
      <c r="T22" s="383"/>
      <c r="U22" s="383"/>
      <c r="V22" s="383"/>
      <c r="W22" s="383"/>
      <c r="X22" s="383"/>
      <c r="Y22" s="383"/>
      <c r="Z22" s="383"/>
    </row>
    <row r="23" spans="1:26" ht="12.75" customHeight="1" outlineLevel="1" x14ac:dyDescent="0.3">
      <c r="A23" s="383"/>
      <c r="B23" s="383"/>
      <c r="C23" s="383"/>
      <c r="D23" s="383"/>
      <c r="E23" s="383"/>
      <c r="F23" s="383"/>
      <c r="G23" s="383"/>
      <c r="H23" s="383"/>
      <c r="I23" s="383"/>
      <c r="J23" s="383"/>
      <c r="K23" s="383"/>
      <c r="L23" s="383"/>
      <c r="M23" s="383"/>
      <c r="N23" s="383"/>
      <c r="O23" s="383"/>
      <c r="P23" s="383"/>
      <c r="Q23" s="383"/>
      <c r="R23" s="383"/>
      <c r="S23" s="383"/>
      <c r="T23" s="383"/>
      <c r="U23" s="383"/>
      <c r="V23" s="383"/>
      <c r="W23" s="383"/>
      <c r="X23" s="383"/>
      <c r="Y23" s="383"/>
      <c r="Z23" s="383"/>
    </row>
    <row r="24" spans="1:26" ht="12.75" customHeight="1" outlineLevel="1" x14ac:dyDescent="0.3">
      <c r="A24" s="390" t="s">
        <v>1737</v>
      </c>
      <c r="B24" s="391">
        <v>45658</v>
      </c>
      <c r="C24" s="391">
        <v>45689</v>
      </c>
      <c r="D24" s="391">
        <v>45747</v>
      </c>
      <c r="E24" s="391">
        <f t="shared" ref="E24:M24" si="2">+D24+30</f>
        <v>45777</v>
      </c>
      <c r="F24" s="391">
        <f t="shared" si="2"/>
        <v>45807</v>
      </c>
      <c r="G24" s="391">
        <f t="shared" si="2"/>
        <v>45837</v>
      </c>
      <c r="H24" s="391">
        <f t="shared" si="2"/>
        <v>45867</v>
      </c>
      <c r="I24" s="391">
        <f t="shared" si="2"/>
        <v>45897</v>
      </c>
      <c r="J24" s="391">
        <f t="shared" si="2"/>
        <v>45927</v>
      </c>
      <c r="K24" s="392">
        <f t="shared" si="2"/>
        <v>45957</v>
      </c>
      <c r="L24" s="392">
        <f t="shared" si="2"/>
        <v>45987</v>
      </c>
      <c r="M24" s="392">
        <f t="shared" si="2"/>
        <v>46017</v>
      </c>
      <c r="N24" s="383"/>
      <c r="O24" s="383"/>
      <c r="P24" s="383"/>
      <c r="Q24" s="383"/>
      <c r="R24" s="383"/>
      <c r="S24" s="383"/>
      <c r="T24" s="383"/>
      <c r="U24" s="383"/>
      <c r="V24" s="383"/>
      <c r="W24" s="383"/>
      <c r="X24" s="383"/>
      <c r="Y24" s="383"/>
      <c r="Z24" s="383"/>
    </row>
    <row r="25" spans="1:26" ht="12.75" customHeight="1" outlineLevel="1" x14ac:dyDescent="0.3">
      <c r="A25" s="394" t="s">
        <v>1722</v>
      </c>
      <c r="B25" s="407">
        <v>118</v>
      </c>
      <c r="C25" s="407">
        <v>120.83</v>
      </c>
      <c r="D25" s="407">
        <v>125.3</v>
      </c>
      <c r="E25" s="407">
        <v>128.81</v>
      </c>
      <c r="F25" s="407">
        <v>130.74</v>
      </c>
      <c r="G25" s="407">
        <v>132.83000000000001</v>
      </c>
      <c r="H25" s="407">
        <v>135.35</v>
      </c>
      <c r="I25" s="407">
        <v>137.91999999999999</v>
      </c>
      <c r="J25" s="407">
        <v>140.82</v>
      </c>
      <c r="K25" s="408">
        <f t="shared" ref="K25:K32" si="3">+J25*(1+$K$34)</f>
        <v>144.05885999999998</v>
      </c>
      <c r="L25" s="408">
        <f t="shared" ref="L25:L32" si="4">+K25*(1+$L$34)</f>
        <v>146.94003719999998</v>
      </c>
      <c r="M25" s="408">
        <f t="shared" ref="M25:M32" si="5">+L25*(1+$M$34)</f>
        <v>149.87883794399997</v>
      </c>
      <c r="N25" s="383"/>
      <c r="O25" s="383"/>
      <c r="P25" s="383"/>
      <c r="Q25" s="383"/>
      <c r="R25" s="383"/>
      <c r="S25" s="383"/>
      <c r="T25" s="383"/>
      <c r="U25" s="383"/>
      <c r="V25" s="383"/>
      <c r="W25" s="383"/>
      <c r="X25" s="383"/>
      <c r="Y25" s="383"/>
      <c r="Z25" s="383"/>
    </row>
    <row r="26" spans="1:26" ht="12.75" customHeight="1" outlineLevel="1" x14ac:dyDescent="0.3">
      <c r="A26" s="394" t="s">
        <v>1723</v>
      </c>
      <c r="B26" s="407">
        <v>118</v>
      </c>
      <c r="C26" s="407">
        <v>120.83</v>
      </c>
      <c r="D26" s="407">
        <v>125.3</v>
      </c>
      <c r="E26" s="407">
        <v>128.81</v>
      </c>
      <c r="F26" s="407">
        <v>130.74</v>
      </c>
      <c r="G26" s="407">
        <v>132.83000000000001</v>
      </c>
      <c r="H26" s="407">
        <v>135.35</v>
      </c>
      <c r="I26" s="407">
        <v>137.91999999999999</v>
      </c>
      <c r="J26" s="407">
        <v>140.82</v>
      </c>
      <c r="K26" s="408">
        <f t="shared" si="3"/>
        <v>144.05885999999998</v>
      </c>
      <c r="L26" s="408">
        <f t="shared" si="4"/>
        <v>146.94003719999998</v>
      </c>
      <c r="M26" s="408">
        <f t="shared" si="5"/>
        <v>149.87883794399997</v>
      </c>
      <c r="N26" s="383"/>
      <c r="O26" s="383"/>
      <c r="P26" s="383"/>
      <c r="Q26" s="383"/>
      <c r="R26" s="383"/>
      <c r="S26" s="383"/>
      <c r="T26" s="383"/>
      <c r="U26" s="383"/>
      <c r="V26" s="383"/>
      <c r="W26" s="383"/>
      <c r="X26" s="383"/>
      <c r="Y26" s="383"/>
      <c r="Z26" s="383"/>
    </row>
    <row r="27" spans="1:26" ht="12.75" customHeight="1" outlineLevel="1" x14ac:dyDescent="0.3">
      <c r="A27" s="394" t="s">
        <v>1724</v>
      </c>
      <c r="B27" s="409">
        <v>127.32</v>
      </c>
      <c r="C27" s="409">
        <v>130.38</v>
      </c>
      <c r="D27" s="409">
        <v>135.19999999999999</v>
      </c>
      <c r="E27" s="409">
        <v>138.99</v>
      </c>
      <c r="F27" s="409">
        <v>141.07</v>
      </c>
      <c r="G27" s="407">
        <v>143.33000000000001</v>
      </c>
      <c r="H27" s="407">
        <v>146.05000000000001</v>
      </c>
      <c r="I27" s="407">
        <v>148.82</v>
      </c>
      <c r="J27" s="407">
        <v>151.94999999999999</v>
      </c>
      <c r="K27" s="408">
        <f t="shared" si="3"/>
        <v>155.44484999999997</v>
      </c>
      <c r="L27" s="408">
        <f t="shared" si="4"/>
        <v>158.55374699999999</v>
      </c>
      <c r="M27" s="408">
        <f t="shared" si="5"/>
        <v>161.72482194</v>
      </c>
      <c r="N27" s="383"/>
      <c r="O27" s="383"/>
      <c r="P27" s="383"/>
      <c r="Q27" s="383"/>
      <c r="R27" s="383"/>
      <c r="S27" s="383"/>
      <c r="T27" s="383"/>
      <c r="U27" s="383"/>
      <c r="V27" s="383"/>
      <c r="W27" s="383"/>
      <c r="X27" s="383"/>
      <c r="Y27" s="383"/>
      <c r="Z27" s="383"/>
    </row>
    <row r="28" spans="1:26" ht="12.75" customHeight="1" outlineLevel="1" x14ac:dyDescent="0.3">
      <c r="A28" s="398" t="s">
        <v>1725</v>
      </c>
      <c r="B28" s="407">
        <v>9.44</v>
      </c>
      <c r="C28" s="407">
        <v>9.67</v>
      </c>
      <c r="D28" s="407">
        <v>10.02</v>
      </c>
      <c r="E28" s="407">
        <v>10.3</v>
      </c>
      <c r="F28" s="407">
        <v>10.46</v>
      </c>
      <c r="G28" s="410">
        <v>10.63</v>
      </c>
      <c r="H28" s="410">
        <v>10.83</v>
      </c>
      <c r="I28" s="407">
        <v>11.03</v>
      </c>
      <c r="J28" s="407">
        <v>11.27</v>
      </c>
      <c r="K28" s="408">
        <f t="shared" si="3"/>
        <v>11.529209999999999</v>
      </c>
      <c r="L28" s="408">
        <f t="shared" si="4"/>
        <v>11.7597942</v>
      </c>
      <c r="M28" s="408">
        <f t="shared" si="5"/>
        <v>11.994990083999999</v>
      </c>
      <c r="N28" s="383"/>
      <c r="O28" s="383"/>
      <c r="P28" s="383"/>
      <c r="Q28" s="383"/>
      <c r="R28" s="383"/>
      <c r="S28" s="383"/>
      <c r="T28" s="383"/>
      <c r="U28" s="383"/>
      <c r="V28" s="383"/>
      <c r="W28" s="383"/>
      <c r="X28" s="383"/>
      <c r="Y28" s="383"/>
      <c r="Z28" s="383"/>
    </row>
    <row r="29" spans="1:26" ht="12.75" customHeight="1" outlineLevel="1" x14ac:dyDescent="0.3">
      <c r="A29" s="398" t="s">
        <v>1726</v>
      </c>
      <c r="B29" s="407">
        <v>9.44</v>
      </c>
      <c r="C29" s="407">
        <v>9.67</v>
      </c>
      <c r="D29" s="407">
        <v>10.02</v>
      </c>
      <c r="E29" s="407">
        <v>10.3</v>
      </c>
      <c r="F29" s="407">
        <v>10.46</v>
      </c>
      <c r="G29" s="410">
        <v>10.63</v>
      </c>
      <c r="H29" s="410">
        <v>10.83</v>
      </c>
      <c r="I29" s="407">
        <v>11.03</v>
      </c>
      <c r="J29" s="407">
        <v>11.27</v>
      </c>
      <c r="K29" s="408">
        <f t="shared" si="3"/>
        <v>11.529209999999999</v>
      </c>
      <c r="L29" s="408">
        <f t="shared" si="4"/>
        <v>11.7597942</v>
      </c>
      <c r="M29" s="408">
        <f t="shared" si="5"/>
        <v>11.994990083999999</v>
      </c>
      <c r="N29" s="383"/>
      <c r="O29" s="383"/>
      <c r="P29" s="383"/>
      <c r="Q29" s="383"/>
      <c r="R29" s="383"/>
      <c r="S29" s="383"/>
      <c r="T29" s="383"/>
      <c r="U29" s="383"/>
      <c r="V29" s="383"/>
      <c r="W29" s="383"/>
      <c r="X29" s="383"/>
      <c r="Y29" s="383"/>
      <c r="Z29" s="383"/>
    </row>
    <row r="30" spans="1:26" ht="12.75" customHeight="1" outlineLevel="1" x14ac:dyDescent="0.3">
      <c r="A30" s="400" t="s">
        <v>1727</v>
      </c>
      <c r="B30" s="409">
        <v>10.19</v>
      </c>
      <c r="C30" s="409">
        <v>10.43</v>
      </c>
      <c r="D30" s="409">
        <v>10.82</v>
      </c>
      <c r="E30" s="409">
        <v>11.12</v>
      </c>
      <c r="F30" s="409">
        <v>11.29</v>
      </c>
      <c r="G30" s="411">
        <v>11.47</v>
      </c>
      <c r="H30" s="411">
        <v>11.68</v>
      </c>
      <c r="I30" s="407">
        <v>11.91</v>
      </c>
      <c r="J30" s="409">
        <v>12.16</v>
      </c>
      <c r="K30" s="408">
        <f t="shared" si="3"/>
        <v>12.439679999999999</v>
      </c>
      <c r="L30" s="408">
        <f t="shared" si="4"/>
        <v>12.6884736</v>
      </c>
      <c r="M30" s="408">
        <f t="shared" si="5"/>
        <v>12.942243072</v>
      </c>
      <c r="N30" s="383"/>
      <c r="O30" s="383"/>
      <c r="P30" s="383"/>
      <c r="Q30" s="383"/>
      <c r="R30" s="383"/>
      <c r="S30" s="383"/>
      <c r="T30" s="383"/>
      <c r="U30" s="383"/>
      <c r="V30" s="383"/>
      <c r="W30" s="383"/>
      <c r="X30" s="383"/>
      <c r="Y30" s="383"/>
      <c r="Z30" s="383"/>
    </row>
    <row r="31" spans="1:26" ht="12.75" customHeight="1" outlineLevel="1" x14ac:dyDescent="0.3">
      <c r="A31" s="394" t="s">
        <v>1728</v>
      </c>
      <c r="B31" s="410">
        <v>114.59</v>
      </c>
      <c r="C31" s="407">
        <v>117.34</v>
      </c>
      <c r="D31" s="407">
        <v>121.68</v>
      </c>
      <c r="E31" s="407">
        <v>125.09</v>
      </c>
      <c r="F31" s="407">
        <v>126.96</v>
      </c>
      <c r="G31" s="407">
        <v>129</v>
      </c>
      <c r="H31" s="407">
        <v>131.44999999999999</v>
      </c>
      <c r="I31" s="407">
        <v>133.94</v>
      </c>
      <c r="J31" s="407">
        <v>136.76</v>
      </c>
      <c r="K31" s="408">
        <f t="shared" si="3"/>
        <v>139.90547999999998</v>
      </c>
      <c r="L31" s="408">
        <f t="shared" si="4"/>
        <v>142.70358959999999</v>
      </c>
      <c r="M31" s="408">
        <f t="shared" si="5"/>
        <v>145.557661392</v>
      </c>
      <c r="N31" s="383"/>
      <c r="O31" s="383"/>
      <c r="P31" s="383"/>
      <c r="Q31" s="383"/>
      <c r="R31" s="383"/>
      <c r="S31" s="383"/>
      <c r="T31" s="383"/>
      <c r="U31" s="383"/>
      <c r="V31" s="383"/>
      <c r="W31" s="383"/>
      <c r="X31" s="383"/>
      <c r="Y31" s="383"/>
      <c r="Z31" s="383"/>
    </row>
    <row r="32" spans="1:26" ht="12.75" customHeight="1" outlineLevel="1" x14ac:dyDescent="0.3">
      <c r="A32" s="394" t="s">
        <v>1729</v>
      </c>
      <c r="B32" s="410">
        <v>11.84</v>
      </c>
      <c r="C32" s="407">
        <v>12.13</v>
      </c>
      <c r="D32" s="407">
        <v>12.58</v>
      </c>
      <c r="E32" s="407">
        <v>12.93</v>
      </c>
      <c r="F32" s="407">
        <v>13.13</v>
      </c>
      <c r="G32" s="407">
        <v>13.34</v>
      </c>
      <c r="H32" s="407">
        <v>13.59</v>
      </c>
      <c r="I32" s="407">
        <v>13.85</v>
      </c>
      <c r="J32" s="407">
        <v>14.14</v>
      </c>
      <c r="K32" s="408">
        <f t="shared" si="3"/>
        <v>14.465219999999999</v>
      </c>
      <c r="L32" s="408">
        <f t="shared" si="4"/>
        <v>14.754524399999999</v>
      </c>
      <c r="M32" s="408">
        <f t="shared" si="5"/>
        <v>15.049614887999999</v>
      </c>
      <c r="N32" s="383"/>
      <c r="O32" s="383"/>
      <c r="P32" s="383"/>
      <c r="Q32" s="383"/>
      <c r="R32" s="383"/>
      <c r="S32" s="383"/>
      <c r="T32" s="383"/>
      <c r="U32" s="383"/>
      <c r="V32" s="383"/>
      <c r="W32" s="383"/>
      <c r="X32" s="383"/>
      <c r="Y32" s="383"/>
      <c r="Z32" s="383"/>
    </row>
    <row r="33" spans="1:26" ht="12.75" customHeight="1" outlineLevel="1" x14ac:dyDescent="0.3">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row>
    <row r="34" spans="1:26" ht="12.75" customHeight="1" outlineLevel="1" x14ac:dyDescent="0.3">
      <c r="A34" s="412" t="s">
        <v>1738</v>
      </c>
      <c r="B34" s="413"/>
      <c r="C34" s="413"/>
      <c r="D34" s="413"/>
      <c r="E34" s="413"/>
      <c r="F34" s="413"/>
      <c r="G34" s="413"/>
      <c r="H34" s="413"/>
      <c r="I34" s="413"/>
      <c r="J34" s="413"/>
      <c r="K34" s="414">
        <v>2.3E-2</v>
      </c>
      <c r="L34" s="414">
        <v>0.02</v>
      </c>
      <c r="M34" s="414">
        <v>0.02</v>
      </c>
      <c r="N34" s="413"/>
      <c r="O34" s="413"/>
      <c r="P34" s="413"/>
      <c r="Q34" s="413"/>
      <c r="R34" s="413"/>
      <c r="S34" s="413"/>
      <c r="T34" s="413"/>
      <c r="U34" s="413"/>
      <c r="V34" s="413"/>
      <c r="W34" s="413"/>
      <c r="X34" s="413"/>
      <c r="Y34" s="413"/>
      <c r="Z34" s="413"/>
    </row>
    <row r="35" spans="1:26" ht="12.75" customHeight="1" outlineLevel="1" x14ac:dyDescent="0.3">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row>
    <row r="36" spans="1:26" ht="12.75" customHeight="1" outlineLevel="1" x14ac:dyDescent="0.3">
      <c r="A36" s="390" t="s">
        <v>1739</v>
      </c>
      <c r="B36" s="391">
        <v>45658</v>
      </c>
      <c r="C36" s="391">
        <v>45689</v>
      </c>
      <c r="D36" s="391">
        <v>45747</v>
      </c>
      <c r="E36" s="391">
        <f t="shared" ref="E36:M36" si="6">+D36+30</f>
        <v>45777</v>
      </c>
      <c r="F36" s="391">
        <f t="shared" si="6"/>
        <v>45807</v>
      </c>
      <c r="G36" s="391">
        <f t="shared" si="6"/>
        <v>45837</v>
      </c>
      <c r="H36" s="391">
        <f t="shared" si="6"/>
        <v>45867</v>
      </c>
      <c r="I36" s="391">
        <f t="shared" si="6"/>
        <v>45897</v>
      </c>
      <c r="J36" s="391">
        <f t="shared" si="6"/>
        <v>45927</v>
      </c>
      <c r="K36" s="392">
        <f t="shared" si="6"/>
        <v>45957</v>
      </c>
      <c r="L36" s="392">
        <f t="shared" si="6"/>
        <v>45987</v>
      </c>
      <c r="M36" s="392">
        <f t="shared" si="6"/>
        <v>46017</v>
      </c>
      <c r="N36" s="383"/>
      <c r="O36" s="383"/>
      <c r="P36" s="383"/>
      <c r="Q36" s="383"/>
      <c r="R36" s="383"/>
      <c r="S36" s="383"/>
      <c r="T36" s="383"/>
      <c r="U36" s="383"/>
      <c r="V36" s="383"/>
      <c r="W36" s="383"/>
      <c r="X36" s="383"/>
      <c r="Y36" s="383"/>
      <c r="Z36" s="383"/>
    </row>
    <row r="37" spans="1:26" ht="12.75" customHeight="1" outlineLevel="1" x14ac:dyDescent="0.3">
      <c r="A37" s="394" t="s">
        <v>1722</v>
      </c>
      <c r="B37" s="415">
        <f t="shared" ref="B37:M37" si="7">+B25*B6</f>
        <v>175856108</v>
      </c>
      <c r="C37" s="415">
        <f t="shared" si="7"/>
        <v>163811164.28</v>
      </c>
      <c r="D37" s="415">
        <f t="shared" si="7"/>
        <v>190550601.5</v>
      </c>
      <c r="E37" s="415">
        <f t="shared" si="7"/>
        <v>206394452.77000001</v>
      </c>
      <c r="F37" s="415">
        <f t="shared" si="7"/>
        <v>219947824.20000002</v>
      </c>
      <c r="G37" s="415">
        <f t="shared" si="7"/>
        <v>221310985.26000002</v>
      </c>
      <c r="H37" s="415">
        <f t="shared" si="7"/>
        <v>236999744.89999998</v>
      </c>
      <c r="I37" s="395">
        <f t="shared" si="7"/>
        <v>234919411.83999997</v>
      </c>
      <c r="J37" s="395">
        <f t="shared" si="7"/>
        <v>244286790.89999998</v>
      </c>
      <c r="K37" s="396">
        <f t="shared" si="7"/>
        <v>252103004.99999997</v>
      </c>
      <c r="L37" s="396">
        <f t="shared" si="7"/>
        <v>235444519.58619237</v>
      </c>
      <c r="M37" s="396">
        <f t="shared" si="7"/>
        <v>240153409.97791621</v>
      </c>
      <c r="N37" s="383"/>
      <c r="O37" s="383"/>
      <c r="P37" s="383"/>
      <c r="Q37" s="383"/>
      <c r="R37" s="383"/>
      <c r="S37" s="383"/>
      <c r="T37" s="383"/>
      <c r="U37" s="383"/>
      <c r="V37" s="383"/>
      <c r="W37" s="383"/>
      <c r="X37" s="383"/>
      <c r="Y37" s="383"/>
      <c r="Z37" s="383"/>
    </row>
    <row r="38" spans="1:26" ht="12.75" customHeight="1" outlineLevel="1" x14ac:dyDescent="0.3">
      <c r="A38" s="394" t="s">
        <v>1723</v>
      </c>
      <c r="B38" s="415">
        <f t="shared" ref="B38:M38" si="8">+B26*B7</f>
        <v>25212942</v>
      </c>
      <c r="C38" s="415">
        <f t="shared" si="8"/>
        <v>22959512.449999999</v>
      </c>
      <c r="D38" s="415">
        <f t="shared" si="8"/>
        <v>26111016.399999999</v>
      </c>
      <c r="E38" s="415">
        <f t="shared" si="8"/>
        <v>27528757.960000001</v>
      </c>
      <c r="F38" s="415">
        <f t="shared" si="8"/>
        <v>29476901.880000003</v>
      </c>
      <c r="G38" s="415">
        <f t="shared" si="8"/>
        <v>30681339.060000002</v>
      </c>
      <c r="H38" s="415">
        <f t="shared" si="8"/>
        <v>32623410.5</v>
      </c>
      <c r="I38" s="395">
        <f t="shared" si="8"/>
        <v>32141980.159999996</v>
      </c>
      <c r="J38" s="395">
        <f t="shared" si="8"/>
        <v>32813594.759999998</v>
      </c>
      <c r="K38" s="396">
        <f t="shared" si="8"/>
        <v>36014714.999999993</v>
      </c>
      <c r="L38" s="396">
        <f t="shared" si="8"/>
        <v>31403436.990235195</v>
      </c>
      <c r="M38" s="396">
        <f t="shared" si="8"/>
        <v>32031505.730039898</v>
      </c>
      <c r="N38" s="383"/>
      <c r="O38" s="383"/>
      <c r="P38" s="383"/>
      <c r="Q38" s="383"/>
      <c r="R38" s="383"/>
      <c r="S38" s="383"/>
      <c r="T38" s="383"/>
      <c r="U38" s="383"/>
      <c r="V38" s="383"/>
      <c r="W38" s="383"/>
      <c r="X38" s="383"/>
      <c r="Y38" s="383"/>
      <c r="Z38" s="383"/>
    </row>
    <row r="39" spans="1:26" ht="12.75" customHeight="1" outlineLevel="1" x14ac:dyDescent="0.3">
      <c r="A39" s="394" t="s">
        <v>1724</v>
      </c>
      <c r="B39" s="415">
        <f t="shared" ref="B39:M39" si="9">+B27*B8</f>
        <v>97241923.199999988</v>
      </c>
      <c r="C39" s="415">
        <f t="shared" si="9"/>
        <v>94061738.340000004</v>
      </c>
      <c r="D39" s="415">
        <f t="shared" si="9"/>
        <v>105635410.39999999</v>
      </c>
      <c r="E39" s="415">
        <f t="shared" si="9"/>
        <v>113802371.19000001</v>
      </c>
      <c r="F39" s="415">
        <f t="shared" si="9"/>
        <v>120206029.14</v>
      </c>
      <c r="G39" s="415">
        <f t="shared" si="9"/>
        <v>121493244.51000001</v>
      </c>
      <c r="H39" s="415">
        <f t="shared" si="9"/>
        <v>133619684.50000001</v>
      </c>
      <c r="I39" s="395">
        <f t="shared" si="9"/>
        <v>129854379.19999999</v>
      </c>
      <c r="J39" s="395">
        <f t="shared" si="9"/>
        <v>135089172.14999998</v>
      </c>
      <c r="K39" s="396">
        <f t="shared" si="9"/>
        <v>141454813.49999997</v>
      </c>
      <c r="L39" s="396">
        <f t="shared" si="9"/>
        <v>129820795.522407</v>
      </c>
      <c r="M39" s="396">
        <f t="shared" si="9"/>
        <v>132417211.43285514</v>
      </c>
      <c r="N39" s="383"/>
      <c r="O39" s="383"/>
      <c r="P39" s="383"/>
      <c r="Q39" s="383"/>
      <c r="R39" s="383"/>
      <c r="S39" s="383"/>
      <c r="T39" s="383"/>
      <c r="U39" s="383"/>
      <c r="V39" s="383"/>
      <c r="W39" s="383"/>
      <c r="X39" s="383"/>
      <c r="Y39" s="383"/>
      <c r="Z39" s="383"/>
    </row>
    <row r="40" spans="1:26" ht="12.75" customHeight="1" outlineLevel="1" x14ac:dyDescent="0.3">
      <c r="A40" s="398" t="s">
        <v>1725</v>
      </c>
      <c r="B40" s="415">
        <f t="shared" ref="B40:M40" si="10">+B28*B9</f>
        <v>7699292.3199999994</v>
      </c>
      <c r="C40" s="415">
        <f t="shared" si="10"/>
        <v>7708904.6600000001</v>
      </c>
      <c r="D40" s="415">
        <f t="shared" si="10"/>
        <v>9214792.7999999989</v>
      </c>
      <c r="E40" s="415">
        <f t="shared" si="10"/>
        <v>10049730.600000001</v>
      </c>
      <c r="F40" s="415">
        <f t="shared" si="10"/>
        <v>10855900.540000001</v>
      </c>
      <c r="G40" s="415">
        <f t="shared" si="10"/>
        <v>11028678.15</v>
      </c>
      <c r="H40" s="415">
        <f t="shared" si="10"/>
        <v>12187551.33</v>
      </c>
      <c r="I40" s="395">
        <f t="shared" si="10"/>
        <v>12433115.27</v>
      </c>
      <c r="J40" s="395">
        <f t="shared" si="10"/>
        <v>13039423.809999999</v>
      </c>
      <c r="K40" s="396">
        <f t="shared" si="10"/>
        <v>13339330.557629999</v>
      </c>
      <c r="L40" s="396">
        <f t="shared" si="10"/>
        <v>11474054.7205284</v>
      </c>
      <c r="M40" s="396">
        <f t="shared" si="10"/>
        <v>11703535.814938968</v>
      </c>
      <c r="N40" s="383"/>
      <c r="O40" s="383"/>
      <c r="P40" s="383"/>
      <c r="Q40" s="383"/>
      <c r="R40" s="383"/>
      <c r="S40" s="383"/>
      <c r="T40" s="383"/>
      <c r="U40" s="383"/>
      <c r="V40" s="383"/>
      <c r="W40" s="383"/>
      <c r="X40" s="383"/>
      <c r="Y40" s="383"/>
      <c r="Z40" s="383"/>
    </row>
    <row r="41" spans="1:26" ht="12.75" customHeight="1" outlineLevel="1" x14ac:dyDescent="0.3">
      <c r="A41" s="398" t="s">
        <v>1726</v>
      </c>
      <c r="B41" s="415">
        <f t="shared" ref="B41:M41" si="11">+B29*B10</f>
        <v>2016903.2</v>
      </c>
      <c r="C41" s="415">
        <f t="shared" si="11"/>
        <v>1837300</v>
      </c>
      <c r="D41" s="415">
        <f t="shared" si="11"/>
        <v>2088248.16</v>
      </c>
      <c r="E41" s="415">
        <f t="shared" si="11"/>
        <v>2200636.2000000002</v>
      </c>
      <c r="F41" s="415">
        <f t="shared" si="11"/>
        <v>2358991.5</v>
      </c>
      <c r="G41" s="415">
        <f t="shared" si="11"/>
        <v>2455455.5900000003</v>
      </c>
      <c r="H41" s="415">
        <f t="shared" si="11"/>
        <v>2610766.44</v>
      </c>
      <c r="I41" s="395">
        <f t="shared" si="11"/>
        <v>2571258.4499999997</v>
      </c>
      <c r="J41" s="395">
        <f t="shared" si="11"/>
        <v>2626169.21</v>
      </c>
      <c r="K41" s="396">
        <f t="shared" si="11"/>
        <v>2686571.1018299996</v>
      </c>
      <c r="L41" s="396">
        <f t="shared" si="11"/>
        <v>2512527.0700067999</v>
      </c>
      <c r="M41" s="396">
        <f t="shared" si="11"/>
        <v>2562777.6114069358</v>
      </c>
      <c r="N41" s="383"/>
      <c r="O41" s="383"/>
      <c r="P41" s="383"/>
      <c r="Q41" s="383"/>
      <c r="R41" s="383"/>
      <c r="S41" s="383"/>
      <c r="T41" s="383"/>
      <c r="U41" s="383"/>
      <c r="V41" s="383"/>
      <c r="W41" s="383"/>
      <c r="X41" s="383"/>
      <c r="Y41" s="383"/>
      <c r="Z41" s="383"/>
    </row>
    <row r="42" spans="1:26" ht="12.75" customHeight="1" outlineLevel="1" x14ac:dyDescent="0.3">
      <c r="A42" s="400" t="s">
        <v>1727</v>
      </c>
      <c r="B42" s="415">
        <f t="shared" ref="B42:M42" si="12">+B30*B11</f>
        <v>2245611.06</v>
      </c>
      <c r="C42" s="415">
        <f t="shared" si="12"/>
        <v>2398357.64</v>
      </c>
      <c r="D42" s="415">
        <f t="shared" si="12"/>
        <v>2756643.86</v>
      </c>
      <c r="E42" s="415">
        <f t="shared" si="12"/>
        <v>2899584.48</v>
      </c>
      <c r="F42" s="415">
        <f t="shared" si="12"/>
        <v>3226411.0399999996</v>
      </c>
      <c r="G42" s="415">
        <f t="shared" si="12"/>
        <v>3313017.74</v>
      </c>
      <c r="H42" s="415">
        <f t="shared" si="12"/>
        <v>3790930.88</v>
      </c>
      <c r="I42" s="395">
        <f t="shared" si="12"/>
        <v>3875001.87</v>
      </c>
      <c r="J42" s="395">
        <f t="shared" si="12"/>
        <v>4080579.84</v>
      </c>
      <c r="K42" s="396">
        <f t="shared" si="12"/>
        <v>4174433.1763199996</v>
      </c>
      <c r="L42" s="396">
        <f t="shared" si="12"/>
        <v>3308570.2450943999</v>
      </c>
      <c r="M42" s="396">
        <f t="shared" si="12"/>
        <v>3374741.6499962881</v>
      </c>
      <c r="N42" s="383"/>
      <c r="O42" s="383"/>
      <c r="P42" s="383"/>
      <c r="Q42" s="383"/>
      <c r="R42" s="383"/>
      <c r="S42" s="383"/>
      <c r="T42" s="383"/>
      <c r="U42" s="383"/>
      <c r="V42" s="383"/>
      <c r="W42" s="383"/>
      <c r="X42" s="383"/>
      <c r="Y42" s="383"/>
      <c r="Z42" s="383"/>
    </row>
    <row r="43" spans="1:26" ht="12.75" customHeight="1" outlineLevel="1" x14ac:dyDescent="0.3">
      <c r="A43" s="394" t="s">
        <v>1728</v>
      </c>
      <c r="B43" s="415">
        <f t="shared" ref="B43:M43" si="13">+B31*B12</f>
        <v>1064136941.0700001</v>
      </c>
      <c r="C43" s="415">
        <f t="shared" si="13"/>
        <v>999040035.08000004</v>
      </c>
      <c r="D43" s="415">
        <f t="shared" si="13"/>
        <v>1109454755.76</v>
      </c>
      <c r="E43" s="415">
        <f t="shared" si="13"/>
        <v>1147510488.1100001</v>
      </c>
      <c r="F43" s="415">
        <f t="shared" si="13"/>
        <v>1188489318.72</v>
      </c>
      <c r="G43" s="415">
        <f t="shared" si="13"/>
        <v>1167603510</v>
      </c>
      <c r="H43" s="415">
        <f t="shared" si="13"/>
        <v>1280984324.9499998</v>
      </c>
      <c r="I43" s="395">
        <f t="shared" si="13"/>
        <v>1242226931.8199999</v>
      </c>
      <c r="J43" s="395">
        <f t="shared" si="13"/>
        <v>1295584235.3999999</v>
      </c>
      <c r="K43" s="396">
        <f t="shared" si="13"/>
        <v>1343092607.9999998</v>
      </c>
      <c r="L43" s="396">
        <f t="shared" si="13"/>
        <v>1309088382.4202182</v>
      </c>
      <c r="M43" s="396">
        <f t="shared" si="13"/>
        <v>1335270150.0686228</v>
      </c>
      <c r="N43" s="383"/>
      <c r="O43" s="383"/>
      <c r="P43" s="383"/>
      <c r="Q43" s="383"/>
      <c r="R43" s="383"/>
      <c r="S43" s="383"/>
      <c r="T43" s="383"/>
      <c r="U43" s="383"/>
      <c r="V43" s="383"/>
      <c r="W43" s="383"/>
      <c r="X43" s="383"/>
      <c r="Y43" s="383"/>
      <c r="Z43" s="383"/>
    </row>
    <row r="44" spans="1:26" ht="12.75" customHeight="1" outlineLevel="1" x14ac:dyDescent="0.3">
      <c r="A44" s="394" t="s">
        <v>1729</v>
      </c>
      <c r="B44" s="415">
        <f t="shared" ref="B44:M44" si="14">+B32*B13</f>
        <v>30930342.399999999</v>
      </c>
      <c r="C44" s="415">
        <f t="shared" si="14"/>
        <v>29993729.700000003</v>
      </c>
      <c r="D44" s="415">
        <f t="shared" si="14"/>
        <v>32984105.84</v>
      </c>
      <c r="E44" s="415">
        <f t="shared" si="14"/>
        <v>34206043.469999999</v>
      </c>
      <c r="F44" s="415">
        <f t="shared" si="14"/>
        <v>35007166.609999999</v>
      </c>
      <c r="G44" s="415">
        <f t="shared" si="14"/>
        <v>33177833.960000001</v>
      </c>
      <c r="H44" s="415">
        <f t="shared" si="14"/>
        <v>36422817.210000001</v>
      </c>
      <c r="I44" s="395">
        <f t="shared" si="14"/>
        <v>35370143.850000001</v>
      </c>
      <c r="J44" s="395">
        <f t="shared" si="14"/>
        <v>37434900.579999998</v>
      </c>
      <c r="K44" s="396">
        <f t="shared" si="14"/>
        <v>38295903.293339998</v>
      </c>
      <c r="L44" s="396">
        <f t="shared" si="14"/>
        <v>39032784.455187596</v>
      </c>
      <c r="M44" s="396">
        <f t="shared" si="14"/>
        <v>39813440.144291349</v>
      </c>
      <c r="N44" s="416">
        <f>SUM(B37:M44)</f>
        <v>19539330595.689056</v>
      </c>
      <c r="O44" s="383"/>
      <c r="P44" s="383"/>
      <c r="Q44" s="383"/>
      <c r="R44" s="383"/>
      <c r="S44" s="383"/>
      <c r="T44" s="383"/>
      <c r="U44" s="383"/>
      <c r="V44" s="383"/>
      <c r="W44" s="383"/>
      <c r="X44" s="383"/>
      <c r="Y44" s="383"/>
      <c r="Z44" s="383"/>
    </row>
    <row r="45" spans="1:26" ht="12.75" customHeight="1" outlineLevel="1" x14ac:dyDescent="0.3">
      <c r="A45" s="417"/>
      <c r="B45" s="417"/>
      <c r="C45" s="417"/>
      <c r="D45" s="417"/>
      <c r="E45" s="417"/>
      <c r="F45" s="417"/>
      <c r="G45" s="417"/>
      <c r="H45" s="417"/>
      <c r="I45" s="417"/>
      <c r="J45" s="417"/>
      <c r="K45" s="417"/>
      <c r="L45" s="417"/>
      <c r="M45" s="417"/>
      <c r="N45" s="417"/>
      <c r="O45" s="417"/>
      <c r="P45" s="383"/>
      <c r="Q45" s="383"/>
      <c r="R45" s="383"/>
      <c r="S45" s="383"/>
      <c r="T45" s="383"/>
      <c r="U45" s="383"/>
      <c r="V45" s="383"/>
      <c r="W45" s="383"/>
      <c r="X45" s="383"/>
      <c r="Y45" s="383"/>
      <c r="Z45" s="383"/>
    </row>
    <row r="46" spans="1:26" ht="12.75" customHeight="1" x14ac:dyDescent="0.3">
      <c r="A46" s="418"/>
      <c r="B46" s="419"/>
      <c r="C46" s="419"/>
      <c r="D46" s="419"/>
      <c r="E46" s="419"/>
      <c r="F46" s="419"/>
      <c r="G46" s="419"/>
      <c r="H46" s="419"/>
      <c r="I46" s="419"/>
      <c r="J46" s="419"/>
      <c r="K46" s="419"/>
      <c r="L46" s="419"/>
      <c r="M46" s="419"/>
      <c r="N46" s="416"/>
      <c r="O46" s="383"/>
      <c r="P46" s="383"/>
      <c r="Q46" s="383"/>
      <c r="R46" s="383"/>
      <c r="S46" s="383"/>
      <c r="T46" s="383"/>
      <c r="U46" s="383"/>
      <c r="V46" s="383"/>
      <c r="W46" s="383"/>
      <c r="X46" s="383"/>
      <c r="Y46" s="383"/>
      <c r="Z46" s="383"/>
    </row>
    <row r="47" spans="1:26" ht="12.75" customHeight="1" x14ac:dyDescent="0.3">
      <c r="A47" s="384" t="s">
        <v>1740</v>
      </c>
      <c r="B47" s="385"/>
      <c r="C47" s="385"/>
      <c r="D47" s="385"/>
      <c r="E47" s="385"/>
      <c r="F47" s="385"/>
      <c r="G47" s="385"/>
      <c r="H47" s="385"/>
      <c r="I47" s="385"/>
      <c r="J47" s="385"/>
      <c r="K47" s="385"/>
      <c r="L47" s="420"/>
      <c r="M47" s="385"/>
      <c r="N47" s="383"/>
      <c r="O47" s="383"/>
      <c r="P47" s="383"/>
      <c r="Q47" s="383"/>
      <c r="R47" s="383"/>
      <c r="S47" s="383"/>
      <c r="T47" s="383"/>
      <c r="U47" s="383"/>
      <c r="V47" s="383"/>
      <c r="W47" s="383"/>
      <c r="X47" s="383"/>
      <c r="Y47" s="383"/>
      <c r="Z47" s="383"/>
    </row>
    <row r="48" spans="1:26" ht="12.75" customHeight="1" x14ac:dyDescent="0.3">
      <c r="A48" s="421"/>
      <c r="B48" s="422"/>
      <c r="C48" s="422"/>
      <c r="D48" s="422"/>
      <c r="E48" s="422"/>
      <c r="F48" s="422"/>
      <c r="G48" s="422"/>
      <c r="H48" s="423"/>
      <c r="I48" s="423"/>
      <c r="J48" s="419"/>
      <c r="K48" s="419"/>
      <c r="L48" s="419"/>
      <c r="M48" s="419"/>
      <c r="N48" s="383"/>
      <c r="O48" s="383"/>
      <c r="P48" s="383"/>
      <c r="Q48" s="383"/>
      <c r="R48" s="383"/>
      <c r="S48" s="383"/>
      <c r="T48" s="383"/>
      <c r="U48" s="383"/>
      <c r="V48" s="383"/>
      <c r="W48" s="383"/>
      <c r="X48" s="383"/>
      <c r="Y48" s="383"/>
      <c r="Z48" s="383"/>
    </row>
    <row r="49" spans="1:26" ht="12.75" customHeight="1" x14ac:dyDescent="0.3">
      <c r="A49" s="424" t="s">
        <v>1741</v>
      </c>
      <c r="B49" s="392">
        <v>46023</v>
      </c>
      <c r="C49" s="392">
        <v>46054</v>
      </c>
      <c r="D49" s="392">
        <v>46112</v>
      </c>
      <c r="E49" s="392">
        <v>46142</v>
      </c>
      <c r="F49" s="392">
        <v>46172</v>
      </c>
      <c r="G49" s="392">
        <v>46202</v>
      </c>
      <c r="H49" s="392">
        <v>46232</v>
      </c>
      <c r="I49" s="392">
        <v>46262</v>
      </c>
      <c r="J49" s="392">
        <v>46292</v>
      </c>
      <c r="K49" s="392">
        <v>46322</v>
      </c>
      <c r="L49" s="425">
        <v>46352</v>
      </c>
      <c r="M49" s="392">
        <v>46382</v>
      </c>
      <c r="N49" s="393" t="s">
        <v>1742</v>
      </c>
      <c r="O49" s="426"/>
      <c r="P49" s="383"/>
      <c r="Q49" s="383"/>
      <c r="R49" s="383"/>
      <c r="S49" s="383"/>
      <c r="T49" s="383"/>
      <c r="U49" s="383"/>
      <c r="V49" s="383"/>
      <c r="W49" s="383"/>
      <c r="X49" s="383"/>
      <c r="Y49" s="383"/>
      <c r="Z49" s="383"/>
    </row>
    <row r="50" spans="1:26" ht="12.75" customHeight="1" x14ac:dyDescent="0.3">
      <c r="A50" s="394" t="s">
        <v>1722</v>
      </c>
      <c r="B50" s="396">
        <f t="shared" ref="B50:M50" si="15">+B6</f>
        <v>1490306</v>
      </c>
      <c r="C50" s="396">
        <f t="shared" si="15"/>
        <v>1355716</v>
      </c>
      <c r="D50" s="396">
        <f t="shared" si="15"/>
        <v>1520755</v>
      </c>
      <c r="E50" s="396">
        <f t="shared" si="15"/>
        <v>1602317</v>
      </c>
      <c r="F50" s="396">
        <f t="shared" si="15"/>
        <v>1682330</v>
      </c>
      <c r="G50" s="396">
        <f t="shared" si="15"/>
        <v>1666122</v>
      </c>
      <c r="H50" s="396">
        <f t="shared" si="15"/>
        <v>1751014</v>
      </c>
      <c r="I50" s="396">
        <f t="shared" si="15"/>
        <v>1703302</v>
      </c>
      <c r="J50" s="396">
        <f t="shared" si="15"/>
        <v>1734745</v>
      </c>
      <c r="K50" s="396">
        <f t="shared" si="15"/>
        <v>1750000</v>
      </c>
      <c r="L50" s="396">
        <f t="shared" si="15"/>
        <v>1602317</v>
      </c>
      <c r="M50" s="396">
        <f t="shared" si="15"/>
        <v>1602317</v>
      </c>
      <c r="N50" s="427"/>
      <c r="O50" s="426"/>
      <c r="P50" s="383"/>
      <c r="Q50" s="383"/>
      <c r="R50" s="383"/>
      <c r="S50" s="383"/>
      <c r="T50" s="383"/>
      <c r="U50" s="383"/>
      <c r="V50" s="383"/>
      <c r="W50" s="383"/>
      <c r="X50" s="383"/>
      <c r="Y50" s="383"/>
      <c r="Z50" s="383"/>
    </row>
    <row r="51" spans="1:26" ht="12.75" customHeight="1" x14ac:dyDescent="0.3">
      <c r="A51" s="394" t="s">
        <v>1723</v>
      </c>
      <c r="B51" s="396">
        <f t="shared" ref="B51:M51" si="16">+B7</f>
        <v>213669</v>
      </c>
      <c r="C51" s="396">
        <f t="shared" si="16"/>
        <v>190015</v>
      </c>
      <c r="D51" s="396">
        <f t="shared" si="16"/>
        <v>208388</v>
      </c>
      <c r="E51" s="396">
        <f t="shared" si="16"/>
        <v>213716</v>
      </c>
      <c r="F51" s="396">
        <f t="shared" si="16"/>
        <v>225462</v>
      </c>
      <c r="G51" s="396">
        <f t="shared" si="16"/>
        <v>230982</v>
      </c>
      <c r="H51" s="396">
        <f t="shared" si="16"/>
        <v>241030</v>
      </c>
      <c r="I51" s="396">
        <f t="shared" si="16"/>
        <v>233048</v>
      </c>
      <c r="J51" s="396">
        <f t="shared" si="16"/>
        <v>233018</v>
      </c>
      <c r="K51" s="396">
        <f t="shared" si="16"/>
        <v>250000</v>
      </c>
      <c r="L51" s="396">
        <f t="shared" si="16"/>
        <v>213716</v>
      </c>
      <c r="M51" s="396">
        <f t="shared" si="16"/>
        <v>213716</v>
      </c>
      <c r="N51" s="393"/>
      <c r="O51" s="426"/>
      <c r="P51" s="383"/>
      <c r="Q51" s="383"/>
      <c r="R51" s="383"/>
      <c r="S51" s="383"/>
      <c r="T51" s="383"/>
      <c r="U51" s="383"/>
      <c r="V51" s="383"/>
      <c r="W51" s="383"/>
      <c r="X51" s="383"/>
      <c r="Y51" s="383"/>
      <c r="Z51" s="383"/>
    </row>
    <row r="52" spans="1:26" ht="12.75" customHeight="1" x14ac:dyDescent="0.3">
      <c r="A52" s="394" t="s">
        <v>1724</v>
      </c>
      <c r="B52" s="396">
        <f t="shared" ref="B52:M52" si="17">+B8</f>
        <v>763760</v>
      </c>
      <c r="C52" s="396">
        <f t="shared" si="17"/>
        <v>721443</v>
      </c>
      <c r="D52" s="396">
        <f t="shared" si="17"/>
        <v>781327</v>
      </c>
      <c r="E52" s="396">
        <f t="shared" si="17"/>
        <v>818781</v>
      </c>
      <c r="F52" s="396">
        <f t="shared" si="17"/>
        <v>852102</v>
      </c>
      <c r="G52" s="396">
        <f t="shared" si="17"/>
        <v>847647</v>
      </c>
      <c r="H52" s="396">
        <f t="shared" si="17"/>
        <v>914890</v>
      </c>
      <c r="I52" s="396">
        <f t="shared" si="17"/>
        <v>872560</v>
      </c>
      <c r="J52" s="396">
        <f t="shared" si="17"/>
        <v>889037</v>
      </c>
      <c r="K52" s="396">
        <f t="shared" si="17"/>
        <v>910000</v>
      </c>
      <c r="L52" s="396">
        <f t="shared" si="17"/>
        <v>818781</v>
      </c>
      <c r="M52" s="396">
        <f t="shared" si="17"/>
        <v>818781</v>
      </c>
      <c r="N52" s="393"/>
      <c r="O52" s="426"/>
      <c r="P52" s="383"/>
      <c r="Q52" s="383"/>
      <c r="R52" s="383"/>
      <c r="S52" s="383"/>
      <c r="T52" s="383"/>
      <c r="U52" s="383"/>
      <c r="V52" s="383"/>
      <c r="W52" s="383"/>
      <c r="X52" s="383"/>
      <c r="Y52" s="383"/>
      <c r="Z52" s="383"/>
    </row>
    <row r="53" spans="1:26" ht="12.75" customHeight="1" x14ac:dyDescent="0.3">
      <c r="A53" s="398" t="s">
        <v>1725</v>
      </c>
      <c r="B53" s="396">
        <f t="shared" ref="B53:M53" si="18">+B9</f>
        <v>815603</v>
      </c>
      <c r="C53" s="396">
        <f t="shared" si="18"/>
        <v>797198</v>
      </c>
      <c r="D53" s="396">
        <f t="shared" si="18"/>
        <v>919640</v>
      </c>
      <c r="E53" s="396">
        <f t="shared" si="18"/>
        <v>975702</v>
      </c>
      <c r="F53" s="396">
        <f t="shared" si="18"/>
        <v>1037849</v>
      </c>
      <c r="G53" s="396">
        <f t="shared" si="18"/>
        <v>1037505</v>
      </c>
      <c r="H53" s="396">
        <f t="shared" si="18"/>
        <v>1125351</v>
      </c>
      <c r="I53" s="396">
        <f t="shared" si="18"/>
        <v>1127209</v>
      </c>
      <c r="J53" s="396">
        <f t="shared" si="18"/>
        <v>1157003</v>
      </c>
      <c r="K53" s="396">
        <f t="shared" si="18"/>
        <v>1157003</v>
      </c>
      <c r="L53" s="396">
        <f t="shared" si="18"/>
        <v>975702</v>
      </c>
      <c r="M53" s="396">
        <f t="shared" si="18"/>
        <v>975702</v>
      </c>
      <c r="N53" s="393"/>
      <c r="O53" s="426"/>
      <c r="P53" s="383"/>
      <c r="Q53" s="383"/>
      <c r="R53" s="383"/>
      <c r="S53" s="383"/>
      <c r="T53" s="383"/>
      <c r="U53" s="383"/>
      <c r="V53" s="383"/>
      <c r="W53" s="383"/>
      <c r="X53" s="383"/>
      <c r="Y53" s="383"/>
      <c r="Z53" s="383"/>
    </row>
    <row r="54" spans="1:26" ht="12.75" customHeight="1" x14ac:dyDescent="0.3">
      <c r="A54" s="398" t="s">
        <v>1726</v>
      </c>
      <c r="B54" s="396">
        <f t="shared" ref="B54:M54" si="19">+B10</f>
        <v>213655</v>
      </c>
      <c r="C54" s="396">
        <f t="shared" si="19"/>
        <v>190000</v>
      </c>
      <c r="D54" s="396">
        <f t="shared" si="19"/>
        <v>208408</v>
      </c>
      <c r="E54" s="396">
        <f t="shared" si="19"/>
        <v>213654</v>
      </c>
      <c r="F54" s="396">
        <f t="shared" si="19"/>
        <v>225525</v>
      </c>
      <c r="G54" s="396">
        <f t="shared" si="19"/>
        <v>230993</v>
      </c>
      <c r="H54" s="396">
        <f t="shared" si="19"/>
        <v>241068</v>
      </c>
      <c r="I54" s="396">
        <f t="shared" si="19"/>
        <v>233115</v>
      </c>
      <c r="J54" s="396">
        <f t="shared" si="19"/>
        <v>233023</v>
      </c>
      <c r="K54" s="396">
        <f t="shared" si="19"/>
        <v>233023</v>
      </c>
      <c r="L54" s="396">
        <f t="shared" si="19"/>
        <v>213654</v>
      </c>
      <c r="M54" s="396">
        <f t="shared" si="19"/>
        <v>213654</v>
      </c>
      <c r="N54" s="393"/>
      <c r="O54" s="426"/>
      <c r="P54" s="383"/>
      <c r="Q54" s="383"/>
      <c r="R54" s="383"/>
      <c r="S54" s="383"/>
      <c r="T54" s="383"/>
      <c r="U54" s="383"/>
      <c r="V54" s="383"/>
      <c r="W54" s="383"/>
      <c r="X54" s="383"/>
      <c r="Y54" s="383"/>
      <c r="Z54" s="383"/>
    </row>
    <row r="55" spans="1:26" ht="12.75" customHeight="1" x14ac:dyDescent="0.3">
      <c r="A55" s="400" t="s">
        <v>1727</v>
      </c>
      <c r="B55" s="396">
        <f t="shared" ref="B55:M55" si="20">+B11</f>
        <v>220374</v>
      </c>
      <c r="C55" s="396">
        <f t="shared" si="20"/>
        <v>229948</v>
      </c>
      <c r="D55" s="396">
        <f t="shared" si="20"/>
        <v>254773</v>
      </c>
      <c r="E55" s="396">
        <f t="shared" si="20"/>
        <v>260754</v>
      </c>
      <c r="F55" s="396">
        <f t="shared" si="20"/>
        <v>285776</v>
      </c>
      <c r="G55" s="396">
        <f t="shared" si="20"/>
        <v>288842</v>
      </c>
      <c r="H55" s="396">
        <f t="shared" si="20"/>
        <v>324566</v>
      </c>
      <c r="I55" s="396">
        <f t="shared" si="20"/>
        <v>325357</v>
      </c>
      <c r="J55" s="396">
        <f t="shared" si="20"/>
        <v>335574</v>
      </c>
      <c r="K55" s="396">
        <f t="shared" si="20"/>
        <v>335574</v>
      </c>
      <c r="L55" s="396">
        <f t="shared" si="20"/>
        <v>260754</v>
      </c>
      <c r="M55" s="396">
        <f t="shared" si="20"/>
        <v>260754</v>
      </c>
      <c r="N55" s="383"/>
      <c r="O55" s="426"/>
      <c r="P55" s="383"/>
      <c r="Q55" s="383"/>
      <c r="R55" s="383"/>
      <c r="S55" s="383"/>
      <c r="T55" s="383"/>
      <c r="U55" s="383"/>
      <c r="V55" s="383"/>
      <c r="W55" s="383"/>
      <c r="X55" s="383"/>
      <c r="Y55" s="383"/>
      <c r="Z55" s="383"/>
    </row>
    <row r="56" spans="1:26" ht="12.75" customHeight="1" x14ac:dyDescent="0.3">
      <c r="A56" s="394" t="s">
        <v>1728</v>
      </c>
      <c r="B56" s="396">
        <f t="shared" ref="B56:M56" si="21">+B12</f>
        <v>9286473</v>
      </c>
      <c r="C56" s="396">
        <f t="shared" si="21"/>
        <v>8514062</v>
      </c>
      <c r="D56" s="396">
        <f t="shared" si="21"/>
        <v>9117807</v>
      </c>
      <c r="E56" s="396">
        <f t="shared" si="21"/>
        <v>9173479</v>
      </c>
      <c r="F56" s="396">
        <f t="shared" si="21"/>
        <v>9361132</v>
      </c>
      <c r="G56" s="396">
        <f t="shared" si="21"/>
        <v>9051190</v>
      </c>
      <c r="H56" s="396">
        <f t="shared" si="21"/>
        <v>9745031</v>
      </c>
      <c r="I56" s="396">
        <f t="shared" si="21"/>
        <v>9274503</v>
      </c>
      <c r="J56" s="396">
        <f t="shared" si="21"/>
        <v>9473415</v>
      </c>
      <c r="K56" s="396">
        <f t="shared" si="21"/>
        <v>9600000</v>
      </c>
      <c r="L56" s="396">
        <f t="shared" si="21"/>
        <v>9173479</v>
      </c>
      <c r="M56" s="396">
        <f t="shared" si="21"/>
        <v>9173479</v>
      </c>
      <c r="N56" s="383"/>
      <c r="O56" s="426"/>
      <c r="P56" s="383"/>
      <c r="Q56" s="383"/>
      <c r="R56" s="383"/>
      <c r="S56" s="383"/>
      <c r="T56" s="383"/>
      <c r="U56" s="383"/>
      <c r="V56" s="383"/>
      <c r="W56" s="383"/>
      <c r="X56" s="383"/>
      <c r="Y56" s="383"/>
      <c r="Z56" s="383"/>
    </row>
    <row r="57" spans="1:26" ht="12.75" customHeight="1" x14ac:dyDescent="0.3">
      <c r="A57" s="428" t="s">
        <v>1729</v>
      </c>
      <c r="B57" s="402">
        <f t="shared" ref="B57:M57" si="22">+B13</f>
        <v>2612360</v>
      </c>
      <c r="C57" s="402">
        <f t="shared" si="22"/>
        <v>2472690</v>
      </c>
      <c r="D57" s="402">
        <f t="shared" si="22"/>
        <v>2621948</v>
      </c>
      <c r="E57" s="402">
        <f t="shared" si="22"/>
        <v>2645479</v>
      </c>
      <c r="F57" s="402">
        <f t="shared" si="22"/>
        <v>2666197</v>
      </c>
      <c r="G57" s="402">
        <f t="shared" si="22"/>
        <v>2487094</v>
      </c>
      <c r="H57" s="402">
        <f t="shared" si="22"/>
        <v>2680119</v>
      </c>
      <c r="I57" s="402">
        <f t="shared" si="22"/>
        <v>2553801</v>
      </c>
      <c r="J57" s="402">
        <f t="shared" si="22"/>
        <v>2647447</v>
      </c>
      <c r="K57" s="402">
        <f t="shared" si="22"/>
        <v>2647447</v>
      </c>
      <c r="L57" s="402">
        <f t="shared" si="22"/>
        <v>2645479</v>
      </c>
      <c r="M57" s="402">
        <f t="shared" si="22"/>
        <v>2645479</v>
      </c>
      <c r="N57" s="383"/>
      <c r="O57" s="426"/>
      <c r="P57" s="383"/>
      <c r="Q57" s="383"/>
      <c r="R57" s="383"/>
      <c r="S57" s="383"/>
      <c r="T57" s="383"/>
      <c r="U57" s="383"/>
      <c r="V57" s="383"/>
      <c r="W57" s="383"/>
      <c r="X57" s="383"/>
      <c r="Y57" s="383"/>
      <c r="Z57" s="383"/>
    </row>
    <row r="58" spans="1:26" ht="12.75" customHeight="1" x14ac:dyDescent="0.3">
      <c r="A58" s="429" t="s">
        <v>1743</v>
      </c>
      <c r="B58" s="396">
        <v>0</v>
      </c>
      <c r="C58" s="396">
        <f>+B58</f>
        <v>0</v>
      </c>
      <c r="D58" s="396">
        <f>+C58</f>
        <v>0</v>
      </c>
      <c r="E58" s="396">
        <f t="shared" ref="E58:M58" si="23">+E56*E59</f>
        <v>458673.95</v>
      </c>
      <c r="F58" s="396">
        <f t="shared" si="23"/>
        <v>936113.20000000007</v>
      </c>
      <c r="G58" s="396">
        <f t="shared" si="23"/>
        <v>1357678.5000000002</v>
      </c>
      <c r="H58" s="396">
        <f t="shared" si="23"/>
        <v>1949006.2000000002</v>
      </c>
      <c r="I58" s="396">
        <f t="shared" si="23"/>
        <v>2318625.75</v>
      </c>
      <c r="J58" s="396">
        <f t="shared" si="23"/>
        <v>2842024.5</v>
      </c>
      <c r="K58" s="396">
        <f t="shared" si="23"/>
        <v>3360000</v>
      </c>
      <c r="L58" s="396">
        <f t="shared" si="23"/>
        <v>3669391.5999999996</v>
      </c>
      <c r="M58" s="396">
        <f t="shared" si="23"/>
        <v>4128065.55</v>
      </c>
      <c r="N58" s="430" t="s">
        <v>1744</v>
      </c>
      <c r="O58" s="426"/>
      <c r="P58" s="383"/>
      <c r="Q58" s="383"/>
      <c r="R58" s="383"/>
      <c r="S58" s="383"/>
      <c r="T58" s="383"/>
      <c r="U58" s="383"/>
      <c r="V58" s="383"/>
      <c r="W58" s="383"/>
      <c r="X58" s="383"/>
      <c r="Y58" s="383"/>
      <c r="Z58" s="383"/>
    </row>
    <row r="59" spans="1:26" ht="12.75" customHeight="1" x14ac:dyDescent="0.3">
      <c r="A59" s="431"/>
      <c r="B59" s="383"/>
      <c r="C59" s="383"/>
      <c r="D59" s="383"/>
      <c r="E59" s="139">
        <v>0.05</v>
      </c>
      <c r="F59" s="139">
        <f t="shared" ref="F59:M59" si="24">+E59+5%</f>
        <v>0.1</v>
      </c>
      <c r="G59" s="139">
        <f t="shared" si="24"/>
        <v>0.15000000000000002</v>
      </c>
      <c r="H59" s="139">
        <f t="shared" si="24"/>
        <v>0.2</v>
      </c>
      <c r="I59" s="139">
        <f t="shared" si="24"/>
        <v>0.25</v>
      </c>
      <c r="J59" s="139">
        <f t="shared" si="24"/>
        <v>0.3</v>
      </c>
      <c r="K59" s="139">
        <f t="shared" si="24"/>
        <v>0.35</v>
      </c>
      <c r="L59" s="139">
        <f t="shared" si="24"/>
        <v>0.39999999999999997</v>
      </c>
      <c r="M59" s="139">
        <f t="shared" si="24"/>
        <v>0.44999999999999996</v>
      </c>
      <c r="N59" s="383"/>
      <c r="O59" s="383"/>
      <c r="P59" s="383"/>
      <c r="Q59" s="383"/>
      <c r="R59" s="383"/>
      <c r="S59" s="383"/>
      <c r="T59" s="383"/>
      <c r="U59" s="383"/>
      <c r="V59" s="383"/>
      <c r="W59" s="383"/>
      <c r="X59" s="383"/>
      <c r="Y59" s="383"/>
      <c r="Z59" s="383"/>
    </row>
    <row r="60" spans="1:26" ht="12.75" customHeight="1" x14ac:dyDescent="0.3">
      <c r="A60" s="424" t="s">
        <v>1745</v>
      </c>
      <c r="B60" s="392">
        <f t="shared" ref="B60:M60" si="25">+B49</f>
        <v>46023</v>
      </c>
      <c r="C60" s="392">
        <f t="shared" si="25"/>
        <v>46054</v>
      </c>
      <c r="D60" s="392">
        <f t="shared" si="25"/>
        <v>46112</v>
      </c>
      <c r="E60" s="392">
        <f t="shared" si="25"/>
        <v>46142</v>
      </c>
      <c r="F60" s="392">
        <f t="shared" si="25"/>
        <v>46172</v>
      </c>
      <c r="G60" s="392">
        <f t="shared" si="25"/>
        <v>46202</v>
      </c>
      <c r="H60" s="392">
        <f t="shared" si="25"/>
        <v>46232</v>
      </c>
      <c r="I60" s="392">
        <f t="shared" si="25"/>
        <v>46262</v>
      </c>
      <c r="J60" s="392">
        <f t="shared" si="25"/>
        <v>46292</v>
      </c>
      <c r="K60" s="392">
        <f t="shared" si="25"/>
        <v>46322</v>
      </c>
      <c r="L60" s="425">
        <f t="shared" si="25"/>
        <v>46352</v>
      </c>
      <c r="M60" s="392">
        <f t="shared" si="25"/>
        <v>46382</v>
      </c>
      <c r="N60" s="383"/>
      <c r="O60" s="383"/>
      <c r="P60" s="383"/>
      <c r="Q60" s="383"/>
      <c r="R60" s="383"/>
      <c r="S60" s="383"/>
      <c r="T60" s="383"/>
      <c r="U60" s="383"/>
      <c r="V60" s="383"/>
      <c r="W60" s="383"/>
      <c r="X60" s="383"/>
      <c r="Y60" s="383"/>
      <c r="Z60" s="383"/>
    </row>
    <row r="61" spans="1:26" ht="12.75" customHeight="1" x14ac:dyDescent="0.3">
      <c r="A61" s="394" t="s">
        <v>1722</v>
      </c>
      <c r="B61" s="408">
        <f t="shared" ref="B61:B68" si="26">+M25*(1+$B$71)</f>
        <v>154.22532424437597</v>
      </c>
      <c r="C61" s="408">
        <f t="shared" ref="C61:C68" si="27">+B61*(1+$C$71)</f>
        <v>158.69785864746285</v>
      </c>
      <c r="D61" s="408">
        <f t="shared" ref="D61:D68" si="28">+C61*(1+$D$71)</f>
        <v>164.0935858414766</v>
      </c>
      <c r="E61" s="408">
        <f t="shared" ref="E61:E68" si="29">+D61*(1+$E$71)</f>
        <v>168.36001907335501</v>
      </c>
      <c r="F61" s="408">
        <f t="shared" ref="F61:F68" si="30">+E61*(1+$F$71)</f>
        <v>171.89557947389545</v>
      </c>
      <c r="G61" s="408">
        <f t="shared" ref="G61:G68" si="31">+F61*(1+$G$71)</f>
        <v>176.88055127863839</v>
      </c>
      <c r="H61" s="408">
        <f t="shared" ref="H61:H68" si="32">+G61*(1+$H$71)</f>
        <v>182.01008726571888</v>
      </c>
      <c r="I61" s="408">
        <f t="shared" ref="I61:I68" si="33">+H61*(1+$I$71)</f>
        <v>187.28837979642472</v>
      </c>
      <c r="J61" s="408">
        <f t="shared" ref="J61:J68" si="34">+I61*(1+$J$71)</f>
        <v>192.71974281052101</v>
      </c>
      <c r="K61" s="408">
        <f t="shared" ref="K61:K68" si="35">+J61*(1+$K$71)</f>
        <v>198.3086153520261</v>
      </c>
      <c r="L61" s="408">
        <f t="shared" ref="L61:L68" si="36">+K61*(1+$L$71)</f>
        <v>204.05956519723483</v>
      </c>
      <c r="M61" s="408">
        <f t="shared" ref="M61:M68" si="37">+L61*(1+$M$71)</f>
        <v>209.97729258795462</v>
      </c>
      <c r="N61" s="432">
        <f t="shared" ref="N61:N68" si="38">+M61/M25</f>
        <v>1.4009802549070307</v>
      </c>
      <c r="O61" s="383"/>
      <c r="P61" s="383"/>
      <c r="Q61" s="383"/>
      <c r="R61" s="383"/>
      <c r="S61" s="383"/>
      <c r="T61" s="383"/>
      <c r="U61" s="383"/>
      <c r="V61" s="383"/>
      <c r="W61" s="383"/>
      <c r="X61" s="383"/>
      <c r="Y61" s="383"/>
      <c r="Z61" s="383"/>
    </row>
    <row r="62" spans="1:26" ht="12.75" customHeight="1" x14ac:dyDescent="0.3">
      <c r="A62" s="394" t="s">
        <v>1723</v>
      </c>
      <c r="B62" s="408">
        <f t="shared" si="26"/>
        <v>154.22532424437597</v>
      </c>
      <c r="C62" s="408">
        <f t="shared" si="27"/>
        <v>158.69785864746285</v>
      </c>
      <c r="D62" s="408">
        <f t="shared" si="28"/>
        <v>164.0935858414766</v>
      </c>
      <c r="E62" s="408">
        <f t="shared" si="29"/>
        <v>168.36001907335501</v>
      </c>
      <c r="F62" s="408">
        <f t="shared" si="30"/>
        <v>171.89557947389545</v>
      </c>
      <c r="G62" s="408">
        <f t="shared" si="31"/>
        <v>176.88055127863839</v>
      </c>
      <c r="H62" s="408">
        <f t="shared" si="32"/>
        <v>182.01008726571888</v>
      </c>
      <c r="I62" s="408">
        <f t="shared" si="33"/>
        <v>187.28837979642472</v>
      </c>
      <c r="J62" s="408">
        <f t="shared" si="34"/>
        <v>192.71974281052101</v>
      </c>
      <c r="K62" s="408">
        <f t="shared" si="35"/>
        <v>198.3086153520261</v>
      </c>
      <c r="L62" s="408">
        <f t="shared" si="36"/>
        <v>204.05956519723483</v>
      </c>
      <c r="M62" s="408">
        <f t="shared" si="37"/>
        <v>209.97729258795462</v>
      </c>
      <c r="N62" s="432">
        <f t="shared" si="38"/>
        <v>1.4009802549070307</v>
      </c>
      <c r="O62" s="383"/>
      <c r="P62" s="383"/>
      <c r="Q62" s="383"/>
      <c r="R62" s="383"/>
      <c r="S62" s="383"/>
      <c r="T62" s="383"/>
      <c r="U62" s="383"/>
      <c r="V62" s="383"/>
      <c r="W62" s="383"/>
      <c r="X62" s="383"/>
      <c r="Y62" s="383"/>
      <c r="Z62" s="383"/>
    </row>
    <row r="63" spans="1:26" ht="12.75" customHeight="1" x14ac:dyDescent="0.3">
      <c r="A63" s="394" t="s">
        <v>1724</v>
      </c>
      <c r="B63" s="408">
        <f t="shared" si="26"/>
        <v>166.41484177625998</v>
      </c>
      <c r="C63" s="408">
        <f t="shared" si="27"/>
        <v>171.24087218777152</v>
      </c>
      <c r="D63" s="408">
        <f t="shared" si="28"/>
        <v>177.06306184215575</v>
      </c>
      <c r="E63" s="408">
        <f t="shared" si="29"/>
        <v>181.66670145005179</v>
      </c>
      <c r="F63" s="408">
        <f t="shared" si="30"/>
        <v>185.48170218050285</v>
      </c>
      <c r="G63" s="408">
        <f t="shared" si="31"/>
        <v>190.86067154373742</v>
      </c>
      <c r="H63" s="408">
        <f t="shared" si="32"/>
        <v>196.39563101850578</v>
      </c>
      <c r="I63" s="408">
        <f t="shared" si="33"/>
        <v>202.09110431804243</v>
      </c>
      <c r="J63" s="408">
        <f t="shared" si="34"/>
        <v>207.95174634326563</v>
      </c>
      <c r="K63" s="408">
        <f t="shared" si="35"/>
        <v>213.98234698722032</v>
      </c>
      <c r="L63" s="408">
        <f t="shared" si="36"/>
        <v>220.1878350498497</v>
      </c>
      <c r="M63" s="408">
        <f t="shared" si="37"/>
        <v>226.57328226629531</v>
      </c>
      <c r="N63" s="432">
        <f t="shared" si="38"/>
        <v>1.4009802549070305</v>
      </c>
      <c r="O63" s="383"/>
      <c r="P63" s="383"/>
      <c r="Q63" s="383"/>
      <c r="R63" s="383"/>
      <c r="S63" s="383"/>
      <c r="T63" s="383"/>
      <c r="U63" s="383"/>
      <c r="V63" s="383"/>
      <c r="W63" s="383"/>
      <c r="X63" s="383"/>
      <c r="Y63" s="383"/>
      <c r="Z63" s="383"/>
    </row>
    <row r="64" spans="1:26" ht="12.75" customHeight="1" x14ac:dyDescent="0.3">
      <c r="A64" s="398" t="s">
        <v>1725</v>
      </c>
      <c r="B64" s="408">
        <f t="shared" si="26"/>
        <v>12.342844796435998</v>
      </c>
      <c r="C64" s="408">
        <f t="shared" si="27"/>
        <v>12.70078729553264</v>
      </c>
      <c r="D64" s="408">
        <f t="shared" si="28"/>
        <v>13.13261406358075</v>
      </c>
      <c r="E64" s="408">
        <f t="shared" si="29"/>
        <v>13.474062029233849</v>
      </c>
      <c r="F64" s="408">
        <f t="shared" si="30"/>
        <v>13.757017331847759</v>
      </c>
      <c r="G64" s="408">
        <f t="shared" si="31"/>
        <v>14.155970834471344</v>
      </c>
      <c r="H64" s="408">
        <f t="shared" si="32"/>
        <v>14.566493988671011</v>
      </c>
      <c r="I64" s="408">
        <f t="shared" si="33"/>
        <v>14.988922314342469</v>
      </c>
      <c r="J64" s="408">
        <f t="shared" si="34"/>
        <v>15.423601061458399</v>
      </c>
      <c r="K64" s="408">
        <f t="shared" si="35"/>
        <v>15.87088549224069</v>
      </c>
      <c r="L64" s="408">
        <f t="shared" si="36"/>
        <v>16.331141171515668</v>
      </c>
      <c r="M64" s="408">
        <f t="shared" si="37"/>
        <v>16.804744265489621</v>
      </c>
      <c r="N64" s="432">
        <f t="shared" si="38"/>
        <v>1.4009802549070303</v>
      </c>
      <c r="O64" s="383"/>
      <c r="P64" s="383"/>
      <c r="Q64" s="383"/>
      <c r="R64" s="383"/>
      <c r="S64" s="383"/>
      <c r="T64" s="383"/>
      <c r="U64" s="383"/>
      <c r="V64" s="383"/>
      <c r="W64" s="383"/>
      <c r="X64" s="383"/>
      <c r="Y64" s="383"/>
      <c r="Z64" s="383"/>
    </row>
    <row r="65" spans="1:26" ht="12.75" customHeight="1" x14ac:dyDescent="0.3">
      <c r="A65" s="398" t="s">
        <v>1726</v>
      </c>
      <c r="B65" s="408">
        <f t="shared" si="26"/>
        <v>12.342844796435998</v>
      </c>
      <c r="C65" s="408">
        <f t="shared" si="27"/>
        <v>12.70078729553264</v>
      </c>
      <c r="D65" s="408">
        <f t="shared" si="28"/>
        <v>13.13261406358075</v>
      </c>
      <c r="E65" s="408">
        <f t="shared" si="29"/>
        <v>13.474062029233849</v>
      </c>
      <c r="F65" s="408">
        <f t="shared" si="30"/>
        <v>13.757017331847759</v>
      </c>
      <c r="G65" s="408">
        <f t="shared" si="31"/>
        <v>14.155970834471344</v>
      </c>
      <c r="H65" s="408">
        <f t="shared" si="32"/>
        <v>14.566493988671011</v>
      </c>
      <c r="I65" s="408">
        <f t="shared" si="33"/>
        <v>14.988922314342469</v>
      </c>
      <c r="J65" s="408">
        <f t="shared" si="34"/>
        <v>15.423601061458399</v>
      </c>
      <c r="K65" s="408">
        <f t="shared" si="35"/>
        <v>15.87088549224069</v>
      </c>
      <c r="L65" s="408">
        <f t="shared" si="36"/>
        <v>16.331141171515668</v>
      </c>
      <c r="M65" s="408">
        <f t="shared" si="37"/>
        <v>16.804744265489621</v>
      </c>
      <c r="N65" s="432">
        <f t="shared" si="38"/>
        <v>1.4009802549070303</v>
      </c>
      <c r="O65" s="383"/>
      <c r="P65" s="383"/>
      <c r="Q65" s="383"/>
      <c r="R65" s="383"/>
      <c r="S65" s="383"/>
      <c r="T65" s="383"/>
      <c r="U65" s="383"/>
      <c r="V65" s="383"/>
      <c r="W65" s="383"/>
      <c r="X65" s="383"/>
      <c r="Y65" s="383"/>
      <c r="Z65" s="383"/>
    </row>
    <row r="66" spans="1:26" ht="12.75" customHeight="1" x14ac:dyDescent="0.3">
      <c r="A66" s="400" t="s">
        <v>1727</v>
      </c>
      <c r="B66" s="408">
        <f t="shared" si="26"/>
        <v>13.317568121088</v>
      </c>
      <c r="C66" s="408">
        <f t="shared" si="27"/>
        <v>13.703777596599551</v>
      </c>
      <c r="D66" s="408">
        <f t="shared" si="28"/>
        <v>14.169706034883935</v>
      </c>
      <c r="E66" s="408">
        <f t="shared" si="29"/>
        <v>14.538118391790919</v>
      </c>
      <c r="F66" s="408">
        <f t="shared" si="30"/>
        <v>14.843418878018527</v>
      </c>
      <c r="G66" s="408">
        <f t="shared" si="31"/>
        <v>15.273878025481062</v>
      </c>
      <c r="H66" s="408">
        <f t="shared" si="32"/>
        <v>15.716820488220012</v>
      </c>
      <c r="I66" s="408">
        <f t="shared" si="33"/>
        <v>16.172608282378391</v>
      </c>
      <c r="J66" s="408">
        <f t="shared" si="34"/>
        <v>16.641613922567362</v>
      </c>
      <c r="K66" s="408">
        <f t="shared" si="35"/>
        <v>17.124220726321816</v>
      </c>
      <c r="L66" s="408">
        <f t="shared" si="36"/>
        <v>17.620823127385147</v>
      </c>
      <c r="M66" s="408">
        <f t="shared" si="37"/>
        <v>18.131826998079315</v>
      </c>
      <c r="N66" s="432">
        <f t="shared" si="38"/>
        <v>1.4009802549070309</v>
      </c>
      <c r="O66" s="383"/>
      <c r="P66" s="383"/>
      <c r="Q66" s="383"/>
      <c r="R66" s="383"/>
      <c r="S66" s="383"/>
      <c r="T66" s="383"/>
      <c r="U66" s="383"/>
      <c r="V66" s="383"/>
      <c r="W66" s="383"/>
      <c r="X66" s="383"/>
      <c r="Y66" s="383"/>
      <c r="Z66" s="383"/>
    </row>
    <row r="67" spans="1:26" ht="12.75" customHeight="1" x14ac:dyDescent="0.3">
      <c r="A67" s="394" t="s">
        <v>1728</v>
      </c>
      <c r="B67" s="408">
        <f t="shared" si="26"/>
        <v>149.778833572368</v>
      </c>
      <c r="C67" s="408">
        <f t="shared" si="27"/>
        <v>154.12241974596665</v>
      </c>
      <c r="D67" s="408">
        <f t="shared" si="28"/>
        <v>159.36258201732952</v>
      </c>
      <c r="E67" s="408">
        <f t="shared" si="29"/>
        <v>163.50600914978008</v>
      </c>
      <c r="F67" s="408">
        <f t="shared" si="30"/>
        <v>166.93963534192545</v>
      </c>
      <c r="G67" s="408">
        <f t="shared" si="31"/>
        <v>171.78088476684127</v>
      </c>
      <c r="H67" s="408">
        <f t="shared" si="32"/>
        <v>176.76253042507966</v>
      </c>
      <c r="I67" s="408">
        <f t="shared" si="33"/>
        <v>181.88864380740696</v>
      </c>
      <c r="J67" s="408">
        <f t="shared" si="34"/>
        <v>187.16341447782176</v>
      </c>
      <c r="K67" s="408">
        <f t="shared" si="35"/>
        <v>192.59115349767856</v>
      </c>
      <c r="L67" s="408">
        <f t="shared" si="36"/>
        <v>198.17629694911122</v>
      </c>
      <c r="M67" s="408">
        <f t="shared" si="37"/>
        <v>203.92340956063543</v>
      </c>
      <c r="N67" s="432">
        <f t="shared" si="38"/>
        <v>1.4009802549070307</v>
      </c>
      <c r="O67" s="383"/>
      <c r="P67" s="383"/>
      <c r="Q67" s="383"/>
      <c r="R67" s="383"/>
      <c r="S67" s="383"/>
      <c r="T67" s="383"/>
      <c r="U67" s="383"/>
      <c r="V67" s="383"/>
      <c r="W67" s="383"/>
      <c r="X67" s="383"/>
      <c r="Y67" s="383"/>
      <c r="Z67" s="383"/>
    </row>
    <row r="68" spans="1:26" ht="12.75" customHeight="1" x14ac:dyDescent="0.3">
      <c r="A68" s="394" t="s">
        <v>1729</v>
      </c>
      <c r="B68" s="433">
        <f t="shared" si="26"/>
        <v>15.486053719751997</v>
      </c>
      <c r="C68" s="433">
        <f t="shared" si="27"/>
        <v>15.935149277624804</v>
      </c>
      <c r="D68" s="433">
        <f t="shared" si="28"/>
        <v>16.476944353064049</v>
      </c>
      <c r="E68" s="433">
        <f t="shared" si="29"/>
        <v>16.905344906243716</v>
      </c>
      <c r="F68" s="433">
        <f t="shared" si="30"/>
        <v>17.260357149274832</v>
      </c>
      <c r="G68" s="433">
        <f t="shared" si="31"/>
        <v>17.7609075066038</v>
      </c>
      <c r="H68" s="433">
        <f t="shared" si="32"/>
        <v>18.27597382429531</v>
      </c>
      <c r="I68" s="433">
        <f t="shared" si="33"/>
        <v>18.805977065199873</v>
      </c>
      <c r="J68" s="433">
        <f t="shared" si="34"/>
        <v>19.351350400090666</v>
      </c>
      <c r="K68" s="433">
        <f t="shared" si="35"/>
        <v>19.912539561693293</v>
      </c>
      <c r="L68" s="433">
        <f t="shared" si="36"/>
        <v>20.490003208982397</v>
      </c>
      <c r="M68" s="433">
        <f t="shared" si="37"/>
        <v>21.084213302042887</v>
      </c>
      <c r="N68" s="432">
        <f t="shared" si="38"/>
        <v>1.4009802549070309</v>
      </c>
      <c r="O68" s="383"/>
      <c r="P68" s="383"/>
      <c r="Q68" s="383"/>
      <c r="R68" s="383"/>
      <c r="S68" s="383"/>
      <c r="T68" s="383"/>
      <c r="U68" s="383"/>
      <c r="V68" s="383"/>
      <c r="W68" s="383"/>
      <c r="X68" s="383"/>
      <c r="Y68" s="383"/>
      <c r="Z68" s="383"/>
    </row>
    <row r="69" spans="1:26" ht="12.75" customHeight="1" x14ac:dyDescent="0.3">
      <c r="A69" s="429" t="s">
        <v>1743</v>
      </c>
      <c r="B69" s="408">
        <f t="shared" ref="B69:M69" si="39">+B67*50%</f>
        <v>74.889416786184</v>
      </c>
      <c r="C69" s="408">
        <f t="shared" si="39"/>
        <v>77.061209872983326</v>
      </c>
      <c r="D69" s="408">
        <f t="shared" si="39"/>
        <v>79.681291008664758</v>
      </c>
      <c r="E69" s="408">
        <f t="shared" si="39"/>
        <v>81.753004574890042</v>
      </c>
      <c r="F69" s="408">
        <f t="shared" si="39"/>
        <v>83.469817670962726</v>
      </c>
      <c r="G69" s="408">
        <f t="shared" si="39"/>
        <v>85.890442383420634</v>
      </c>
      <c r="H69" s="408">
        <f t="shared" si="39"/>
        <v>88.38126521253983</v>
      </c>
      <c r="I69" s="408">
        <f t="shared" si="39"/>
        <v>90.944321903703482</v>
      </c>
      <c r="J69" s="408">
        <f t="shared" si="39"/>
        <v>93.58170723891088</v>
      </c>
      <c r="K69" s="408">
        <f t="shared" si="39"/>
        <v>96.295576748839281</v>
      </c>
      <c r="L69" s="408">
        <f t="shared" si="39"/>
        <v>99.088148474555609</v>
      </c>
      <c r="M69" s="408">
        <f t="shared" si="39"/>
        <v>101.96170478031772</v>
      </c>
      <c r="N69" s="432"/>
      <c r="O69" s="383"/>
      <c r="P69" s="383"/>
      <c r="Q69" s="383"/>
      <c r="R69" s="383"/>
      <c r="S69" s="383"/>
      <c r="T69" s="383"/>
      <c r="U69" s="383"/>
      <c r="V69" s="383"/>
      <c r="W69" s="383"/>
      <c r="X69" s="383"/>
      <c r="Y69" s="383"/>
      <c r="Z69" s="383"/>
    </row>
    <row r="70" spans="1:26" ht="12.75" customHeight="1" x14ac:dyDescent="0.3">
      <c r="A70" s="383"/>
      <c r="B70" s="383"/>
      <c r="C70" s="383"/>
      <c r="D70" s="383"/>
      <c r="E70" s="383"/>
      <c r="F70" s="383"/>
      <c r="G70" s="383"/>
      <c r="H70" s="383"/>
      <c r="I70" s="383"/>
      <c r="J70" s="383"/>
      <c r="K70" s="383"/>
      <c r="L70" s="383"/>
      <c r="M70" s="383"/>
      <c r="N70" s="383"/>
      <c r="O70" s="383"/>
      <c r="P70" s="383"/>
      <c r="Q70" s="383"/>
      <c r="R70" s="383"/>
      <c r="S70" s="383"/>
      <c r="T70" s="383"/>
      <c r="U70" s="383"/>
      <c r="V70" s="383"/>
      <c r="W70" s="383"/>
      <c r="X70" s="383"/>
      <c r="Y70" s="383"/>
      <c r="Z70" s="383"/>
    </row>
    <row r="71" spans="1:26" ht="12.75" customHeight="1" x14ac:dyDescent="0.3">
      <c r="A71" s="412" t="s">
        <v>1746</v>
      </c>
      <c r="B71" s="414">
        <f>+ipcene</f>
        <v>2.9000000000000001E-2</v>
      </c>
      <c r="C71" s="414">
        <f>+'REAL-BDGT2026'!J196</f>
        <v>2.9000000000000001E-2</v>
      </c>
      <c r="D71" s="414">
        <f>+'REAL-BDGT2026'!K196</f>
        <v>3.4000000000000002E-2</v>
      </c>
      <c r="E71" s="414">
        <f>+'REAL-BDGT2026'!L196</f>
        <v>2.5999999999999999E-2</v>
      </c>
      <c r="F71" s="414">
        <f>+'REAL-BDGT2026'!M196</f>
        <v>2.1000000000000001E-2</v>
      </c>
      <c r="G71" s="414">
        <f>+'REAL-BDGT2026'!N196</f>
        <v>2.9000000000000001E-2</v>
      </c>
      <c r="H71" s="414">
        <f>+'REAL-BDGT2026'!O196</f>
        <v>2.9000000000000001E-2</v>
      </c>
      <c r="I71" s="414">
        <f>+'REAL-BDGT2026'!P196</f>
        <v>2.9000000000000001E-2</v>
      </c>
      <c r="J71" s="414">
        <f>+'REAL-BDGT2026'!Q196</f>
        <v>2.9000000000000001E-2</v>
      </c>
      <c r="K71" s="414">
        <f>+'REAL-BDGT2026'!R196</f>
        <v>2.9000000000000001E-2</v>
      </c>
      <c r="L71" s="414">
        <f>+'REAL-BDGT2026'!S196</f>
        <v>2.9000000000000001E-2</v>
      </c>
      <c r="M71" s="414">
        <f>+'REAL-BDGT2026'!T196</f>
        <v>2.9000000000000001E-2</v>
      </c>
      <c r="N71" s="413"/>
      <c r="O71" s="413"/>
      <c r="P71" s="413"/>
      <c r="Q71" s="413"/>
      <c r="R71" s="413"/>
      <c r="S71" s="413"/>
      <c r="T71" s="413"/>
      <c r="U71" s="413"/>
      <c r="V71" s="413"/>
      <c r="W71" s="413"/>
      <c r="X71" s="413"/>
      <c r="Y71" s="413"/>
      <c r="Z71" s="413"/>
    </row>
    <row r="72" spans="1:26" ht="12.75" customHeight="1" x14ac:dyDescent="0.3">
      <c r="A72" s="383"/>
      <c r="B72" s="434">
        <f>1*(1+B71)</f>
        <v>1.0289999999999999</v>
      </c>
      <c r="C72" s="434">
        <f t="shared" ref="C72:M72" si="40">+B72*(1+C71)</f>
        <v>1.0588409999999999</v>
      </c>
      <c r="D72" s="434">
        <f t="shared" si="40"/>
        <v>1.094841594</v>
      </c>
      <c r="E72" s="434">
        <f t="shared" si="40"/>
        <v>1.123307475444</v>
      </c>
      <c r="F72" s="434">
        <f t="shared" si="40"/>
        <v>1.1468969324283238</v>
      </c>
      <c r="G72" s="434">
        <f t="shared" si="40"/>
        <v>1.1801569434687451</v>
      </c>
      <c r="H72" s="434">
        <f t="shared" si="40"/>
        <v>1.2143814948293385</v>
      </c>
      <c r="I72" s="434">
        <f t="shared" si="40"/>
        <v>1.2495985581793894</v>
      </c>
      <c r="J72" s="434">
        <f t="shared" si="40"/>
        <v>1.2858369163665915</v>
      </c>
      <c r="K72" s="434">
        <f t="shared" si="40"/>
        <v>1.3231261869412225</v>
      </c>
      <c r="L72" s="434">
        <f t="shared" si="40"/>
        <v>1.3614968463625179</v>
      </c>
      <c r="M72" s="434">
        <f t="shared" si="40"/>
        <v>1.4009802549070307</v>
      </c>
      <c r="N72" s="435">
        <f>+M72-1</f>
        <v>0.40098025490703071</v>
      </c>
      <c r="O72" s="436" t="s">
        <v>1747</v>
      </c>
      <c r="P72" s="383"/>
      <c r="Q72" s="383"/>
      <c r="R72" s="383"/>
      <c r="S72" s="383"/>
      <c r="T72" s="383"/>
      <c r="U72" s="383"/>
      <c r="V72" s="383"/>
      <c r="W72" s="383"/>
      <c r="X72" s="383"/>
      <c r="Y72" s="383"/>
      <c r="Z72" s="383"/>
    </row>
    <row r="73" spans="1:26" ht="12.75" customHeight="1" x14ac:dyDescent="0.3">
      <c r="A73" s="431"/>
      <c r="B73" s="437"/>
      <c r="C73" s="438"/>
      <c r="D73" s="383"/>
      <c r="E73" s="383"/>
      <c r="F73" s="383"/>
      <c r="G73" s="383"/>
      <c r="H73" s="383"/>
      <c r="I73" s="383"/>
      <c r="J73" s="383"/>
      <c r="K73" s="383"/>
      <c r="L73" s="383"/>
      <c r="M73" s="383"/>
      <c r="N73" s="383"/>
      <c r="O73" s="383"/>
      <c r="P73" s="383"/>
      <c r="Q73" s="383"/>
      <c r="R73" s="383"/>
      <c r="S73" s="383"/>
      <c r="T73" s="383"/>
      <c r="U73" s="383"/>
      <c r="V73" s="383"/>
      <c r="W73" s="383"/>
      <c r="X73" s="383"/>
      <c r="Y73" s="383"/>
      <c r="Z73" s="383"/>
    </row>
    <row r="74" spans="1:26" ht="12.75" customHeight="1" x14ac:dyDescent="0.3">
      <c r="A74" s="424" t="s">
        <v>1748</v>
      </c>
      <c r="B74" s="392">
        <f t="shared" ref="B74:M74" si="41">+B60</f>
        <v>46023</v>
      </c>
      <c r="C74" s="392">
        <f t="shared" si="41"/>
        <v>46054</v>
      </c>
      <c r="D74" s="392">
        <f t="shared" si="41"/>
        <v>46112</v>
      </c>
      <c r="E74" s="392">
        <f t="shared" si="41"/>
        <v>46142</v>
      </c>
      <c r="F74" s="392">
        <f t="shared" si="41"/>
        <v>46172</v>
      </c>
      <c r="G74" s="392">
        <f t="shared" si="41"/>
        <v>46202</v>
      </c>
      <c r="H74" s="392">
        <f t="shared" si="41"/>
        <v>46232</v>
      </c>
      <c r="I74" s="392">
        <f t="shared" si="41"/>
        <v>46262</v>
      </c>
      <c r="J74" s="392">
        <f t="shared" si="41"/>
        <v>46292</v>
      </c>
      <c r="K74" s="392">
        <f t="shared" si="41"/>
        <v>46322</v>
      </c>
      <c r="L74" s="425">
        <f t="shared" si="41"/>
        <v>46352</v>
      </c>
      <c r="M74" s="392">
        <f t="shared" si="41"/>
        <v>46382</v>
      </c>
      <c r="N74" s="439"/>
      <c r="O74" s="383"/>
      <c r="P74" s="383"/>
      <c r="Q74" s="383"/>
      <c r="R74" s="383"/>
      <c r="S74" s="383"/>
      <c r="T74" s="383"/>
      <c r="U74" s="383"/>
      <c r="V74" s="383"/>
      <c r="W74" s="383"/>
      <c r="X74" s="383"/>
      <c r="Y74" s="383"/>
      <c r="Z74" s="383"/>
    </row>
    <row r="75" spans="1:26" ht="12.75" customHeight="1" x14ac:dyDescent="0.3">
      <c r="A75" s="394" t="s">
        <v>1722</v>
      </c>
      <c r="B75" s="440">
        <f t="shared" ref="B75:M75" si="42">+B50*B61</f>
        <v>229842926.07333899</v>
      </c>
      <c r="C75" s="440">
        <f t="shared" si="42"/>
        <v>215149226.13410375</v>
      </c>
      <c r="D75" s="440">
        <f t="shared" si="42"/>
        <v>249546141.13635474</v>
      </c>
      <c r="E75" s="440">
        <f t="shared" si="42"/>
        <v>269766120.68156099</v>
      </c>
      <c r="F75" s="440">
        <f t="shared" si="42"/>
        <v>289185090.21631855</v>
      </c>
      <c r="G75" s="440">
        <f t="shared" si="42"/>
        <v>294704577.85746753</v>
      </c>
      <c r="H75" s="440">
        <f t="shared" si="42"/>
        <v>318702210.94349545</v>
      </c>
      <c r="I75" s="440">
        <f t="shared" si="42"/>
        <v>319008671.88400984</v>
      </c>
      <c r="J75" s="440">
        <f t="shared" si="42"/>
        <v>334319610.24183726</v>
      </c>
      <c r="K75" s="440">
        <f t="shared" si="42"/>
        <v>347040076.86604565</v>
      </c>
      <c r="L75" s="440">
        <f t="shared" si="42"/>
        <v>326968110.3281377</v>
      </c>
      <c r="M75" s="440">
        <f t="shared" si="42"/>
        <v>336450185.52765369</v>
      </c>
      <c r="N75" s="416">
        <f t="shared" ref="N75:N84" si="43">SUM(B75:M75)</f>
        <v>3530682947.8903246</v>
      </c>
      <c r="O75" s="383"/>
      <c r="P75" s="383"/>
      <c r="Q75" s="383"/>
      <c r="R75" s="383"/>
      <c r="S75" s="383"/>
      <c r="T75" s="383"/>
      <c r="U75" s="383"/>
      <c r="V75" s="383"/>
      <c r="W75" s="383"/>
      <c r="X75" s="383"/>
      <c r="Y75" s="383"/>
      <c r="Z75" s="383"/>
    </row>
    <row r="76" spans="1:26" ht="12.75" customHeight="1" x14ac:dyDescent="0.3">
      <c r="A76" s="394" t="s">
        <v>1723</v>
      </c>
      <c r="B76" s="440">
        <f t="shared" ref="B76:M76" si="44">+B51*B62</f>
        <v>32953170.80597157</v>
      </c>
      <c r="C76" s="440">
        <f t="shared" si="44"/>
        <v>30154973.610897653</v>
      </c>
      <c r="D76" s="440">
        <f t="shared" si="44"/>
        <v>34195134.166333623</v>
      </c>
      <c r="E76" s="440">
        <f t="shared" si="44"/>
        <v>35981229.836281136</v>
      </c>
      <c r="F76" s="440">
        <f t="shared" si="44"/>
        <v>38755921.139343418</v>
      </c>
      <c r="G76" s="440">
        <f t="shared" si="44"/>
        <v>40856223.49544245</v>
      </c>
      <c r="H76" s="440">
        <f t="shared" si="44"/>
        <v>43869891.333656222</v>
      </c>
      <c r="I76" s="440">
        <f t="shared" si="44"/>
        <v>43647182.334797189</v>
      </c>
      <c r="J76" s="440">
        <f t="shared" si="44"/>
        <v>44907169.030221984</v>
      </c>
      <c r="K76" s="440">
        <f t="shared" si="44"/>
        <v>49577153.838006526</v>
      </c>
      <c r="L76" s="440">
        <f t="shared" si="44"/>
        <v>43610794.035692237</v>
      </c>
      <c r="M76" s="440">
        <f t="shared" si="44"/>
        <v>44875507.06272731</v>
      </c>
      <c r="N76" s="416">
        <f t="shared" si="43"/>
        <v>483384350.68937135</v>
      </c>
      <c r="O76" s="383"/>
      <c r="P76" s="383"/>
      <c r="Q76" s="383"/>
      <c r="R76" s="383"/>
      <c r="S76" s="383"/>
      <c r="T76" s="383"/>
      <c r="U76" s="383"/>
      <c r="V76" s="383"/>
      <c r="W76" s="383"/>
      <c r="X76" s="383"/>
      <c r="Y76" s="383"/>
      <c r="Z76" s="383"/>
    </row>
    <row r="77" spans="1:26" ht="12.75" customHeight="1" x14ac:dyDescent="0.3">
      <c r="A77" s="394" t="s">
        <v>1724</v>
      </c>
      <c r="B77" s="440">
        <f t="shared" ref="B77:M77" si="45">+B52*B63</f>
        <v>127100999.55503632</v>
      </c>
      <c r="C77" s="440">
        <f t="shared" si="45"/>
        <v>123540528.55376245</v>
      </c>
      <c r="D77" s="440">
        <f t="shared" si="45"/>
        <v>138344150.91994601</v>
      </c>
      <c r="E77" s="440">
        <f t="shared" si="45"/>
        <v>148745243.47997487</v>
      </c>
      <c r="F77" s="440">
        <f t="shared" si="45"/>
        <v>158049329.39141083</v>
      </c>
      <c r="G77" s="440">
        <f t="shared" si="45"/>
        <v>161782475.6520344</v>
      </c>
      <c r="H77" s="440">
        <f t="shared" si="45"/>
        <v>179680398.86252075</v>
      </c>
      <c r="I77" s="440">
        <f t="shared" si="45"/>
        <v>176336613.98375109</v>
      </c>
      <c r="J77" s="440">
        <f t="shared" si="45"/>
        <v>184876796.71377784</v>
      </c>
      <c r="K77" s="440">
        <f t="shared" si="45"/>
        <v>194723935.75837049</v>
      </c>
      <c r="L77" s="440">
        <f t="shared" si="45"/>
        <v>180285615.76995099</v>
      </c>
      <c r="M77" s="440">
        <f t="shared" si="45"/>
        <v>185513898.62727955</v>
      </c>
      <c r="N77" s="416">
        <f t="shared" si="43"/>
        <v>1958979987.2678154</v>
      </c>
      <c r="O77" s="383"/>
      <c r="P77" s="383"/>
      <c r="Q77" s="383"/>
      <c r="R77" s="383"/>
      <c r="S77" s="383"/>
      <c r="T77" s="383"/>
      <c r="U77" s="383"/>
      <c r="V77" s="383"/>
      <c r="W77" s="383"/>
      <c r="X77" s="383"/>
      <c r="Y77" s="383"/>
      <c r="Z77" s="383"/>
    </row>
    <row r="78" spans="1:26" ht="12.75" customHeight="1" x14ac:dyDescent="0.3">
      <c r="A78" s="398" t="s">
        <v>1725</v>
      </c>
      <c r="B78" s="440">
        <f t="shared" ref="B78:M78" si="46">+B53*B64</f>
        <v>10066861.244507588</v>
      </c>
      <c r="C78" s="440">
        <f t="shared" si="46"/>
        <v>10125042.23042403</v>
      </c>
      <c r="D78" s="440">
        <f t="shared" si="46"/>
        <v>12077277.1974314</v>
      </c>
      <c r="E78" s="440">
        <f t="shared" si="46"/>
        <v>13146669.270047525</v>
      </c>
      <c r="F78" s="440">
        <f t="shared" si="46"/>
        <v>14277706.680840865</v>
      </c>
      <c r="G78" s="440">
        <f t="shared" si="46"/>
        <v>14686890.520618191</v>
      </c>
      <c r="H78" s="440">
        <f t="shared" si="46"/>
        <v>16392418.57664491</v>
      </c>
      <c r="I78" s="440">
        <f t="shared" si="46"/>
        <v>16895648.133027662</v>
      </c>
      <c r="J78" s="440">
        <f t="shared" si="46"/>
        <v>17845152.698910553</v>
      </c>
      <c r="K78" s="440">
        <f t="shared" si="46"/>
        <v>18362662.127178956</v>
      </c>
      <c r="L78" s="440">
        <f t="shared" si="46"/>
        <v>15934327.10333018</v>
      </c>
      <c r="M78" s="440">
        <f t="shared" si="46"/>
        <v>16396422.589326754</v>
      </c>
      <c r="N78" s="416">
        <f t="shared" si="43"/>
        <v>176207078.37228858</v>
      </c>
      <c r="O78" s="383"/>
      <c r="P78" s="383"/>
      <c r="Q78" s="383"/>
      <c r="R78" s="383"/>
      <c r="S78" s="383"/>
      <c r="T78" s="383"/>
      <c r="U78" s="383"/>
      <c r="V78" s="383"/>
      <c r="W78" s="383"/>
      <c r="X78" s="383"/>
      <c r="Y78" s="383"/>
      <c r="Z78" s="383"/>
    </row>
    <row r="79" spans="1:26" ht="12.75" customHeight="1" x14ac:dyDescent="0.3">
      <c r="A79" s="398" t="s">
        <v>1726</v>
      </c>
      <c r="B79" s="440">
        <f t="shared" ref="B79:M79" si="47">+B54*B65</f>
        <v>2637110.5049825329</v>
      </c>
      <c r="C79" s="440">
        <f t="shared" si="47"/>
        <v>2413149.5861512017</v>
      </c>
      <c r="D79" s="440">
        <f t="shared" si="47"/>
        <v>2736941.8317627371</v>
      </c>
      <c r="E79" s="440">
        <f t="shared" si="47"/>
        <v>2878787.2487939289</v>
      </c>
      <c r="F79" s="440">
        <f t="shared" si="47"/>
        <v>3102551.3337649661</v>
      </c>
      <c r="G79" s="440">
        <f t="shared" si="47"/>
        <v>3269930.1709670392</v>
      </c>
      <c r="H79" s="440">
        <f t="shared" si="47"/>
        <v>3511515.5728609432</v>
      </c>
      <c r="I79" s="440">
        <f t="shared" si="47"/>
        <v>3494142.6253079446</v>
      </c>
      <c r="J79" s="440">
        <f t="shared" si="47"/>
        <v>3594053.7901442205</v>
      </c>
      <c r="K79" s="440">
        <f t="shared" si="47"/>
        <v>3698281.3500584024</v>
      </c>
      <c r="L79" s="440">
        <f t="shared" si="47"/>
        <v>3489213.6358590084</v>
      </c>
      <c r="M79" s="440">
        <f t="shared" si="47"/>
        <v>3590400.8312989194</v>
      </c>
      <c r="N79" s="416">
        <f t="shared" si="43"/>
        <v>38416078.48195184</v>
      </c>
      <c r="O79" s="383"/>
      <c r="P79" s="383"/>
      <c r="Q79" s="383"/>
      <c r="R79" s="383"/>
      <c r="S79" s="383"/>
      <c r="T79" s="383"/>
      <c r="U79" s="383"/>
      <c r="V79" s="383"/>
      <c r="W79" s="383"/>
      <c r="X79" s="383"/>
      <c r="Y79" s="383"/>
      <c r="Z79" s="383"/>
    </row>
    <row r="80" spans="1:26" ht="12.75" customHeight="1" x14ac:dyDescent="0.3">
      <c r="A80" s="400" t="s">
        <v>1727</v>
      </c>
      <c r="B80" s="440">
        <f t="shared" ref="B80:M80" si="48">+B55*B66</f>
        <v>2934845.757116647</v>
      </c>
      <c r="C80" s="440">
        <f t="shared" si="48"/>
        <v>3151156.2507828735</v>
      </c>
      <c r="D80" s="440">
        <f t="shared" si="48"/>
        <v>3610058.5156254848</v>
      </c>
      <c r="E80" s="440">
        <f t="shared" si="48"/>
        <v>3790872.5231330493</v>
      </c>
      <c r="F80" s="440">
        <f t="shared" si="48"/>
        <v>4241892.873284623</v>
      </c>
      <c r="G80" s="440">
        <f t="shared" si="48"/>
        <v>4411737.4766360009</v>
      </c>
      <c r="H80" s="440">
        <f t="shared" si="48"/>
        <v>5101145.5585796162</v>
      </c>
      <c r="I80" s="440">
        <f t="shared" si="48"/>
        <v>5261871.3129297858</v>
      </c>
      <c r="J80" s="440">
        <f t="shared" si="48"/>
        <v>5584492.9504516199</v>
      </c>
      <c r="K80" s="440">
        <f t="shared" si="48"/>
        <v>5746443.246014717</v>
      </c>
      <c r="L80" s="440">
        <f t="shared" si="48"/>
        <v>4594700.1137581868</v>
      </c>
      <c r="M80" s="440">
        <f t="shared" si="48"/>
        <v>4727946.4170571743</v>
      </c>
      <c r="N80" s="416">
        <f t="shared" si="43"/>
        <v>53157162.99536977</v>
      </c>
      <c r="O80" s="383"/>
      <c r="P80" s="383"/>
      <c r="Q80" s="383"/>
      <c r="R80" s="383"/>
      <c r="S80" s="383"/>
      <c r="T80" s="383"/>
      <c r="U80" s="383"/>
      <c r="V80" s="383"/>
      <c r="W80" s="383"/>
      <c r="X80" s="383"/>
      <c r="Y80" s="383"/>
      <c r="Z80" s="383"/>
    </row>
    <row r="81" spans="1:26" ht="12.75" customHeight="1" x14ac:dyDescent="0.3">
      <c r="A81" s="394" t="s">
        <v>1728</v>
      </c>
      <c r="B81" s="441">
        <f t="shared" ref="B81:M81" si="49">+B56*B67</f>
        <v>1390917093.9412889</v>
      </c>
      <c r="C81" s="441">
        <f t="shared" si="49"/>
        <v>1312207837.3071842</v>
      </c>
      <c r="D81" s="441">
        <f t="shared" si="49"/>
        <v>1453037265.8556812</v>
      </c>
      <c r="E81" s="441">
        <f t="shared" si="49"/>
        <v>1499918941.3093154</v>
      </c>
      <c r="F81" s="441">
        <f t="shared" si="49"/>
        <v>1562743962.4676292</v>
      </c>
      <c r="G81" s="441">
        <f t="shared" si="49"/>
        <v>1554821426.392786</v>
      </c>
      <c r="H81" s="441">
        <f t="shared" si="49"/>
        <v>1722556338.6308444</v>
      </c>
      <c r="I81" s="441">
        <f t="shared" si="49"/>
        <v>1686926772.6577272</v>
      </c>
      <c r="J81" s="441">
        <f t="shared" si="49"/>
        <v>1773076698.1654139</v>
      </c>
      <c r="K81" s="441">
        <f t="shared" si="49"/>
        <v>1848875073.5777142</v>
      </c>
      <c r="L81" s="441">
        <f t="shared" si="49"/>
        <v>1817966098.3604357</v>
      </c>
      <c r="M81" s="441">
        <f t="shared" si="49"/>
        <v>1870687115.2128885</v>
      </c>
      <c r="N81" s="416">
        <f t="shared" si="43"/>
        <v>19493734623.87891</v>
      </c>
      <c r="O81" s="383"/>
      <c r="P81" s="383"/>
      <c r="Q81" s="383"/>
      <c r="R81" s="383"/>
      <c r="S81" s="383"/>
      <c r="T81" s="383"/>
      <c r="U81" s="383"/>
      <c r="V81" s="383"/>
      <c r="W81" s="383"/>
      <c r="X81" s="383"/>
      <c r="Y81" s="383"/>
      <c r="Z81" s="383"/>
    </row>
    <row r="82" spans="1:26" ht="12.75" customHeight="1" x14ac:dyDescent="0.3">
      <c r="A82" s="428" t="s">
        <v>1729</v>
      </c>
      <c r="B82" s="440">
        <f t="shared" ref="B82:M82" si="50">+B57*B68</f>
        <v>40455147.295331329</v>
      </c>
      <c r="C82" s="440">
        <f t="shared" si="50"/>
        <v>39402684.267290078</v>
      </c>
      <c r="D82" s="440">
        <f t="shared" si="50"/>
        <v>43201691.292627573</v>
      </c>
      <c r="E82" s="440">
        <f t="shared" si="50"/>
        <v>44722734.937224716</v>
      </c>
      <c r="F82" s="440">
        <f t="shared" si="50"/>
        <v>46019512.450325109</v>
      </c>
      <c r="G82" s="440">
        <f t="shared" si="50"/>
        <v>44173046.494229272</v>
      </c>
      <c r="H82" s="440">
        <f t="shared" si="50"/>
        <v>48981784.689996518</v>
      </c>
      <c r="I82" s="440">
        <f t="shared" si="50"/>
        <v>48026723.035084501</v>
      </c>
      <c r="J82" s="440">
        <f t="shared" si="50"/>
        <v>51231674.562668838</v>
      </c>
      <c r="K82" s="440">
        <f t="shared" si="50"/>
        <v>52717393.124986224</v>
      </c>
      <c r="L82" s="440">
        <f t="shared" si="50"/>
        <v>54205873.199295543</v>
      </c>
      <c r="M82" s="440">
        <f t="shared" si="50"/>
        <v>55777843.522075117</v>
      </c>
      <c r="N82" s="416">
        <f t="shared" si="43"/>
        <v>568916108.87113476</v>
      </c>
      <c r="O82" s="416">
        <f>SUM(N75:N82)</f>
        <v>26303478338.447166</v>
      </c>
      <c r="P82" s="442">
        <f>+O82/N117-1</f>
        <v>0.34905264814995851</v>
      </c>
      <c r="Q82" s="383"/>
      <c r="R82" s="383"/>
      <c r="S82" s="383"/>
      <c r="T82" s="383"/>
      <c r="U82" s="383"/>
      <c r="V82" s="383"/>
      <c r="W82" s="383"/>
      <c r="X82" s="383"/>
      <c r="Y82" s="383"/>
      <c r="Z82" s="383"/>
    </row>
    <row r="83" spans="1:26" ht="12.75" customHeight="1" x14ac:dyDescent="0.3">
      <c r="A83" s="443" t="s">
        <v>1743</v>
      </c>
      <c r="B83" s="444">
        <f t="shared" ref="B83:M83" si="51">+B58*B69</f>
        <v>0</v>
      </c>
      <c r="C83" s="444">
        <f t="shared" si="51"/>
        <v>0</v>
      </c>
      <c r="D83" s="444">
        <f t="shared" si="51"/>
        <v>0</v>
      </c>
      <c r="E83" s="444">
        <f t="shared" si="51"/>
        <v>37497973.532732889</v>
      </c>
      <c r="F83" s="444">
        <f t="shared" si="51"/>
        <v>78137198.123381466</v>
      </c>
      <c r="G83" s="444">
        <f t="shared" si="51"/>
        <v>116611606.97945897</v>
      </c>
      <c r="H83" s="444">
        <f t="shared" si="51"/>
        <v>172255633.86308447</v>
      </c>
      <c r="I83" s="444">
        <f t="shared" si="51"/>
        <v>210865846.58221591</v>
      </c>
      <c r="J83" s="444">
        <f t="shared" si="51"/>
        <v>265961504.72481206</v>
      </c>
      <c r="K83" s="444">
        <f t="shared" si="51"/>
        <v>323553137.8761</v>
      </c>
      <c r="L83" s="444">
        <f t="shared" si="51"/>
        <v>363593219.67208713</v>
      </c>
      <c r="M83" s="444">
        <f t="shared" si="51"/>
        <v>420904600.92289984</v>
      </c>
      <c r="N83" s="416">
        <f t="shared" si="43"/>
        <v>1989380722.276773</v>
      </c>
      <c r="O83" s="383"/>
      <c r="P83" s="383" t="s">
        <v>1749</v>
      </c>
      <c r="Q83" s="383"/>
      <c r="R83" s="383"/>
      <c r="S83" s="383"/>
      <c r="T83" s="383"/>
      <c r="U83" s="383"/>
      <c r="V83" s="383"/>
      <c r="W83" s="383"/>
      <c r="X83" s="383"/>
      <c r="Y83" s="383"/>
      <c r="Z83" s="383"/>
    </row>
    <row r="84" spans="1:26" ht="12.75" customHeight="1" x14ac:dyDescent="0.3">
      <c r="A84" s="445" t="s">
        <v>1750</v>
      </c>
      <c r="B84" s="446">
        <f t="shared" ref="B84:M84" si="52">SUM(B75:B83)</f>
        <v>1836908155.1775739</v>
      </c>
      <c r="C84" s="446">
        <f t="shared" si="52"/>
        <v>1736144597.9405963</v>
      </c>
      <c r="D84" s="446">
        <f t="shared" si="52"/>
        <v>1936748660.9157627</v>
      </c>
      <c r="E84" s="446">
        <f t="shared" si="52"/>
        <v>2056448572.8190644</v>
      </c>
      <c r="F84" s="446">
        <f t="shared" si="52"/>
        <v>2194513164.6762991</v>
      </c>
      <c r="G84" s="446">
        <f t="shared" si="52"/>
        <v>2235317915.0396399</v>
      </c>
      <c r="H84" s="446">
        <f t="shared" si="52"/>
        <v>2511051338.0316834</v>
      </c>
      <c r="I84" s="446">
        <f t="shared" si="52"/>
        <v>2510463472.5488515</v>
      </c>
      <c r="J84" s="446">
        <f t="shared" si="52"/>
        <v>2681397152.8782382</v>
      </c>
      <c r="K84" s="446">
        <f t="shared" si="52"/>
        <v>2844294157.7644753</v>
      </c>
      <c r="L84" s="446">
        <f t="shared" si="52"/>
        <v>2810647952.2185469</v>
      </c>
      <c r="M84" s="446">
        <f t="shared" si="52"/>
        <v>2938923920.7132068</v>
      </c>
      <c r="N84" s="447">
        <f t="shared" si="43"/>
        <v>28292859060.723942</v>
      </c>
      <c r="O84" s="383"/>
      <c r="P84" s="413"/>
      <c r="Q84" s="413"/>
      <c r="R84" s="413"/>
      <c r="S84" s="413"/>
      <c r="T84" s="413"/>
      <c r="U84" s="413"/>
      <c r="V84" s="413"/>
      <c r="W84" s="413"/>
      <c r="X84" s="413"/>
      <c r="Y84" s="413"/>
      <c r="Z84" s="413"/>
    </row>
    <row r="85" spans="1:26" ht="12" hidden="1" customHeight="1" outlineLevel="1" x14ac:dyDescent="0.3">
      <c r="A85" s="417" t="s">
        <v>1751</v>
      </c>
      <c r="B85" s="417"/>
      <c r="C85" s="417"/>
      <c r="D85" s="417"/>
      <c r="E85" s="417"/>
      <c r="F85" s="417"/>
      <c r="G85" s="417"/>
      <c r="H85" s="417"/>
      <c r="I85" s="417"/>
      <c r="J85" s="417"/>
      <c r="K85" s="417"/>
      <c r="L85" s="417"/>
      <c r="M85" s="417"/>
      <c r="N85" s="417"/>
      <c r="O85" s="383"/>
      <c r="P85" s="383"/>
      <c r="Q85" s="383"/>
      <c r="R85" s="383"/>
      <c r="S85" s="383"/>
      <c r="T85" s="383"/>
      <c r="U85" s="383"/>
      <c r="V85" s="383"/>
      <c r="W85" s="383"/>
      <c r="X85" s="383"/>
      <c r="Y85" s="383"/>
      <c r="Z85" s="383"/>
    </row>
    <row r="86" spans="1:26" ht="12.75" hidden="1" customHeight="1" outlineLevel="1" x14ac:dyDescent="0.3">
      <c r="A86" s="386" t="s">
        <v>1722</v>
      </c>
      <c r="B86" s="448"/>
      <c r="C86" s="448"/>
      <c r="D86" s="448"/>
      <c r="E86" s="448"/>
      <c r="F86" s="448"/>
      <c r="G86" s="448"/>
      <c r="H86" s="383"/>
      <c r="I86" s="383"/>
      <c r="J86" s="383"/>
      <c r="K86" s="383"/>
      <c r="L86" s="383"/>
      <c r="M86" s="383"/>
      <c r="N86" s="448">
        <f t="shared" ref="N86:N93" si="53">SUM(B86:M86)</f>
        <v>0</v>
      </c>
      <c r="O86" s="383"/>
      <c r="P86" s="383"/>
      <c r="Q86" s="383"/>
      <c r="R86" s="383"/>
      <c r="S86" s="383"/>
      <c r="T86" s="383"/>
      <c r="U86" s="383"/>
      <c r="V86" s="383"/>
      <c r="W86" s="383"/>
      <c r="X86" s="383"/>
      <c r="Y86" s="383"/>
      <c r="Z86" s="383"/>
    </row>
    <row r="87" spans="1:26" ht="12.75" hidden="1" customHeight="1" outlineLevel="1" x14ac:dyDescent="0.3">
      <c r="A87" s="386" t="s">
        <v>1723</v>
      </c>
      <c r="B87" s="448"/>
      <c r="C87" s="448"/>
      <c r="D87" s="448"/>
      <c r="E87" s="448"/>
      <c r="F87" s="448"/>
      <c r="G87" s="448"/>
      <c r="H87" s="383"/>
      <c r="I87" s="383"/>
      <c r="J87" s="383"/>
      <c r="K87" s="383"/>
      <c r="L87" s="383"/>
      <c r="M87" s="383"/>
      <c r="N87" s="448">
        <f t="shared" si="53"/>
        <v>0</v>
      </c>
      <c r="O87" s="383"/>
      <c r="P87" s="383"/>
      <c r="Q87" s="383"/>
      <c r="R87" s="383"/>
      <c r="S87" s="383"/>
      <c r="T87" s="383"/>
      <c r="U87" s="383"/>
      <c r="V87" s="383"/>
      <c r="W87" s="383"/>
      <c r="X87" s="383"/>
      <c r="Y87" s="383"/>
      <c r="Z87" s="383"/>
    </row>
    <row r="88" spans="1:26" ht="12.75" hidden="1" customHeight="1" outlineLevel="1" x14ac:dyDescent="0.3">
      <c r="A88" s="386" t="s">
        <v>1724</v>
      </c>
      <c r="B88" s="448"/>
      <c r="C88" s="448"/>
      <c r="D88" s="448"/>
      <c r="E88" s="448"/>
      <c r="F88" s="448"/>
      <c r="G88" s="448"/>
      <c r="H88" s="383"/>
      <c r="I88" s="383"/>
      <c r="J88" s="383"/>
      <c r="K88" s="383"/>
      <c r="L88" s="383"/>
      <c r="M88" s="383"/>
      <c r="N88" s="448">
        <f t="shared" si="53"/>
        <v>0</v>
      </c>
      <c r="O88" s="383"/>
      <c r="P88" s="383"/>
      <c r="Q88" s="383"/>
      <c r="R88" s="383"/>
      <c r="S88" s="383"/>
      <c r="T88" s="383"/>
      <c r="U88" s="383"/>
      <c r="V88" s="383"/>
      <c r="W88" s="383"/>
      <c r="X88" s="383"/>
      <c r="Y88" s="383"/>
      <c r="Z88" s="383"/>
    </row>
    <row r="89" spans="1:26" ht="12.75" hidden="1" customHeight="1" outlineLevel="1" x14ac:dyDescent="0.3">
      <c r="A89" s="386" t="s">
        <v>1725</v>
      </c>
      <c r="B89" s="448"/>
      <c r="C89" s="448"/>
      <c r="D89" s="448"/>
      <c r="E89" s="448"/>
      <c r="F89" s="448"/>
      <c r="G89" s="448"/>
      <c r="H89" s="383"/>
      <c r="I89" s="383"/>
      <c r="J89" s="383"/>
      <c r="K89" s="383"/>
      <c r="L89" s="383"/>
      <c r="M89" s="383"/>
      <c r="N89" s="448">
        <f t="shared" si="53"/>
        <v>0</v>
      </c>
      <c r="O89" s="383"/>
      <c r="P89" s="383"/>
      <c r="Q89" s="383"/>
      <c r="R89" s="383"/>
      <c r="S89" s="383"/>
      <c r="T89" s="383"/>
      <c r="U89" s="383"/>
      <c r="V89" s="383"/>
      <c r="W89" s="383"/>
      <c r="X89" s="383"/>
      <c r="Y89" s="383"/>
      <c r="Z89" s="383"/>
    </row>
    <row r="90" spans="1:26" ht="12.75" hidden="1" customHeight="1" outlineLevel="1" x14ac:dyDescent="0.3">
      <c r="A90" s="386" t="s">
        <v>1726</v>
      </c>
      <c r="B90" s="448"/>
      <c r="C90" s="448"/>
      <c r="D90" s="448"/>
      <c r="E90" s="448"/>
      <c r="F90" s="448"/>
      <c r="G90" s="448"/>
      <c r="H90" s="383"/>
      <c r="I90" s="383"/>
      <c r="J90" s="383"/>
      <c r="K90" s="383"/>
      <c r="L90" s="383"/>
      <c r="M90" s="383"/>
      <c r="N90" s="448">
        <f t="shared" si="53"/>
        <v>0</v>
      </c>
      <c r="O90" s="383"/>
      <c r="P90" s="383"/>
      <c r="Q90" s="383"/>
      <c r="R90" s="383"/>
      <c r="S90" s="383"/>
      <c r="T90" s="383"/>
      <c r="U90" s="383"/>
      <c r="V90" s="383"/>
      <c r="W90" s="383"/>
      <c r="X90" s="383"/>
      <c r="Y90" s="383"/>
      <c r="Z90" s="383"/>
    </row>
    <row r="91" spans="1:26" ht="12.75" hidden="1" customHeight="1" outlineLevel="1" x14ac:dyDescent="0.3">
      <c r="A91" s="386" t="s">
        <v>1727</v>
      </c>
      <c r="B91" s="448"/>
      <c r="C91" s="448"/>
      <c r="D91" s="448"/>
      <c r="E91" s="448"/>
      <c r="F91" s="448"/>
      <c r="G91" s="448"/>
      <c r="H91" s="383"/>
      <c r="I91" s="383"/>
      <c r="J91" s="383"/>
      <c r="K91" s="383"/>
      <c r="L91" s="383"/>
      <c r="M91" s="383"/>
      <c r="N91" s="448">
        <f t="shared" si="53"/>
        <v>0</v>
      </c>
      <c r="O91" s="383"/>
      <c r="P91" s="383"/>
      <c r="Q91" s="383"/>
      <c r="R91" s="383"/>
      <c r="S91" s="383"/>
      <c r="T91" s="383"/>
      <c r="U91" s="383"/>
      <c r="V91" s="383"/>
      <c r="W91" s="383"/>
      <c r="X91" s="383"/>
      <c r="Y91" s="383"/>
      <c r="Z91" s="383"/>
    </row>
    <row r="92" spans="1:26" ht="12.75" hidden="1" customHeight="1" outlineLevel="1" x14ac:dyDescent="0.3">
      <c r="A92" s="386" t="s">
        <v>1728</v>
      </c>
      <c r="B92" s="448"/>
      <c r="C92" s="448"/>
      <c r="D92" s="448"/>
      <c r="E92" s="448"/>
      <c r="F92" s="448"/>
      <c r="G92" s="448"/>
      <c r="H92" s="383"/>
      <c r="I92" s="383"/>
      <c r="J92" s="383"/>
      <c r="K92" s="383"/>
      <c r="L92" s="383"/>
      <c r="M92" s="383"/>
      <c r="N92" s="448">
        <f t="shared" si="53"/>
        <v>0</v>
      </c>
      <c r="O92" s="383"/>
      <c r="P92" s="383"/>
      <c r="Q92" s="383"/>
      <c r="R92" s="383"/>
      <c r="S92" s="383"/>
      <c r="T92" s="383"/>
      <c r="U92" s="383"/>
      <c r="V92" s="383"/>
      <c r="W92" s="383"/>
      <c r="X92" s="383"/>
      <c r="Y92" s="383"/>
      <c r="Z92" s="383"/>
    </row>
    <row r="93" spans="1:26" ht="12.75" hidden="1" customHeight="1" outlineLevel="1" x14ac:dyDescent="0.3">
      <c r="A93" s="449" t="s">
        <v>1729</v>
      </c>
      <c r="B93" s="450"/>
      <c r="C93" s="450"/>
      <c r="D93" s="450"/>
      <c r="E93" s="450"/>
      <c r="F93" s="450"/>
      <c r="G93" s="450"/>
      <c r="H93" s="431"/>
      <c r="I93" s="431"/>
      <c r="J93" s="431"/>
      <c r="K93" s="431"/>
      <c r="L93" s="431"/>
      <c r="M93" s="431"/>
      <c r="N93" s="450">
        <f t="shared" si="53"/>
        <v>0</v>
      </c>
      <c r="O93" s="383"/>
      <c r="P93" s="383"/>
      <c r="Q93" s="383"/>
      <c r="R93" s="383"/>
      <c r="S93" s="383"/>
      <c r="T93" s="383"/>
      <c r="U93" s="383"/>
      <c r="V93" s="383"/>
      <c r="W93" s="383"/>
      <c r="X93" s="383"/>
      <c r="Y93" s="383"/>
      <c r="Z93" s="383"/>
    </row>
    <row r="94" spans="1:26" ht="12.75" hidden="1" customHeight="1" outlineLevel="1" x14ac:dyDescent="0.3">
      <c r="A94" s="383"/>
      <c r="B94" s="383"/>
      <c r="C94" s="383"/>
      <c r="D94" s="383"/>
      <c r="E94" s="383"/>
      <c r="F94" s="383"/>
      <c r="G94" s="383"/>
      <c r="H94" s="383"/>
      <c r="I94" s="383"/>
      <c r="J94" s="383"/>
      <c r="K94" s="383"/>
      <c r="L94" s="383"/>
      <c r="M94" s="383"/>
      <c r="N94" s="383"/>
      <c r="O94" s="383"/>
      <c r="P94" s="383"/>
      <c r="Q94" s="383"/>
      <c r="R94" s="383"/>
      <c r="S94" s="383"/>
      <c r="T94" s="383"/>
      <c r="U94" s="383"/>
      <c r="V94" s="383"/>
      <c r="W94" s="383"/>
      <c r="X94" s="383"/>
      <c r="Y94" s="383"/>
      <c r="Z94" s="383"/>
    </row>
    <row r="95" spans="1:26" ht="12.75" hidden="1" customHeight="1" outlineLevel="1" x14ac:dyDescent="0.3">
      <c r="A95" s="383" t="s">
        <v>1752</v>
      </c>
      <c r="B95" s="383"/>
      <c r="C95" s="383"/>
      <c r="D95" s="383"/>
      <c r="E95" s="383"/>
      <c r="F95" s="383"/>
      <c r="G95" s="383"/>
      <c r="H95" s="383"/>
      <c r="I95" s="383"/>
      <c r="J95" s="383"/>
      <c r="K95" s="383"/>
      <c r="L95" s="383"/>
      <c r="M95" s="383"/>
      <c r="N95" s="383"/>
      <c r="O95" s="383"/>
      <c r="P95" s="383"/>
      <c r="Q95" s="383"/>
      <c r="R95" s="383"/>
      <c r="S95" s="383"/>
      <c r="T95" s="383"/>
      <c r="U95" s="383"/>
      <c r="V95" s="383"/>
      <c r="W95" s="383"/>
      <c r="X95" s="383"/>
      <c r="Y95" s="383"/>
      <c r="Z95" s="383"/>
    </row>
    <row r="96" spans="1:26" ht="12.75" hidden="1" customHeight="1" outlineLevel="1" x14ac:dyDescent="0.3">
      <c r="A96" s="451" t="s">
        <v>1722</v>
      </c>
      <c r="B96" s="452"/>
      <c r="C96" s="452"/>
      <c r="D96" s="452"/>
      <c r="E96" s="452"/>
      <c r="F96" s="452"/>
      <c r="G96" s="452"/>
      <c r="H96" s="452"/>
      <c r="I96" s="452"/>
      <c r="J96" s="452"/>
      <c r="K96" s="452"/>
      <c r="L96" s="452"/>
      <c r="M96" s="452"/>
      <c r="N96" s="452">
        <f t="shared" ref="N96:N103" si="54">SUM(B96:M96)</f>
        <v>0</v>
      </c>
      <c r="O96" s="383"/>
      <c r="P96" s="383"/>
      <c r="Q96" s="383"/>
      <c r="R96" s="383"/>
      <c r="S96" s="383"/>
      <c r="T96" s="383"/>
      <c r="U96" s="383"/>
      <c r="V96" s="383"/>
      <c r="W96" s="383"/>
      <c r="X96" s="383"/>
      <c r="Y96" s="383"/>
      <c r="Z96" s="383"/>
    </row>
    <row r="97" spans="1:26" ht="12.75" hidden="1" customHeight="1" outlineLevel="1" x14ac:dyDescent="0.3">
      <c r="A97" s="386" t="s">
        <v>1723</v>
      </c>
      <c r="B97" s="453"/>
      <c r="C97" s="453"/>
      <c r="D97" s="453"/>
      <c r="E97" s="453"/>
      <c r="F97" s="453"/>
      <c r="G97" s="453"/>
      <c r="H97" s="453"/>
      <c r="I97" s="453"/>
      <c r="J97" s="453"/>
      <c r="K97" s="453"/>
      <c r="L97" s="453"/>
      <c r="M97" s="453"/>
      <c r="N97" s="453">
        <f t="shared" si="54"/>
        <v>0</v>
      </c>
      <c r="O97" s="383"/>
      <c r="P97" s="383"/>
      <c r="Q97" s="383"/>
      <c r="R97" s="383"/>
      <c r="S97" s="383"/>
      <c r="T97" s="383"/>
      <c r="U97" s="383"/>
      <c r="V97" s="383"/>
      <c r="W97" s="383"/>
      <c r="X97" s="383"/>
      <c r="Y97" s="383"/>
      <c r="Z97" s="383"/>
    </row>
    <row r="98" spans="1:26" ht="12.75" hidden="1" customHeight="1" outlineLevel="1" x14ac:dyDescent="0.3">
      <c r="A98" s="386" t="s">
        <v>1724</v>
      </c>
      <c r="B98" s="453"/>
      <c r="C98" s="453"/>
      <c r="D98" s="453"/>
      <c r="E98" s="453"/>
      <c r="F98" s="453"/>
      <c r="G98" s="453"/>
      <c r="H98" s="453"/>
      <c r="I98" s="453"/>
      <c r="J98" s="453"/>
      <c r="K98" s="453"/>
      <c r="L98" s="453"/>
      <c r="M98" s="453"/>
      <c r="N98" s="453">
        <f t="shared" si="54"/>
        <v>0</v>
      </c>
      <c r="O98" s="383"/>
      <c r="P98" s="383"/>
      <c r="Q98" s="383"/>
      <c r="R98" s="383"/>
      <c r="S98" s="383"/>
      <c r="T98" s="383"/>
      <c r="U98" s="383"/>
      <c r="V98" s="383"/>
      <c r="W98" s="383"/>
      <c r="X98" s="383"/>
      <c r="Y98" s="383"/>
      <c r="Z98" s="383"/>
    </row>
    <row r="99" spans="1:26" ht="12.75" hidden="1" customHeight="1" outlineLevel="1" x14ac:dyDescent="0.3">
      <c r="A99" s="386" t="s">
        <v>1725</v>
      </c>
      <c r="B99" s="453"/>
      <c r="C99" s="453"/>
      <c r="D99" s="453"/>
      <c r="E99" s="453"/>
      <c r="F99" s="453"/>
      <c r="G99" s="453"/>
      <c r="H99" s="453"/>
      <c r="I99" s="453"/>
      <c r="J99" s="453"/>
      <c r="K99" s="453"/>
      <c r="L99" s="453"/>
      <c r="M99" s="453"/>
      <c r="N99" s="453">
        <f t="shared" si="54"/>
        <v>0</v>
      </c>
      <c r="O99" s="383"/>
      <c r="P99" s="383"/>
      <c r="Q99" s="383"/>
      <c r="R99" s="383"/>
      <c r="S99" s="383"/>
      <c r="T99" s="383"/>
      <c r="U99" s="383"/>
      <c r="V99" s="383"/>
      <c r="W99" s="383"/>
      <c r="X99" s="383"/>
      <c r="Y99" s="383"/>
      <c r="Z99" s="383"/>
    </row>
    <row r="100" spans="1:26" ht="12.75" hidden="1" customHeight="1" outlineLevel="1" x14ac:dyDescent="0.3">
      <c r="A100" s="386" t="s">
        <v>1726</v>
      </c>
      <c r="B100" s="453"/>
      <c r="C100" s="453"/>
      <c r="D100" s="453"/>
      <c r="E100" s="453"/>
      <c r="F100" s="453"/>
      <c r="G100" s="453"/>
      <c r="H100" s="453"/>
      <c r="I100" s="453"/>
      <c r="J100" s="453"/>
      <c r="K100" s="453"/>
      <c r="L100" s="453"/>
      <c r="M100" s="453"/>
      <c r="N100" s="453">
        <f t="shared" si="54"/>
        <v>0</v>
      </c>
      <c r="O100" s="383"/>
      <c r="P100" s="383"/>
      <c r="Q100" s="383"/>
      <c r="R100" s="383"/>
      <c r="S100" s="383"/>
      <c r="T100" s="383"/>
      <c r="U100" s="383"/>
      <c r="V100" s="383"/>
      <c r="W100" s="383"/>
      <c r="X100" s="383"/>
      <c r="Y100" s="383"/>
      <c r="Z100" s="383"/>
    </row>
    <row r="101" spans="1:26" ht="12.75" hidden="1" customHeight="1" outlineLevel="1" x14ac:dyDescent="0.3">
      <c r="A101" s="386" t="s">
        <v>1727</v>
      </c>
      <c r="B101" s="453"/>
      <c r="C101" s="453"/>
      <c r="D101" s="453"/>
      <c r="E101" s="453"/>
      <c r="F101" s="453"/>
      <c r="G101" s="453"/>
      <c r="H101" s="453"/>
      <c r="I101" s="453"/>
      <c r="J101" s="453"/>
      <c r="K101" s="453"/>
      <c r="L101" s="453"/>
      <c r="M101" s="453"/>
      <c r="N101" s="453">
        <f t="shared" si="54"/>
        <v>0</v>
      </c>
      <c r="O101" s="383"/>
      <c r="P101" s="383"/>
      <c r="Q101" s="383"/>
      <c r="R101" s="383"/>
      <c r="S101" s="383"/>
      <c r="T101" s="383"/>
      <c r="U101" s="383"/>
      <c r="V101" s="383"/>
      <c r="W101" s="383"/>
      <c r="X101" s="383"/>
      <c r="Y101" s="383"/>
      <c r="Z101" s="383"/>
    </row>
    <row r="102" spans="1:26" ht="12.75" hidden="1" customHeight="1" outlineLevel="1" x14ac:dyDescent="0.3">
      <c r="A102" s="386" t="s">
        <v>1728</v>
      </c>
      <c r="B102" s="453"/>
      <c r="C102" s="453"/>
      <c r="D102" s="453"/>
      <c r="E102" s="453"/>
      <c r="F102" s="453"/>
      <c r="G102" s="453"/>
      <c r="H102" s="453"/>
      <c r="I102" s="453"/>
      <c r="J102" s="453"/>
      <c r="K102" s="453"/>
      <c r="L102" s="453"/>
      <c r="M102" s="453"/>
      <c r="N102" s="453">
        <f t="shared" si="54"/>
        <v>0</v>
      </c>
      <c r="O102" s="383"/>
      <c r="P102" s="383"/>
      <c r="Q102" s="383"/>
      <c r="R102" s="383"/>
      <c r="S102" s="383"/>
      <c r="T102" s="383"/>
      <c r="U102" s="383"/>
      <c r="V102" s="383"/>
      <c r="W102" s="383"/>
      <c r="X102" s="383"/>
      <c r="Y102" s="383"/>
      <c r="Z102" s="383"/>
    </row>
    <row r="103" spans="1:26" ht="12.75" hidden="1" customHeight="1" outlineLevel="1" x14ac:dyDescent="0.3">
      <c r="A103" s="449" t="s">
        <v>1729</v>
      </c>
      <c r="B103" s="454"/>
      <c r="C103" s="454"/>
      <c r="D103" s="454"/>
      <c r="E103" s="454"/>
      <c r="F103" s="454"/>
      <c r="G103" s="454"/>
      <c r="H103" s="454"/>
      <c r="I103" s="454"/>
      <c r="J103" s="454"/>
      <c r="K103" s="454"/>
      <c r="L103" s="454"/>
      <c r="M103" s="454"/>
      <c r="N103" s="454">
        <f t="shared" si="54"/>
        <v>0</v>
      </c>
      <c r="O103" s="383"/>
      <c r="P103" s="383"/>
      <c r="Q103" s="383"/>
      <c r="R103" s="383"/>
      <c r="S103" s="383"/>
      <c r="T103" s="383"/>
      <c r="U103" s="383"/>
      <c r="V103" s="383"/>
      <c r="W103" s="383"/>
      <c r="X103" s="383"/>
      <c r="Y103" s="383"/>
      <c r="Z103" s="383"/>
    </row>
    <row r="104" spans="1:26" ht="12.75" hidden="1" customHeight="1" outlineLevel="1" x14ac:dyDescent="0.3">
      <c r="A104" s="383"/>
      <c r="B104" s="383"/>
      <c r="C104" s="383"/>
      <c r="D104" s="383"/>
      <c r="E104" s="383"/>
      <c r="F104" s="383"/>
      <c r="G104" s="416"/>
      <c r="H104" s="455"/>
      <c r="I104" s="383"/>
      <c r="J104" s="383"/>
      <c r="K104" s="383"/>
      <c r="L104" s="383"/>
      <c r="M104" s="383"/>
      <c r="N104" s="383"/>
      <c r="O104" s="383"/>
      <c r="P104" s="383"/>
      <c r="Q104" s="383"/>
      <c r="R104" s="383"/>
      <c r="S104" s="383"/>
      <c r="T104" s="383"/>
      <c r="U104" s="383"/>
      <c r="V104" s="383"/>
      <c r="W104" s="383"/>
      <c r="X104" s="383"/>
      <c r="Y104" s="383"/>
      <c r="Z104" s="383"/>
    </row>
    <row r="105" spans="1:26" ht="12.75" hidden="1" customHeight="1" outlineLevel="1" x14ac:dyDescent="0.3">
      <c r="A105" s="383" t="s">
        <v>1753</v>
      </c>
      <c r="B105" s="383"/>
      <c r="C105" s="383"/>
      <c r="D105" s="383"/>
      <c r="E105" s="383"/>
      <c r="F105" s="383"/>
      <c r="G105" s="406"/>
      <c r="H105" s="416"/>
      <c r="I105" s="383"/>
      <c r="J105" s="383"/>
      <c r="K105" s="383"/>
      <c r="L105" s="383"/>
      <c r="M105" s="383"/>
      <c r="N105" s="431"/>
      <c r="O105" s="383"/>
      <c r="P105" s="383"/>
      <c r="Q105" s="383"/>
      <c r="R105" s="383"/>
      <c r="S105" s="383"/>
      <c r="T105" s="383"/>
      <c r="U105" s="383"/>
      <c r="V105" s="383"/>
      <c r="W105" s="383"/>
      <c r="X105" s="383"/>
      <c r="Y105" s="383"/>
      <c r="Z105" s="383"/>
    </row>
    <row r="106" spans="1:26" ht="12.75" hidden="1" customHeight="1" outlineLevel="1" x14ac:dyDescent="0.3">
      <c r="A106" s="451" t="s">
        <v>1722</v>
      </c>
      <c r="B106" s="456"/>
      <c r="C106" s="456"/>
      <c r="D106" s="456"/>
      <c r="E106" s="456"/>
      <c r="F106" s="456"/>
      <c r="G106" s="456"/>
      <c r="H106" s="456"/>
      <c r="I106" s="456"/>
      <c r="J106" s="456"/>
      <c r="K106" s="456"/>
      <c r="L106" s="456"/>
      <c r="M106" s="456"/>
      <c r="N106" s="448">
        <f t="shared" ref="N106:N113" si="55">SUM(B106:M106)</f>
        <v>0</v>
      </c>
      <c r="O106" s="383"/>
      <c r="P106" s="383"/>
      <c r="Q106" s="383"/>
      <c r="R106" s="383"/>
      <c r="S106" s="383"/>
      <c r="T106" s="383"/>
      <c r="U106" s="383"/>
      <c r="V106" s="383"/>
      <c r="W106" s="383"/>
      <c r="X106" s="383"/>
      <c r="Y106" s="383"/>
      <c r="Z106" s="383"/>
    </row>
    <row r="107" spans="1:26" ht="12.75" hidden="1" customHeight="1" outlineLevel="1" x14ac:dyDescent="0.3">
      <c r="A107" s="386" t="s">
        <v>1723</v>
      </c>
      <c r="B107" s="448"/>
      <c r="C107" s="448"/>
      <c r="D107" s="448"/>
      <c r="E107" s="448"/>
      <c r="F107" s="448"/>
      <c r="G107" s="448"/>
      <c r="H107" s="448"/>
      <c r="I107" s="448"/>
      <c r="J107" s="448"/>
      <c r="K107" s="448"/>
      <c r="L107" s="448"/>
      <c r="M107" s="448"/>
      <c r="N107" s="448">
        <f t="shared" si="55"/>
        <v>0</v>
      </c>
      <c r="O107" s="383"/>
      <c r="P107" s="383"/>
      <c r="Q107" s="383"/>
      <c r="R107" s="383"/>
      <c r="S107" s="383"/>
      <c r="T107" s="383"/>
      <c r="U107" s="383"/>
      <c r="V107" s="383"/>
      <c r="W107" s="383"/>
      <c r="X107" s="383"/>
      <c r="Y107" s="383"/>
      <c r="Z107" s="383"/>
    </row>
    <row r="108" spans="1:26" ht="12.75" hidden="1" customHeight="1" outlineLevel="1" x14ac:dyDescent="0.3">
      <c r="A108" s="386" t="s">
        <v>1724</v>
      </c>
      <c r="B108" s="448"/>
      <c r="C108" s="448"/>
      <c r="D108" s="448"/>
      <c r="E108" s="448"/>
      <c r="F108" s="448"/>
      <c r="G108" s="448"/>
      <c r="H108" s="448"/>
      <c r="I108" s="448"/>
      <c r="J108" s="448"/>
      <c r="K108" s="448"/>
      <c r="L108" s="448"/>
      <c r="M108" s="448"/>
      <c r="N108" s="448">
        <f t="shared" si="55"/>
        <v>0</v>
      </c>
      <c r="O108" s="383"/>
      <c r="P108" s="383"/>
      <c r="Q108" s="383"/>
      <c r="R108" s="383"/>
      <c r="S108" s="383"/>
      <c r="T108" s="383"/>
      <c r="U108" s="383"/>
      <c r="V108" s="383"/>
      <c r="W108" s="383"/>
      <c r="X108" s="383"/>
      <c r="Y108" s="383"/>
      <c r="Z108" s="383"/>
    </row>
    <row r="109" spans="1:26" ht="12.75" hidden="1" customHeight="1" outlineLevel="1" x14ac:dyDescent="0.3">
      <c r="A109" s="386" t="s">
        <v>1725</v>
      </c>
      <c r="B109" s="448"/>
      <c r="C109" s="448"/>
      <c r="D109" s="448"/>
      <c r="E109" s="448"/>
      <c r="F109" s="448"/>
      <c r="G109" s="448"/>
      <c r="H109" s="448"/>
      <c r="I109" s="448"/>
      <c r="J109" s="448"/>
      <c r="K109" s="448"/>
      <c r="L109" s="448"/>
      <c r="M109" s="448"/>
      <c r="N109" s="448">
        <f t="shared" si="55"/>
        <v>0</v>
      </c>
      <c r="O109" s="383"/>
      <c r="P109" s="383"/>
      <c r="Q109" s="383"/>
      <c r="R109" s="383"/>
      <c r="S109" s="383"/>
      <c r="T109" s="383"/>
      <c r="U109" s="383"/>
      <c r="V109" s="383"/>
      <c r="W109" s="383"/>
      <c r="X109" s="383"/>
      <c r="Y109" s="383"/>
      <c r="Z109" s="383"/>
    </row>
    <row r="110" spans="1:26" ht="12.75" hidden="1" customHeight="1" outlineLevel="1" x14ac:dyDescent="0.3">
      <c r="A110" s="386" t="s">
        <v>1726</v>
      </c>
      <c r="B110" s="448"/>
      <c r="C110" s="448"/>
      <c r="D110" s="448"/>
      <c r="E110" s="448"/>
      <c r="F110" s="448"/>
      <c r="G110" s="448"/>
      <c r="H110" s="448"/>
      <c r="I110" s="448"/>
      <c r="J110" s="448"/>
      <c r="K110" s="448"/>
      <c r="L110" s="448"/>
      <c r="M110" s="448"/>
      <c r="N110" s="448">
        <f t="shared" si="55"/>
        <v>0</v>
      </c>
      <c r="O110" s="383"/>
      <c r="P110" s="383"/>
      <c r="Q110" s="383"/>
      <c r="R110" s="383"/>
      <c r="S110" s="383"/>
      <c r="T110" s="383"/>
      <c r="U110" s="383"/>
      <c r="V110" s="383"/>
      <c r="W110" s="383"/>
      <c r="X110" s="383"/>
      <c r="Y110" s="383"/>
      <c r="Z110" s="383"/>
    </row>
    <row r="111" spans="1:26" ht="12.75" hidden="1" customHeight="1" outlineLevel="1" x14ac:dyDescent="0.3">
      <c r="A111" s="386" t="s">
        <v>1727</v>
      </c>
      <c r="B111" s="448"/>
      <c r="C111" s="448"/>
      <c r="D111" s="448"/>
      <c r="E111" s="448"/>
      <c r="F111" s="448"/>
      <c r="G111" s="448"/>
      <c r="H111" s="448"/>
      <c r="I111" s="448"/>
      <c r="J111" s="448"/>
      <c r="K111" s="448"/>
      <c r="L111" s="448"/>
      <c r="M111" s="448"/>
      <c r="N111" s="448">
        <f t="shared" si="55"/>
        <v>0</v>
      </c>
      <c r="O111" s="383"/>
      <c r="P111" s="383"/>
      <c r="Q111" s="383"/>
      <c r="R111" s="383"/>
      <c r="S111" s="383"/>
      <c r="T111" s="383"/>
      <c r="U111" s="383"/>
      <c r="V111" s="383"/>
      <c r="W111" s="383"/>
      <c r="X111" s="383"/>
      <c r="Y111" s="383"/>
      <c r="Z111" s="383"/>
    </row>
    <row r="112" spans="1:26" ht="12.75" hidden="1" customHeight="1" outlineLevel="1" x14ac:dyDescent="0.3">
      <c r="A112" s="386" t="s">
        <v>1728</v>
      </c>
      <c r="B112" s="448"/>
      <c r="C112" s="448"/>
      <c r="D112" s="448"/>
      <c r="E112" s="448"/>
      <c r="F112" s="448"/>
      <c r="G112" s="448"/>
      <c r="H112" s="448"/>
      <c r="I112" s="448"/>
      <c r="J112" s="448"/>
      <c r="K112" s="448"/>
      <c r="L112" s="448"/>
      <c r="M112" s="448"/>
      <c r="N112" s="448">
        <f t="shared" si="55"/>
        <v>0</v>
      </c>
      <c r="O112" s="383"/>
      <c r="P112" s="383"/>
      <c r="Q112" s="383"/>
      <c r="R112" s="383"/>
      <c r="S112" s="383"/>
      <c r="T112" s="383"/>
      <c r="U112" s="383"/>
      <c r="V112" s="383"/>
      <c r="W112" s="383"/>
      <c r="X112" s="383"/>
      <c r="Y112" s="383"/>
      <c r="Z112" s="383"/>
    </row>
    <row r="113" spans="1:26" ht="12.75" hidden="1" customHeight="1" outlineLevel="1" x14ac:dyDescent="0.3">
      <c r="A113" s="449" t="s">
        <v>1729</v>
      </c>
      <c r="B113" s="450"/>
      <c r="C113" s="450"/>
      <c r="D113" s="450"/>
      <c r="E113" s="450"/>
      <c r="F113" s="450"/>
      <c r="G113" s="450"/>
      <c r="H113" s="450"/>
      <c r="I113" s="450"/>
      <c r="J113" s="450"/>
      <c r="K113" s="450"/>
      <c r="L113" s="450"/>
      <c r="M113" s="450"/>
      <c r="N113" s="450">
        <f t="shared" si="55"/>
        <v>0</v>
      </c>
      <c r="O113" s="383"/>
      <c r="P113" s="383"/>
      <c r="Q113" s="383"/>
      <c r="R113" s="383"/>
      <c r="S113" s="383"/>
      <c r="T113" s="383"/>
      <c r="U113" s="383"/>
      <c r="V113" s="383"/>
      <c r="W113" s="383"/>
      <c r="X113" s="383"/>
      <c r="Y113" s="383"/>
      <c r="Z113" s="383"/>
    </row>
    <row r="114" spans="1:26" ht="12.75" hidden="1" customHeight="1" outlineLevel="1" x14ac:dyDescent="0.3">
      <c r="A114" s="383"/>
      <c r="B114" s="456">
        <f t="shared" ref="B114:M114" si="56">SUM(B106:B113)</f>
        <v>0</v>
      </c>
      <c r="C114" s="456">
        <f t="shared" si="56"/>
        <v>0</v>
      </c>
      <c r="D114" s="456">
        <f t="shared" si="56"/>
        <v>0</v>
      </c>
      <c r="E114" s="456">
        <f t="shared" si="56"/>
        <v>0</v>
      </c>
      <c r="F114" s="456">
        <f t="shared" si="56"/>
        <v>0</v>
      </c>
      <c r="G114" s="456">
        <f t="shared" si="56"/>
        <v>0</v>
      </c>
      <c r="H114" s="456">
        <f t="shared" si="56"/>
        <v>0</v>
      </c>
      <c r="I114" s="456">
        <f t="shared" si="56"/>
        <v>0</v>
      </c>
      <c r="J114" s="456">
        <f t="shared" si="56"/>
        <v>0</v>
      </c>
      <c r="K114" s="456">
        <f t="shared" si="56"/>
        <v>0</v>
      </c>
      <c r="L114" s="456">
        <f t="shared" si="56"/>
        <v>0</v>
      </c>
      <c r="M114" s="456">
        <f t="shared" si="56"/>
        <v>0</v>
      </c>
      <c r="N114" s="383"/>
      <c r="O114" s="383"/>
      <c r="P114" s="383"/>
      <c r="Q114" s="383"/>
      <c r="R114" s="383"/>
      <c r="S114" s="383"/>
      <c r="T114" s="383"/>
      <c r="U114" s="383"/>
      <c r="V114" s="383"/>
      <c r="W114" s="383"/>
      <c r="X114" s="383"/>
      <c r="Y114" s="383"/>
      <c r="Z114" s="383"/>
    </row>
    <row r="115" spans="1:26" ht="12.75" hidden="1" customHeight="1" outlineLevel="1" x14ac:dyDescent="0.3">
      <c r="A115" s="383"/>
      <c r="B115" s="383"/>
      <c r="C115" s="383"/>
      <c r="D115" s="383"/>
      <c r="E115" s="383"/>
      <c r="F115" s="383"/>
      <c r="G115" s="448"/>
      <c r="H115" s="383"/>
      <c r="I115" s="383"/>
      <c r="J115" s="383"/>
      <c r="K115" s="383"/>
      <c r="L115" s="383"/>
      <c r="M115" s="383"/>
      <c r="N115" s="383"/>
      <c r="O115" s="383"/>
      <c r="P115" s="383"/>
      <c r="Q115" s="383"/>
      <c r="R115" s="383"/>
      <c r="S115" s="383"/>
      <c r="T115" s="383"/>
      <c r="U115" s="383"/>
      <c r="V115" s="383"/>
      <c r="W115" s="383"/>
      <c r="X115" s="383"/>
      <c r="Y115" s="383"/>
      <c r="Z115" s="383"/>
    </row>
    <row r="116" spans="1:26" ht="12.75" customHeight="1" collapsed="1" x14ac:dyDescent="0.3">
      <c r="A116" s="383"/>
      <c r="B116" s="383"/>
      <c r="C116" s="383"/>
      <c r="D116" s="383"/>
      <c r="E116" s="383"/>
      <c r="F116" s="383"/>
      <c r="G116" s="416"/>
      <c r="H116" s="383"/>
      <c r="I116" s="383"/>
      <c r="J116" s="383"/>
      <c r="K116" s="383"/>
      <c r="L116" s="383"/>
      <c r="M116" s="383"/>
      <c r="N116" s="442">
        <f>+N84/N117-1</f>
        <v>0.45108399537460064</v>
      </c>
      <c r="O116" s="413" t="s">
        <v>1754</v>
      </c>
      <c r="P116" s="383"/>
      <c r="Q116" s="383"/>
      <c r="R116" s="383"/>
      <c r="S116" s="383"/>
      <c r="T116" s="383"/>
      <c r="U116" s="383"/>
      <c r="V116" s="383"/>
      <c r="W116" s="383"/>
      <c r="X116" s="383"/>
      <c r="Y116" s="383"/>
      <c r="Z116" s="383"/>
    </row>
    <row r="117" spans="1:26" ht="12.75" customHeight="1" x14ac:dyDescent="0.3">
      <c r="A117" s="383"/>
      <c r="B117" s="383"/>
      <c r="C117" s="383"/>
      <c r="D117" s="383"/>
      <c r="E117" s="383"/>
      <c r="F117" s="383"/>
      <c r="G117" s="383"/>
      <c r="H117" s="383"/>
      <c r="I117" s="383"/>
      <c r="J117" s="383"/>
      <c r="K117" s="383"/>
      <c r="L117" s="383"/>
      <c r="M117" s="383"/>
      <c r="N117" s="416">
        <v>19497740414</v>
      </c>
      <c r="O117" s="383" t="s">
        <v>1755</v>
      </c>
      <c r="P117" s="383"/>
      <c r="Q117" s="383"/>
      <c r="R117" s="383"/>
      <c r="S117" s="383"/>
      <c r="T117" s="383"/>
      <c r="U117" s="383"/>
      <c r="V117" s="383"/>
      <c r="W117" s="383"/>
      <c r="X117" s="383"/>
      <c r="Y117" s="383"/>
      <c r="Z117" s="383"/>
    </row>
    <row r="118" spans="1:26" ht="12.75" customHeight="1" x14ac:dyDescent="0.3">
      <c r="A118" s="383"/>
      <c r="B118" s="383"/>
      <c r="C118" s="383"/>
      <c r="D118" s="383"/>
      <c r="E118" s="383"/>
      <c r="F118" s="383"/>
      <c r="G118" s="383"/>
      <c r="H118" s="383"/>
      <c r="I118" s="383"/>
      <c r="J118" s="383"/>
      <c r="K118" s="383"/>
      <c r="L118" s="383"/>
      <c r="M118" s="383"/>
      <c r="N118" s="383"/>
      <c r="O118" s="383"/>
      <c r="P118" s="383"/>
      <c r="Q118" s="383"/>
      <c r="R118" s="383"/>
      <c r="S118" s="383"/>
      <c r="T118" s="383"/>
      <c r="U118" s="383"/>
      <c r="V118" s="383"/>
      <c r="W118" s="383"/>
      <c r="X118" s="383"/>
      <c r="Y118" s="383"/>
      <c r="Z118" s="383"/>
    </row>
    <row r="119" spans="1:26" ht="12.75" customHeight="1" x14ac:dyDescent="0.3">
      <c r="A119" s="383"/>
      <c r="B119" s="383"/>
      <c r="C119" s="383"/>
      <c r="D119" s="383"/>
      <c r="E119" s="383"/>
      <c r="F119" s="383"/>
      <c r="G119" s="383"/>
      <c r="H119" s="383"/>
      <c r="I119" s="383"/>
      <c r="J119" s="383"/>
      <c r="K119" s="383"/>
      <c r="L119" s="383"/>
      <c r="M119" s="383"/>
      <c r="N119" s="383"/>
      <c r="O119" s="383"/>
      <c r="P119" s="383"/>
      <c r="Q119" s="383"/>
      <c r="R119" s="383"/>
      <c r="S119" s="383"/>
      <c r="T119" s="383"/>
      <c r="U119" s="383"/>
      <c r="V119" s="383"/>
      <c r="W119" s="383"/>
      <c r="X119" s="383"/>
      <c r="Y119" s="383"/>
      <c r="Z119" s="383"/>
    </row>
    <row r="120" spans="1:26" ht="12.75" customHeight="1" x14ac:dyDescent="0.3">
      <c r="A120" s="383"/>
      <c r="B120" s="383"/>
      <c r="C120" s="383"/>
      <c r="D120" s="383"/>
      <c r="E120" s="383"/>
      <c r="F120" s="383"/>
      <c r="G120" s="383"/>
      <c r="H120" s="383"/>
      <c r="I120" s="383"/>
      <c r="J120" s="383"/>
      <c r="K120" s="383"/>
      <c r="L120" s="383"/>
      <c r="M120" s="383"/>
      <c r="N120" s="383"/>
      <c r="O120" s="383"/>
      <c r="P120" s="383"/>
      <c r="Q120" s="383"/>
      <c r="R120" s="383"/>
      <c r="S120" s="383"/>
      <c r="T120" s="383"/>
      <c r="U120" s="383"/>
      <c r="V120" s="383"/>
      <c r="W120" s="383"/>
      <c r="X120" s="383"/>
      <c r="Y120" s="383"/>
      <c r="Z120" s="383"/>
    </row>
    <row r="121" spans="1:26" ht="12.75" customHeight="1" x14ac:dyDescent="0.3">
      <c r="A121" s="383"/>
      <c r="B121" s="383"/>
      <c r="C121" s="383"/>
      <c r="D121" s="383"/>
      <c r="E121" s="383"/>
      <c r="F121" s="383"/>
      <c r="G121" s="383"/>
      <c r="H121" s="383"/>
      <c r="I121" s="383"/>
      <c r="J121" s="383"/>
      <c r="K121" s="383"/>
      <c r="L121" s="383"/>
      <c r="M121" s="383"/>
      <c r="N121" s="383"/>
      <c r="O121" s="383"/>
      <c r="P121" s="383"/>
      <c r="Q121" s="383"/>
      <c r="R121" s="383"/>
      <c r="S121" s="383"/>
      <c r="T121" s="383"/>
      <c r="U121" s="383"/>
      <c r="V121" s="383"/>
      <c r="W121" s="383"/>
      <c r="X121" s="383"/>
      <c r="Y121" s="383"/>
      <c r="Z121" s="383"/>
    </row>
    <row r="122" spans="1:26" ht="12.75" customHeight="1" x14ac:dyDescent="0.3">
      <c r="A122" s="383"/>
      <c r="B122" s="383"/>
      <c r="C122" s="383"/>
      <c r="D122" s="383"/>
      <c r="E122" s="383"/>
      <c r="F122" s="383"/>
      <c r="G122" s="383"/>
      <c r="H122" s="383"/>
      <c r="I122" s="383"/>
      <c r="J122" s="383"/>
      <c r="K122" s="383"/>
      <c r="L122" s="383"/>
      <c r="M122" s="383"/>
      <c r="N122" s="383"/>
      <c r="O122" s="383"/>
      <c r="P122" s="383"/>
      <c r="Q122" s="383"/>
      <c r="R122" s="383"/>
      <c r="S122" s="383"/>
      <c r="T122" s="383"/>
      <c r="U122" s="383"/>
      <c r="V122" s="383"/>
      <c r="W122" s="383"/>
      <c r="X122" s="383"/>
      <c r="Y122" s="383"/>
      <c r="Z122" s="383"/>
    </row>
    <row r="123" spans="1:26" ht="12.75" customHeight="1" x14ac:dyDescent="0.3">
      <c r="A123" s="383"/>
      <c r="B123" s="383"/>
      <c r="C123" s="383"/>
      <c r="D123" s="383"/>
      <c r="E123" s="383"/>
      <c r="F123" s="383"/>
      <c r="G123" s="383"/>
      <c r="H123" s="383"/>
      <c r="I123" s="383"/>
      <c r="J123" s="383"/>
      <c r="K123" s="383"/>
      <c r="L123" s="383"/>
      <c r="M123" s="383"/>
      <c r="N123" s="383"/>
      <c r="O123" s="383"/>
      <c r="P123" s="383"/>
      <c r="Q123" s="383"/>
      <c r="R123" s="383"/>
      <c r="S123" s="383"/>
      <c r="T123" s="383"/>
      <c r="U123" s="383"/>
      <c r="V123" s="383"/>
      <c r="W123" s="383"/>
      <c r="X123" s="383"/>
      <c r="Y123" s="383"/>
      <c r="Z123" s="383"/>
    </row>
    <row r="124" spans="1:26" ht="12.75" customHeight="1" x14ac:dyDescent="0.3">
      <c r="A124" s="383"/>
      <c r="B124" s="383"/>
      <c r="C124" s="383"/>
      <c r="D124" s="383"/>
      <c r="E124" s="383"/>
      <c r="F124" s="383"/>
      <c r="G124" s="383"/>
      <c r="H124" s="383"/>
      <c r="I124" s="383"/>
      <c r="J124" s="383"/>
      <c r="K124" s="383"/>
      <c r="L124" s="383"/>
      <c r="M124" s="383"/>
      <c r="N124" s="383"/>
      <c r="O124" s="383"/>
      <c r="P124" s="383"/>
      <c r="Q124" s="383"/>
      <c r="R124" s="383"/>
      <c r="S124" s="383"/>
      <c r="T124" s="383"/>
      <c r="U124" s="383"/>
      <c r="V124" s="383"/>
      <c r="W124" s="383"/>
      <c r="X124" s="383"/>
      <c r="Y124" s="383"/>
      <c r="Z124" s="383"/>
    </row>
    <row r="125" spans="1:26" ht="12.75" customHeight="1" x14ac:dyDescent="0.3">
      <c r="A125" s="383"/>
      <c r="B125" s="383"/>
      <c r="C125" s="383"/>
      <c r="D125" s="383"/>
      <c r="E125" s="383"/>
      <c r="F125" s="383"/>
      <c r="G125" s="383"/>
      <c r="H125" s="383"/>
      <c r="I125" s="383"/>
      <c r="J125" s="383"/>
      <c r="K125" s="383"/>
      <c r="L125" s="383"/>
      <c r="M125" s="383"/>
      <c r="N125" s="383"/>
      <c r="O125" s="383"/>
      <c r="P125" s="383"/>
      <c r="Q125" s="383"/>
      <c r="R125" s="383"/>
      <c r="S125" s="383"/>
      <c r="T125" s="383"/>
      <c r="U125" s="383"/>
      <c r="V125" s="383"/>
      <c r="W125" s="383"/>
      <c r="X125" s="383"/>
      <c r="Y125" s="383"/>
      <c r="Z125" s="383"/>
    </row>
    <row r="126" spans="1:26" ht="12.75" customHeight="1" x14ac:dyDescent="0.3">
      <c r="A126" s="383"/>
      <c r="B126" s="383"/>
      <c r="C126" s="383"/>
      <c r="D126" s="383"/>
      <c r="E126" s="383"/>
      <c r="F126" s="383"/>
      <c r="G126" s="383"/>
      <c r="H126" s="383"/>
      <c r="I126" s="383"/>
      <c r="J126" s="383"/>
      <c r="K126" s="383"/>
      <c r="L126" s="383"/>
      <c r="M126" s="383"/>
      <c r="N126" s="383"/>
      <c r="O126" s="383"/>
      <c r="P126" s="383"/>
      <c r="Q126" s="383"/>
      <c r="R126" s="383"/>
      <c r="S126" s="383"/>
      <c r="T126" s="383"/>
      <c r="U126" s="383"/>
      <c r="V126" s="383"/>
      <c r="W126" s="383"/>
      <c r="X126" s="383"/>
      <c r="Y126" s="383"/>
      <c r="Z126" s="383"/>
    </row>
    <row r="127" spans="1:26" ht="12.75" customHeight="1" x14ac:dyDescent="0.3">
      <c r="A127" s="383"/>
      <c r="B127" s="383"/>
      <c r="C127" s="383"/>
      <c r="D127" s="383"/>
      <c r="E127" s="383"/>
      <c r="F127" s="383"/>
      <c r="G127" s="383"/>
      <c r="H127" s="383"/>
      <c r="I127" s="383"/>
      <c r="J127" s="383"/>
      <c r="K127" s="383"/>
      <c r="L127" s="383"/>
      <c r="M127" s="383"/>
      <c r="N127" s="383"/>
      <c r="O127" s="383"/>
      <c r="P127" s="383"/>
      <c r="Q127" s="383"/>
      <c r="R127" s="383"/>
      <c r="S127" s="383"/>
      <c r="T127" s="383"/>
      <c r="U127" s="383"/>
      <c r="V127" s="383"/>
      <c r="W127" s="383"/>
      <c r="X127" s="383"/>
      <c r="Y127" s="383"/>
      <c r="Z127" s="383"/>
    </row>
    <row r="128" spans="1:26" ht="12.75" customHeight="1" x14ac:dyDescent="0.3">
      <c r="A128" s="383"/>
      <c r="B128" s="383"/>
      <c r="C128" s="383"/>
      <c r="D128" s="383"/>
      <c r="E128" s="383"/>
      <c r="F128" s="383"/>
      <c r="G128" s="383"/>
      <c r="H128" s="383"/>
      <c r="I128" s="383"/>
      <c r="J128" s="383"/>
      <c r="K128" s="383"/>
      <c r="L128" s="383"/>
      <c r="M128" s="383"/>
      <c r="N128" s="383"/>
      <c r="O128" s="383"/>
      <c r="P128" s="383"/>
      <c r="Q128" s="383"/>
      <c r="R128" s="383"/>
      <c r="S128" s="383"/>
      <c r="T128" s="383"/>
      <c r="U128" s="383"/>
      <c r="V128" s="383"/>
      <c r="W128" s="383"/>
      <c r="X128" s="383"/>
      <c r="Y128" s="383"/>
      <c r="Z128" s="383"/>
    </row>
    <row r="129" spans="1:26" ht="12.75" customHeight="1" x14ac:dyDescent="0.3">
      <c r="A129" s="383"/>
      <c r="B129" s="383"/>
      <c r="C129" s="383"/>
      <c r="D129" s="383"/>
      <c r="E129" s="383"/>
      <c r="F129" s="383"/>
      <c r="G129" s="383"/>
      <c r="H129" s="383"/>
      <c r="I129" s="383"/>
      <c r="J129" s="383"/>
      <c r="K129" s="383"/>
      <c r="L129" s="383"/>
      <c r="M129" s="383"/>
      <c r="N129" s="383"/>
      <c r="O129" s="383"/>
      <c r="P129" s="383"/>
      <c r="Q129" s="383"/>
      <c r="R129" s="383"/>
      <c r="S129" s="383"/>
      <c r="T129" s="383"/>
      <c r="U129" s="383"/>
      <c r="V129" s="383"/>
      <c r="W129" s="383"/>
      <c r="X129" s="383"/>
      <c r="Y129" s="383"/>
      <c r="Z129" s="383"/>
    </row>
    <row r="130" spans="1:26" ht="12.75" customHeight="1" x14ac:dyDescent="0.3">
      <c r="A130" s="383"/>
      <c r="B130" s="383"/>
      <c r="C130" s="383"/>
      <c r="D130" s="383"/>
      <c r="E130" s="383"/>
      <c r="F130" s="383"/>
      <c r="G130" s="383"/>
      <c r="H130" s="383"/>
      <c r="I130" s="383"/>
      <c r="J130" s="383"/>
      <c r="K130" s="383"/>
      <c r="L130" s="383"/>
      <c r="M130" s="383"/>
      <c r="N130" s="383"/>
      <c r="O130" s="383"/>
      <c r="P130" s="383"/>
      <c r="Q130" s="383"/>
      <c r="R130" s="383"/>
      <c r="S130" s="383"/>
      <c r="T130" s="383"/>
      <c r="U130" s="383"/>
      <c r="V130" s="383"/>
      <c r="W130" s="383"/>
      <c r="X130" s="383"/>
      <c r="Y130" s="383"/>
      <c r="Z130" s="383"/>
    </row>
    <row r="131" spans="1:26" ht="12.75" customHeight="1" x14ac:dyDescent="0.3">
      <c r="A131" s="383"/>
      <c r="B131" s="383"/>
      <c r="C131" s="383"/>
      <c r="D131" s="383"/>
      <c r="E131" s="383"/>
      <c r="F131" s="383"/>
      <c r="G131" s="383"/>
      <c r="H131" s="383"/>
      <c r="I131" s="383"/>
      <c r="J131" s="383"/>
      <c r="K131" s="383"/>
      <c r="L131" s="383"/>
      <c r="M131" s="383"/>
      <c r="N131" s="383"/>
      <c r="O131" s="383"/>
      <c r="P131" s="383"/>
      <c r="Q131" s="383"/>
      <c r="R131" s="383"/>
      <c r="S131" s="383"/>
      <c r="T131" s="383"/>
      <c r="U131" s="383"/>
      <c r="V131" s="383"/>
      <c r="W131" s="383"/>
      <c r="X131" s="383"/>
      <c r="Y131" s="383"/>
      <c r="Z131" s="383"/>
    </row>
    <row r="132" spans="1:26" ht="12.75" customHeight="1" x14ac:dyDescent="0.3">
      <c r="A132" s="383"/>
      <c r="B132" s="383"/>
      <c r="C132" s="383"/>
      <c r="D132" s="383"/>
      <c r="E132" s="383"/>
      <c r="F132" s="383"/>
      <c r="G132" s="383"/>
      <c r="H132" s="383"/>
      <c r="I132" s="383"/>
      <c r="J132" s="383"/>
      <c r="K132" s="383"/>
      <c r="L132" s="383"/>
      <c r="M132" s="383"/>
      <c r="N132" s="383"/>
      <c r="O132" s="383"/>
      <c r="P132" s="383"/>
      <c r="Q132" s="383"/>
      <c r="R132" s="383"/>
      <c r="S132" s="383"/>
      <c r="T132" s="383"/>
      <c r="U132" s="383"/>
      <c r="V132" s="383"/>
      <c r="W132" s="383"/>
      <c r="X132" s="383"/>
      <c r="Y132" s="383"/>
      <c r="Z132" s="383"/>
    </row>
    <row r="133" spans="1:26" ht="12.75" customHeight="1" x14ac:dyDescent="0.3">
      <c r="A133" s="383"/>
      <c r="B133" s="383"/>
      <c r="C133" s="383"/>
      <c r="D133" s="383"/>
      <c r="E133" s="383"/>
      <c r="F133" s="383"/>
      <c r="G133" s="383"/>
      <c r="H133" s="383"/>
      <c r="I133" s="383"/>
      <c r="J133" s="383"/>
      <c r="K133" s="383"/>
      <c r="L133" s="383"/>
      <c r="M133" s="383"/>
      <c r="N133" s="383"/>
      <c r="O133" s="383"/>
      <c r="P133" s="383"/>
      <c r="Q133" s="383"/>
      <c r="R133" s="383"/>
      <c r="S133" s="383"/>
      <c r="T133" s="383"/>
      <c r="U133" s="383"/>
      <c r="V133" s="383"/>
      <c r="W133" s="383"/>
      <c r="X133" s="383"/>
      <c r="Y133" s="383"/>
      <c r="Z133" s="383"/>
    </row>
    <row r="134" spans="1:26" ht="12.75" customHeight="1" x14ac:dyDescent="0.3">
      <c r="A134" s="383"/>
      <c r="B134" s="383"/>
      <c r="C134" s="383"/>
      <c r="D134" s="383"/>
      <c r="E134" s="383"/>
      <c r="F134" s="383"/>
      <c r="G134" s="383"/>
      <c r="H134" s="383"/>
      <c r="I134" s="383"/>
      <c r="J134" s="383"/>
      <c r="K134" s="383"/>
      <c r="L134" s="383"/>
      <c r="M134" s="383"/>
      <c r="N134" s="383"/>
      <c r="O134" s="383"/>
      <c r="P134" s="383"/>
      <c r="Q134" s="383"/>
      <c r="R134" s="383"/>
      <c r="S134" s="383"/>
      <c r="T134" s="383"/>
      <c r="U134" s="383"/>
      <c r="V134" s="383"/>
      <c r="W134" s="383"/>
      <c r="X134" s="383"/>
      <c r="Y134" s="383"/>
      <c r="Z134" s="383"/>
    </row>
    <row r="135" spans="1:26" ht="12.75" customHeight="1" x14ac:dyDescent="0.3">
      <c r="A135" s="383"/>
      <c r="B135" s="383"/>
      <c r="C135" s="383"/>
      <c r="D135" s="383"/>
      <c r="E135" s="383"/>
      <c r="F135" s="383"/>
      <c r="G135" s="383"/>
      <c r="H135" s="383"/>
      <c r="I135" s="383"/>
      <c r="J135" s="383"/>
      <c r="K135" s="383"/>
      <c r="L135" s="383"/>
      <c r="M135" s="383"/>
      <c r="N135" s="383"/>
      <c r="O135" s="383"/>
      <c r="P135" s="383"/>
      <c r="Q135" s="383"/>
      <c r="R135" s="383"/>
      <c r="S135" s="383"/>
      <c r="T135" s="383"/>
      <c r="U135" s="383"/>
      <c r="V135" s="383"/>
      <c r="W135" s="383"/>
      <c r="X135" s="383"/>
      <c r="Y135" s="383"/>
      <c r="Z135" s="383"/>
    </row>
    <row r="136" spans="1:26" ht="12.75" customHeight="1" x14ac:dyDescent="0.3">
      <c r="A136" s="383"/>
      <c r="B136" s="383"/>
      <c r="C136" s="383"/>
      <c r="D136" s="383"/>
      <c r="E136" s="383"/>
      <c r="F136" s="383"/>
      <c r="G136" s="383"/>
      <c r="H136" s="383"/>
      <c r="I136" s="383"/>
      <c r="J136" s="383"/>
      <c r="K136" s="383"/>
      <c r="L136" s="383"/>
      <c r="M136" s="383"/>
      <c r="N136" s="383"/>
      <c r="O136" s="383"/>
      <c r="P136" s="383"/>
      <c r="Q136" s="383"/>
      <c r="R136" s="383"/>
      <c r="S136" s="383"/>
      <c r="T136" s="383"/>
      <c r="U136" s="383"/>
      <c r="V136" s="383"/>
      <c r="W136" s="383"/>
      <c r="X136" s="383"/>
      <c r="Y136" s="383"/>
      <c r="Z136" s="383"/>
    </row>
    <row r="137" spans="1:26" ht="12.75" customHeight="1" x14ac:dyDescent="0.3">
      <c r="A137" s="383"/>
      <c r="B137" s="383"/>
      <c r="C137" s="383"/>
      <c r="D137" s="383"/>
      <c r="E137" s="383"/>
      <c r="F137" s="383"/>
      <c r="G137" s="383"/>
      <c r="H137" s="383"/>
      <c r="I137" s="383"/>
      <c r="J137" s="383"/>
      <c r="K137" s="383"/>
      <c r="L137" s="383"/>
      <c r="M137" s="383"/>
      <c r="N137" s="383"/>
      <c r="O137" s="383"/>
      <c r="P137" s="383"/>
      <c r="Q137" s="383"/>
      <c r="R137" s="383"/>
      <c r="S137" s="383"/>
      <c r="T137" s="383"/>
      <c r="U137" s="383"/>
      <c r="V137" s="383"/>
      <c r="W137" s="383"/>
      <c r="X137" s="383"/>
      <c r="Y137" s="383"/>
      <c r="Z137" s="383"/>
    </row>
    <row r="138" spans="1:26" ht="12.75" customHeight="1" x14ac:dyDescent="0.3">
      <c r="A138" s="383"/>
      <c r="B138" s="383"/>
      <c r="C138" s="383"/>
      <c r="D138" s="383"/>
      <c r="E138" s="383"/>
      <c r="F138" s="383"/>
      <c r="G138" s="383"/>
      <c r="H138" s="383"/>
      <c r="I138" s="383"/>
      <c r="J138" s="383"/>
      <c r="K138" s="383"/>
      <c r="L138" s="383"/>
      <c r="M138" s="383"/>
      <c r="N138" s="383"/>
      <c r="O138" s="383"/>
      <c r="P138" s="383"/>
      <c r="Q138" s="383"/>
      <c r="R138" s="383"/>
      <c r="S138" s="383"/>
      <c r="T138" s="383"/>
      <c r="U138" s="383"/>
      <c r="V138" s="383"/>
      <c r="W138" s="383"/>
      <c r="X138" s="383"/>
      <c r="Y138" s="383"/>
      <c r="Z138" s="383"/>
    </row>
    <row r="139" spans="1:26" ht="12.75" customHeight="1" x14ac:dyDescent="0.3">
      <c r="A139" s="383"/>
      <c r="B139" s="383"/>
      <c r="C139" s="383"/>
      <c r="D139" s="383"/>
      <c r="E139" s="383"/>
      <c r="F139" s="383"/>
      <c r="G139" s="383"/>
      <c r="H139" s="383"/>
      <c r="I139" s="383"/>
      <c r="J139" s="383"/>
      <c r="K139" s="383"/>
      <c r="L139" s="383"/>
      <c r="M139" s="383"/>
      <c r="N139" s="383"/>
      <c r="O139" s="383"/>
      <c r="P139" s="383"/>
      <c r="Q139" s="383"/>
      <c r="R139" s="383"/>
      <c r="S139" s="383"/>
      <c r="T139" s="383"/>
      <c r="U139" s="383"/>
      <c r="V139" s="383"/>
      <c r="W139" s="383"/>
      <c r="X139" s="383"/>
      <c r="Y139" s="383"/>
      <c r="Z139" s="383"/>
    </row>
    <row r="140" spans="1:26" ht="12.75" customHeight="1" x14ac:dyDescent="0.3">
      <c r="A140" s="383"/>
      <c r="B140" s="383"/>
      <c r="C140" s="383"/>
      <c r="D140" s="383"/>
      <c r="E140" s="383"/>
      <c r="F140" s="383"/>
      <c r="G140" s="383"/>
      <c r="H140" s="383"/>
      <c r="I140" s="383"/>
      <c r="J140" s="383"/>
      <c r="K140" s="383"/>
      <c r="L140" s="383"/>
      <c r="M140" s="383"/>
      <c r="N140" s="383"/>
      <c r="O140" s="383"/>
      <c r="P140" s="383"/>
      <c r="Q140" s="383"/>
      <c r="R140" s="383"/>
      <c r="S140" s="383"/>
      <c r="T140" s="383"/>
      <c r="U140" s="383"/>
      <c r="V140" s="383"/>
      <c r="W140" s="383"/>
      <c r="X140" s="383"/>
      <c r="Y140" s="383"/>
      <c r="Z140" s="383"/>
    </row>
    <row r="141" spans="1:26" ht="12.75" customHeight="1" x14ac:dyDescent="0.3">
      <c r="A141" s="383"/>
      <c r="B141" s="383"/>
      <c r="C141" s="383"/>
      <c r="D141" s="383"/>
      <c r="E141" s="383"/>
      <c r="F141" s="383"/>
      <c r="G141" s="383"/>
      <c r="H141" s="383"/>
      <c r="I141" s="383"/>
      <c r="J141" s="383"/>
      <c r="K141" s="383"/>
      <c r="L141" s="383"/>
      <c r="M141" s="383"/>
      <c r="N141" s="383"/>
      <c r="O141" s="383"/>
      <c r="P141" s="383"/>
      <c r="Q141" s="383"/>
      <c r="R141" s="383"/>
      <c r="S141" s="383"/>
      <c r="T141" s="383"/>
      <c r="U141" s="383"/>
      <c r="V141" s="383"/>
      <c r="W141" s="383"/>
      <c r="X141" s="383"/>
      <c r="Y141" s="383"/>
      <c r="Z141" s="383"/>
    </row>
    <row r="142" spans="1:26" ht="12.75" customHeight="1" x14ac:dyDescent="0.3">
      <c r="A142" s="383"/>
      <c r="B142" s="383"/>
      <c r="C142" s="383"/>
      <c r="D142" s="383"/>
      <c r="E142" s="383"/>
      <c r="F142" s="383"/>
      <c r="G142" s="383"/>
      <c r="H142" s="383"/>
      <c r="I142" s="383"/>
      <c r="J142" s="383"/>
      <c r="K142" s="383"/>
      <c r="L142" s="383"/>
      <c r="M142" s="383"/>
      <c r="N142" s="383"/>
      <c r="O142" s="383"/>
      <c r="P142" s="383"/>
      <c r="Q142" s="383"/>
      <c r="R142" s="383"/>
      <c r="S142" s="383"/>
      <c r="T142" s="383"/>
      <c r="U142" s="383"/>
      <c r="V142" s="383"/>
      <c r="W142" s="383"/>
      <c r="X142" s="383"/>
      <c r="Y142" s="383"/>
      <c r="Z142" s="383"/>
    </row>
    <row r="143" spans="1:26" ht="12.75" customHeight="1" x14ac:dyDescent="0.3">
      <c r="A143" s="383"/>
      <c r="B143" s="383"/>
      <c r="C143" s="383"/>
      <c r="D143" s="383"/>
      <c r="E143" s="383"/>
      <c r="F143" s="383"/>
      <c r="G143" s="383"/>
      <c r="H143" s="383"/>
      <c r="I143" s="383"/>
      <c r="J143" s="383"/>
      <c r="K143" s="383"/>
      <c r="L143" s="383"/>
      <c r="M143" s="383"/>
      <c r="N143" s="383"/>
      <c r="O143" s="383"/>
      <c r="P143" s="383"/>
      <c r="Q143" s="383"/>
      <c r="R143" s="383"/>
      <c r="S143" s="383"/>
      <c r="T143" s="383"/>
      <c r="U143" s="383"/>
      <c r="V143" s="383"/>
      <c r="W143" s="383"/>
      <c r="X143" s="383"/>
      <c r="Y143" s="383"/>
      <c r="Z143" s="383"/>
    </row>
    <row r="144" spans="1:26" ht="12.75" customHeight="1" x14ac:dyDescent="0.3">
      <c r="A144" s="383"/>
      <c r="B144" s="383"/>
      <c r="C144" s="383"/>
      <c r="D144" s="383"/>
      <c r="E144" s="383"/>
      <c r="F144" s="383"/>
      <c r="G144" s="383"/>
      <c r="H144" s="383"/>
      <c r="I144" s="383"/>
      <c r="J144" s="383"/>
      <c r="K144" s="383"/>
      <c r="L144" s="383"/>
      <c r="M144" s="383"/>
      <c r="N144" s="383"/>
      <c r="O144" s="383"/>
      <c r="P144" s="383"/>
      <c r="Q144" s="383"/>
      <c r="R144" s="383"/>
      <c r="S144" s="383"/>
      <c r="T144" s="383"/>
      <c r="U144" s="383"/>
      <c r="V144" s="383"/>
      <c r="W144" s="383"/>
      <c r="X144" s="383"/>
      <c r="Y144" s="383"/>
      <c r="Z144" s="383"/>
    </row>
    <row r="145" spans="1:26" ht="12.75" customHeight="1" x14ac:dyDescent="0.3">
      <c r="A145" s="383"/>
      <c r="B145" s="383"/>
      <c r="C145" s="383"/>
      <c r="D145" s="383"/>
      <c r="E145" s="383"/>
      <c r="F145" s="383"/>
      <c r="G145" s="383"/>
      <c r="H145" s="383"/>
      <c r="I145" s="383"/>
      <c r="J145" s="383"/>
      <c r="K145" s="383"/>
      <c r="L145" s="383"/>
      <c r="M145" s="383"/>
      <c r="N145" s="383"/>
      <c r="O145" s="383"/>
      <c r="P145" s="383"/>
      <c r="Q145" s="383"/>
      <c r="R145" s="383"/>
      <c r="S145" s="383"/>
      <c r="T145" s="383"/>
      <c r="U145" s="383"/>
      <c r="V145" s="383"/>
      <c r="W145" s="383"/>
      <c r="X145" s="383"/>
      <c r="Y145" s="383"/>
      <c r="Z145" s="383"/>
    </row>
    <row r="146" spans="1:26" ht="12.75" customHeight="1" x14ac:dyDescent="0.3">
      <c r="A146" s="383"/>
      <c r="B146" s="383"/>
      <c r="C146" s="383"/>
      <c r="D146" s="383"/>
      <c r="E146" s="383"/>
      <c r="F146" s="383"/>
      <c r="G146" s="383"/>
      <c r="H146" s="383"/>
      <c r="I146" s="383"/>
      <c r="J146" s="383"/>
      <c r="K146" s="383"/>
      <c r="L146" s="383"/>
      <c r="M146" s="383"/>
      <c r="N146" s="383"/>
      <c r="O146" s="383"/>
      <c r="P146" s="383"/>
      <c r="Q146" s="383"/>
      <c r="R146" s="383"/>
      <c r="S146" s="383"/>
      <c r="T146" s="383"/>
      <c r="U146" s="383"/>
      <c r="V146" s="383"/>
      <c r="W146" s="383"/>
      <c r="X146" s="383"/>
      <c r="Y146" s="383"/>
      <c r="Z146" s="383"/>
    </row>
    <row r="147" spans="1:26" ht="12.75" customHeight="1" x14ac:dyDescent="0.3">
      <c r="A147" s="383"/>
      <c r="B147" s="383"/>
      <c r="C147" s="383"/>
      <c r="D147" s="383"/>
      <c r="E147" s="383"/>
      <c r="F147" s="383"/>
      <c r="G147" s="383"/>
      <c r="H147" s="383"/>
      <c r="I147" s="383"/>
      <c r="J147" s="383"/>
      <c r="K147" s="383"/>
      <c r="L147" s="383"/>
      <c r="M147" s="383"/>
      <c r="N147" s="383"/>
      <c r="O147" s="383"/>
      <c r="P147" s="383"/>
      <c r="Q147" s="383"/>
      <c r="R147" s="383"/>
      <c r="S147" s="383"/>
      <c r="T147" s="383"/>
      <c r="U147" s="383"/>
      <c r="V147" s="383"/>
      <c r="W147" s="383"/>
      <c r="X147" s="383"/>
      <c r="Y147" s="383"/>
      <c r="Z147" s="383"/>
    </row>
    <row r="148" spans="1:26" ht="12.75" customHeight="1" x14ac:dyDescent="0.3">
      <c r="A148" s="383"/>
      <c r="B148" s="383"/>
      <c r="C148" s="383"/>
      <c r="D148" s="383"/>
      <c r="E148" s="383"/>
      <c r="F148" s="383"/>
      <c r="G148" s="383"/>
      <c r="H148" s="383"/>
      <c r="I148" s="383"/>
      <c r="J148" s="383"/>
      <c r="K148" s="383"/>
      <c r="L148" s="383"/>
      <c r="M148" s="383"/>
      <c r="N148" s="383"/>
      <c r="O148" s="383"/>
      <c r="P148" s="383"/>
      <c r="Q148" s="383"/>
      <c r="R148" s="383"/>
      <c r="S148" s="383"/>
      <c r="T148" s="383"/>
      <c r="U148" s="383"/>
      <c r="V148" s="383"/>
      <c r="W148" s="383"/>
      <c r="X148" s="383"/>
      <c r="Y148" s="383"/>
      <c r="Z148" s="383"/>
    </row>
    <row r="149" spans="1:26" ht="12.75" customHeight="1" x14ac:dyDescent="0.3">
      <c r="A149" s="383"/>
      <c r="B149" s="383"/>
      <c r="C149" s="383"/>
      <c r="D149" s="383"/>
      <c r="E149" s="383"/>
      <c r="F149" s="383"/>
      <c r="G149" s="383"/>
      <c r="H149" s="383"/>
      <c r="I149" s="383"/>
      <c r="J149" s="383"/>
      <c r="K149" s="383"/>
      <c r="L149" s="383"/>
      <c r="M149" s="383"/>
      <c r="N149" s="383"/>
      <c r="O149" s="383"/>
      <c r="P149" s="383"/>
      <c r="Q149" s="383"/>
      <c r="R149" s="383"/>
      <c r="S149" s="383"/>
      <c r="T149" s="383"/>
      <c r="U149" s="383"/>
      <c r="V149" s="383"/>
      <c r="W149" s="383"/>
      <c r="X149" s="383"/>
      <c r="Y149" s="383"/>
      <c r="Z149" s="383"/>
    </row>
    <row r="150" spans="1:26" ht="12.75" customHeight="1" x14ac:dyDescent="0.3">
      <c r="A150" s="383"/>
      <c r="B150" s="383"/>
      <c r="C150" s="383"/>
      <c r="D150" s="383"/>
      <c r="E150" s="383"/>
      <c r="F150" s="383"/>
      <c r="G150" s="383"/>
      <c r="H150" s="383"/>
      <c r="I150" s="383"/>
      <c r="J150" s="383"/>
      <c r="K150" s="383"/>
      <c r="L150" s="383"/>
      <c r="M150" s="383"/>
      <c r="N150" s="383"/>
      <c r="O150" s="383"/>
      <c r="P150" s="383"/>
      <c r="Q150" s="383"/>
      <c r="R150" s="383"/>
      <c r="S150" s="383"/>
      <c r="T150" s="383"/>
      <c r="U150" s="383"/>
      <c r="V150" s="383"/>
      <c r="W150" s="383"/>
      <c r="X150" s="383"/>
      <c r="Y150" s="383"/>
      <c r="Z150" s="383"/>
    </row>
    <row r="151" spans="1:26" ht="12.75" customHeight="1" x14ac:dyDescent="0.3">
      <c r="A151" s="383"/>
      <c r="B151" s="383"/>
      <c r="C151" s="383"/>
      <c r="D151" s="383"/>
      <c r="E151" s="383"/>
      <c r="F151" s="383"/>
      <c r="G151" s="383"/>
      <c r="H151" s="383"/>
      <c r="I151" s="383"/>
      <c r="J151" s="383"/>
      <c r="K151" s="383"/>
      <c r="L151" s="383"/>
      <c r="M151" s="383"/>
      <c r="N151" s="383"/>
      <c r="O151" s="383"/>
      <c r="P151" s="383"/>
      <c r="Q151" s="383"/>
      <c r="R151" s="383"/>
      <c r="S151" s="383"/>
      <c r="T151" s="383"/>
      <c r="U151" s="383"/>
      <c r="V151" s="383"/>
      <c r="W151" s="383"/>
      <c r="X151" s="383"/>
      <c r="Y151" s="383"/>
      <c r="Z151" s="383"/>
    </row>
    <row r="152" spans="1:26" ht="12.75" customHeight="1" x14ac:dyDescent="0.3">
      <c r="A152" s="383"/>
      <c r="B152" s="383"/>
      <c r="C152" s="383"/>
      <c r="D152" s="383"/>
      <c r="E152" s="383"/>
      <c r="F152" s="383"/>
      <c r="G152" s="383"/>
      <c r="H152" s="383"/>
      <c r="I152" s="383"/>
      <c r="J152" s="383"/>
      <c r="K152" s="383"/>
      <c r="L152" s="383"/>
      <c r="M152" s="383"/>
      <c r="N152" s="383"/>
      <c r="O152" s="383"/>
      <c r="P152" s="383"/>
      <c r="Q152" s="383"/>
      <c r="R152" s="383"/>
      <c r="S152" s="383"/>
      <c r="T152" s="383"/>
      <c r="U152" s="383"/>
      <c r="V152" s="383"/>
      <c r="W152" s="383"/>
      <c r="X152" s="383"/>
      <c r="Y152" s="383"/>
      <c r="Z152" s="383"/>
    </row>
    <row r="153" spans="1:26" ht="12.75" customHeight="1" x14ac:dyDescent="0.3">
      <c r="A153" s="383"/>
      <c r="B153" s="383"/>
      <c r="C153" s="383"/>
      <c r="D153" s="383"/>
      <c r="E153" s="383"/>
      <c r="F153" s="383"/>
      <c r="G153" s="383"/>
      <c r="H153" s="383"/>
      <c r="I153" s="383"/>
      <c r="J153" s="383"/>
      <c r="K153" s="383"/>
      <c r="L153" s="383"/>
      <c r="M153" s="383"/>
      <c r="N153" s="383"/>
      <c r="O153" s="383"/>
      <c r="P153" s="383"/>
      <c r="Q153" s="383"/>
      <c r="R153" s="383"/>
      <c r="S153" s="383"/>
      <c r="T153" s="383"/>
      <c r="U153" s="383"/>
      <c r="V153" s="383"/>
      <c r="W153" s="383"/>
      <c r="X153" s="383"/>
      <c r="Y153" s="383"/>
      <c r="Z153" s="383"/>
    </row>
    <row r="154" spans="1:26" ht="12.75" customHeight="1" x14ac:dyDescent="0.3">
      <c r="A154" s="383"/>
      <c r="B154" s="383"/>
      <c r="C154" s="383"/>
      <c r="D154" s="383"/>
      <c r="E154" s="383"/>
      <c r="F154" s="383"/>
      <c r="G154" s="383"/>
      <c r="H154" s="383"/>
      <c r="I154" s="383"/>
      <c r="J154" s="383"/>
      <c r="K154" s="383"/>
      <c r="L154" s="383"/>
      <c r="M154" s="383"/>
      <c r="N154" s="383"/>
      <c r="O154" s="383"/>
      <c r="P154" s="383"/>
      <c r="Q154" s="383"/>
      <c r="R154" s="383"/>
      <c r="S154" s="383"/>
      <c r="T154" s="383"/>
      <c r="U154" s="383"/>
      <c r="V154" s="383"/>
      <c r="W154" s="383"/>
      <c r="X154" s="383"/>
      <c r="Y154" s="383"/>
      <c r="Z154" s="383"/>
    </row>
    <row r="155" spans="1:26" ht="12.75" customHeight="1" x14ac:dyDescent="0.3">
      <c r="A155" s="383"/>
      <c r="B155" s="383"/>
      <c r="C155" s="383"/>
      <c r="D155" s="383"/>
      <c r="E155" s="383"/>
      <c r="F155" s="383"/>
      <c r="G155" s="383"/>
      <c r="H155" s="383"/>
      <c r="I155" s="383"/>
      <c r="J155" s="383"/>
      <c r="K155" s="383"/>
      <c r="L155" s="383"/>
      <c r="M155" s="383"/>
      <c r="N155" s="383"/>
      <c r="O155" s="383"/>
      <c r="P155" s="383"/>
      <c r="Q155" s="383"/>
      <c r="R155" s="383"/>
      <c r="S155" s="383"/>
      <c r="T155" s="383"/>
      <c r="U155" s="383"/>
      <c r="V155" s="383"/>
      <c r="W155" s="383"/>
      <c r="X155" s="383"/>
      <c r="Y155" s="383"/>
      <c r="Z155" s="383"/>
    </row>
    <row r="156" spans="1:26" ht="12.75" customHeight="1" x14ac:dyDescent="0.3">
      <c r="A156" s="383"/>
      <c r="B156" s="383"/>
      <c r="C156" s="383"/>
      <c r="D156" s="383"/>
      <c r="E156" s="383"/>
      <c r="F156" s="383"/>
      <c r="G156" s="383"/>
      <c r="H156" s="383"/>
      <c r="I156" s="383"/>
      <c r="J156" s="383"/>
      <c r="K156" s="383"/>
      <c r="L156" s="383"/>
      <c r="M156" s="383"/>
      <c r="N156" s="383"/>
      <c r="O156" s="383"/>
      <c r="P156" s="383"/>
      <c r="Q156" s="383"/>
      <c r="R156" s="383"/>
      <c r="S156" s="383"/>
      <c r="T156" s="383"/>
      <c r="U156" s="383"/>
      <c r="V156" s="383"/>
      <c r="W156" s="383"/>
      <c r="X156" s="383"/>
      <c r="Y156" s="383"/>
      <c r="Z156" s="383"/>
    </row>
    <row r="157" spans="1:26" ht="12.75" customHeight="1" x14ac:dyDescent="0.3">
      <c r="A157" s="383"/>
      <c r="B157" s="383"/>
      <c r="C157" s="383"/>
      <c r="D157" s="383"/>
      <c r="E157" s="383"/>
      <c r="F157" s="383"/>
      <c r="G157" s="383"/>
      <c r="H157" s="383"/>
      <c r="I157" s="383"/>
      <c r="J157" s="383"/>
      <c r="K157" s="383"/>
      <c r="L157" s="383"/>
      <c r="M157" s="383"/>
      <c r="N157" s="383"/>
      <c r="O157" s="383"/>
      <c r="P157" s="383"/>
      <c r="Q157" s="383"/>
      <c r="R157" s="383"/>
      <c r="S157" s="383"/>
      <c r="T157" s="383"/>
      <c r="U157" s="383"/>
      <c r="V157" s="383"/>
      <c r="W157" s="383"/>
      <c r="X157" s="383"/>
      <c r="Y157" s="383"/>
      <c r="Z157" s="383"/>
    </row>
    <row r="158" spans="1:26" ht="12.75" customHeight="1" x14ac:dyDescent="0.3">
      <c r="A158" s="383"/>
      <c r="B158" s="383"/>
      <c r="C158" s="383"/>
      <c r="D158" s="383"/>
      <c r="E158" s="383"/>
      <c r="F158" s="383"/>
      <c r="G158" s="383"/>
      <c r="H158" s="383"/>
      <c r="I158" s="383"/>
      <c r="J158" s="383"/>
      <c r="K158" s="383"/>
      <c r="L158" s="383"/>
      <c r="M158" s="383"/>
      <c r="N158" s="383"/>
      <c r="O158" s="383"/>
      <c r="P158" s="383"/>
      <c r="Q158" s="383"/>
      <c r="R158" s="383"/>
      <c r="S158" s="383"/>
      <c r="T158" s="383"/>
      <c r="U158" s="383"/>
      <c r="V158" s="383"/>
      <c r="W158" s="383"/>
      <c r="X158" s="383"/>
      <c r="Y158" s="383"/>
      <c r="Z158" s="383"/>
    </row>
    <row r="159" spans="1:26" ht="12.75" customHeight="1" x14ac:dyDescent="0.3">
      <c r="A159" s="383"/>
      <c r="B159" s="383"/>
      <c r="C159" s="383"/>
      <c r="D159" s="383"/>
      <c r="E159" s="383"/>
      <c r="F159" s="383"/>
      <c r="G159" s="383"/>
      <c r="H159" s="383"/>
      <c r="I159" s="383"/>
      <c r="J159" s="383"/>
      <c r="K159" s="383"/>
      <c r="L159" s="383"/>
      <c r="M159" s="383"/>
      <c r="N159" s="383"/>
      <c r="O159" s="383"/>
      <c r="P159" s="383"/>
      <c r="Q159" s="383"/>
      <c r="R159" s="383"/>
      <c r="S159" s="383"/>
      <c r="T159" s="383"/>
      <c r="U159" s="383"/>
      <c r="V159" s="383"/>
      <c r="W159" s="383"/>
      <c r="X159" s="383"/>
      <c r="Y159" s="383"/>
      <c r="Z159" s="383"/>
    </row>
    <row r="160" spans="1:26" ht="12.75" customHeight="1" x14ac:dyDescent="0.3">
      <c r="A160" s="383"/>
      <c r="B160" s="383"/>
      <c r="C160" s="383"/>
      <c r="D160" s="383"/>
      <c r="E160" s="383"/>
      <c r="F160" s="383"/>
      <c r="G160" s="383"/>
      <c r="H160" s="383"/>
      <c r="I160" s="383"/>
      <c r="J160" s="383"/>
      <c r="K160" s="383"/>
      <c r="L160" s="383"/>
      <c r="M160" s="383"/>
      <c r="N160" s="383"/>
      <c r="O160" s="383"/>
      <c r="P160" s="383"/>
      <c r="Q160" s="383"/>
      <c r="R160" s="383"/>
      <c r="S160" s="383"/>
      <c r="T160" s="383"/>
      <c r="U160" s="383"/>
      <c r="V160" s="383"/>
      <c r="W160" s="383"/>
      <c r="X160" s="383"/>
      <c r="Y160" s="383"/>
      <c r="Z160" s="383"/>
    </row>
    <row r="161" spans="1:26" ht="12.75" customHeight="1" x14ac:dyDescent="0.3">
      <c r="A161" s="383"/>
      <c r="B161" s="383"/>
      <c r="C161" s="383"/>
      <c r="D161" s="383"/>
      <c r="E161" s="383"/>
      <c r="F161" s="383"/>
      <c r="G161" s="383"/>
      <c r="H161" s="383"/>
      <c r="I161" s="383"/>
      <c r="J161" s="383"/>
      <c r="K161" s="383"/>
      <c r="L161" s="383"/>
      <c r="M161" s="383"/>
      <c r="N161" s="383"/>
      <c r="O161" s="383"/>
      <c r="P161" s="383"/>
      <c r="Q161" s="383"/>
      <c r="R161" s="383"/>
      <c r="S161" s="383"/>
      <c r="T161" s="383"/>
      <c r="U161" s="383"/>
      <c r="V161" s="383"/>
      <c r="W161" s="383"/>
      <c r="X161" s="383"/>
      <c r="Y161" s="383"/>
      <c r="Z161" s="383"/>
    </row>
    <row r="162" spans="1:26" ht="12.75" customHeight="1" x14ac:dyDescent="0.3">
      <c r="A162" s="383"/>
      <c r="B162" s="383"/>
      <c r="C162" s="383"/>
      <c r="D162" s="383"/>
      <c r="E162" s="383"/>
      <c r="F162" s="383"/>
      <c r="G162" s="383"/>
      <c r="H162" s="383"/>
      <c r="I162" s="383"/>
      <c r="J162" s="383"/>
      <c r="K162" s="383"/>
      <c r="L162" s="383"/>
      <c r="M162" s="383"/>
      <c r="N162" s="383"/>
      <c r="O162" s="383"/>
      <c r="P162" s="383"/>
      <c r="Q162" s="383"/>
      <c r="R162" s="383"/>
      <c r="S162" s="383"/>
      <c r="T162" s="383"/>
      <c r="U162" s="383"/>
      <c r="V162" s="383"/>
      <c r="W162" s="383"/>
      <c r="X162" s="383"/>
      <c r="Y162" s="383"/>
      <c r="Z162" s="383"/>
    </row>
    <row r="163" spans="1:26" ht="12.75" customHeight="1" x14ac:dyDescent="0.3">
      <c r="A163" s="383"/>
      <c r="B163" s="383"/>
      <c r="C163" s="383"/>
      <c r="D163" s="383"/>
      <c r="E163" s="383"/>
      <c r="F163" s="383"/>
      <c r="G163" s="383"/>
      <c r="H163" s="383"/>
      <c r="I163" s="383"/>
      <c r="J163" s="383"/>
      <c r="K163" s="383"/>
      <c r="L163" s="383"/>
      <c r="M163" s="383"/>
      <c r="N163" s="383"/>
      <c r="O163" s="383"/>
      <c r="P163" s="383"/>
      <c r="Q163" s="383"/>
      <c r="R163" s="383"/>
      <c r="S163" s="383"/>
      <c r="T163" s="383"/>
      <c r="U163" s="383"/>
      <c r="V163" s="383"/>
      <c r="W163" s="383"/>
      <c r="X163" s="383"/>
      <c r="Y163" s="383"/>
      <c r="Z163" s="383"/>
    </row>
    <row r="164" spans="1:26" ht="12.75" customHeight="1" x14ac:dyDescent="0.3">
      <c r="A164" s="383"/>
      <c r="B164" s="383"/>
      <c r="C164" s="383"/>
      <c r="D164" s="383"/>
      <c r="E164" s="383"/>
      <c r="F164" s="383"/>
      <c r="G164" s="383"/>
      <c r="H164" s="383"/>
      <c r="I164" s="383"/>
      <c r="J164" s="383"/>
      <c r="K164" s="383"/>
      <c r="L164" s="383"/>
      <c r="M164" s="383"/>
      <c r="N164" s="383"/>
      <c r="O164" s="383"/>
      <c r="P164" s="383"/>
      <c r="Q164" s="383"/>
      <c r="R164" s="383"/>
      <c r="S164" s="383"/>
      <c r="T164" s="383"/>
      <c r="U164" s="383"/>
      <c r="V164" s="383"/>
      <c r="W164" s="383"/>
      <c r="X164" s="383"/>
      <c r="Y164" s="383"/>
      <c r="Z164" s="383"/>
    </row>
    <row r="165" spans="1:26" ht="12.75" customHeight="1" x14ac:dyDescent="0.3">
      <c r="A165" s="383"/>
      <c r="B165" s="383"/>
      <c r="C165" s="383"/>
      <c r="D165" s="383"/>
      <c r="E165" s="383"/>
      <c r="F165" s="383"/>
      <c r="G165" s="383"/>
      <c r="H165" s="383"/>
      <c r="I165" s="383"/>
      <c r="J165" s="383"/>
      <c r="K165" s="383"/>
      <c r="L165" s="383"/>
      <c r="M165" s="383"/>
      <c r="N165" s="383"/>
      <c r="O165" s="383"/>
      <c r="P165" s="383"/>
      <c r="Q165" s="383"/>
      <c r="R165" s="383"/>
      <c r="S165" s="383"/>
      <c r="T165" s="383"/>
      <c r="U165" s="383"/>
      <c r="V165" s="383"/>
      <c r="W165" s="383"/>
      <c r="X165" s="383"/>
      <c r="Y165" s="383"/>
      <c r="Z165" s="383"/>
    </row>
    <row r="166" spans="1:26" ht="12.75" customHeight="1" x14ac:dyDescent="0.3">
      <c r="A166" s="383"/>
      <c r="B166" s="383"/>
      <c r="C166" s="383"/>
      <c r="D166" s="383"/>
      <c r="E166" s="383"/>
      <c r="F166" s="383"/>
      <c r="G166" s="383"/>
      <c r="H166" s="383"/>
      <c r="I166" s="383"/>
      <c r="J166" s="383"/>
      <c r="K166" s="383"/>
      <c r="L166" s="383"/>
      <c r="M166" s="383"/>
      <c r="N166" s="383"/>
      <c r="O166" s="383"/>
      <c r="P166" s="383"/>
      <c r="Q166" s="383"/>
      <c r="R166" s="383"/>
      <c r="S166" s="383"/>
      <c r="T166" s="383"/>
      <c r="U166" s="383"/>
      <c r="V166" s="383"/>
      <c r="W166" s="383"/>
      <c r="X166" s="383"/>
      <c r="Y166" s="383"/>
      <c r="Z166" s="383"/>
    </row>
    <row r="167" spans="1:26" ht="12.75" customHeight="1" x14ac:dyDescent="0.3">
      <c r="A167" s="383"/>
      <c r="B167" s="383"/>
      <c r="C167" s="383"/>
      <c r="D167" s="383"/>
      <c r="E167" s="383"/>
      <c r="F167" s="383"/>
      <c r="G167" s="383"/>
      <c r="H167" s="383"/>
      <c r="I167" s="383"/>
      <c r="J167" s="383"/>
      <c r="K167" s="383"/>
      <c r="L167" s="383"/>
      <c r="M167" s="383"/>
      <c r="N167" s="383"/>
      <c r="O167" s="383"/>
      <c r="P167" s="383"/>
      <c r="Q167" s="383"/>
      <c r="R167" s="383"/>
      <c r="S167" s="383"/>
      <c r="T167" s="383"/>
      <c r="U167" s="383"/>
      <c r="V167" s="383"/>
      <c r="W167" s="383"/>
      <c r="X167" s="383"/>
      <c r="Y167" s="383"/>
      <c r="Z167" s="383"/>
    </row>
    <row r="168" spans="1:26" ht="12.75" customHeight="1" x14ac:dyDescent="0.3">
      <c r="A168" s="383"/>
      <c r="B168" s="383"/>
      <c r="C168" s="383"/>
      <c r="D168" s="383"/>
      <c r="E168" s="383"/>
      <c r="F168" s="383"/>
      <c r="G168" s="383"/>
      <c r="H168" s="383"/>
      <c r="I168" s="383"/>
      <c r="J168" s="383"/>
      <c r="K168" s="383"/>
      <c r="L168" s="383"/>
      <c r="M168" s="383"/>
      <c r="N168" s="383"/>
      <c r="O168" s="383"/>
      <c r="P168" s="383"/>
      <c r="Q168" s="383"/>
      <c r="R168" s="383"/>
      <c r="S168" s="383"/>
      <c r="T168" s="383"/>
      <c r="U168" s="383"/>
      <c r="V168" s="383"/>
      <c r="W168" s="383"/>
      <c r="X168" s="383"/>
      <c r="Y168" s="383"/>
      <c r="Z168" s="383"/>
    </row>
    <row r="169" spans="1:26" ht="12.75" customHeight="1" x14ac:dyDescent="0.3">
      <c r="A169" s="383"/>
      <c r="B169" s="383"/>
      <c r="C169" s="383"/>
      <c r="D169" s="383"/>
      <c r="E169" s="383"/>
      <c r="F169" s="383"/>
      <c r="G169" s="383"/>
      <c r="H169" s="383"/>
      <c r="I169" s="383"/>
      <c r="J169" s="383"/>
      <c r="K169" s="383"/>
      <c r="L169" s="383"/>
      <c r="M169" s="383"/>
      <c r="N169" s="383"/>
      <c r="O169" s="383"/>
      <c r="P169" s="383"/>
      <c r="Q169" s="383"/>
      <c r="R169" s="383"/>
      <c r="S169" s="383"/>
      <c r="T169" s="383"/>
      <c r="U169" s="383"/>
      <c r="V169" s="383"/>
      <c r="W169" s="383"/>
      <c r="X169" s="383"/>
      <c r="Y169" s="383"/>
      <c r="Z169" s="383"/>
    </row>
    <row r="170" spans="1:26" ht="12.75" customHeight="1" x14ac:dyDescent="0.3">
      <c r="A170" s="383"/>
      <c r="B170" s="383"/>
      <c r="C170" s="383"/>
      <c r="D170" s="383"/>
      <c r="E170" s="383"/>
      <c r="F170" s="383"/>
      <c r="G170" s="383"/>
      <c r="H170" s="383"/>
      <c r="I170" s="383"/>
      <c r="J170" s="383"/>
      <c r="K170" s="383"/>
      <c r="L170" s="383"/>
      <c r="M170" s="383"/>
      <c r="N170" s="383"/>
      <c r="O170" s="383"/>
      <c r="P170" s="383"/>
      <c r="Q170" s="383"/>
      <c r="R170" s="383"/>
      <c r="S170" s="383"/>
      <c r="T170" s="383"/>
      <c r="U170" s="383"/>
      <c r="V170" s="383"/>
      <c r="W170" s="383"/>
      <c r="X170" s="383"/>
      <c r="Y170" s="383"/>
      <c r="Z170" s="383"/>
    </row>
    <row r="171" spans="1:26" ht="12.75" customHeight="1" x14ac:dyDescent="0.3">
      <c r="A171" s="383"/>
      <c r="B171" s="383"/>
      <c r="C171" s="383"/>
      <c r="D171" s="383"/>
      <c r="E171" s="383"/>
      <c r="F171" s="383"/>
      <c r="G171" s="383"/>
      <c r="H171" s="383"/>
      <c r="I171" s="383"/>
      <c r="J171" s="383"/>
      <c r="K171" s="383"/>
      <c r="L171" s="383"/>
      <c r="M171" s="383"/>
      <c r="N171" s="383"/>
      <c r="O171" s="383"/>
      <c r="P171" s="383"/>
      <c r="Q171" s="383"/>
      <c r="R171" s="383"/>
      <c r="S171" s="383"/>
      <c r="T171" s="383"/>
      <c r="U171" s="383"/>
      <c r="V171" s="383"/>
      <c r="W171" s="383"/>
      <c r="X171" s="383"/>
      <c r="Y171" s="383"/>
      <c r="Z171" s="383"/>
    </row>
    <row r="172" spans="1:26" ht="12.75" customHeight="1" x14ac:dyDescent="0.3">
      <c r="A172" s="383"/>
      <c r="B172" s="383"/>
      <c r="C172" s="383"/>
      <c r="D172" s="383"/>
      <c r="E172" s="383"/>
      <c r="F172" s="383"/>
      <c r="G172" s="383"/>
      <c r="H172" s="383"/>
      <c r="I172" s="383"/>
      <c r="J172" s="383"/>
      <c r="K172" s="383"/>
      <c r="L172" s="383"/>
      <c r="M172" s="383"/>
      <c r="N172" s="383"/>
      <c r="O172" s="383"/>
      <c r="P172" s="383"/>
      <c r="Q172" s="383"/>
      <c r="R172" s="383"/>
      <c r="S172" s="383"/>
      <c r="T172" s="383"/>
      <c r="U172" s="383"/>
      <c r="V172" s="383"/>
      <c r="W172" s="383"/>
      <c r="X172" s="383"/>
      <c r="Y172" s="383"/>
      <c r="Z172" s="383"/>
    </row>
    <row r="173" spans="1:26" ht="12.75" customHeight="1" x14ac:dyDescent="0.3">
      <c r="A173" s="383"/>
      <c r="B173" s="383"/>
      <c r="C173" s="383"/>
      <c r="D173" s="383"/>
      <c r="E173" s="383"/>
      <c r="F173" s="383"/>
      <c r="G173" s="383"/>
      <c r="H173" s="383"/>
      <c r="I173" s="383"/>
      <c r="J173" s="383"/>
      <c r="K173" s="383"/>
      <c r="L173" s="383"/>
      <c r="M173" s="383"/>
      <c r="N173" s="383"/>
      <c r="O173" s="383"/>
      <c r="P173" s="383"/>
      <c r="Q173" s="383"/>
      <c r="R173" s="383"/>
      <c r="S173" s="383"/>
      <c r="T173" s="383"/>
      <c r="U173" s="383"/>
      <c r="V173" s="383"/>
      <c r="W173" s="383"/>
      <c r="X173" s="383"/>
      <c r="Y173" s="383"/>
      <c r="Z173" s="383"/>
    </row>
    <row r="174" spans="1:26" ht="12.75" customHeight="1" x14ac:dyDescent="0.3">
      <c r="A174" s="383"/>
      <c r="B174" s="383"/>
      <c r="C174" s="383"/>
      <c r="D174" s="383"/>
      <c r="E174" s="383"/>
      <c r="F174" s="383"/>
      <c r="G174" s="383"/>
      <c r="H174" s="383"/>
      <c r="I174" s="383"/>
      <c r="J174" s="383"/>
      <c r="K174" s="383"/>
      <c r="L174" s="383"/>
      <c r="M174" s="383"/>
      <c r="N174" s="383"/>
      <c r="O174" s="383"/>
      <c r="P174" s="383"/>
      <c r="Q174" s="383"/>
      <c r="R174" s="383"/>
      <c r="S174" s="383"/>
      <c r="T174" s="383"/>
      <c r="U174" s="383"/>
      <c r="V174" s="383"/>
      <c r="W174" s="383"/>
      <c r="X174" s="383"/>
      <c r="Y174" s="383"/>
      <c r="Z174" s="383"/>
    </row>
    <row r="175" spans="1:26" ht="12.75" customHeight="1" x14ac:dyDescent="0.3">
      <c r="A175" s="383"/>
      <c r="B175" s="383"/>
      <c r="C175" s="383"/>
      <c r="D175" s="383"/>
      <c r="E175" s="383"/>
      <c r="F175" s="383"/>
      <c r="G175" s="383"/>
      <c r="H175" s="383"/>
      <c r="I175" s="383"/>
      <c r="J175" s="383"/>
      <c r="K175" s="383"/>
      <c r="L175" s="383"/>
      <c r="M175" s="383"/>
      <c r="N175" s="383"/>
      <c r="O175" s="383"/>
      <c r="P175" s="383"/>
      <c r="Q175" s="383"/>
      <c r="R175" s="383"/>
      <c r="S175" s="383"/>
      <c r="T175" s="383"/>
      <c r="U175" s="383"/>
      <c r="V175" s="383"/>
      <c r="W175" s="383"/>
      <c r="X175" s="383"/>
      <c r="Y175" s="383"/>
      <c r="Z175" s="383"/>
    </row>
    <row r="176" spans="1:26" ht="12.75" customHeight="1" x14ac:dyDescent="0.3">
      <c r="A176" s="383"/>
      <c r="B176" s="383"/>
      <c r="C176" s="383"/>
      <c r="D176" s="383"/>
      <c r="E176" s="383"/>
      <c r="F176" s="383"/>
      <c r="G176" s="383"/>
      <c r="H176" s="383"/>
      <c r="I176" s="383"/>
      <c r="J176" s="383"/>
      <c r="K176" s="383"/>
      <c r="L176" s="383"/>
      <c r="M176" s="383"/>
      <c r="N176" s="383"/>
      <c r="O176" s="383"/>
      <c r="P176" s="383"/>
      <c r="Q176" s="383"/>
      <c r="R176" s="383"/>
      <c r="S176" s="383"/>
      <c r="T176" s="383"/>
      <c r="U176" s="383"/>
      <c r="V176" s="383"/>
      <c r="W176" s="383"/>
      <c r="X176" s="383"/>
      <c r="Y176" s="383"/>
      <c r="Z176" s="383"/>
    </row>
    <row r="177" spans="1:26" ht="12.75" customHeight="1" x14ac:dyDescent="0.3">
      <c r="A177" s="383"/>
      <c r="B177" s="383"/>
      <c r="C177" s="383"/>
      <c r="D177" s="383"/>
      <c r="E177" s="383"/>
      <c r="F177" s="383"/>
      <c r="G177" s="383"/>
      <c r="H177" s="383"/>
      <c r="I177" s="383"/>
      <c r="J177" s="383"/>
      <c r="K177" s="383"/>
      <c r="L177" s="383"/>
      <c r="M177" s="383"/>
      <c r="N177" s="383"/>
      <c r="O177" s="383"/>
      <c r="P177" s="383"/>
      <c r="Q177" s="383"/>
      <c r="R177" s="383"/>
      <c r="S177" s="383"/>
      <c r="T177" s="383"/>
      <c r="U177" s="383"/>
      <c r="V177" s="383"/>
      <c r="W177" s="383"/>
      <c r="X177" s="383"/>
      <c r="Y177" s="383"/>
      <c r="Z177" s="383"/>
    </row>
    <row r="178" spans="1:26" ht="12.75" customHeight="1" x14ac:dyDescent="0.3">
      <c r="A178" s="383"/>
      <c r="B178" s="383"/>
      <c r="C178" s="383"/>
      <c r="D178" s="383"/>
      <c r="E178" s="383"/>
      <c r="F178" s="383"/>
      <c r="G178" s="383"/>
      <c r="H178" s="383"/>
      <c r="I178" s="383"/>
      <c r="J178" s="383"/>
      <c r="K178" s="383"/>
      <c r="L178" s="383"/>
      <c r="M178" s="383"/>
      <c r="N178" s="383"/>
      <c r="O178" s="383"/>
      <c r="P178" s="383"/>
      <c r="Q178" s="383"/>
      <c r="R178" s="383"/>
      <c r="S178" s="383"/>
      <c r="T178" s="383"/>
      <c r="U178" s="383"/>
      <c r="V178" s="383"/>
      <c r="W178" s="383"/>
      <c r="X178" s="383"/>
      <c r="Y178" s="383"/>
      <c r="Z178" s="383"/>
    </row>
    <row r="179" spans="1:26" ht="12.75" customHeight="1" x14ac:dyDescent="0.3">
      <c r="A179" s="383"/>
      <c r="B179" s="383"/>
      <c r="C179" s="383"/>
      <c r="D179" s="383"/>
      <c r="E179" s="383"/>
      <c r="F179" s="383"/>
      <c r="G179" s="383"/>
      <c r="H179" s="383"/>
      <c r="I179" s="383"/>
      <c r="J179" s="383"/>
      <c r="K179" s="383"/>
      <c r="L179" s="383"/>
      <c r="M179" s="383"/>
      <c r="N179" s="383"/>
      <c r="O179" s="383"/>
      <c r="P179" s="383"/>
      <c r="Q179" s="383"/>
      <c r="R179" s="383"/>
      <c r="S179" s="383"/>
      <c r="T179" s="383"/>
      <c r="U179" s="383"/>
      <c r="V179" s="383"/>
      <c r="W179" s="383"/>
      <c r="X179" s="383"/>
      <c r="Y179" s="383"/>
      <c r="Z179" s="383"/>
    </row>
    <row r="180" spans="1:26" ht="12.75" customHeight="1" x14ac:dyDescent="0.3">
      <c r="A180" s="383"/>
      <c r="B180" s="383"/>
      <c r="C180" s="383"/>
      <c r="D180" s="383"/>
      <c r="E180" s="383"/>
      <c r="F180" s="383"/>
      <c r="G180" s="383"/>
      <c r="H180" s="383"/>
      <c r="I180" s="383"/>
      <c r="J180" s="383"/>
      <c r="K180" s="383"/>
      <c r="L180" s="383"/>
      <c r="M180" s="383"/>
      <c r="N180" s="383"/>
      <c r="O180" s="383"/>
      <c r="P180" s="383"/>
      <c r="Q180" s="383"/>
      <c r="R180" s="383"/>
      <c r="S180" s="383"/>
      <c r="T180" s="383"/>
      <c r="U180" s="383"/>
      <c r="V180" s="383"/>
      <c r="W180" s="383"/>
      <c r="X180" s="383"/>
      <c r="Y180" s="383"/>
      <c r="Z180" s="383"/>
    </row>
    <row r="181" spans="1:26" ht="12.75" customHeight="1" x14ac:dyDescent="0.3">
      <c r="A181" s="383"/>
      <c r="B181" s="383"/>
      <c r="C181" s="383"/>
      <c r="D181" s="383"/>
      <c r="E181" s="383"/>
      <c r="F181" s="383"/>
      <c r="G181" s="383"/>
      <c r="H181" s="383"/>
      <c r="I181" s="383"/>
      <c r="J181" s="383"/>
      <c r="K181" s="383"/>
      <c r="L181" s="383"/>
      <c r="M181" s="383"/>
      <c r="N181" s="383"/>
      <c r="O181" s="383"/>
      <c r="P181" s="383"/>
      <c r="Q181" s="383"/>
      <c r="R181" s="383"/>
      <c r="S181" s="383"/>
      <c r="T181" s="383"/>
      <c r="U181" s="383"/>
      <c r="V181" s="383"/>
      <c r="W181" s="383"/>
      <c r="X181" s="383"/>
      <c r="Y181" s="383"/>
      <c r="Z181" s="383"/>
    </row>
    <row r="182" spans="1:26" ht="12.75" customHeight="1" x14ac:dyDescent="0.3">
      <c r="A182" s="383"/>
      <c r="B182" s="383"/>
      <c r="C182" s="383"/>
      <c r="D182" s="383"/>
      <c r="E182" s="383"/>
      <c r="F182" s="383"/>
      <c r="G182" s="383"/>
      <c r="H182" s="383"/>
      <c r="I182" s="383"/>
      <c r="J182" s="383"/>
      <c r="K182" s="383"/>
      <c r="L182" s="383"/>
      <c r="M182" s="383"/>
      <c r="N182" s="383"/>
      <c r="O182" s="383"/>
      <c r="P182" s="383"/>
      <c r="Q182" s="383"/>
      <c r="R182" s="383"/>
      <c r="S182" s="383"/>
      <c r="T182" s="383"/>
      <c r="U182" s="383"/>
      <c r="V182" s="383"/>
      <c r="W182" s="383"/>
      <c r="X182" s="383"/>
      <c r="Y182" s="383"/>
      <c r="Z182" s="383"/>
    </row>
    <row r="183" spans="1:26" ht="12.75" customHeight="1" x14ac:dyDescent="0.3">
      <c r="A183" s="383"/>
      <c r="B183" s="383"/>
      <c r="C183" s="383"/>
      <c r="D183" s="383"/>
      <c r="E183" s="383"/>
      <c r="F183" s="383"/>
      <c r="G183" s="383"/>
      <c r="H183" s="383"/>
      <c r="I183" s="383"/>
      <c r="J183" s="383"/>
      <c r="K183" s="383"/>
      <c r="L183" s="383"/>
      <c r="M183" s="383"/>
      <c r="N183" s="383"/>
      <c r="O183" s="383"/>
      <c r="P183" s="383"/>
      <c r="Q183" s="383"/>
      <c r="R183" s="383"/>
      <c r="S183" s="383"/>
      <c r="T183" s="383"/>
      <c r="U183" s="383"/>
      <c r="V183" s="383"/>
      <c r="W183" s="383"/>
      <c r="X183" s="383"/>
      <c r="Y183" s="383"/>
      <c r="Z183" s="383"/>
    </row>
    <row r="184" spans="1:26" ht="12.75" customHeight="1" x14ac:dyDescent="0.3">
      <c r="A184" s="383"/>
      <c r="B184" s="383"/>
      <c r="C184" s="383"/>
      <c r="D184" s="383"/>
      <c r="E184" s="383"/>
      <c r="F184" s="383"/>
      <c r="G184" s="383"/>
      <c r="H184" s="383"/>
      <c r="I184" s="383"/>
      <c r="J184" s="383"/>
      <c r="K184" s="383"/>
      <c r="L184" s="383"/>
      <c r="M184" s="383"/>
      <c r="N184" s="383"/>
      <c r="O184" s="383"/>
      <c r="P184" s="383"/>
      <c r="Q184" s="383"/>
      <c r="R184" s="383"/>
      <c r="S184" s="383"/>
      <c r="T184" s="383"/>
      <c r="U184" s="383"/>
      <c r="V184" s="383"/>
      <c r="W184" s="383"/>
      <c r="X184" s="383"/>
      <c r="Y184" s="383"/>
      <c r="Z184" s="383"/>
    </row>
    <row r="185" spans="1:26" ht="12.75" customHeight="1" x14ac:dyDescent="0.3">
      <c r="A185" s="383"/>
      <c r="B185" s="383"/>
      <c r="C185" s="383"/>
      <c r="D185" s="383"/>
      <c r="E185" s="383"/>
      <c r="F185" s="383"/>
      <c r="G185" s="383"/>
      <c r="H185" s="383"/>
      <c r="I185" s="383"/>
      <c r="J185" s="383"/>
      <c r="K185" s="383"/>
      <c r="L185" s="383"/>
      <c r="M185" s="383"/>
      <c r="N185" s="383"/>
      <c r="O185" s="383"/>
      <c r="P185" s="383"/>
      <c r="Q185" s="383"/>
      <c r="R185" s="383"/>
      <c r="S185" s="383"/>
      <c r="T185" s="383"/>
      <c r="U185" s="383"/>
      <c r="V185" s="383"/>
      <c r="W185" s="383"/>
      <c r="X185" s="383"/>
      <c r="Y185" s="383"/>
      <c r="Z185" s="383"/>
    </row>
    <row r="186" spans="1:26" ht="12.75" customHeight="1" x14ac:dyDescent="0.3">
      <c r="A186" s="383"/>
      <c r="B186" s="383"/>
      <c r="C186" s="383"/>
      <c r="D186" s="383"/>
      <c r="E186" s="383"/>
      <c r="F186" s="383"/>
      <c r="G186" s="383"/>
      <c r="H186" s="383"/>
      <c r="I186" s="383"/>
      <c r="J186" s="383"/>
      <c r="K186" s="383"/>
      <c r="L186" s="383"/>
      <c r="M186" s="383"/>
      <c r="N186" s="383"/>
      <c r="O186" s="383"/>
      <c r="P186" s="383"/>
      <c r="Q186" s="383"/>
      <c r="R186" s="383"/>
      <c r="S186" s="383"/>
      <c r="T186" s="383"/>
      <c r="U186" s="383"/>
      <c r="V186" s="383"/>
      <c r="W186" s="383"/>
      <c r="X186" s="383"/>
      <c r="Y186" s="383"/>
      <c r="Z186" s="383"/>
    </row>
    <row r="187" spans="1:26" ht="12.75" customHeight="1" x14ac:dyDescent="0.3">
      <c r="A187" s="383"/>
      <c r="B187" s="383"/>
      <c r="C187" s="383"/>
      <c r="D187" s="383"/>
      <c r="E187" s="383"/>
      <c r="F187" s="383"/>
      <c r="G187" s="383"/>
      <c r="H187" s="383"/>
      <c r="I187" s="383"/>
      <c r="J187" s="383"/>
      <c r="K187" s="383"/>
      <c r="L187" s="383"/>
      <c r="M187" s="383"/>
      <c r="N187" s="383"/>
      <c r="O187" s="383"/>
      <c r="P187" s="383"/>
      <c r="Q187" s="383"/>
      <c r="R187" s="383"/>
      <c r="S187" s="383"/>
      <c r="T187" s="383"/>
      <c r="U187" s="383"/>
      <c r="V187" s="383"/>
      <c r="W187" s="383"/>
      <c r="X187" s="383"/>
      <c r="Y187" s="383"/>
      <c r="Z187" s="383"/>
    </row>
    <row r="188" spans="1:26" ht="12.75" customHeight="1" x14ac:dyDescent="0.3">
      <c r="A188" s="383"/>
      <c r="B188" s="383"/>
      <c r="C188" s="383"/>
      <c r="D188" s="383"/>
      <c r="E188" s="383"/>
      <c r="F188" s="383"/>
      <c r="G188" s="383"/>
      <c r="H188" s="383"/>
      <c r="I188" s="383"/>
      <c r="J188" s="383"/>
      <c r="K188" s="383"/>
      <c r="L188" s="383"/>
      <c r="M188" s="383"/>
      <c r="N188" s="383"/>
      <c r="O188" s="383"/>
      <c r="P188" s="383"/>
      <c r="Q188" s="383"/>
      <c r="R188" s="383"/>
      <c r="S188" s="383"/>
      <c r="T188" s="383"/>
      <c r="U188" s="383"/>
      <c r="V188" s="383"/>
      <c r="W188" s="383"/>
      <c r="X188" s="383"/>
      <c r="Y188" s="383"/>
      <c r="Z188" s="383"/>
    </row>
    <row r="189" spans="1:26" ht="12.75" customHeight="1" x14ac:dyDescent="0.3">
      <c r="A189" s="383"/>
      <c r="B189" s="383"/>
      <c r="C189" s="383"/>
      <c r="D189" s="383"/>
      <c r="E189" s="383"/>
      <c r="F189" s="383"/>
      <c r="G189" s="383"/>
      <c r="H189" s="383"/>
      <c r="I189" s="383"/>
      <c r="J189" s="383"/>
      <c r="K189" s="383"/>
      <c r="L189" s="383"/>
      <c r="M189" s="383"/>
      <c r="N189" s="383"/>
      <c r="O189" s="383"/>
      <c r="P189" s="383"/>
      <c r="Q189" s="383"/>
      <c r="R189" s="383"/>
      <c r="S189" s="383"/>
      <c r="T189" s="383"/>
      <c r="U189" s="383"/>
      <c r="V189" s="383"/>
      <c r="W189" s="383"/>
      <c r="X189" s="383"/>
      <c r="Y189" s="383"/>
      <c r="Z189" s="383"/>
    </row>
    <row r="190" spans="1:26" ht="12.75" customHeight="1" x14ac:dyDescent="0.3">
      <c r="A190" s="383"/>
      <c r="B190" s="383"/>
      <c r="C190" s="383"/>
      <c r="D190" s="383"/>
      <c r="E190" s="383"/>
      <c r="F190" s="383"/>
      <c r="G190" s="383"/>
      <c r="H190" s="383"/>
      <c r="I190" s="383"/>
      <c r="J190" s="383"/>
      <c r="K190" s="383"/>
      <c r="L190" s="383"/>
      <c r="M190" s="383"/>
      <c r="N190" s="383"/>
      <c r="O190" s="383"/>
      <c r="P190" s="383"/>
      <c r="Q190" s="383"/>
      <c r="R190" s="383"/>
      <c r="S190" s="383"/>
      <c r="T190" s="383"/>
      <c r="U190" s="383"/>
      <c r="V190" s="383"/>
      <c r="W190" s="383"/>
      <c r="X190" s="383"/>
      <c r="Y190" s="383"/>
      <c r="Z190" s="383"/>
    </row>
    <row r="191" spans="1:26" ht="12.75" customHeight="1" x14ac:dyDescent="0.3">
      <c r="A191" s="383"/>
      <c r="B191" s="383"/>
      <c r="C191" s="383"/>
      <c r="D191" s="383"/>
      <c r="E191" s="383"/>
      <c r="F191" s="383"/>
      <c r="G191" s="383"/>
      <c r="H191" s="383"/>
      <c r="I191" s="383"/>
      <c r="J191" s="383"/>
      <c r="K191" s="383"/>
      <c r="L191" s="383"/>
      <c r="M191" s="383"/>
      <c r="N191" s="383"/>
      <c r="O191" s="383"/>
      <c r="P191" s="383"/>
      <c r="Q191" s="383"/>
      <c r="R191" s="383"/>
      <c r="S191" s="383"/>
      <c r="T191" s="383"/>
      <c r="U191" s="383"/>
      <c r="V191" s="383"/>
      <c r="W191" s="383"/>
      <c r="X191" s="383"/>
      <c r="Y191" s="383"/>
      <c r="Z191" s="383"/>
    </row>
    <row r="192" spans="1:26" ht="12.75" customHeight="1" x14ac:dyDescent="0.3">
      <c r="A192" s="383"/>
      <c r="B192" s="383"/>
      <c r="C192" s="383"/>
      <c r="D192" s="383"/>
      <c r="E192" s="383"/>
      <c r="F192" s="383"/>
      <c r="G192" s="383"/>
      <c r="H192" s="383"/>
      <c r="I192" s="383"/>
      <c r="J192" s="383"/>
      <c r="K192" s="383"/>
      <c r="L192" s="383"/>
      <c r="M192" s="383"/>
      <c r="N192" s="383"/>
      <c r="O192" s="383"/>
      <c r="P192" s="383"/>
      <c r="Q192" s="383"/>
      <c r="R192" s="383"/>
      <c r="S192" s="383"/>
      <c r="T192" s="383"/>
      <c r="U192" s="383"/>
      <c r="V192" s="383"/>
      <c r="W192" s="383"/>
      <c r="X192" s="383"/>
      <c r="Y192" s="383"/>
      <c r="Z192" s="383"/>
    </row>
    <row r="193" spans="1:26" ht="12.75" customHeight="1" x14ac:dyDescent="0.3">
      <c r="A193" s="383"/>
      <c r="B193" s="383"/>
      <c r="C193" s="383"/>
      <c r="D193" s="383"/>
      <c r="E193" s="383"/>
      <c r="F193" s="383"/>
      <c r="G193" s="383"/>
      <c r="H193" s="383"/>
      <c r="I193" s="383"/>
      <c r="J193" s="383"/>
      <c r="K193" s="383"/>
      <c r="L193" s="383"/>
      <c r="M193" s="383"/>
      <c r="N193" s="383"/>
      <c r="O193" s="383"/>
      <c r="P193" s="383"/>
      <c r="Q193" s="383"/>
      <c r="R193" s="383"/>
      <c r="S193" s="383"/>
      <c r="T193" s="383"/>
      <c r="U193" s="383"/>
      <c r="V193" s="383"/>
      <c r="W193" s="383"/>
      <c r="X193" s="383"/>
      <c r="Y193" s="383"/>
      <c r="Z193" s="383"/>
    </row>
    <row r="194" spans="1:26" ht="12.75" customHeight="1" x14ac:dyDescent="0.3">
      <c r="A194" s="383"/>
      <c r="B194" s="383"/>
      <c r="C194" s="383"/>
      <c r="D194" s="383"/>
      <c r="E194" s="383"/>
      <c r="F194" s="383"/>
      <c r="G194" s="383"/>
      <c r="H194" s="383"/>
      <c r="I194" s="383"/>
      <c r="J194" s="383"/>
      <c r="K194" s="383"/>
      <c r="L194" s="383"/>
      <c r="M194" s="383"/>
      <c r="N194" s="383"/>
      <c r="O194" s="383"/>
      <c r="P194" s="383"/>
      <c r="Q194" s="383"/>
      <c r="R194" s="383"/>
      <c r="S194" s="383"/>
      <c r="T194" s="383"/>
      <c r="U194" s="383"/>
      <c r="V194" s="383"/>
      <c r="W194" s="383"/>
      <c r="X194" s="383"/>
      <c r="Y194" s="383"/>
      <c r="Z194" s="383"/>
    </row>
    <row r="195" spans="1:26" ht="12.75" customHeight="1" x14ac:dyDescent="0.3">
      <c r="A195" s="383"/>
      <c r="B195" s="383"/>
      <c r="C195" s="383"/>
      <c r="D195" s="383"/>
      <c r="E195" s="383"/>
      <c r="F195" s="383"/>
      <c r="G195" s="383"/>
      <c r="H195" s="383"/>
      <c r="I195" s="383"/>
      <c r="J195" s="383"/>
      <c r="K195" s="383"/>
      <c r="L195" s="383"/>
      <c r="M195" s="383"/>
      <c r="N195" s="383"/>
      <c r="O195" s="383"/>
      <c r="P195" s="383"/>
      <c r="Q195" s="383"/>
      <c r="R195" s="383"/>
      <c r="S195" s="383"/>
      <c r="T195" s="383"/>
      <c r="U195" s="383"/>
      <c r="V195" s="383"/>
      <c r="W195" s="383"/>
      <c r="X195" s="383"/>
      <c r="Y195" s="383"/>
      <c r="Z195" s="383"/>
    </row>
    <row r="196" spans="1:26" ht="12.75" customHeight="1" x14ac:dyDescent="0.3">
      <c r="A196" s="383"/>
      <c r="B196" s="383"/>
      <c r="C196" s="383"/>
      <c r="D196" s="383"/>
      <c r="E196" s="383"/>
      <c r="F196" s="383"/>
      <c r="G196" s="383"/>
      <c r="H196" s="383"/>
      <c r="I196" s="383"/>
      <c r="J196" s="383"/>
      <c r="K196" s="383"/>
      <c r="L196" s="383"/>
      <c r="M196" s="383"/>
      <c r="N196" s="383"/>
      <c r="O196" s="383"/>
      <c r="P196" s="383"/>
      <c r="Q196" s="383"/>
      <c r="R196" s="383"/>
      <c r="S196" s="383"/>
      <c r="T196" s="383"/>
      <c r="U196" s="383"/>
      <c r="V196" s="383"/>
      <c r="W196" s="383"/>
      <c r="X196" s="383"/>
      <c r="Y196" s="383"/>
      <c r="Z196" s="383"/>
    </row>
    <row r="197" spans="1:26" ht="12.75" customHeight="1" x14ac:dyDescent="0.3">
      <c r="A197" s="383"/>
      <c r="B197" s="383"/>
      <c r="C197" s="383"/>
      <c r="D197" s="383"/>
      <c r="E197" s="383"/>
      <c r="F197" s="383"/>
      <c r="G197" s="383"/>
      <c r="H197" s="383"/>
      <c r="I197" s="383"/>
      <c r="J197" s="383"/>
      <c r="K197" s="383"/>
      <c r="L197" s="383"/>
      <c r="M197" s="383"/>
      <c r="N197" s="383"/>
      <c r="O197" s="383"/>
      <c r="P197" s="383"/>
      <c r="Q197" s="383"/>
      <c r="R197" s="383"/>
      <c r="S197" s="383"/>
      <c r="T197" s="383"/>
      <c r="U197" s="383"/>
      <c r="V197" s="383"/>
      <c r="W197" s="383"/>
      <c r="X197" s="383"/>
      <c r="Y197" s="383"/>
      <c r="Z197" s="383"/>
    </row>
    <row r="198" spans="1:26" ht="12.75" customHeight="1" x14ac:dyDescent="0.3">
      <c r="A198" s="383"/>
      <c r="B198" s="383"/>
      <c r="C198" s="383"/>
      <c r="D198" s="383"/>
      <c r="E198" s="383"/>
      <c r="F198" s="383"/>
      <c r="G198" s="383"/>
      <c r="H198" s="383"/>
      <c r="I198" s="383"/>
      <c r="J198" s="383"/>
      <c r="K198" s="383"/>
      <c r="L198" s="383"/>
      <c r="M198" s="383"/>
      <c r="N198" s="383"/>
      <c r="O198" s="383"/>
      <c r="P198" s="383"/>
      <c r="Q198" s="383"/>
      <c r="R198" s="383"/>
      <c r="S198" s="383"/>
      <c r="T198" s="383"/>
      <c r="U198" s="383"/>
      <c r="V198" s="383"/>
      <c r="W198" s="383"/>
      <c r="X198" s="383"/>
      <c r="Y198" s="383"/>
      <c r="Z198" s="383"/>
    </row>
    <row r="199" spans="1:26" ht="12.75" customHeight="1" x14ac:dyDescent="0.3">
      <c r="A199" s="383"/>
      <c r="B199" s="383"/>
      <c r="C199" s="383"/>
      <c r="D199" s="383"/>
      <c r="E199" s="383"/>
      <c r="F199" s="383"/>
      <c r="G199" s="383"/>
      <c r="H199" s="383"/>
      <c r="I199" s="383"/>
      <c r="J199" s="383"/>
      <c r="K199" s="383"/>
      <c r="L199" s="383"/>
      <c r="M199" s="383"/>
      <c r="N199" s="383"/>
      <c r="O199" s="383"/>
      <c r="P199" s="383"/>
      <c r="Q199" s="383"/>
      <c r="R199" s="383"/>
      <c r="S199" s="383"/>
      <c r="T199" s="383"/>
      <c r="U199" s="383"/>
      <c r="V199" s="383"/>
      <c r="W199" s="383"/>
      <c r="X199" s="383"/>
      <c r="Y199" s="383"/>
      <c r="Z199" s="383"/>
    </row>
    <row r="200" spans="1:26" ht="12.75" customHeight="1" x14ac:dyDescent="0.3">
      <c r="A200" s="383"/>
      <c r="B200" s="383"/>
      <c r="C200" s="383"/>
      <c r="D200" s="383"/>
      <c r="E200" s="383"/>
      <c r="F200" s="383"/>
      <c r="G200" s="383"/>
      <c r="H200" s="383"/>
      <c r="I200" s="383"/>
      <c r="J200" s="383"/>
      <c r="K200" s="383"/>
      <c r="L200" s="383"/>
      <c r="M200" s="383"/>
      <c r="N200" s="383"/>
      <c r="O200" s="383"/>
      <c r="P200" s="383"/>
      <c r="Q200" s="383"/>
      <c r="R200" s="383"/>
      <c r="S200" s="383"/>
      <c r="T200" s="383"/>
      <c r="U200" s="383"/>
      <c r="V200" s="383"/>
      <c r="W200" s="383"/>
      <c r="X200" s="383"/>
      <c r="Y200" s="383"/>
      <c r="Z200" s="383"/>
    </row>
    <row r="201" spans="1:26" ht="12.75" customHeight="1" x14ac:dyDescent="0.3">
      <c r="A201" s="383"/>
      <c r="B201" s="383"/>
      <c r="C201" s="383"/>
      <c r="D201" s="383"/>
      <c r="E201" s="383"/>
      <c r="F201" s="383"/>
      <c r="G201" s="383"/>
      <c r="H201" s="383"/>
      <c r="I201" s="383"/>
      <c r="J201" s="383"/>
      <c r="K201" s="383"/>
      <c r="L201" s="383"/>
      <c r="M201" s="383"/>
      <c r="N201" s="383"/>
      <c r="O201" s="383"/>
      <c r="P201" s="383"/>
      <c r="Q201" s="383"/>
      <c r="R201" s="383"/>
      <c r="S201" s="383"/>
      <c r="T201" s="383"/>
      <c r="U201" s="383"/>
      <c r="V201" s="383"/>
      <c r="W201" s="383"/>
      <c r="X201" s="383"/>
      <c r="Y201" s="383"/>
      <c r="Z201" s="383"/>
    </row>
    <row r="202" spans="1:26" ht="12.75" customHeight="1" x14ac:dyDescent="0.3">
      <c r="A202" s="383"/>
      <c r="B202" s="383"/>
      <c r="C202" s="383"/>
      <c r="D202" s="383"/>
      <c r="E202" s="383"/>
      <c r="F202" s="383"/>
      <c r="G202" s="383"/>
      <c r="H202" s="383"/>
      <c r="I202" s="383"/>
      <c r="J202" s="383"/>
      <c r="K202" s="383"/>
      <c r="L202" s="383"/>
      <c r="M202" s="383"/>
      <c r="N202" s="383"/>
      <c r="O202" s="383"/>
      <c r="P202" s="383"/>
      <c r="Q202" s="383"/>
      <c r="R202" s="383"/>
      <c r="S202" s="383"/>
      <c r="T202" s="383"/>
      <c r="U202" s="383"/>
      <c r="V202" s="383"/>
      <c r="W202" s="383"/>
      <c r="X202" s="383"/>
      <c r="Y202" s="383"/>
      <c r="Z202" s="383"/>
    </row>
    <row r="203" spans="1:26" ht="12.75" customHeight="1" x14ac:dyDescent="0.3">
      <c r="A203" s="383"/>
      <c r="B203" s="383"/>
      <c r="C203" s="383"/>
      <c r="D203" s="383"/>
      <c r="E203" s="383"/>
      <c r="F203" s="383"/>
      <c r="G203" s="383"/>
      <c r="H203" s="383"/>
      <c r="I203" s="383"/>
      <c r="J203" s="383"/>
      <c r="K203" s="383"/>
      <c r="L203" s="383"/>
      <c r="M203" s="383"/>
      <c r="N203" s="383"/>
      <c r="O203" s="383"/>
      <c r="P203" s="383"/>
      <c r="Q203" s="383"/>
      <c r="R203" s="383"/>
      <c r="S203" s="383"/>
      <c r="T203" s="383"/>
      <c r="U203" s="383"/>
      <c r="V203" s="383"/>
      <c r="W203" s="383"/>
      <c r="X203" s="383"/>
      <c r="Y203" s="383"/>
      <c r="Z203" s="383"/>
    </row>
    <row r="204" spans="1:26" ht="12.75" customHeight="1" x14ac:dyDescent="0.3">
      <c r="A204" s="383"/>
      <c r="B204" s="383"/>
      <c r="C204" s="383"/>
      <c r="D204" s="383"/>
      <c r="E204" s="383"/>
      <c r="F204" s="383"/>
      <c r="G204" s="383"/>
      <c r="H204" s="383"/>
      <c r="I204" s="383"/>
      <c r="J204" s="383"/>
      <c r="K204" s="383"/>
      <c r="L204" s="383"/>
      <c r="M204" s="383"/>
      <c r="N204" s="383"/>
      <c r="O204" s="383"/>
      <c r="P204" s="383"/>
      <c r="Q204" s="383"/>
      <c r="R204" s="383"/>
      <c r="S204" s="383"/>
      <c r="T204" s="383"/>
      <c r="U204" s="383"/>
      <c r="V204" s="383"/>
      <c r="W204" s="383"/>
      <c r="X204" s="383"/>
      <c r="Y204" s="383"/>
      <c r="Z204" s="383"/>
    </row>
    <row r="205" spans="1:26" ht="12.75" customHeight="1" x14ac:dyDescent="0.3">
      <c r="A205" s="383"/>
      <c r="B205" s="383"/>
      <c r="C205" s="383"/>
      <c r="D205" s="383"/>
      <c r="E205" s="383"/>
      <c r="F205" s="383"/>
      <c r="G205" s="383"/>
      <c r="H205" s="383"/>
      <c r="I205" s="383"/>
      <c r="J205" s="383"/>
      <c r="K205" s="383"/>
      <c r="L205" s="383"/>
      <c r="M205" s="383"/>
      <c r="N205" s="383"/>
      <c r="O205" s="383"/>
      <c r="P205" s="383"/>
      <c r="Q205" s="383"/>
      <c r="R205" s="383"/>
      <c r="S205" s="383"/>
      <c r="T205" s="383"/>
      <c r="U205" s="383"/>
      <c r="V205" s="383"/>
      <c r="W205" s="383"/>
      <c r="X205" s="383"/>
      <c r="Y205" s="383"/>
      <c r="Z205" s="383"/>
    </row>
    <row r="206" spans="1:26" ht="12.75" customHeight="1" x14ac:dyDescent="0.3">
      <c r="A206" s="383"/>
      <c r="B206" s="383"/>
      <c r="C206" s="383"/>
      <c r="D206" s="383"/>
      <c r="E206" s="383"/>
      <c r="F206" s="383"/>
      <c r="G206" s="383"/>
      <c r="H206" s="383"/>
      <c r="I206" s="383"/>
      <c r="J206" s="383"/>
      <c r="K206" s="383"/>
      <c r="L206" s="383"/>
      <c r="M206" s="383"/>
      <c r="N206" s="383"/>
      <c r="O206" s="383"/>
      <c r="P206" s="383"/>
      <c r="Q206" s="383"/>
      <c r="R206" s="383"/>
      <c r="S206" s="383"/>
      <c r="T206" s="383"/>
      <c r="U206" s="383"/>
      <c r="V206" s="383"/>
      <c r="W206" s="383"/>
      <c r="X206" s="383"/>
      <c r="Y206" s="383"/>
      <c r="Z206" s="383"/>
    </row>
    <row r="207" spans="1:26" ht="12.75" customHeight="1" x14ac:dyDescent="0.3">
      <c r="A207" s="383"/>
      <c r="B207" s="383"/>
      <c r="C207" s="383"/>
      <c r="D207" s="383"/>
      <c r="E207" s="383"/>
      <c r="F207" s="383"/>
      <c r="G207" s="383"/>
      <c r="H207" s="383"/>
      <c r="I207" s="383"/>
      <c r="J207" s="383"/>
      <c r="K207" s="383"/>
      <c r="L207" s="383"/>
      <c r="M207" s="383"/>
      <c r="N207" s="383"/>
      <c r="O207" s="383"/>
      <c r="P207" s="383"/>
      <c r="Q207" s="383"/>
      <c r="R207" s="383"/>
      <c r="S207" s="383"/>
      <c r="T207" s="383"/>
      <c r="U207" s="383"/>
      <c r="V207" s="383"/>
      <c r="W207" s="383"/>
      <c r="X207" s="383"/>
      <c r="Y207" s="383"/>
      <c r="Z207" s="383"/>
    </row>
    <row r="208" spans="1:26" ht="12.75" customHeight="1" x14ac:dyDescent="0.3">
      <c r="A208" s="383"/>
      <c r="B208" s="383"/>
      <c r="C208" s="383"/>
      <c r="D208" s="383"/>
      <c r="E208" s="383"/>
      <c r="F208" s="383"/>
      <c r="G208" s="383"/>
      <c r="H208" s="383"/>
      <c r="I208" s="383"/>
      <c r="J208" s="383"/>
      <c r="K208" s="383"/>
      <c r="L208" s="383"/>
      <c r="M208" s="383"/>
      <c r="N208" s="383"/>
      <c r="O208" s="383"/>
      <c r="P208" s="383"/>
      <c r="Q208" s="383"/>
      <c r="R208" s="383"/>
      <c r="S208" s="383"/>
      <c r="T208" s="383"/>
      <c r="U208" s="383"/>
      <c r="V208" s="383"/>
      <c r="W208" s="383"/>
      <c r="X208" s="383"/>
      <c r="Y208" s="383"/>
      <c r="Z208" s="383"/>
    </row>
    <row r="209" spans="1:26" ht="12.75" customHeight="1" x14ac:dyDescent="0.3">
      <c r="A209" s="383"/>
      <c r="B209" s="383"/>
      <c r="C209" s="383"/>
      <c r="D209" s="383"/>
      <c r="E209" s="383"/>
      <c r="F209" s="383"/>
      <c r="G209" s="383"/>
      <c r="H209" s="383"/>
      <c r="I209" s="383"/>
      <c r="J209" s="383"/>
      <c r="K209" s="383"/>
      <c r="L209" s="383"/>
      <c r="M209" s="383"/>
      <c r="N209" s="383"/>
      <c r="O209" s="383"/>
      <c r="P209" s="383"/>
      <c r="Q209" s="383"/>
      <c r="R209" s="383"/>
      <c r="S209" s="383"/>
      <c r="T209" s="383"/>
      <c r="U209" s="383"/>
      <c r="V209" s="383"/>
      <c r="W209" s="383"/>
      <c r="X209" s="383"/>
      <c r="Y209" s="383"/>
      <c r="Z209" s="383"/>
    </row>
    <row r="210" spans="1:26" ht="12.75" customHeight="1" x14ac:dyDescent="0.3">
      <c r="A210" s="383"/>
      <c r="B210" s="383"/>
      <c r="C210" s="383"/>
      <c r="D210" s="383"/>
      <c r="E210" s="383"/>
      <c r="F210" s="383"/>
      <c r="G210" s="383"/>
      <c r="H210" s="383"/>
      <c r="I210" s="383"/>
      <c r="J210" s="383"/>
      <c r="K210" s="383"/>
      <c r="L210" s="383"/>
      <c r="M210" s="383"/>
      <c r="N210" s="383"/>
      <c r="O210" s="383"/>
      <c r="P210" s="383"/>
      <c r="Q210" s="383"/>
      <c r="R210" s="383"/>
      <c r="S210" s="383"/>
      <c r="T210" s="383"/>
      <c r="U210" s="383"/>
      <c r="V210" s="383"/>
      <c r="W210" s="383"/>
      <c r="X210" s="383"/>
      <c r="Y210" s="383"/>
      <c r="Z210" s="383"/>
    </row>
    <row r="211" spans="1:26" ht="12.75" customHeight="1" x14ac:dyDescent="0.3">
      <c r="A211" s="383"/>
      <c r="B211" s="383"/>
      <c r="C211" s="383"/>
      <c r="D211" s="383"/>
      <c r="E211" s="383"/>
      <c r="F211" s="383"/>
      <c r="G211" s="383"/>
      <c r="H211" s="383"/>
      <c r="I211" s="383"/>
      <c r="J211" s="383"/>
      <c r="K211" s="383"/>
      <c r="L211" s="383"/>
      <c r="M211" s="383"/>
      <c r="N211" s="383"/>
      <c r="O211" s="383"/>
      <c r="P211" s="383"/>
      <c r="Q211" s="383"/>
      <c r="R211" s="383"/>
      <c r="S211" s="383"/>
      <c r="T211" s="383"/>
      <c r="U211" s="383"/>
      <c r="V211" s="383"/>
      <c r="W211" s="383"/>
      <c r="X211" s="383"/>
      <c r="Y211" s="383"/>
      <c r="Z211" s="383"/>
    </row>
    <row r="212" spans="1:26" ht="12.75" customHeight="1" x14ac:dyDescent="0.3">
      <c r="A212" s="383"/>
      <c r="B212" s="383"/>
      <c r="C212" s="383"/>
      <c r="D212" s="383"/>
      <c r="E212" s="383"/>
      <c r="F212" s="383"/>
      <c r="G212" s="383"/>
      <c r="H212" s="383"/>
      <c r="I212" s="383"/>
      <c r="J212" s="383"/>
      <c r="K212" s="383"/>
      <c r="L212" s="383"/>
      <c r="M212" s="383"/>
      <c r="N212" s="383"/>
      <c r="O212" s="383"/>
      <c r="P212" s="383"/>
      <c r="Q212" s="383"/>
      <c r="R212" s="383"/>
      <c r="S212" s="383"/>
      <c r="T212" s="383"/>
      <c r="U212" s="383"/>
      <c r="V212" s="383"/>
      <c r="W212" s="383"/>
      <c r="X212" s="383"/>
      <c r="Y212" s="383"/>
      <c r="Z212" s="383"/>
    </row>
    <row r="213" spans="1:26" ht="12.75" customHeight="1" x14ac:dyDescent="0.3">
      <c r="A213" s="383"/>
      <c r="B213" s="383"/>
      <c r="C213" s="383"/>
      <c r="D213" s="383"/>
      <c r="E213" s="383"/>
      <c r="F213" s="383"/>
      <c r="G213" s="383"/>
      <c r="H213" s="383"/>
      <c r="I213" s="383"/>
      <c r="J213" s="383"/>
      <c r="K213" s="383"/>
      <c r="L213" s="383"/>
      <c r="M213" s="383"/>
      <c r="N213" s="383"/>
      <c r="O213" s="383"/>
      <c r="P213" s="383"/>
      <c r="Q213" s="383"/>
      <c r="R213" s="383"/>
      <c r="S213" s="383"/>
      <c r="T213" s="383"/>
      <c r="U213" s="383"/>
      <c r="V213" s="383"/>
      <c r="W213" s="383"/>
      <c r="X213" s="383"/>
      <c r="Y213" s="383"/>
      <c r="Z213" s="383"/>
    </row>
    <row r="214" spans="1:26" ht="12.75" customHeight="1" x14ac:dyDescent="0.3">
      <c r="A214" s="383"/>
      <c r="B214" s="383"/>
      <c r="C214" s="383"/>
      <c r="D214" s="383"/>
      <c r="E214" s="383"/>
      <c r="F214" s="383"/>
      <c r="G214" s="383"/>
      <c r="H214" s="383"/>
      <c r="I214" s="383"/>
      <c r="J214" s="383"/>
      <c r="K214" s="383"/>
      <c r="L214" s="383"/>
      <c r="M214" s="383"/>
      <c r="N214" s="383"/>
      <c r="O214" s="383"/>
      <c r="P214" s="383"/>
      <c r="Q214" s="383"/>
      <c r="R214" s="383"/>
      <c r="S214" s="383"/>
      <c r="T214" s="383"/>
      <c r="U214" s="383"/>
      <c r="V214" s="383"/>
      <c r="W214" s="383"/>
      <c r="X214" s="383"/>
      <c r="Y214" s="383"/>
      <c r="Z214" s="383"/>
    </row>
    <row r="215" spans="1:26" ht="12.75" customHeight="1" x14ac:dyDescent="0.3">
      <c r="A215" s="383"/>
      <c r="B215" s="383"/>
      <c r="C215" s="383"/>
      <c r="D215" s="383"/>
      <c r="E215" s="383"/>
      <c r="F215" s="383"/>
      <c r="G215" s="383"/>
      <c r="H215" s="383"/>
      <c r="I215" s="383"/>
      <c r="J215" s="383"/>
      <c r="K215" s="383"/>
      <c r="L215" s="383"/>
      <c r="M215" s="383"/>
      <c r="N215" s="383"/>
      <c r="O215" s="383"/>
      <c r="P215" s="383"/>
      <c r="Q215" s="383"/>
      <c r="R215" s="383"/>
      <c r="S215" s="383"/>
      <c r="T215" s="383"/>
      <c r="U215" s="383"/>
      <c r="V215" s="383"/>
      <c r="W215" s="383"/>
      <c r="X215" s="383"/>
      <c r="Y215" s="383"/>
      <c r="Z215" s="383"/>
    </row>
    <row r="216" spans="1:26" ht="12.75" customHeight="1" x14ac:dyDescent="0.3">
      <c r="A216" s="383"/>
      <c r="B216" s="383"/>
      <c r="C216" s="383"/>
      <c r="D216" s="383"/>
      <c r="E216" s="383"/>
      <c r="F216" s="383"/>
      <c r="G216" s="383"/>
      <c r="H216" s="383"/>
      <c r="I216" s="383"/>
      <c r="J216" s="383"/>
      <c r="K216" s="383"/>
      <c r="L216" s="383"/>
      <c r="M216" s="383"/>
      <c r="N216" s="383"/>
      <c r="O216" s="383"/>
      <c r="P216" s="383"/>
      <c r="Q216" s="383"/>
      <c r="R216" s="383"/>
      <c r="S216" s="383"/>
      <c r="T216" s="383"/>
      <c r="U216" s="383"/>
      <c r="V216" s="383"/>
      <c r="W216" s="383"/>
      <c r="X216" s="383"/>
      <c r="Y216" s="383"/>
      <c r="Z216" s="383"/>
    </row>
    <row r="217" spans="1:26" ht="12.75" customHeight="1" x14ac:dyDescent="0.3">
      <c r="A217" s="383"/>
      <c r="B217" s="383"/>
      <c r="C217" s="383"/>
      <c r="D217" s="383"/>
      <c r="E217" s="383"/>
      <c r="F217" s="383"/>
      <c r="G217" s="383"/>
      <c r="H217" s="383"/>
      <c r="I217" s="383"/>
      <c r="J217" s="383"/>
      <c r="K217" s="383"/>
      <c r="L217" s="383"/>
      <c r="M217" s="383"/>
      <c r="N217" s="383"/>
      <c r="O217" s="383"/>
      <c r="P217" s="383"/>
      <c r="Q217" s="383"/>
      <c r="R217" s="383"/>
      <c r="S217" s="383"/>
      <c r="T217" s="383"/>
      <c r="U217" s="383"/>
      <c r="V217" s="383"/>
      <c r="W217" s="383"/>
      <c r="X217" s="383"/>
      <c r="Y217" s="383"/>
      <c r="Z217" s="383"/>
    </row>
    <row r="218" spans="1:26" ht="12.75" customHeight="1" x14ac:dyDescent="0.3">
      <c r="A218" s="383"/>
      <c r="B218" s="383"/>
      <c r="C218" s="383"/>
      <c r="D218" s="383"/>
      <c r="E218" s="383"/>
      <c r="F218" s="383"/>
      <c r="G218" s="383"/>
      <c r="H218" s="383"/>
      <c r="I218" s="383"/>
      <c r="J218" s="383"/>
      <c r="K218" s="383"/>
      <c r="L218" s="383"/>
      <c r="M218" s="383"/>
      <c r="N218" s="383"/>
      <c r="O218" s="383"/>
      <c r="P218" s="383"/>
      <c r="Q218" s="383"/>
      <c r="R218" s="383"/>
      <c r="S218" s="383"/>
      <c r="T218" s="383"/>
      <c r="U218" s="383"/>
      <c r="V218" s="383"/>
      <c r="W218" s="383"/>
      <c r="X218" s="383"/>
      <c r="Y218" s="383"/>
      <c r="Z218" s="383"/>
    </row>
    <row r="219" spans="1:26" ht="12.75" customHeight="1" x14ac:dyDescent="0.3">
      <c r="A219" s="383"/>
      <c r="B219" s="383"/>
      <c r="C219" s="383"/>
      <c r="D219" s="383"/>
      <c r="E219" s="383"/>
      <c r="F219" s="383"/>
      <c r="G219" s="383"/>
      <c r="H219" s="383"/>
      <c r="I219" s="383"/>
      <c r="J219" s="383"/>
      <c r="K219" s="383"/>
      <c r="L219" s="383"/>
      <c r="M219" s="383"/>
      <c r="N219" s="383"/>
      <c r="O219" s="383"/>
      <c r="P219" s="383"/>
      <c r="Q219" s="383"/>
      <c r="R219" s="383"/>
      <c r="S219" s="383"/>
      <c r="T219" s="383"/>
      <c r="U219" s="383"/>
      <c r="V219" s="383"/>
      <c r="W219" s="383"/>
      <c r="X219" s="383"/>
      <c r="Y219" s="383"/>
      <c r="Z219" s="383"/>
    </row>
    <row r="220" spans="1:26" ht="12.75" customHeight="1" x14ac:dyDescent="0.3">
      <c r="A220" s="383"/>
      <c r="B220" s="383"/>
      <c r="C220" s="383"/>
      <c r="D220" s="383"/>
      <c r="E220" s="383"/>
      <c r="F220" s="383"/>
      <c r="G220" s="383"/>
      <c r="H220" s="383"/>
      <c r="I220" s="383"/>
      <c r="J220" s="383"/>
      <c r="K220" s="383"/>
      <c r="L220" s="383"/>
      <c r="M220" s="383"/>
      <c r="N220" s="383"/>
      <c r="O220" s="383"/>
      <c r="P220" s="383"/>
      <c r="Q220" s="383"/>
      <c r="R220" s="383"/>
      <c r="S220" s="383"/>
      <c r="T220" s="383"/>
      <c r="U220" s="383"/>
      <c r="V220" s="383"/>
      <c r="W220" s="383"/>
      <c r="X220" s="383"/>
      <c r="Y220" s="383"/>
      <c r="Z220" s="383"/>
    </row>
    <row r="221" spans="1:26" ht="12.75" customHeight="1" x14ac:dyDescent="0.3">
      <c r="A221" s="383"/>
      <c r="B221" s="383"/>
      <c r="C221" s="383"/>
      <c r="D221" s="383"/>
      <c r="E221" s="383"/>
      <c r="F221" s="383"/>
      <c r="G221" s="383"/>
      <c r="H221" s="383"/>
      <c r="I221" s="383"/>
      <c r="J221" s="383"/>
      <c r="K221" s="383"/>
      <c r="L221" s="383"/>
      <c r="M221" s="383"/>
      <c r="N221" s="383"/>
      <c r="O221" s="383"/>
      <c r="P221" s="383"/>
      <c r="Q221" s="383"/>
      <c r="R221" s="383"/>
      <c r="S221" s="383"/>
      <c r="T221" s="383"/>
      <c r="U221" s="383"/>
      <c r="V221" s="383"/>
      <c r="W221" s="383"/>
      <c r="X221" s="383"/>
      <c r="Y221" s="383"/>
      <c r="Z221" s="383"/>
    </row>
    <row r="222" spans="1:26" ht="12.75" customHeight="1" x14ac:dyDescent="0.3">
      <c r="A222" s="383"/>
      <c r="B222" s="383"/>
      <c r="C222" s="383"/>
      <c r="D222" s="383"/>
      <c r="E222" s="383"/>
      <c r="F222" s="383"/>
      <c r="G222" s="383"/>
      <c r="H222" s="383"/>
      <c r="I222" s="383"/>
      <c r="J222" s="383"/>
      <c r="K222" s="383"/>
      <c r="L222" s="383"/>
      <c r="M222" s="383"/>
      <c r="N222" s="383"/>
      <c r="O222" s="383"/>
      <c r="P222" s="383"/>
      <c r="Q222" s="383"/>
      <c r="R222" s="383"/>
      <c r="S222" s="383"/>
      <c r="T222" s="383"/>
      <c r="U222" s="383"/>
      <c r="V222" s="383"/>
      <c r="W222" s="383"/>
      <c r="X222" s="383"/>
      <c r="Y222" s="383"/>
      <c r="Z222" s="383"/>
    </row>
    <row r="223" spans="1:26" ht="12.75" customHeight="1" x14ac:dyDescent="0.3">
      <c r="A223" s="383"/>
      <c r="B223" s="383"/>
      <c r="C223" s="383"/>
      <c r="D223" s="383"/>
      <c r="E223" s="383"/>
      <c r="F223" s="383"/>
      <c r="G223" s="383"/>
      <c r="H223" s="383"/>
      <c r="I223" s="383"/>
      <c r="J223" s="383"/>
      <c r="K223" s="383"/>
      <c r="L223" s="383"/>
      <c r="M223" s="383"/>
      <c r="N223" s="383"/>
      <c r="O223" s="383"/>
      <c r="P223" s="383"/>
      <c r="Q223" s="383"/>
      <c r="R223" s="383"/>
      <c r="S223" s="383"/>
      <c r="T223" s="383"/>
      <c r="U223" s="383"/>
      <c r="V223" s="383"/>
      <c r="W223" s="383"/>
      <c r="X223" s="383"/>
      <c r="Y223" s="383"/>
      <c r="Z223" s="383"/>
    </row>
    <row r="224" spans="1:26" ht="12.75" customHeight="1" x14ac:dyDescent="0.3">
      <c r="A224" s="383"/>
      <c r="B224" s="383"/>
      <c r="C224" s="383"/>
      <c r="D224" s="383"/>
      <c r="E224" s="383"/>
      <c r="F224" s="383"/>
      <c r="G224" s="383"/>
      <c r="H224" s="383"/>
      <c r="I224" s="383"/>
      <c r="J224" s="383"/>
      <c r="K224" s="383"/>
      <c r="L224" s="383"/>
      <c r="M224" s="383"/>
      <c r="N224" s="383"/>
      <c r="O224" s="383"/>
      <c r="P224" s="383"/>
      <c r="Q224" s="383"/>
      <c r="R224" s="383"/>
      <c r="S224" s="383"/>
      <c r="T224" s="383"/>
      <c r="U224" s="383"/>
      <c r="V224" s="383"/>
      <c r="W224" s="383"/>
      <c r="X224" s="383"/>
      <c r="Y224" s="383"/>
      <c r="Z224" s="383"/>
    </row>
    <row r="225" spans="1:26" ht="12.75" customHeight="1" x14ac:dyDescent="0.3">
      <c r="A225" s="383"/>
      <c r="B225" s="383"/>
      <c r="C225" s="383"/>
      <c r="D225" s="383"/>
      <c r="E225" s="383"/>
      <c r="F225" s="383"/>
      <c r="G225" s="383"/>
      <c r="H225" s="383"/>
      <c r="I225" s="383"/>
      <c r="J225" s="383"/>
      <c r="K225" s="383"/>
      <c r="L225" s="383"/>
      <c r="M225" s="383"/>
      <c r="N225" s="383"/>
      <c r="O225" s="383"/>
      <c r="P225" s="383"/>
      <c r="Q225" s="383"/>
      <c r="R225" s="383"/>
      <c r="S225" s="383"/>
      <c r="T225" s="383"/>
      <c r="U225" s="383"/>
      <c r="V225" s="383"/>
      <c r="W225" s="383"/>
      <c r="X225" s="383"/>
      <c r="Y225" s="383"/>
      <c r="Z225" s="383"/>
    </row>
    <row r="226" spans="1:26" ht="12.75" customHeight="1" x14ac:dyDescent="0.3">
      <c r="A226" s="383"/>
      <c r="B226" s="383"/>
      <c r="C226" s="383"/>
      <c r="D226" s="383"/>
      <c r="E226" s="383"/>
      <c r="F226" s="383"/>
      <c r="G226" s="383"/>
      <c r="H226" s="383"/>
      <c r="I226" s="383"/>
      <c r="J226" s="383"/>
      <c r="K226" s="383"/>
      <c r="L226" s="383"/>
      <c r="M226" s="383"/>
      <c r="N226" s="383"/>
      <c r="O226" s="383"/>
      <c r="P226" s="383"/>
      <c r="Q226" s="383"/>
      <c r="R226" s="383"/>
      <c r="S226" s="383"/>
      <c r="T226" s="383"/>
      <c r="U226" s="383"/>
      <c r="V226" s="383"/>
      <c r="W226" s="383"/>
      <c r="X226" s="383"/>
      <c r="Y226" s="383"/>
      <c r="Z226" s="383"/>
    </row>
    <row r="227" spans="1:26" ht="12.75" customHeight="1" x14ac:dyDescent="0.3">
      <c r="A227" s="383"/>
      <c r="B227" s="383"/>
      <c r="C227" s="383"/>
      <c r="D227" s="383"/>
      <c r="E227" s="383"/>
      <c r="F227" s="383"/>
      <c r="G227" s="383"/>
      <c r="H227" s="383"/>
      <c r="I227" s="383"/>
      <c r="J227" s="383"/>
      <c r="K227" s="383"/>
      <c r="L227" s="383"/>
      <c r="M227" s="383"/>
      <c r="N227" s="383"/>
      <c r="O227" s="383"/>
      <c r="P227" s="383"/>
      <c r="Q227" s="383"/>
      <c r="R227" s="383"/>
      <c r="S227" s="383"/>
      <c r="T227" s="383"/>
      <c r="U227" s="383"/>
      <c r="V227" s="383"/>
      <c r="W227" s="383"/>
      <c r="X227" s="383"/>
      <c r="Y227" s="383"/>
      <c r="Z227" s="383"/>
    </row>
    <row r="228" spans="1:26" ht="12.75" customHeight="1" x14ac:dyDescent="0.3">
      <c r="A228" s="383"/>
      <c r="B228" s="383"/>
      <c r="C228" s="383"/>
      <c r="D228" s="383"/>
      <c r="E228" s="383"/>
      <c r="F228" s="383"/>
      <c r="G228" s="383"/>
      <c r="H228" s="383"/>
      <c r="I228" s="383"/>
      <c r="J228" s="383"/>
      <c r="K228" s="383"/>
      <c r="L228" s="383"/>
      <c r="M228" s="383"/>
      <c r="N228" s="383"/>
      <c r="O228" s="383"/>
      <c r="P228" s="383"/>
      <c r="Q228" s="383"/>
      <c r="R228" s="383"/>
      <c r="S228" s="383"/>
      <c r="T228" s="383"/>
      <c r="U228" s="383"/>
      <c r="V228" s="383"/>
      <c r="W228" s="383"/>
      <c r="X228" s="383"/>
      <c r="Y228" s="383"/>
      <c r="Z228" s="383"/>
    </row>
    <row r="229" spans="1:26" ht="12.75" customHeight="1" x14ac:dyDescent="0.3">
      <c r="A229" s="383"/>
      <c r="B229" s="383"/>
      <c r="C229" s="383"/>
      <c r="D229" s="383"/>
      <c r="E229" s="383"/>
      <c r="F229" s="383"/>
      <c r="G229" s="383"/>
      <c r="H229" s="383"/>
      <c r="I229" s="383"/>
      <c r="J229" s="383"/>
      <c r="K229" s="383"/>
      <c r="L229" s="383"/>
      <c r="M229" s="383"/>
      <c r="N229" s="383"/>
      <c r="O229" s="383"/>
      <c r="P229" s="383"/>
      <c r="Q229" s="383"/>
      <c r="R229" s="383"/>
      <c r="S229" s="383"/>
      <c r="T229" s="383"/>
      <c r="U229" s="383"/>
      <c r="V229" s="383"/>
      <c r="W229" s="383"/>
      <c r="X229" s="383"/>
      <c r="Y229" s="383"/>
      <c r="Z229" s="383"/>
    </row>
    <row r="230" spans="1:26" ht="12.75" customHeight="1" x14ac:dyDescent="0.3">
      <c r="A230" s="383"/>
      <c r="B230" s="383"/>
      <c r="C230" s="383"/>
      <c r="D230" s="383"/>
      <c r="E230" s="383"/>
      <c r="F230" s="383"/>
      <c r="G230" s="383"/>
      <c r="H230" s="383"/>
      <c r="I230" s="383"/>
      <c r="J230" s="383"/>
      <c r="K230" s="383"/>
      <c r="L230" s="383"/>
      <c r="M230" s="383"/>
      <c r="N230" s="383"/>
      <c r="O230" s="383"/>
      <c r="P230" s="383"/>
      <c r="Q230" s="383"/>
      <c r="R230" s="383"/>
      <c r="S230" s="383"/>
      <c r="T230" s="383"/>
      <c r="U230" s="383"/>
      <c r="V230" s="383"/>
      <c r="W230" s="383"/>
      <c r="X230" s="383"/>
      <c r="Y230" s="383"/>
      <c r="Z230" s="383"/>
    </row>
    <row r="231" spans="1:26" ht="12.75" customHeight="1" x14ac:dyDescent="0.3">
      <c r="A231" s="383"/>
      <c r="B231" s="383"/>
      <c r="C231" s="383"/>
      <c r="D231" s="383"/>
      <c r="E231" s="383"/>
      <c r="F231" s="383"/>
      <c r="G231" s="383"/>
      <c r="H231" s="383"/>
      <c r="I231" s="383"/>
      <c r="J231" s="383"/>
      <c r="K231" s="383"/>
      <c r="L231" s="383"/>
      <c r="M231" s="383"/>
      <c r="N231" s="383"/>
      <c r="O231" s="383"/>
      <c r="P231" s="383"/>
      <c r="Q231" s="383"/>
      <c r="R231" s="383"/>
      <c r="S231" s="383"/>
      <c r="T231" s="383"/>
      <c r="U231" s="383"/>
      <c r="V231" s="383"/>
      <c r="W231" s="383"/>
      <c r="X231" s="383"/>
      <c r="Y231" s="383"/>
      <c r="Z231" s="383"/>
    </row>
    <row r="232" spans="1:26" ht="12.75" customHeight="1" x14ac:dyDescent="0.3">
      <c r="A232" s="383"/>
      <c r="B232" s="383"/>
      <c r="C232" s="383"/>
      <c r="D232" s="383"/>
      <c r="E232" s="383"/>
      <c r="F232" s="383"/>
      <c r="G232" s="383"/>
      <c r="H232" s="383"/>
      <c r="I232" s="383"/>
      <c r="J232" s="383"/>
      <c r="K232" s="383"/>
      <c r="L232" s="383"/>
      <c r="M232" s="383"/>
      <c r="N232" s="383"/>
      <c r="O232" s="383"/>
      <c r="P232" s="383"/>
      <c r="Q232" s="383"/>
      <c r="R232" s="383"/>
      <c r="S232" s="383"/>
      <c r="T232" s="383"/>
      <c r="U232" s="383"/>
      <c r="V232" s="383"/>
      <c r="W232" s="383"/>
      <c r="X232" s="383"/>
      <c r="Y232" s="383"/>
      <c r="Z232" s="383"/>
    </row>
    <row r="233" spans="1:26" ht="12.75" customHeight="1" x14ac:dyDescent="0.3">
      <c r="A233" s="383"/>
      <c r="B233" s="383"/>
      <c r="C233" s="383"/>
      <c r="D233" s="383"/>
      <c r="E233" s="383"/>
      <c r="F233" s="383"/>
      <c r="G233" s="383"/>
      <c r="H233" s="383"/>
      <c r="I233" s="383"/>
      <c r="J233" s="383"/>
      <c r="K233" s="383"/>
      <c r="L233" s="383"/>
      <c r="M233" s="383"/>
      <c r="N233" s="383"/>
      <c r="O233" s="383"/>
      <c r="P233" s="383"/>
      <c r="Q233" s="383"/>
      <c r="R233" s="383"/>
      <c r="S233" s="383"/>
      <c r="T233" s="383"/>
      <c r="U233" s="383"/>
      <c r="V233" s="383"/>
      <c r="W233" s="383"/>
      <c r="X233" s="383"/>
      <c r="Y233" s="383"/>
      <c r="Z233" s="383"/>
    </row>
    <row r="234" spans="1:26" ht="12.75" customHeight="1" x14ac:dyDescent="0.3">
      <c r="A234" s="383"/>
      <c r="B234" s="383"/>
      <c r="C234" s="383"/>
      <c r="D234" s="383"/>
      <c r="E234" s="383"/>
      <c r="F234" s="383"/>
      <c r="G234" s="383"/>
      <c r="H234" s="383"/>
      <c r="I234" s="383"/>
      <c r="J234" s="383"/>
      <c r="K234" s="383"/>
      <c r="L234" s="383"/>
      <c r="M234" s="383"/>
      <c r="N234" s="383"/>
      <c r="O234" s="383"/>
      <c r="P234" s="383"/>
      <c r="Q234" s="383"/>
      <c r="R234" s="383"/>
      <c r="S234" s="383"/>
      <c r="T234" s="383"/>
      <c r="U234" s="383"/>
      <c r="V234" s="383"/>
      <c r="W234" s="383"/>
      <c r="X234" s="383"/>
      <c r="Y234" s="383"/>
      <c r="Z234" s="383"/>
    </row>
    <row r="235" spans="1:26" ht="12.75" customHeight="1" x14ac:dyDescent="0.3">
      <c r="A235" s="383"/>
      <c r="B235" s="383"/>
      <c r="C235" s="383"/>
      <c r="D235" s="383"/>
      <c r="E235" s="383"/>
      <c r="F235" s="383"/>
      <c r="G235" s="383"/>
      <c r="H235" s="383"/>
      <c r="I235" s="383"/>
      <c r="J235" s="383"/>
      <c r="K235" s="383"/>
      <c r="L235" s="383"/>
      <c r="M235" s="383"/>
      <c r="N235" s="383"/>
      <c r="O235" s="383"/>
      <c r="P235" s="383"/>
      <c r="Q235" s="383"/>
      <c r="R235" s="383"/>
      <c r="S235" s="383"/>
      <c r="T235" s="383"/>
      <c r="U235" s="383"/>
      <c r="V235" s="383"/>
      <c r="W235" s="383"/>
      <c r="X235" s="383"/>
      <c r="Y235" s="383"/>
      <c r="Z235" s="383"/>
    </row>
    <row r="236" spans="1:26" ht="12.75" customHeight="1" x14ac:dyDescent="0.3">
      <c r="A236" s="383"/>
      <c r="B236" s="383"/>
      <c r="C236" s="383"/>
      <c r="D236" s="383"/>
      <c r="E236" s="383"/>
      <c r="F236" s="383"/>
      <c r="G236" s="383"/>
      <c r="H236" s="383"/>
      <c r="I236" s="383"/>
      <c r="J236" s="383"/>
      <c r="K236" s="383"/>
      <c r="L236" s="383"/>
      <c r="M236" s="383"/>
      <c r="N236" s="383"/>
      <c r="O236" s="383"/>
      <c r="P236" s="383"/>
      <c r="Q236" s="383"/>
      <c r="R236" s="383"/>
      <c r="S236" s="383"/>
      <c r="T236" s="383"/>
      <c r="U236" s="383"/>
      <c r="V236" s="383"/>
      <c r="W236" s="383"/>
      <c r="X236" s="383"/>
      <c r="Y236" s="383"/>
      <c r="Z236" s="383"/>
    </row>
    <row r="237" spans="1:26" ht="12.75" customHeight="1" x14ac:dyDescent="0.3">
      <c r="A237" s="383"/>
      <c r="B237" s="383"/>
      <c r="C237" s="383"/>
      <c r="D237" s="383"/>
      <c r="E237" s="383"/>
      <c r="F237" s="383"/>
      <c r="G237" s="383"/>
      <c r="H237" s="383"/>
      <c r="I237" s="383"/>
      <c r="J237" s="383"/>
      <c r="K237" s="383"/>
      <c r="L237" s="383"/>
      <c r="M237" s="383"/>
      <c r="N237" s="383"/>
      <c r="O237" s="383"/>
      <c r="P237" s="383"/>
      <c r="Q237" s="383"/>
      <c r="R237" s="383"/>
      <c r="S237" s="383"/>
      <c r="T237" s="383"/>
      <c r="U237" s="383"/>
      <c r="V237" s="383"/>
      <c r="W237" s="383"/>
      <c r="X237" s="383"/>
      <c r="Y237" s="383"/>
      <c r="Z237" s="383"/>
    </row>
    <row r="238" spans="1:26" ht="12.75" customHeight="1" x14ac:dyDescent="0.3">
      <c r="A238" s="383"/>
      <c r="B238" s="383"/>
      <c r="C238" s="383"/>
      <c r="D238" s="383"/>
      <c r="E238" s="383"/>
      <c r="F238" s="383"/>
      <c r="G238" s="383"/>
      <c r="H238" s="383"/>
      <c r="I238" s="383"/>
      <c r="J238" s="383"/>
      <c r="K238" s="383"/>
      <c r="L238" s="383"/>
      <c r="M238" s="383"/>
      <c r="N238" s="383"/>
      <c r="O238" s="383"/>
      <c r="P238" s="383"/>
      <c r="Q238" s="383"/>
      <c r="R238" s="383"/>
      <c r="S238" s="383"/>
      <c r="T238" s="383"/>
      <c r="U238" s="383"/>
      <c r="V238" s="383"/>
      <c r="W238" s="383"/>
      <c r="X238" s="383"/>
      <c r="Y238" s="383"/>
      <c r="Z238" s="383"/>
    </row>
    <row r="239" spans="1:26" ht="12.75" customHeight="1" x14ac:dyDescent="0.3">
      <c r="A239" s="383"/>
      <c r="B239" s="383"/>
      <c r="C239" s="383"/>
      <c r="D239" s="383"/>
      <c r="E239" s="383"/>
      <c r="F239" s="383"/>
      <c r="G239" s="383"/>
      <c r="H239" s="383"/>
      <c r="I239" s="383"/>
      <c r="J239" s="383"/>
      <c r="K239" s="383"/>
      <c r="L239" s="383"/>
      <c r="M239" s="383"/>
      <c r="N239" s="383"/>
      <c r="O239" s="383"/>
      <c r="P239" s="383"/>
      <c r="Q239" s="383"/>
      <c r="R239" s="383"/>
      <c r="S239" s="383"/>
      <c r="T239" s="383"/>
      <c r="U239" s="383"/>
      <c r="V239" s="383"/>
      <c r="W239" s="383"/>
      <c r="X239" s="383"/>
      <c r="Y239" s="383"/>
      <c r="Z239" s="383"/>
    </row>
    <row r="240" spans="1:26" ht="12.75" customHeight="1" x14ac:dyDescent="0.3">
      <c r="A240" s="383"/>
      <c r="B240" s="383"/>
      <c r="C240" s="383"/>
      <c r="D240" s="383"/>
      <c r="E240" s="383"/>
      <c r="F240" s="383"/>
      <c r="G240" s="383"/>
      <c r="H240" s="383"/>
      <c r="I240" s="383"/>
      <c r="J240" s="383"/>
      <c r="K240" s="383"/>
      <c r="L240" s="383"/>
      <c r="M240" s="383"/>
      <c r="N240" s="383"/>
      <c r="O240" s="383"/>
      <c r="P240" s="383"/>
      <c r="Q240" s="383"/>
      <c r="R240" s="383"/>
      <c r="S240" s="383"/>
      <c r="T240" s="383"/>
      <c r="U240" s="383"/>
      <c r="V240" s="383"/>
      <c r="W240" s="383"/>
      <c r="X240" s="383"/>
      <c r="Y240" s="383"/>
      <c r="Z240" s="383"/>
    </row>
    <row r="241" spans="1:26" ht="12.75" customHeight="1" x14ac:dyDescent="0.3">
      <c r="A241" s="383"/>
      <c r="B241" s="383"/>
      <c r="C241" s="383"/>
      <c r="D241" s="383"/>
      <c r="E241" s="383"/>
      <c r="F241" s="383"/>
      <c r="G241" s="383"/>
      <c r="H241" s="383"/>
      <c r="I241" s="383"/>
      <c r="J241" s="383"/>
      <c r="K241" s="383"/>
      <c r="L241" s="383"/>
      <c r="M241" s="383"/>
      <c r="N241" s="383"/>
      <c r="O241" s="383"/>
      <c r="P241" s="383"/>
      <c r="Q241" s="383"/>
      <c r="R241" s="383"/>
      <c r="S241" s="383"/>
      <c r="T241" s="383"/>
      <c r="U241" s="383"/>
      <c r="V241" s="383"/>
      <c r="W241" s="383"/>
      <c r="X241" s="383"/>
      <c r="Y241" s="383"/>
      <c r="Z241" s="383"/>
    </row>
    <row r="242" spans="1:26" ht="12.75" customHeight="1" x14ac:dyDescent="0.3">
      <c r="A242" s="383"/>
      <c r="B242" s="383"/>
      <c r="C242" s="383"/>
      <c r="D242" s="383"/>
      <c r="E242" s="383"/>
      <c r="F242" s="383"/>
      <c r="G242" s="383"/>
      <c r="H242" s="383"/>
      <c r="I242" s="383"/>
      <c r="J242" s="383"/>
      <c r="K242" s="383"/>
      <c r="L242" s="383"/>
      <c r="M242" s="383"/>
      <c r="N242" s="383"/>
      <c r="O242" s="383"/>
      <c r="P242" s="383"/>
      <c r="Q242" s="383"/>
      <c r="R242" s="383"/>
      <c r="S242" s="383"/>
      <c r="T242" s="383"/>
      <c r="U242" s="383"/>
      <c r="V242" s="383"/>
      <c r="W242" s="383"/>
      <c r="X242" s="383"/>
      <c r="Y242" s="383"/>
      <c r="Z242" s="383"/>
    </row>
    <row r="243" spans="1:26" ht="12.75" customHeight="1" x14ac:dyDescent="0.3">
      <c r="A243" s="383"/>
      <c r="B243" s="383"/>
      <c r="C243" s="383"/>
      <c r="D243" s="383"/>
      <c r="E243" s="383"/>
      <c r="F243" s="383"/>
      <c r="G243" s="383"/>
      <c r="H243" s="383"/>
      <c r="I243" s="383"/>
      <c r="J243" s="383"/>
      <c r="K243" s="383"/>
      <c r="L243" s="383"/>
      <c r="M243" s="383"/>
      <c r="N243" s="383"/>
      <c r="O243" s="383"/>
      <c r="P243" s="383"/>
      <c r="Q243" s="383"/>
      <c r="R243" s="383"/>
      <c r="S243" s="383"/>
      <c r="T243" s="383"/>
      <c r="U243" s="383"/>
      <c r="V243" s="383"/>
      <c r="W243" s="383"/>
      <c r="X243" s="383"/>
      <c r="Y243" s="383"/>
      <c r="Z243" s="383"/>
    </row>
    <row r="244" spans="1:26" ht="12.75" customHeight="1" x14ac:dyDescent="0.3">
      <c r="A244" s="383"/>
      <c r="B244" s="383"/>
      <c r="C244" s="383"/>
      <c r="D244" s="383"/>
      <c r="E244" s="383"/>
      <c r="F244" s="383"/>
      <c r="G244" s="383"/>
      <c r="H244" s="383"/>
      <c r="I244" s="383"/>
      <c r="J244" s="383"/>
      <c r="K244" s="383"/>
      <c r="L244" s="383"/>
      <c r="M244" s="383"/>
      <c r="N244" s="383"/>
      <c r="O244" s="383"/>
      <c r="P244" s="383"/>
      <c r="Q244" s="383"/>
      <c r="R244" s="383"/>
      <c r="S244" s="383"/>
      <c r="T244" s="383"/>
      <c r="U244" s="383"/>
      <c r="V244" s="383"/>
      <c r="W244" s="383"/>
      <c r="X244" s="383"/>
      <c r="Y244" s="383"/>
      <c r="Z244" s="383"/>
    </row>
    <row r="245" spans="1:26" ht="12.75" customHeight="1" x14ac:dyDescent="0.3">
      <c r="A245" s="383"/>
      <c r="B245" s="383"/>
      <c r="C245" s="383"/>
      <c r="D245" s="383"/>
      <c r="E245" s="383"/>
      <c r="F245" s="383"/>
      <c r="G245" s="383"/>
      <c r="H245" s="383"/>
      <c r="I245" s="383"/>
      <c r="J245" s="383"/>
      <c r="K245" s="383"/>
      <c r="L245" s="383"/>
      <c r="M245" s="383"/>
      <c r="N245" s="383"/>
      <c r="O245" s="383"/>
      <c r="P245" s="383"/>
      <c r="Q245" s="383"/>
      <c r="R245" s="383"/>
      <c r="S245" s="383"/>
      <c r="T245" s="383"/>
      <c r="U245" s="383"/>
      <c r="V245" s="383"/>
      <c r="W245" s="383"/>
      <c r="X245" s="383"/>
      <c r="Y245" s="383"/>
      <c r="Z245" s="383"/>
    </row>
    <row r="246" spans="1:26" ht="12.75" customHeight="1" x14ac:dyDescent="0.3">
      <c r="A246" s="383"/>
      <c r="B246" s="383"/>
      <c r="C246" s="383"/>
      <c r="D246" s="383"/>
      <c r="E246" s="383"/>
      <c r="F246" s="383"/>
      <c r="G246" s="383"/>
      <c r="H246" s="383"/>
      <c r="I246" s="383"/>
      <c r="J246" s="383"/>
      <c r="K246" s="383"/>
      <c r="L246" s="383"/>
      <c r="M246" s="383"/>
      <c r="N246" s="383"/>
      <c r="O246" s="383"/>
      <c r="P246" s="383"/>
      <c r="Q246" s="383"/>
      <c r="R246" s="383"/>
      <c r="S246" s="383"/>
      <c r="T246" s="383"/>
      <c r="U246" s="383"/>
      <c r="V246" s="383"/>
      <c r="W246" s="383"/>
      <c r="X246" s="383"/>
      <c r="Y246" s="383"/>
      <c r="Z246" s="383"/>
    </row>
    <row r="247" spans="1:26" ht="12.75" customHeight="1" x14ac:dyDescent="0.3">
      <c r="A247" s="383"/>
      <c r="B247" s="383"/>
      <c r="C247" s="383"/>
      <c r="D247" s="383"/>
      <c r="E247" s="383"/>
      <c r="F247" s="383"/>
      <c r="G247" s="383"/>
      <c r="H247" s="383"/>
      <c r="I247" s="383"/>
      <c r="J247" s="383"/>
      <c r="K247" s="383"/>
      <c r="L247" s="383"/>
      <c r="M247" s="383"/>
      <c r="N247" s="383"/>
      <c r="O247" s="383"/>
      <c r="P247" s="383"/>
      <c r="Q247" s="383"/>
      <c r="R247" s="383"/>
      <c r="S247" s="383"/>
      <c r="T247" s="383"/>
      <c r="U247" s="383"/>
      <c r="V247" s="383"/>
      <c r="W247" s="383"/>
      <c r="X247" s="383"/>
      <c r="Y247" s="383"/>
      <c r="Z247" s="383"/>
    </row>
    <row r="248" spans="1:26" ht="12.75" customHeight="1" x14ac:dyDescent="0.3">
      <c r="A248" s="383"/>
      <c r="B248" s="383"/>
      <c r="C248" s="383"/>
      <c r="D248" s="383"/>
      <c r="E248" s="383"/>
      <c r="F248" s="383"/>
      <c r="G248" s="383"/>
      <c r="H248" s="383"/>
      <c r="I248" s="383"/>
      <c r="J248" s="383"/>
      <c r="K248" s="383"/>
      <c r="L248" s="383"/>
      <c r="M248" s="383"/>
      <c r="N248" s="383"/>
      <c r="O248" s="383"/>
      <c r="P248" s="383"/>
      <c r="Q248" s="383"/>
      <c r="R248" s="383"/>
      <c r="S248" s="383"/>
      <c r="T248" s="383"/>
      <c r="U248" s="383"/>
      <c r="V248" s="383"/>
      <c r="W248" s="383"/>
      <c r="X248" s="383"/>
      <c r="Y248" s="383"/>
      <c r="Z248" s="383"/>
    </row>
    <row r="249" spans="1:26" ht="12.75" customHeight="1" x14ac:dyDescent="0.3">
      <c r="A249" s="383"/>
      <c r="B249" s="383"/>
      <c r="C249" s="383"/>
      <c r="D249" s="383"/>
      <c r="E249" s="383"/>
      <c r="F249" s="383"/>
      <c r="G249" s="383"/>
      <c r="H249" s="383"/>
      <c r="I249" s="383"/>
      <c r="J249" s="383"/>
      <c r="K249" s="383"/>
      <c r="L249" s="383"/>
      <c r="M249" s="383"/>
      <c r="N249" s="383"/>
      <c r="O249" s="383"/>
      <c r="P249" s="383"/>
      <c r="Q249" s="383"/>
      <c r="R249" s="383"/>
      <c r="S249" s="383"/>
      <c r="T249" s="383"/>
      <c r="U249" s="383"/>
      <c r="V249" s="383"/>
      <c r="W249" s="383"/>
      <c r="X249" s="383"/>
      <c r="Y249" s="383"/>
      <c r="Z249" s="383"/>
    </row>
    <row r="250" spans="1:26" ht="12.75" customHeight="1" x14ac:dyDescent="0.3">
      <c r="A250" s="383"/>
      <c r="B250" s="383"/>
      <c r="C250" s="383"/>
      <c r="D250" s="383"/>
      <c r="E250" s="383"/>
      <c r="F250" s="383"/>
      <c r="G250" s="383"/>
      <c r="H250" s="383"/>
      <c r="I250" s="383"/>
      <c r="J250" s="383"/>
      <c r="K250" s="383"/>
      <c r="L250" s="383"/>
      <c r="M250" s="383"/>
      <c r="N250" s="383"/>
      <c r="O250" s="383"/>
      <c r="P250" s="383"/>
      <c r="Q250" s="383"/>
      <c r="R250" s="383"/>
      <c r="S250" s="383"/>
      <c r="T250" s="383"/>
      <c r="U250" s="383"/>
      <c r="V250" s="383"/>
      <c r="W250" s="383"/>
      <c r="X250" s="383"/>
      <c r="Y250" s="383"/>
      <c r="Z250" s="383"/>
    </row>
    <row r="251" spans="1:26" ht="12.75" customHeight="1" x14ac:dyDescent="0.3">
      <c r="A251" s="383"/>
      <c r="B251" s="383"/>
      <c r="C251" s="383"/>
      <c r="D251" s="383"/>
      <c r="E251" s="383"/>
      <c r="F251" s="383"/>
      <c r="G251" s="383"/>
      <c r="H251" s="383"/>
      <c r="I251" s="383"/>
      <c r="J251" s="383"/>
      <c r="K251" s="383"/>
      <c r="L251" s="383"/>
      <c r="M251" s="383"/>
      <c r="N251" s="383"/>
      <c r="O251" s="383"/>
      <c r="P251" s="383"/>
      <c r="Q251" s="383"/>
      <c r="R251" s="383"/>
      <c r="S251" s="383"/>
      <c r="T251" s="383"/>
      <c r="U251" s="383"/>
      <c r="V251" s="383"/>
      <c r="W251" s="383"/>
      <c r="X251" s="383"/>
      <c r="Y251" s="383"/>
      <c r="Z251" s="383"/>
    </row>
    <row r="252" spans="1:26" ht="12.75" customHeight="1" x14ac:dyDescent="0.3">
      <c r="A252" s="383"/>
      <c r="B252" s="383"/>
      <c r="C252" s="383"/>
      <c r="D252" s="383"/>
      <c r="E252" s="383"/>
      <c r="F252" s="383"/>
      <c r="G252" s="383"/>
      <c r="H252" s="383"/>
      <c r="I252" s="383"/>
      <c r="J252" s="383"/>
      <c r="K252" s="383"/>
      <c r="L252" s="383"/>
      <c r="M252" s="383"/>
      <c r="N252" s="383"/>
      <c r="O252" s="383"/>
      <c r="P252" s="383"/>
      <c r="Q252" s="383"/>
      <c r="R252" s="383"/>
      <c r="S252" s="383"/>
      <c r="T252" s="383"/>
      <c r="U252" s="383"/>
      <c r="V252" s="383"/>
      <c r="W252" s="383"/>
      <c r="X252" s="383"/>
      <c r="Y252" s="383"/>
      <c r="Z252" s="383"/>
    </row>
    <row r="253" spans="1:26" ht="12.75" customHeight="1" x14ac:dyDescent="0.3">
      <c r="A253" s="383"/>
      <c r="B253" s="383"/>
      <c r="C253" s="383"/>
      <c r="D253" s="383"/>
      <c r="E253" s="383"/>
      <c r="F253" s="383"/>
      <c r="G253" s="383"/>
      <c r="H253" s="383"/>
      <c r="I253" s="383"/>
      <c r="J253" s="383"/>
      <c r="K253" s="383"/>
      <c r="L253" s="383"/>
      <c r="M253" s="383"/>
      <c r="N253" s="383"/>
      <c r="O253" s="383"/>
      <c r="P253" s="383"/>
      <c r="Q253" s="383"/>
      <c r="R253" s="383"/>
      <c r="S253" s="383"/>
      <c r="T253" s="383"/>
      <c r="U253" s="383"/>
      <c r="V253" s="383"/>
      <c r="W253" s="383"/>
      <c r="X253" s="383"/>
      <c r="Y253" s="383"/>
      <c r="Z253" s="383"/>
    </row>
    <row r="254" spans="1:26" ht="12.75" customHeight="1" x14ac:dyDescent="0.3">
      <c r="A254" s="383"/>
      <c r="B254" s="383"/>
      <c r="C254" s="383"/>
      <c r="D254" s="383"/>
      <c r="E254" s="383"/>
      <c r="F254" s="383"/>
      <c r="G254" s="383"/>
      <c r="H254" s="383"/>
      <c r="I254" s="383"/>
      <c r="J254" s="383"/>
      <c r="K254" s="383"/>
      <c r="L254" s="383"/>
      <c r="M254" s="383"/>
      <c r="N254" s="383"/>
      <c r="O254" s="383"/>
      <c r="P254" s="383"/>
      <c r="Q254" s="383"/>
      <c r="R254" s="383"/>
      <c r="S254" s="383"/>
      <c r="T254" s="383"/>
      <c r="U254" s="383"/>
      <c r="V254" s="383"/>
      <c r="W254" s="383"/>
      <c r="X254" s="383"/>
      <c r="Y254" s="383"/>
      <c r="Z254" s="383"/>
    </row>
    <row r="255" spans="1:26" ht="12.75" customHeight="1" x14ac:dyDescent="0.3">
      <c r="A255" s="383"/>
      <c r="B255" s="383"/>
      <c r="C255" s="383"/>
      <c r="D255" s="383"/>
      <c r="E255" s="383"/>
      <c r="F255" s="383"/>
      <c r="G255" s="383"/>
      <c r="H255" s="383"/>
      <c r="I255" s="383"/>
      <c r="J255" s="383"/>
      <c r="K255" s="383"/>
      <c r="L255" s="383"/>
      <c r="M255" s="383"/>
      <c r="N255" s="383"/>
      <c r="O255" s="383"/>
      <c r="P255" s="383"/>
      <c r="Q255" s="383"/>
      <c r="R255" s="383"/>
      <c r="S255" s="383"/>
      <c r="T255" s="383"/>
      <c r="U255" s="383"/>
      <c r="V255" s="383"/>
      <c r="W255" s="383"/>
      <c r="X255" s="383"/>
      <c r="Y255" s="383"/>
      <c r="Z255" s="383"/>
    </row>
    <row r="256" spans="1:26" ht="12.75" customHeight="1" x14ac:dyDescent="0.3">
      <c r="A256" s="383"/>
      <c r="B256" s="383"/>
      <c r="C256" s="383"/>
      <c r="D256" s="383"/>
      <c r="E256" s="383"/>
      <c r="F256" s="383"/>
      <c r="G256" s="383"/>
      <c r="H256" s="383"/>
      <c r="I256" s="383"/>
      <c r="J256" s="383"/>
      <c r="K256" s="383"/>
      <c r="L256" s="383"/>
      <c r="M256" s="383"/>
      <c r="N256" s="383"/>
      <c r="O256" s="383"/>
      <c r="P256" s="383"/>
      <c r="Q256" s="383"/>
      <c r="R256" s="383"/>
      <c r="S256" s="383"/>
      <c r="T256" s="383"/>
      <c r="U256" s="383"/>
      <c r="V256" s="383"/>
      <c r="W256" s="383"/>
      <c r="X256" s="383"/>
      <c r="Y256" s="383"/>
      <c r="Z256" s="383"/>
    </row>
    <row r="257" spans="1:26" ht="12.75" customHeight="1" x14ac:dyDescent="0.3">
      <c r="A257" s="383"/>
      <c r="B257" s="383"/>
      <c r="C257" s="383"/>
      <c r="D257" s="383"/>
      <c r="E257" s="383"/>
      <c r="F257" s="383"/>
      <c r="G257" s="383"/>
      <c r="H257" s="383"/>
      <c r="I257" s="383"/>
      <c r="J257" s="383"/>
      <c r="K257" s="383"/>
      <c r="L257" s="383"/>
      <c r="M257" s="383"/>
      <c r="N257" s="383"/>
      <c r="O257" s="383"/>
      <c r="P257" s="383"/>
      <c r="Q257" s="383"/>
      <c r="R257" s="383"/>
      <c r="S257" s="383"/>
      <c r="T257" s="383"/>
      <c r="U257" s="383"/>
      <c r="V257" s="383"/>
      <c r="W257" s="383"/>
      <c r="X257" s="383"/>
      <c r="Y257" s="383"/>
      <c r="Z257" s="383"/>
    </row>
    <row r="258" spans="1:26" ht="12.75" customHeight="1" x14ac:dyDescent="0.3">
      <c r="A258" s="383"/>
      <c r="B258" s="383"/>
      <c r="C258" s="383"/>
      <c r="D258" s="383"/>
      <c r="E258" s="383"/>
      <c r="F258" s="383"/>
      <c r="G258" s="383"/>
      <c r="H258" s="383"/>
      <c r="I258" s="383"/>
      <c r="J258" s="383"/>
      <c r="K258" s="383"/>
      <c r="L258" s="383"/>
      <c r="M258" s="383"/>
      <c r="N258" s="383"/>
      <c r="O258" s="383"/>
      <c r="P258" s="383"/>
      <c r="Q258" s="383"/>
      <c r="R258" s="383"/>
      <c r="S258" s="383"/>
      <c r="T258" s="383"/>
      <c r="U258" s="383"/>
      <c r="V258" s="383"/>
      <c r="W258" s="383"/>
      <c r="X258" s="383"/>
      <c r="Y258" s="383"/>
      <c r="Z258" s="383"/>
    </row>
    <row r="259" spans="1:26" ht="12.75" customHeight="1" x14ac:dyDescent="0.3">
      <c r="A259" s="383"/>
      <c r="B259" s="383"/>
      <c r="C259" s="383"/>
      <c r="D259" s="383"/>
      <c r="E259" s="383"/>
      <c r="F259" s="383"/>
      <c r="G259" s="383"/>
      <c r="H259" s="383"/>
      <c r="I259" s="383"/>
      <c r="J259" s="383"/>
      <c r="K259" s="383"/>
      <c r="L259" s="383"/>
      <c r="M259" s="383"/>
      <c r="N259" s="383"/>
      <c r="O259" s="383"/>
      <c r="P259" s="383"/>
      <c r="Q259" s="383"/>
      <c r="R259" s="383"/>
      <c r="S259" s="383"/>
      <c r="T259" s="383"/>
      <c r="U259" s="383"/>
      <c r="V259" s="383"/>
      <c r="W259" s="383"/>
      <c r="X259" s="383"/>
      <c r="Y259" s="383"/>
      <c r="Z259" s="383"/>
    </row>
    <row r="260" spans="1:26" ht="12.75" customHeight="1" x14ac:dyDescent="0.3">
      <c r="A260" s="383"/>
      <c r="B260" s="383"/>
      <c r="C260" s="383"/>
      <c r="D260" s="383"/>
      <c r="E260" s="383"/>
      <c r="F260" s="383"/>
      <c r="G260" s="383"/>
      <c r="H260" s="383"/>
      <c r="I260" s="383"/>
      <c r="J260" s="383"/>
      <c r="K260" s="383"/>
      <c r="L260" s="383"/>
      <c r="M260" s="383"/>
      <c r="N260" s="383"/>
      <c r="O260" s="383"/>
      <c r="P260" s="383"/>
      <c r="Q260" s="383"/>
      <c r="R260" s="383"/>
      <c r="S260" s="383"/>
      <c r="T260" s="383"/>
      <c r="U260" s="383"/>
      <c r="V260" s="383"/>
      <c r="W260" s="383"/>
      <c r="X260" s="383"/>
      <c r="Y260" s="383"/>
      <c r="Z260" s="383"/>
    </row>
    <row r="261" spans="1:26" ht="12.75" customHeight="1" x14ac:dyDescent="0.3">
      <c r="A261" s="383"/>
      <c r="B261" s="383"/>
      <c r="C261" s="383"/>
      <c r="D261" s="383"/>
      <c r="E261" s="383"/>
      <c r="F261" s="383"/>
      <c r="G261" s="383"/>
      <c r="H261" s="383"/>
      <c r="I261" s="383"/>
      <c r="J261" s="383"/>
      <c r="K261" s="383"/>
      <c r="L261" s="383"/>
      <c r="M261" s="383"/>
      <c r="N261" s="383"/>
      <c r="O261" s="383"/>
      <c r="P261" s="383"/>
      <c r="Q261" s="383"/>
      <c r="R261" s="383"/>
      <c r="S261" s="383"/>
      <c r="T261" s="383"/>
      <c r="U261" s="383"/>
      <c r="V261" s="383"/>
      <c r="W261" s="383"/>
      <c r="X261" s="383"/>
      <c r="Y261" s="383"/>
      <c r="Z261" s="383"/>
    </row>
    <row r="262" spans="1:26" ht="12.75" customHeight="1" x14ac:dyDescent="0.3">
      <c r="A262" s="383"/>
      <c r="B262" s="383"/>
      <c r="C262" s="383"/>
      <c r="D262" s="383"/>
      <c r="E262" s="383"/>
      <c r="F262" s="383"/>
      <c r="G262" s="383"/>
      <c r="H262" s="383"/>
      <c r="I262" s="383"/>
      <c r="J262" s="383"/>
      <c r="K262" s="383"/>
      <c r="L262" s="383"/>
      <c r="M262" s="383"/>
      <c r="N262" s="383"/>
      <c r="O262" s="383"/>
      <c r="P262" s="383"/>
      <c r="Q262" s="383"/>
      <c r="R262" s="383"/>
      <c r="S262" s="383"/>
      <c r="T262" s="383"/>
      <c r="U262" s="383"/>
      <c r="V262" s="383"/>
      <c r="W262" s="383"/>
      <c r="X262" s="383"/>
      <c r="Y262" s="383"/>
      <c r="Z262" s="383"/>
    </row>
    <row r="263" spans="1:26" ht="12.75" customHeight="1" x14ac:dyDescent="0.3">
      <c r="A263" s="383"/>
      <c r="B263" s="383"/>
      <c r="C263" s="383"/>
      <c r="D263" s="383"/>
      <c r="E263" s="383"/>
      <c r="F263" s="383"/>
      <c r="G263" s="383"/>
      <c r="H263" s="383"/>
      <c r="I263" s="383"/>
      <c r="J263" s="383"/>
      <c r="K263" s="383"/>
      <c r="L263" s="383"/>
      <c r="M263" s="383"/>
      <c r="N263" s="383"/>
      <c r="O263" s="383"/>
      <c r="P263" s="383"/>
      <c r="Q263" s="383"/>
      <c r="R263" s="383"/>
      <c r="S263" s="383"/>
      <c r="T263" s="383"/>
      <c r="U263" s="383"/>
      <c r="V263" s="383"/>
      <c r="W263" s="383"/>
      <c r="X263" s="383"/>
      <c r="Y263" s="383"/>
      <c r="Z263" s="383"/>
    </row>
    <row r="264" spans="1:26" ht="12.75" customHeight="1" x14ac:dyDescent="0.3">
      <c r="A264" s="383"/>
      <c r="B264" s="383"/>
      <c r="C264" s="383"/>
      <c r="D264" s="383"/>
      <c r="E264" s="383"/>
      <c r="F264" s="383"/>
      <c r="G264" s="383"/>
      <c r="H264" s="383"/>
      <c r="I264" s="383"/>
      <c r="J264" s="383"/>
      <c r="K264" s="383"/>
      <c r="L264" s="383"/>
      <c r="M264" s="383"/>
      <c r="N264" s="383"/>
      <c r="O264" s="383"/>
      <c r="P264" s="383"/>
      <c r="Q264" s="383"/>
      <c r="R264" s="383"/>
      <c r="S264" s="383"/>
      <c r="T264" s="383"/>
      <c r="U264" s="383"/>
      <c r="V264" s="383"/>
      <c r="W264" s="383"/>
      <c r="X264" s="383"/>
      <c r="Y264" s="383"/>
      <c r="Z264" s="383"/>
    </row>
    <row r="265" spans="1:26" ht="12.75" customHeight="1" x14ac:dyDescent="0.3">
      <c r="A265" s="383"/>
      <c r="B265" s="383"/>
      <c r="C265" s="383"/>
      <c r="D265" s="383"/>
      <c r="E265" s="383"/>
      <c r="F265" s="383"/>
      <c r="G265" s="383"/>
      <c r="H265" s="383"/>
      <c r="I265" s="383"/>
      <c r="J265" s="383"/>
      <c r="K265" s="383"/>
      <c r="L265" s="383"/>
      <c r="M265" s="383"/>
      <c r="N265" s="383"/>
      <c r="O265" s="383"/>
      <c r="P265" s="383"/>
      <c r="Q265" s="383"/>
      <c r="R265" s="383"/>
      <c r="S265" s="383"/>
      <c r="T265" s="383"/>
      <c r="U265" s="383"/>
      <c r="V265" s="383"/>
      <c r="W265" s="383"/>
      <c r="X265" s="383"/>
      <c r="Y265" s="383"/>
      <c r="Z265" s="383"/>
    </row>
    <row r="266" spans="1:26" ht="12.75" customHeight="1" x14ac:dyDescent="0.3">
      <c r="A266" s="383"/>
      <c r="B266" s="383"/>
      <c r="C266" s="383"/>
      <c r="D266" s="383"/>
      <c r="E266" s="383"/>
      <c r="F266" s="383"/>
      <c r="G266" s="383"/>
      <c r="H266" s="383"/>
      <c r="I266" s="383"/>
      <c r="J266" s="383"/>
      <c r="K266" s="383"/>
      <c r="L266" s="383"/>
      <c r="M266" s="383"/>
      <c r="N266" s="383"/>
      <c r="O266" s="383"/>
      <c r="P266" s="383"/>
      <c r="Q266" s="383"/>
      <c r="R266" s="383"/>
      <c r="S266" s="383"/>
      <c r="T266" s="383"/>
      <c r="U266" s="383"/>
      <c r="V266" s="383"/>
      <c r="W266" s="383"/>
      <c r="X266" s="383"/>
      <c r="Y266" s="383"/>
      <c r="Z266" s="383"/>
    </row>
    <row r="267" spans="1:26" ht="12.75" customHeight="1" x14ac:dyDescent="0.3">
      <c r="A267" s="383"/>
      <c r="B267" s="383"/>
      <c r="C267" s="383"/>
      <c r="D267" s="383"/>
      <c r="E267" s="383"/>
      <c r="F267" s="383"/>
      <c r="G267" s="383"/>
      <c r="H267" s="383"/>
      <c r="I267" s="383"/>
      <c r="J267" s="383"/>
      <c r="K267" s="383"/>
      <c r="L267" s="383"/>
      <c r="M267" s="383"/>
      <c r="N267" s="383"/>
      <c r="O267" s="383"/>
      <c r="P267" s="383"/>
      <c r="Q267" s="383"/>
      <c r="R267" s="383"/>
      <c r="S267" s="383"/>
      <c r="T267" s="383"/>
      <c r="U267" s="383"/>
      <c r="V267" s="383"/>
      <c r="W267" s="383"/>
      <c r="X267" s="383"/>
      <c r="Y267" s="383"/>
      <c r="Z267" s="383"/>
    </row>
    <row r="268" spans="1:26" ht="12.75" customHeight="1" x14ac:dyDescent="0.3">
      <c r="A268" s="383"/>
      <c r="B268" s="383"/>
      <c r="C268" s="383"/>
      <c r="D268" s="383"/>
      <c r="E268" s="383"/>
      <c r="F268" s="383"/>
      <c r="G268" s="383"/>
      <c r="H268" s="383"/>
      <c r="I268" s="383"/>
      <c r="J268" s="383"/>
      <c r="K268" s="383"/>
      <c r="L268" s="383"/>
      <c r="M268" s="383"/>
      <c r="N268" s="383"/>
      <c r="O268" s="383"/>
      <c r="P268" s="383"/>
      <c r="Q268" s="383"/>
      <c r="R268" s="383"/>
      <c r="S268" s="383"/>
      <c r="T268" s="383"/>
      <c r="U268" s="383"/>
      <c r="V268" s="383"/>
      <c r="W268" s="383"/>
      <c r="X268" s="383"/>
      <c r="Y268" s="383"/>
      <c r="Z268" s="383"/>
    </row>
    <row r="269" spans="1:26" ht="12.75" customHeight="1" x14ac:dyDescent="0.3">
      <c r="A269" s="383"/>
      <c r="B269" s="383"/>
      <c r="C269" s="383"/>
      <c r="D269" s="383"/>
      <c r="E269" s="383"/>
      <c r="F269" s="383"/>
      <c r="G269" s="383"/>
      <c r="H269" s="383"/>
      <c r="I269" s="383"/>
      <c r="J269" s="383"/>
      <c r="K269" s="383"/>
      <c r="L269" s="383"/>
      <c r="M269" s="383"/>
      <c r="N269" s="383"/>
      <c r="O269" s="383"/>
      <c r="P269" s="383"/>
      <c r="Q269" s="383"/>
      <c r="R269" s="383"/>
      <c r="S269" s="383"/>
      <c r="T269" s="383"/>
      <c r="U269" s="383"/>
      <c r="V269" s="383"/>
      <c r="W269" s="383"/>
      <c r="X269" s="383"/>
      <c r="Y269" s="383"/>
      <c r="Z269" s="383"/>
    </row>
    <row r="270" spans="1:26" ht="12.75" customHeight="1" x14ac:dyDescent="0.3">
      <c r="A270" s="383"/>
      <c r="B270" s="383"/>
      <c r="C270" s="383"/>
      <c r="D270" s="383"/>
      <c r="E270" s="383"/>
      <c r="F270" s="383"/>
      <c r="G270" s="383"/>
      <c r="H270" s="383"/>
      <c r="I270" s="383"/>
      <c r="J270" s="383"/>
      <c r="K270" s="383"/>
      <c r="L270" s="383"/>
      <c r="M270" s="383"/>
      <c r="N270" s="383"/>
      <c r="O270" s="383"/>
      <c r="P270" s="383"/>
      <c r="Q270" s="383"/>
      <c r="R270" s="383"/>
      <c r="S270" s="383"/>
      <c r="T270" s="383"/>
      <c r="U270" s="383"/>
      <c r="V270" s="383"/>
      <c r="W270" s="383"/>
      <c r="X270" s="383"/>
      <c r="Y270" s="383"/>
      <c r="Z270" s="383"/>
    </row>
    <row r="271" spans="1:26" ht="12.75" customHeight="1" x14ac:dyDescent="0.3">
      <c r="A271" s="383"/>
      <c r="B271" s="383"/>
      <c r="C271" s="383"/>
      <c r="D271" s="383"/>
      <c r="E271" s="383"/>
      <c r="F271" s="383"/>
      <c r="G271" s="383"/>
      <c r="H271" s="383"/>
      <c r="I271" s="383"/>
      <c r="J271" s="383"/>
      <c r="K271" s="383"/>
      <c r="L271" s="383"/>
      <c r="M271" s="383"/>
      <c r="N271" s="383"/>
      <c r="O271" s="383"/>
      <c r="P271" s="383"/>
      <c r="Q271" s="383"/>
      <c r="R271" s="383"/>
      <c r="S271" s="383"/>
      <c r="T271" s="383"/>
      <c r="U271" s="383"/>
      <c r="V271" s="383"/>
      <c r="W271" s="383"/>
      <c r="X271" s="383"/>
      <c r="Y271" s="383"/>
      <c r="Z271" s="383"/>
    </row>
    <row r="272" spans="1:26" ht="12.75" customHeight="1" x14ac:dyDescent="0.3">
      <c r="A272" s="383"/>
      <c r="B272" s="383"/>
      <c r="C272" s="383"/>
      <c r="D272" s="383"/>
      <c r="E272" s="383"/>
      <c r="F272" s="383"/>
      <c r="G272" s="383"/>
      <c r="H272" s="383"/>
      <c r="I272" s="383"/>
      <c r="J272" s="383"/>
      <c r="K272" s="383"/>
      <c r="L272" s="383"/>
      <c r="M272" s="383"/>
      <c r="N272" s="383"/>
      <c r="O272" s="383"/>
      <c r="P272" s="383"/>
      <c r="Q272" s="383"/>
      <c r="R272" s="383"/>
      <c r="S272" s="383"/>
      <c r="T272" s="383"/>
      <c r="U272" s="383"/>
      <c r="V272" s="383"/>
      <c r="W272" s="383"/>
      <c r="X272" s="383"/>
      <c r="Y272" s="383"/>
      <c r="Z272" s="383"/>
    </row>
    <row r="273" spans="1:26" ht="12.75" customHeight="1" x14ac:dyDescent="0.3">
      <c r="A273" s="383"/>
      <c r="B273" s="383"/>
      <c r="C273" s="383"/>
      <c r="D273" s="383"/>
      <c r="E273" s="383"/>
      <c r="F273" s="383"/>
      <c r="G273" s="383"/>
      <c r="H273" s="383"/>
      <c r="I273" s="383"/>
      <c r="J273" s="383"/>
      <c r="K273" s="383"/>
      <c r="L273" s="383"/>
      <c r="M273" s="383"/>
      <c r="N273" s="383"/>
      <c r="O273" s="383"/>
      <c r="P273" s="383"/>
      <c r="Q273" s="383"/>
      <c r="R273" s="383"/>
      <c r="S273" s="383"/>
      <c r="T273" s="383"/>
      <c r="U273" s="383"/>
      <c r="V273" s="383"/>
      <c r="W273" s="383"/>
      <c r="X273" s="383"/>
      <c r="Y273" s="383"/>
      <c r="Z273" s="383"/>
    </row>
    <row r="274" spans="1:26" ht="12.75" customHeight="1" x14ac:dyDescent="0.3">
      <c r="A274" s="383"/>
      <c r="B274" s="383"/>
      <c r="C274" s="383"/>
      <c r="D274" s="383"/>
      <c r="E274" s="383"/>
      <c r="F274" s="383"/>
      <c r="G274" s="383"/>
      <c r="H274" s="383"/>
      <c r="I274" s="383"/>
      <c r="J274" s="383"/>
      <c r="K274" s="383"/>
      <c r="L274" s="383"/>
      <c r="M274" s="383"/>
      <c r="N274" s="383"/>
      <c r="O274" s="383"/>
      <c r="P274" s="383"/>
      <c r="Q274" s="383"/>
      <c r="R274" s="383"/>
      <c r="S274" s="383"/>
      <c r="T274" s="383"/>
      <c r="U274" s="383"/>
      <c r="V274" s="383"/>
      <c r="W274" s="383"/>
      <c r="X274" s="383"/>
      <c r="Y274" s="383"/>
      <c r="Z274" s="383"/>
    </row>
    <row r="275" spans="1:26" ht="12.75" customHeight="1" x14ac:dyDescent="0.3">
      <c r="A275" s="383"/>
      <c r="B275" s="383"/>
      <c r="C275" s="383"/>
      <c r="D275" s="383"/>
      <c r="E275" s="383"/>
      <c r="F275" s="383"/>
      <c r="G275" s="383"/>
      <c r="H275" s="383"/>
      <c r="I275" s="383"/>
      <c r="J275" s="383"/>
      <c r="K275" s="383"/>
      <c r="L275" s="383"/>
      <c r="M275" s="383"/>
      <c r="N275" s="383"/>
      <c r="O275" s="383"/>
      <c r="P275" s="383"/>
      <c r="Q275" s="383"/>
      <c r="R275" s="383"/>
      <c r="S275" s="383"/>
      <c r="T275" s="383"/>
      <c r="U275" s="383"/>
      <c r="V275" s="383"/>
      <c r="W275" s="383"/>
      <c r="X275" s="383"/>
      <c r="Y275" s="383"/>
      <c r="Z275" s="383"/>
    </row>
    <row r="276" spans="1:26" ht="12.75" customHeight="1" x14ac:dyDescent="0.3">
      <c r="A276" s="383"/>
      <c r="B276" s="383"/>
      <c r="C276" s="383"/>
      <c r="D276" s="383"/>
      <c r="E276" s="383"/>
      <c r="F276" s="383"/>
      <c r="G276" s="383"/>
      <c r="H276" s="383"/>
      <c r="I276" s="383"/>
      <c r="J276" s="383"/>
      <c r="K276" s="383"/>
      <c r="L276" s="383"/>
      <c r="M276" s="383"/>
      <c r="N276" s="383"/>
      <c r="O276" s="383"/>
      <c r="P276" s="383"/>
      <c r="Q276" s="383"/>
      <c r="R276" s="383"/>
      <c r="S276" s="383"/>
      <c r="T276" s="383"/>
      <c r="U276" s="383"/>
      <c r="V276" s="383"/>
      <c r="W276" s="383"/>
      <c r="X276" s="383"/>
      <c r="Y276" s="383"/>
      <c r="Z276" s="383"/>
    </row>
    <row r="277" spans="1:26" ht="12.75" customHeight="1" x14ac:dyDescent="0.3">
      <c r="A277" s="383"/>
      <c r="B277" s="383"/>
      <c r="C277" s="383"/>
      <c r="D277" s="383"/>
      <c r="E277" s="383"/>
      <c r="F277" s="383"/>
      <c r="G277" s="383"/>
      <c r="H277" s="383"/>
      <c r="I277" s="383"/>
      <c r="J277" s="383"/>
      <c r="K277" s="383"/>
      <c r="L277" s="383"/>
      <c r="M277" s="383"/>
      <c r="N277" s="383"/>
      <c r="O277" s="383"/>
      <c r="P277" s="383"/>
      <c r="Q277" s="383"/>
      <c r="R277" s="383"/>
      <c r="S277" s="383"/>
      <c r="T277" s="383"/>
      <c r="U277" s="383"/>
      <c r="V277" s="383"/>
      <c r="W277" s="383"/>
      <c r="X277" s="383"/>
      <c r="Y277" s="383"/>
      <c r="Z277" s="383"/>
    </row>
    <row r="278" spans="1:26" ht="12.75" customHeight="1" x14ac:dyDescent="0.3">
      <c r="A278" s="383"/>
      <c r="B278" s="383"/>
      <c r="C278" s="383"/>
      <c r="D278" s="383"/>
      <c r="E278" s="383"/>
      <c r="F278" s="383"/>
      <c r="G278" s="383"/>
      <c r="H278" s="383"/>
      <c r="I278" s="383"/>
      <c r="J278" s="383"/>
      <c r="K278" s="383"/>
      <c r="L278" s="383"/>
      <c r="M278" s="383"/>
      <c r="N278" s="383"/>
      <c r="O278" s="383"/>
      <c r="P278" s="383"/>
      <c r="Q278" s="383"/>
      <c r="R278" s="383"/>
      <c r="S278" s="383"/>
      <c r="T278" s="383"/>
      <c r="U278" s="383"/>
      <c r="V278" s="383"/>
      <c r="W278" s="383"/>
      <c r="X278" s="383"/>
      <c r="Y278" s="383"/>
      <c r="Z278" s="383"/>
    </row>
    <row r="279" spans="1:26" ht="12.75" customHeight="1" x14ac:dyDescent="0.3">
      <c r="A279" s="383"/>
      <c r="B279" s="383"/>
      <c r="C279" s="383"/>
      <c r="D279" s="383"/>
      <c r="E279" s="383"/>
      <c r="F279" s="383"/>
      <c r="G279" s="383"/>
      <c r="H279" s="383"/>
      <c r="I279" s="383"/>
      <c r="J279" s="383"/>
      <c r="K279" s="383"/>
      <c r="L279" s="383"/>
      <c r="M279" s="383"/>
      <c r="N279" s="383"/>
      <c r="O279" s="383"/>
      <c r="P279" s="383"/>
      <c r="Q279" s="383"/>
      <c r="R279" s="383"/>
      <c r="S279" s="383"/>
      <c r="T279" s="383"/>
      <c r="U279" s="383"/>
      <c r="V279" s="383"/>
      <c r="W279" s="383"/>
      <c r="X279" s="383"/>
      <c r="Y279" s="383"/>
      <c r="Z279" s="383"/>
    </row>
    <row r="280" spans="1:26" ht="12.75" customHeight="1" x14ac:dyDescent="0.3">
      <c r="A280" s="383"/>
      <c r="B280" s="383"/>
      <c r="C280" s="383"/>
      <c r="D280" s="383"/>
      <c r="E280" s="383"/>
      <c r="F280" s="383"/>
      <c r="G280" s="383"/>
      <c r="H280" s="383"/>
      <c r="I280" s="383"/>
      <c r="J280" s="383"/>
      <c r="K280" s="383"/>
      <c r="L280" s="383"/>
      <c r="M280" s="383"/>
      <c r="N280" s="383"/>
      <c r="O280" s="383"/>
      <c r="P280" s="383"/>
      <c r="Q280" s="383"/>
      <c r="R280" s="383"/>
      <c r="S280" s="383"/>
      <c r="T280" s="383"/>
      <c r="U280" s="383"/>
      <c r="V280" s="383"/>
      <c r="W280" s="383"/>
      <c r="X280" s="383"/>
      <c r="Y280" s="383"/>
      <c r="Z280" s="383"/>
    </row>
    <row r="281" spans="1:26" ht="12.75" customHeight="1" x14ac:dyDescent="0.3">
      <c r="A281" s="383"/>
      <c r="B281" s="383"/>
      <c r="C281" s="383"/>
      <c r="D281" s="383"/>
      <c r="E281" s="383"/>
      <c r="F281" s="383"/>
      <c r="G281" s="383"/>
      <c r="H281" s="383"/>
      <c r="I281" s="383"/>
      <c r="J281" s="383"/>
      <c r="K281" s="383"/>
      <c r="L281" s="383"/>
      <c r="M281" s="383"/>
      <c r="N281" s="383"/>
      <c r="O281" s="383"/>
      <c r="P281" s="383"/>
      <c r="Q281" s="383"/>
      <c r="R281" s="383"/>
      <c r="S281" s="383"/>
      <c r="T281" s="383"/>
      <c r="U281" s="383"/>
      <c r="V281" s="383"/>
      <c r="W281" s="383"/>
      <c r="X281" s="383"/>
      <c r="Y281" s="383"/>
      <c r="Z281" s="383"/>
    </row>
    <row r="282" spans="1:26" ht="12.75" customHeight="1" x14ac:dyDescent="0.3">
      <c r="A282" s="383"/>
      <c r="B282" s="383"/>
      <c r="C282" s="383"/>
      <c r="D282" s="383"/>
      <c r="E282" s="383"/>
      <c r="F282" s="383"/>
      <c r="G282" s="383"/>
      <c r="H282" s="383"/>
      <c r="I282" s="383"/>
      <c r="J282" s="383"/>
      <c r="K282" s="383"/>
      <c r="L282" s="383"/>
      <c r="M282" s="383"/>
      <c r="N282" s="383"/>
      <c r="O282" s="383"/>
      <c r="P282" s="383"/>
      <c r="Q282" s="383"/>
      <c r="R282" s="383"/>
      <c r="S282" s="383"/>
      <c r="T282" s="383"/>
      <c r="U282" s="383"/>
      <c r="V282" s="383"/>
      <c r="W282" s="383"/>
      <c r="X282" s="383"/>
      <c r="Y282" s="383"/>
      <c r="Z282" s="383"/>
    </row>
    <row r="283" spans="1:26" ht="12.75" customHeight="1" x14ac:dyDescent="0.3">
      <c r="A283" s="383"/>
      <c r="B283" s="383"/>
      <c r="C283" s="383"/>
      <c r="D283" s="383"/>
      <c r="E283" s="383"/>
      <c r="F283" s="383"/>
      <c r="G283" s="383"/>
      <c r="H283" s="383"/>
      <c r="I283" s="383"/>
      <c r="J283" s="383"/>
      <c r="K283" s="383"/>
      <c r="L283" s="383"/>
      <c r="M283" s="383"/>
      <c r="N283" s="383"/>
      <c r="O283" s="383"/>
      <c r="P283" s="383"/>
      <c r="Q283" s="383"/>
      <c r="R283" s="383"/>
      <c r="S283" s="383"/>
      <c r="T283" s="383"/>
      <c r="U283" s="383"/>
      <c r="V283" s="383"/>
      <c r="W283" s="383"/>
      <c r="X283" s="383"/>
      <c r="Y283" s="383"/>
      <c r="Z283" s="383"/>
    </row>
    <row r="284" spans="1:26" ht="12.75" customHeight="1" x14ac:dyDescent="0.3">
      <c r="A284" s="383"/>
      <c r="B284" s="383"/>
      <c r="C284" s="383"/>
      <c r="D284" s="383"/>
      <c r="E284" s="383"/>
      <c r="F284" s="383"/>
      <c r="G284" s="383"/>
      <c r="H284" s="383"/>
      <c r="I284" s="383"/>
      <c r="J284" s="383"/>
      <c r="K284" s="383"/>
      <c r="L284" s="383"/>
      <c r="M284" s="383"/>
      <c r="N284" s="383"/>
      <c r="O284" s="383"/>
      <c r="P284" s="383"/>
      <c r="Q284" s="383"/>
      <c r="R284" s="383"/>
      <c r="S284" s="383"/>
      <c r="T284" s="383"/>
      <c r="U284" s="383"/>
      <c r="V284" s="383"/>
      <c r="W284" s="383"/>
      <c r="X284" s="383"/>
      <c r="Y284" s="383"/>
      <c r="Z284" s="383"/>
    </row>
    <row r="285" spans="1:26" ht="12.75" customHeight="1" x14ac:dyDescent="0.3">
      <c r="A285" s="383"/>
      <c r="B285" s="383"/>
      <c r="C285" s="383"/>
      <c r="D285" s="383"/>
      <c r="E285" s="383"/>
      <c r="F285" s="383"/>
      <c r="G285" s="383"/>
      <c r="H285" s="383"/>
      <c r="I285" s="383"/>
      <c r="J285" s="383"/>
      <c r="K285" s="383"/>
      <c r="L285" s="383"/>
      <c r="M285" s="383"/>
      <c r="N285" s="383"/>
      <c r="O285" s="383"/>
      <c r="P285" s="383"/>
      <c r="Q285" s="383"/>
      <c r="R285" s="383"/>
      <c r="S285" s="383"/>
      <c r="T285" s="383"/>
      <c r="U285" s="383"/>
      <c r="V285" s="383"/>
      <c r="W285" s="383"/>
      <c r="X285" s="383"/>
      <c r="Y285" s="383"/>
      <c r="Z285" s="383"/>
    </row>
    <row r="286" spans="1:26" ht="12.75" customHeight="1" x14ac:dyDescent="0.3">
      <c r="A286" s="383"/>
      <c r="B286" s="383"/>
      <c r="C286" s="383"/>
      <c r="D286" s="383"/>
      <c r="E286" s="383"/>
      <c r="F286" s="383"/>
      <c r="G286" s="383"/>
      <c r="H286" s="383"/>
      <c r="I286" s="383"/>
      <c r="J286" s="383"/>
      <c r="K286" s="383"/>
      <c r="L286" s="383"/>
      <c r="M286" s="383"/>
      <c r="N286" s="383"/>
      <c r="O286" s="383"/>
      <c r="P286" s="383"/>
      <c r="Q286" s="383"/>
      <c r="R286" s="383"/>
      <c r="S286" s="383"/>
      <c r="T286" s="383"/>
      <c r="U286" s="383"/>
      <c r="V286" s="383"/>
      <c r="W286" s="383"/>
      <c r="X286" s="383"/>
      <c r="Y286" s="383"/>
      <c r="Z286" s="383"/>
    </row>
    <row r="287" spans="1:26" ht="12.75" customHeight="1" x14ac:dyDescent="0.3">
      <c r="A287" s="383"/>
      <c r="B287" s="383"/>
      <c r="C287" s="383"/>
      <c r="D287" s="383"/>
      <c r="E287" s="383"/>
      <c r="F287" s="383"/>
      <c r="G287" s="383"/>
      <c r="H287" s="383"/>
      <c r="I287" s="383"/>
      <c r="J287" s="383"/>
      <c r="K287" s="383"/>
      <c r="L287" s="383"/>
      <c r="M287" s="383"/>
      <c r="N287" s="383"/>
      <c r="O287" s="383"/>
      <c r="P287" s="383"/>
      <c r="Q287" s="383"/>
      <c r="R287" s="383"/>
      <c r="S287" s="383"/>
      <c r="T287" s="383"/>
      <c r="U287" s="383"/>
      <c r="V287" s="383"/>
      <c r="W287" s="383"/>
      <c r="X287" s="383"/>
      <c r="Y287" s="383"/>
      <c r="Z287" s="383"/>
    </row>
    <row r="288" spans="1:26" ht="12.75" customHeight="1" x14ac:dyDescent="0.3">
      <c r="A288" s="383"/>
      <c r="B288" s="383"/>
      <c r="C288" s="383"/>
      <c r="D288" s="383"/>
      <c r="E288" s="383"/>
      <c r="F288" s="383"/>
      <c r="G288" s="383"/>
      <c r="H288" s="383"/>
      <c r="I288" s="383"/>
      <c r="J288" s="383"/>
      <c r="K288" s="383"/>
      <c r="L288" s="383"/>
      <c r="M288" s="383"/>
      <c r="N288" s="383"/>
      <c r="O288" s="383"/>
      <c r="P288" s="383"/>
      <c r="Q288" s="383"/>
      <c r="R288" s="383"/>
      <c r="S288" s="383"/>
      <c r="T288" s="383"/>
      <c r="U288" s="383"/>
      <c r="V288" s="383"/>
      <c r="W288" s="383"/>
      <c r="X288" s="383"/>
      <c r="Y288" s="383"/>
      <c r="Z288" s="383"/>
    </row>
    <row r="289" spans="1:26" ht="12.75" customHeight="1" x14ac:dyDescent="0.3">
      <c r="A289" s="383"/>
      <c r="B289" s="383"/>
      <c r="C289" s="383"/>
      <c r="D289" s="383"/>
      <c r="E289" s="383"/>
      <c r="F289" s="383"/>
      <c r="G289" s="383"/>
      <c r="H289" s="383"/>
      <c r="I289" s="383"/>
      <c r="J289" s="383"/>
      <c r="K289" s="383"/>
      <c r="L289" s="383"/>
      <c r="M289" s="383"/>
      <c r="N289" s="383"/>
      <c r="O289" s="383"/>
      <c r="P289" s="383"/>
      <c r="Q289" s="383"/>
      <c r="R289" s="383"/>
      <c r="S289" s="383"/>
      <c r="T289" s="383"/>
      <c r="U289" s="383"/>
      <c r="V289" s="383"/>
      <c r="W289" s="383"/>
      <c r="X289" s="383"/>
      <c r="Y289" s="383"/>
      <c r="Z289" s="383"/>
    </row>
    <row r="290" spans="1:26" ht="12.75" customHeight="1" x14ac:dyDescent="0.3">
      <c r="A290" s="383"/>
      <c r="B290" s="383"/>
      <c r="C290" s="383"/>
      <c r="D290" s="383"/>
      <c r="E290" s="383"/>
      <c r="F290" s="383"/>
      <c r="G290" s="383"/>
      <c r="H290" s="383"/>
      <c r="I290" s="383"/>
      <c r="J290" s="383"/>
      <c r="K290" s="383"/>
      <c r="L290" s="383"/>
      <c r="M290" s="383"/>
      <c r="N290" s="383"/>
      <c r="O290" s="383"/>
      <c r="P290" s="383"/>
      <c r="Q290" s="383"/>
      <c r="R290" s="383"/>
      <c r="S290" s="383"/>
      <c r="T290" s="383"/>
      <c r="U290" s="383"/>
      <c r="V290" s="383"/>
      <c r="W290" s="383"/>
      <c r="X290" s="383"/>
      <c r="Y290" s="383"/>
      <c r="Z290" s="383"/>
    </row>
    <row r="291" spans="1:26" ht="12.75" customHeight="1" x14ac:dyDescent="0.3">
      <c r="A291" s="383"/>
      <c r="B291" s="383"/>
      <c r="C291" s="383"/>
      <c r="D291" s="383"/>
      <c r="E291" s="383"/>
      <c r="F291" s="383"/>
      <c r="G291" s="383"/>
      <c r="H291" s="383"/>
      <c r="I291" s="383"/>
      <c r="J291" s="383"/>
      <c r="K291" s="383"/>
      <c r="L291" s="383"/>
      <c r="M291" s="383"/>
      <c r="N291" s="383"/>
      <c r="O291" s="383"/>
      <c r="P291" s="383"/>
      <c r="Q291" s="383"/>
      <c r="R291" s="383"/>
      <c r="S291" s="383"/>
      <c r="T291" s="383"/>
      <c r="U291" s="383"/>
      <c r="V291" s="383"/>
      <c r="W291" s="383"/>
      <c r="X291" s="383"/>
      <c r="Y291" s="383"/>
      <c r="Z291" s="383"/>
    </row>
    <row r="292" spans="1:26" ht="12.75" customHeight="1" x14ac:dyDescent="0.3">
      <c r="A292" s="383"/>
      <c r="B292" s="383"/>
      <c r="C292" s="383"/>
      <c r="D292" s="383"/>
      <c r="E292" s="383"/>
      <c r="F292" s="383"/>
      <c r="G292" s="383"/>
      <c r="H292" s="383"/>
      <c r="I292" s="383"/>
      <c r="J292" s="383"/>
      <c r="K292" s="383"/>
      <c r="L292" s="383"/>
      <c r="M292" s="383"/>
      <c r="N292" s="383"/>
      <c r="O292" s="383"/>
      <c r="P292" s="383"/>
      <c r="Q292" s="383"/>
      <c r="R292" s="383"/>
      <c r="S292" s="383"/>
      <c r="T292" s="383"/>
      <c r="U292" s="383"/>
      <c r="V292" s="383"/>
      <c r="W292" s="383"/>
      <c r="X292" s="383"/>
      <c r="Y292" s="383"/>
      <c r="Z292" s="383"/>
    </row>
    <row r="293" spans="1:26" ht="12.75" customHeight="1" x14ac:dyDescent="0.3">
      <c r="A293" s="383"/>
      <c r="B293" s="383"/>
      <c r="C293" s="383"/>
      <c r="D293" s="383"/>
      <c r="E293" s="383"/>
      <c r="F293" s="383"/>
      <c r="G293" s="383"/>
      <c r="H293" s="383"/>
      <c r="I293" s="383"/>
      <c r="J293" s="383"/>
      <c r="K293" s="383"/>
      <c r="L293" s="383"/>
      <c r="M293" s="383"/>
      <c r="N293" s="383"/>
      <c r="O293" s="383"/>
      <c r="P293" s="383"/>
      <c r="Q293" s="383"/>
      <c r="R293" s="383"/>
      <c r="S293" s="383"/>
      <c r="T293" s="383"/>
      <c r="U293" s="383"/>
      <c r="V293" s="383"/>
      <c r="W293" s="383"/>
      <c r="X293" s="383"/>
      <c r="Y293" s="383"/>
      <c r="Z293" s="383"/>
    </row>
    <row r="294" spans="1:26" ht="12.75" customHeight="1" x14ac:dyDescent="0.3">
      <c r="A294" s="383"/>
      <c r="B294" s="383"/>
      <c r="C294" s="383"/>
      <c r="D294" s="383"/>
      <c r="E294" s="383"/>
      <c r="F294" s="383"/>
      <c r="G294" s="383"/>
      <c r="H294" s="383"/>
      <c r="I294" s="383"/>
      <c r="J294" s="383"/>
      <c r="K294" s="383"/>
      <c r="L294" s="383"/>
      <c r="M294" s="383"/>
      <c r="N294" s="383"/>
      <c r="O294" s="383"/>
      <c r="P294" s="383"/>
      <c r="Q294" s="383"/>
      <c r="R294" s="383"/>
      <c r="S294" s="383"/>
      <c r="T294" s="383"/>
      <c r="U294" s="383"/>
      <c r="V294" s="383"/>
      <c r="W294" s="383"/>
      <c r="X294" s="383"/>
      <c r="Y294" s="383"/>
      <c r="Z294" s="383"/>
    </row>
    <row r="295" spans="1:26" ht="12.75" customHeight="1" x14ac:dyDescent="0.3">
      <c r="A295" s="383"/>
      <c r="B295" s="383"/>
      <c r="C295" s="383"/>
      <c r="D295" s="383"/>
      <c r="E295" s="383"/>
      <c r="F295" s="383"/>
      <c r="G295" s="383"/>
      <c r="H295" s="383"/>
      <c r="I295" s="383"/>
      <c r="J295" s="383"/>
      <c r="K295" s="383"/>
      <c r="L295" s="383"/>
      <c r="M295" s="383"/>
      <c r="N295" s="383"/>
      <c r="O295" s="383"/>
      <c r="P295" s="383"/>
      <c r="Q295" s="383"/>
      <c r="R295" s="383"/>
      <c r="S295" s="383"/>
      <c r="T295" s="383"/>
      <c r="U295" s="383"/>
      <c r="V295" s="383"/>
      <c r="W295" s="383"/>
      <c r="X295" s="383"/>
      <c r="Y295" s="383"/>
      <c r="Z295" s="383"/>
    </row>
    <row r="296" spans="1:26" ht="12.75" customHeight="1" x14ac:dyDescent="0.3">
      <c r="A296" s="383"/>
      <c r="B296" s="383"/>
      <c r="C296" s="383"/>
      <c r="D296" s="383"/>
      <c r="E296" s="383"/>
      <c r="F296" s="383"/>
      <c r="G296" s="383"/>
      <c r="H296" s="383"/>
      <c r="I296" s="383"/>
      <c r="J296" s="383"/>
      <c r="K296" s="383"/>
      <c r="L296" s="383"/>
      <c r="M296" s="383"/>
      <c r="N296" s="383"/>
      <c r="O296" s="383"/>
      <c r="P296" s="383"/>
      <c r="Q296" s="383"/>
      <c r="R296" s="383"/>
      <c r="S296" s="383"/>
      <c r="T296" s="383"/>
      <c r="U296" s="383"/>
      <c r="V296" s="383"/>
      <c r="W296" s="383"/>
      <c r="X296" s="383"/>
      <c r="Y296" s="383"/>
      <c r="Z296" s="383"/>
    </row>
    <row r="297" spans="1:26" ht="12.75" customHeight="1" x14ac:dyDescent="0.3">
      <c r="A297" s="383"/>
      <c r="B297" s="383"/>
      <c r="C297" s="383"/>
      <c r="D297" s="383"/>
      <c r="E297" s="383"/>
      <c r="F297" s="383"/>
      <c r="G297" s="383"/>
      <c r="H297" s="383"/>
      <c r="I297" s="383"/>
      <c r="J297" s="383"/>
      <c r="K297" s="383"/>
      <c r="L297" s="383"/>
      <c r="M297" s="383"/>
      <c r="N297" s="383"/>
      <c r="O297" s="383"/>
      <c r="P297" s="383"/>
      <c r="Q297" s="383"/>
      <c r="R297" s="383"/>
      <c r="S297" s="383"/>
      <c r="T297" s="383"/>
      <c r="U297" s="383"/>
      <c r="V297" s="383"/>
      <c r="W297" s="383"/>
      <c r="X297" s="383"/>
      <c r="Y297" s="383"/>
      <c r="Z297" s="383"/>
    </row>
    <row r="298" spans="1:26" ht="12.75" customHeight="1" x14ac:dyDescent="0.3">
      <c r="A298" s="383"/>
      <c r="B298" s="383"/>
      <c r="C298" s="383"/>
      <c r="D298" s="383"/>
      <c r="E298" s="383"/>
      <c r="F298" s="383"/>
      <c r="G298" s="383"/>
      <c r="H298" s="383"/>
      <c r="I298" s="383"/>
      <c r="J298" s="383"/>
      <c r="K298" s="383"/>
      <c r="L298" s="383"/>
      <c r="M298" s="383"/>
      <c r="N298" s="383"/>
      <c r="O298" s="383"/>
      <c r="P298" s="383"/>
      <c r="Q298" s="383"/>
      <c r="R298" s="383"/>
      <c r="S298" s="383"/>
      <c r="T298" s="383"/>
      <c r="U298" s="383"/>
      <c r="V298" s="383"/>
      <c r="W298" s="383"/>
      <c r="X298" s="383"/>
      <c r="Y298" s="383"/>
      <c r="Z298" s="383"/>
    </row>
    <row r="299" spans="1:26" ht="12.75" customHeight="1" x14ac:dyDescent="0.3">
      <c r="A299" s="383"/>
      <c r="B299" s="383"/>
      <c r="C299" s="383"/>
      <c r="D299" s="383"/>
      <c r="E299" s="383"/>
      <c r="F299" s="383"/>
      <c r="G299" s="383"/>
      <c r="H299" s="383"/>
      <c r="I299" s="383"/>
      <c r="J299" s="383"/>
      <c r="K299" s="383"/>
      <c r="L299" s="383"/>
      <c r="M299" s="383"/>
      <c r="N299" s="383"/>
      <c r="O299" s="383"/>
      <c r="P299" s="383"/>
      <c r="Q299" s="383"/>
      <c r="R299" s="383"/>
      <c r="S299" s="383"/>
      <c r="T299" s="383"/>
      <c r="U299" s="383"/>
      <c r="V299" s="383"/>
      <c r="W299" s="383"/>
      <c r="X299" s="383"/>
      <c r="Y299" s="383"/>
      <c r="Z299" s="383"/>
    </row>
    <row r="300" spans="1:26" ht="12.75" customHeight="1" x14ac:dyDescent="0.3">
      <c r="A300" s="383"/>
      <c r="B300" s="383"/>
      <c r="C300" s="383"/>
      <c r="D300" s="383"/>
      <c r="E300" s="383"/>
      <c r="F300" s="383"/>
      <c r="G300" s="383"/>
      <c r="H300" s="383"/>
      <c r="I300" s="383"/>
      <c r="J300" s="383"/>
      <c r="K300" s="383"/>
      <c r="L300" s="383"/>
      <c r="M300" s="383"/>
      <c r="N300" s="383"/>
      <c r="O300" s="383"/>
      <c r="P300" s="383"/>
      <c r="Q300" s="383"/>
      <c r="R300" s="383"/>
      <c r="S300" s="383"/>
      <c r="T300" s="383"/>
      <c r="U300" s="383"/>
      <c r="V300" s="383"/>
      <c r="W300" s="383"/>
      <c r="X300" s="383"/>
      <c r="Y300" s="383"/>
      <c r="Z300" s="383"/>
    </row>
    <row r="301" spans="1:26" ht="12.75" customHeight="1" x14ac:dyDescent="0.3">
      <c r="A301" s="383"/>
      <c r="B301" s="383"/>
      <c r="C301" s="383"/>
      <c r="D301" s="383"/>
      <c r="E301" s="383"/>
      <c r="F301" s="383"/>
      <c r="G301" s="383"/>
      <c r="H301" s="383"/>
      <c r="I301" s="383"/>
      <c r="J301" s="383"/>
      <c r="K301" s="383"/>
      <c r="L301" s="383"/>
      <c r="M301" s="383"/>
      <c r="N301" s="383"/>
      <c r="O301" s="383"/>
      <c r="P301" s="383"/>
      <c r="Q301" s="383"/>
      <c r="R301" s="383"/>
      <c r="S301" s="383"/>
      <c r="T301" s="383"/>
      <c r="U301" s="383"/>
      <c r="V301" s="383"/>
      <c r="W301" s="383"/>
      <c r="X301" s="383"/>
      <c r="Y301" s="383"/>
      <c r="Z301" s="383"/>
    </row>
    <row r="302" spans="1:26" ht="12.75" customHeight="1" x14ac:dyDescent="0.3">
      <c r="A302" s="383"/>
      <c r="B302" s="383"/>
      <c r="C302" s="383"/>
      <c r="D302" s="383"/>
      <c r="E302" s="383"/>
      <c r="F302" s="383"/>
      <c r="G302" s="383"/>
      <c r="H302" s="383"/>
      <c r="I302" s="383"/>
      <c r="J302" s="383"/>
      <c r="K302" s="383"/>
      <c r="L302" s="383"/>
      <c r="M302" s="383"/>
      <c r="N302" s="383"/>
      <c r="O302" s="383"/>
      <c r="P302" s="383"/>
      <c r="Q302" s="383"/>
      <c r="R302" s="383"/>
      <c r="S302" s="383"/>
      <c r="T302" s="383"/>
      <c r="U302" s="383"/>
      <c r="V302" s="383"/>
      <c r="W302" s="383"/>
      <c r="X302" s="383"/>
      <c r="Y302" s="383"/>
      <c r="Z302" s="383"/>
    </row>
    <row r="303" spans="1:26" ht="12.75" customHeight="1" x14ac:dyDescent="0.3">
      <c r="A303" s="383"/>
      <c r="B303" s="383"/>
      <c r="C303" s="383"/>
      <c r="D303" s="383"/>
      <c r="E303" s="383"/>
      <c r="F303" s="383"/>
      <c r="G303" s="383"/>
      <c r="H303" s="383"/>
      <c r="I303" s="383"/>
      <c r="J303" s="383"/>
      <c r="K303" s="383"/>
      <c r="L303" s="383"/>
      <c r="M303" s="383"/>
      <c r="N303" s="383"/>
      <c r="O303" s="383"/>
      <c r="P303" s="383"/>
      <c r="Q303" s="383"/>
      <c r="R303" s="383"/>
      <c r="S303" s="383"/>
      <c r="T303" s="383"/>
      <c r="U303" s="383"/>
      <c r="V303" s="383"/>
      <c r="W303" s="383"/>
      <c r="X303" s="383"/>
      <c r="Y303" s="383"/>
      <c r="Z303" s="383"/>
    </row>
    <row r="304" spans="1:26" ht="12.75" customHeight="1" x14ac:dyDescent="0.3">
      <c r="A304" s="383"/>
      <c r="B304" s="383"/>
      <c r="C304" s="383"/>
      <c r="D304" s="383"/>
      <c r="E304" s="383"/>
      <c r="F304" s="383"/>
      <c r="G304" s="383"/>
      <c r="H304" s="383"/>
      <c r="I304" s="383"/>
      <c r="J304" s="383"/>
      <c r="K304" s="383"/>
      <c r="L304" s="383"/>
      <c r="M304" s="383"/>
      <c r="N304" s="383"/>
      <c r="O304" s="383"/>
      <c r="P304" s="383"/>
      <c r="Q304" s="383"/>
      <c r="R304" s="383"/>
      <c r="S304" s="383"/>
      <c r="T304" s="383"/>
      <c r="U304" s="383"/>
      <c r="V304" s="383"/>
      <c r="W304" s="383"/>
      <c r="X304" s="383"/>
      <c r="Y304" s="383"/>
      <c r="Z304" s="383"/>
    </row>
    <row r="305" spans="1:26" ht="12.75" customHeight="1" x14ac:dyDescent="0.3">
      <c r="A305" s="383"/>
      <c r="B305" s="383"/>
      <c r="C305" s="383"/>
      <c r="D305" s="383"/>
      <c r="E305" s="383"/>
      <c r="F305" s="383"/>
      <c r="G305" s="383"/>
      <c r="H305" s="383"/>
      <c r="I305" s="383"/>
      <c r="J305" s="383"/>
      <c r="K305" s="383"/>
      <c r="L305" s="383"/>
      <c r="M305" s="383"/>
      <c r="N305" s="383"/>
      <c r="O305" s="383"/>
      <c r="P305" s="383"/>
      <c r="Q305" s="383"/>
      <c r="R305" s="383"/>
      <c r="S305" s="383"/>
      <c r="T305" s="383"/>
      <c r="U305" s="383"/>
      <c r="V305" s="383"/>
      <c r="W305" s="383"/>
      <c r="X305" s="383"/>
      <c r="Y305" s="383"/>
      <c r="Z305" s="383"/>
    </row>
    <row r="306" spans="1:26" ht="12.75" customHeight="1" x14ac:dyDescent="0.3">
      <c r="A306" s="383"/>
      <c r="B306" s="383"/>
      <c r="C306" s="383"/>
      <c r="D306" s="383"/>
      <c r="E306" s="383"/>
      <c r="F306" s="383"/>
      <c r="G306" s="383"/>
      <c r="H306" s="383"/>
      <c r="I306" s="383"/>
      <c r="J306" s="383"/>
      <c r="K306" s="383"/>
      <c r="L306" s="383"/>
      <c r="M306" s="383"/>
      <c r="N306" s="383"/>
      <c r="O306" s="383"/>
      <c r="P306" s="383"/>
      <c r="Q306" s="383"/>
      <c r="R306" s="383"/>
      <c r="S306" s="383"/>
      <c r="T306" s="383"/>
      <c r="U306" s="383"/>
      <c r="V306" s="383"/>
      <c r="W306" s="383"/>
      <c r="X306" s="383"/>
      <c r="Y306" s="383"/>
      <c r="Z306" s="383"/>
    </row>
    <row r="307" spans="1:26" ht="12.75" customHeight="1" x14ac:dyDescent="0.3">
      <c r="A307" s="383"/>
      <c r="B307" s="383"/>
      <c r="C307" s="383"/>
      <c r="D307" s="383"/>
      <c r="E307" s="383"/>
      <c r="F307" s="383"/>
      <c r="G307" s="383"/>
      <c r="H307" s="383"/>
      <c r="I307" s="383"/>
      <c r="J307" s="383"/>
      <c r="K307" s="383"/>
      <c r="L307" s="383"/>
      <c r="M307" s="383"/>
      <c r="N307" s="383"/>
      <c r="O307" s="383"/>
      <c r="P307" s="383"/>
      <c r="Q307" s="383"/>
      <c r="R307" s="383"/>
      <c r="S307" s="383"/>
      <c r="T307" s="383"/>
      <c r="U307" s="383"/>
      <c r="V307" s="383"/>
      <c r="W307" s="383"/>
      <c r="X307" s="383"/>
      <c r="Y307" s="383"/>
      <c r="Z307" s="383"/>
    </row>
    <row r="308" spans="1:26" ht="12.75" customHeight="1" x14ac:dyDescent="0.3">
      <c r="A308" s="383"/>
      <c r="B308" s="383"/>
      <c r="C308" s="383"/>
      <c r="D308" s="383"/>
      <c r="E308" s="383"/>
      <c r="F308" s="383"/>
      <c r="G308" s="383"/>
      <c r="H308" s="383"/>
      <c r="I308" s="383"/>
      <c r="J308" s="383"/>
      <c r="K308" s="383"/>
      <c r="L308" s="383"/>
      <c r="M308" s="383"/>
      <c r="N308" s="383"/>
      <c r="O308" s="383"/>
      <c r="P308" s="383"/>
      <c r="Q308" s="383"/>
      <c r="R308" s="383"/>
      <c r="S308" s="383"/>
      <c r="T308" s="383"/>
      <c r="U308" s="383"/>
      <c r="V308" s="383"/>
      <c r="W308" s="383"/>
      <c r="X308" s="383"/>
      <c r="Y308" s="383"/>
      <c r="Z308" s="383"/>
    </row>
    <row r="309" spans="1:26" ht="12.75" customHeight="1" x14ac:dyDescent="0.3">
      <c r="A309" s="383"/>
      <c r="B309" s="383"/>
      <c r="C309" s="383"/>
      <c r="D309" s="383"/>
      <c r="E309" s="383"/>
      <c r="F309" s="383"/>
      <c r="G309" s="383"/>
      <c r="H309" s="383"/>
      <c r="I309" s="383"/>
      <c r="J309" s="383"/>
      <c r="K309" s="383"/>
      <c r="L309" s="383"/>
      <c r="M309" s="383"/>
      <c r="N309" s="383"/>
      <c r="O309" s="383"/>
      <c r="P309" s="383"/>
      <c r="Q309" s="383"/>
      <c r="R309" s="383"/>
      <c r="S309" s="383"/>
      <c r="T309" s="383"/>
      <c r="U309" s="383"/>
      <c r="V309" s="383"/>
      <c r="W309" s="383"/>
      <c r="X309" s="383"/>
      <c r="Y309" s="383"/>
      <c r="Z309" s="383"/>
    </row>
    <row r="310" spans="1:26" ht="12.75" customHeight="1" x14ac:dyDescent="0.3">
      <c r="A310" s="383"/>
      <c r="B310" s="383"/>
      <c r="C310" s="383"/>
      <c r="D310" s="383"/>
      <c r="E310" s="383"/>
      <c r="F310" s="383"/>
      <c r="G310" s="383"/>
      <c r="H310" s="383"/>
      <c r="I310" s="383"/>
      <c r="J310" s="383"/>
      <c r="K310" s="383"/>
      <c r="L310" s="383"/>
      <c r="M310" s="383"/>
      <c r="N310" s="383"/>
      <c r="O310" s="383"/>
      <c r="P310" s="383"/>
      <c r="Q310" s="383"/>
      <c r="R310" s="383"/>
      <c r="S310" s="383"/>
      <c r="T310" s="383"/>
      <c r="U310" s="383"/>
      <c r="V310" s="383"/>
      <c r="W310" s="383"/>
      <c r="X310" s="383"/>
      <c r="Y310" s="383"/>
      <c r="Z310" s="383"/>
    </row>
    <row r="311" spans="1:26" ht="12.75" customHeight="1" x14ac:dyDescent="0.3">
      <c r="A311" s="383"/>
      <c r="B311" s="383"/>
      <c r="C311" s="383"/>
      <c r="D311" s="383"/>
      <c r="E311" s="383"/>
      <c r="F311" s="383"/>
      <c r="G311" s="383"/>
      <c r="H311" s="383"/>
      <c r="I311" s="383"/>
      <c r="J311" s="383"/>
      <c r="K311" s="383"/>
      <c r="L311" s="383"/>
      <c r="M311" s="383"/>
      <c r="N311" s="383"/>
      <c r="O311" s="383"/>
      <c r="P311" s="383"/>
      <c r="Q311" s="383"/>
      <c r="R311" s="383"/>
      <c r="S311" s="383"/>
      <c r="T311" s="383"/>
      <c r="U311" s="383"/>
      <c r="V311" s="383"/>
      <c r="W311" s="383"/>
      <c r="X311" s="383"/>
      <c r="Y311" s="383"/>
      <c r="Z311" s="383"/>
    </row>
    <row r="312" spans="1:26" ht="12.75" customHeight="1" x14ac:dyDescent="0.3">
      <c r="A312" s="383"/>
      <c r="B312" s="383"/>
      <c r="C312" s="383"/>
      <c r="D312" s="383"/>
      <c r="E312" s="383"/>
      <c r="F312" s="383"/>
      <c r="G312" s="383"/>
      <c r="H312" s="383"/>
      <c r="I312" s="383"/>
      <c r="J312" s="383"/>
      <c r="K312" s="383"/>
      <c r="L312" s="383"/>
      <c r="M312" s="383"/>
      <c r="N312" s="383"/>
      <c r="O312" s="383"/>
      <c r="P312" s="383"/>
      <c r="Q312" s="383"/>
      <c r="R312" s="383"/>
      <c r="S312" s="383"/>
      <c r="T312" s="383"/>
      <c r="U312" s="383"/>
      <c r="V312" s="383"/>
      <c r="W312" s="383"/>
      <c r="X312" s="383"/>
      <c r="Y312" s="383"/>
      <c r="Z312" s="383"/>
    </row>
    <row r="313" spans="1:26" ht="12.75" customHeight="1" x14ac:dyDescent="0.3">
      <c r="A313" s="383"/>
      <c r="B313" s="383"/>
      <c r="C313" s="383"/>
      <c r="D313" s="383"/>
      <c r="E313" s="383"/>
      <c r="F313" s="383"/>
      <c r="G313" s="383"/>
      <c r="H313" s="383"/>
      <c r="I313" s="383"/>
      <c r="J313" s="383"/>
      <c r="K313" s="383"/>
      <c r="L313" s="383"/>
      <c r="M313" s="383"/>
      <c r="N313" s="383"/>
      <c r="O313" s="383"/>
      <c r="P313" s="383"/>
      <c r="Q313" s="383"/>
      <c r="R313" s="383"/>
      <c r="S313" s="383"/>
      <c r="T313" s="383"/>
      <c r="U313" s="383"/>
      <c r="V313" s="383"/>
      <c r="W313" s="383"/>
      <c r="X313" s="383"/>
      <c r="Y313" s="383"/>
      <c r="Z313" s="383"/>
    </row>
    <row r="314" spans="1:26" ht="12.75" customHeight="1" x14ac:dyDescent="0.3">
      <c r="A314" s="383"/>
      <c r="B314" s="383"/>
      <c r="C314" s="383"/>
      <c r="D314" s="383"/>
      <c r="E314" s="383"/>
      <c r="F314" s="383"/>
      <c r="G314" s="383"/>
      <c r="H314" s="383"/>
      <c r="I314" s="383"/>
      <c r="J314" s="383"/>
      <c r="K314" s="383"/>
      <c r="L314" s="383"/>
      <c r="M314" s="383"/>
      <c r="N314" s="383"/>
      <c r="O314" s="383"/>
      <c r="P314" s="383"/>
      <c r="Q314" s="383"/>
      <c r="R314" s="383"/>
      <c r="S314" s="383"/>
      <c r="T314" s="383"/>
      <c r="U314" s="383"/>
      <c r="V314" s="383"/>
      <c r="W314" s="383"/>
      <c r="X314" s="383"/>
      <c r="Y314" s="383"/>
      <c r="Z314" s="383"/>
    </row>
    <row r="315" spans="1:26" ht="12.75" customHeight="1" x14ac:dyDescent="0.3">
      <c r="A315" s="383"/>
      <c r="B315" s="383"/>
      <c r="C315" s="383"/>
      <c r="D315" s="383"/>
      <c r="E315" s="383"/>
      <c r="F315" s="383"/>
      <c r="G315" s="383"/>
      <c r="H315" s="383"/>
      <c r="I315" s="383"/>
      <c r="J315" s="383"/>
      <c r="K315" s="383"/>
      <c r="L315" s="383"/>
      <c r="M315" s="383"/>
      <c r="N315" s="383"/>
      <c r="O315" s="383"/>
      <c r="P315" s="383"/>
      <c r="Q315" s="383"/>
      <c r="R315" s="383"/>
      <c r="S315" s="383"/>
      <c r="T315" s="383"/>
      <c r="U315" s="383"/>
      <c r="V315" s="383"/>
      <c r="W315" s="383"/>
      <c r="X315" s="383"/>
      <c r="Y315" s="383"/>
      <c r="Z315" s="383"/>
    </row>
    <row r="316" spans="1:26" ht="12.75" customHeight="1" x14ac:dyDescent="0.3">
      <c r="A316" s="383"/>
      <c r="B316" s="383"/>
      <c r="C316" s="383"/>
      <c r="D316" s="383"/>
      <c r="E316" s="383"/>
      <c r="F316" s="383"/>
      <c r="G316" s="383"/>
      <c r="H316" s="383"/>
      <c r="I316" s="383"/>
      <c r="J316" s="383"/>
      <c r="K316" s="383"/>
      <c r="L316" s="383"/>
      <c r="M316" s="383"/>
      <c r="N316" s="383"/>
      <c r="O316" s="383"/>
      <c r="P316" s="383"/>
      <c r="Q316" s="383"/>
      <c r="R316" s="383"/>
      <c r="S316" s="383"/>
      <c r="T316" s="383"/>
      <c r="U316" s="383"/>
      <c r="V316" s="383"/>
      <c r="W316" s="383"/>
      <c r="X316" s="383"/>
      <c r="Y316" s="383"/>
      <c r="Z316" s="383"/>
    </row>
    <row r="317" spans="1:26" ht="12.75" customHeight="1" x14ac:dyDescent="0.3">
      <c r="A317" s="383"/>
      <c r="B317" s="383"/>
      <c r="C317" s="383"/>
      <c r="D317" s="383"/>
      <c r="E317" s="383"/>
      <c r="F317" s="383"/>
      <c r="G317" s="383"/>
      <c r="H317" s="383"/>
      <c r="I317" s="383"/>
      <c r="J317" s="383"/>
      <c r="K317" s="383"/>
      <c r="L317" s="383"/>
      <c r="M317" s="383"/>
      <c r="N317" s="383"/>
      <c r="O317" s="383"/>
      <c r="P317" s="383"/>
      <c r="Q317" s="383"/>
      <c r="R317" s="383"/>
      <c r="S317" s="383"/>
      <c r="T317" s="383"/>
      <c r="U317" s="383"/>
      <c r="V317" s="383"/>
      <c r="W317" s="383"/>
      <c r="X317" s="383"/>
      <c r="Y317" s="383"/>
      <c r="Z317" s="383"/>
    </row>
    <row r="318" spans="1:26" ht="15.75" customHeight="1" x14ac:dyDescent="0.3"/>
    <row r="319" spans="1:26" ht="15.75" customHeight="1" x14ac:dyDescent="0.3"/>
    <row r="320" spans="1:26"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B114:M114">
    <cfRule type="cellIs" dxfId="11" priority="1" operator="lessThan">
      <formula>0</formula>
    </cfRule>
    <cfRule type="cellIs" dxfId="10" priority="2" operator="greaterThan">
      <formula>0</formula>
    </cfRule>
    <cfRule type="cellIs" dxfId="9" priority="3" operator="lessThan">
      <formula>0</formula>
    </cfRule>
  </conditionalFormatting>
  <conditionalFormatting sqref="B86:N93">
    <cfRule type="cellIs" dxfId="8" priority="4" operator="lessThan">
      <formula>0</formula>
    </cfRule>
    <cfRule type="cellIs" dxfId="7" priority="5" operator="greaterThan">
      <formula>0</formula>
    </cfRule>
    <cfRule type="cellIs" dxfId="6" priority="6" operator="lessThan">
      <formula>0</formula>
    </cfRule>
  </conditionalFormatting>
  <conditionalFormatting sqref="B96:N103">
    <cfRule type="cellIs" dxfId="5" priority="7" operator="lessThan">
      <formula>0</formula>
    </cfRule>
    <cfRule type="cellIs" dxfId="4" priority="8" operator="greaterThan">
      <formula>0</formula>
    </cfRule>
    <cfRule type="cellIs" dxfId="3" priority="9" operator="lessThan">
      <formula>0</formula>
    </cfRule>
  </conditionalFormatting>
  <conditionalFormatting sqref="B106:N113">
    <cfRule type="cellIs" dxfId="2" priority="10" operator="lessThan">
      <formula>0</formula>
    </cfRule>
    <cfRule type="cellIs" dxfId="1" priority="11" operator="greaterThan">
      <formula>0</formula>
    </cfRule>
    <cfRule type="cellIs" dxfId="0" priority="12" operator="lessThan">
      <formula>0</formula>
    </cfRule>
  </conditionalFormatting>
  <printOptions horizontalCentered="1"/>
  <pageMargins left="0.25" right="0.25" top="0.75" bottom="1" header="0" footer="0"/>
  <pageSetup paperSize="9" fitToHeight="0"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S100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outlineLevelRow="1" x14ac:dyDescent="0.3"/>
  <cols>
    <col min="1" max="1" width="50.33203125" customWidth="1"/>
    <col min="2" max="2" width="9.88671875" customWidth="1"/>
    <col min="3" max="4" width="12.44140625" customWidth="1"/>
    <col min="5" max="5" width="13.109375" customWidth="1"/>
    <col min="6" max="50" width="13.44140625" customWidth="1"/>
    <col min="51" max="51" width="14.44140625" customWidth="1"/>
    <col min="52" max="71" width="11.44140625" customWidth="1"/>
  </cols>
  <sheetData>
    <row r="1" spans="1:71" ht="11.25" customHeight="1" x14ac:dyDescent="0.3">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c r="AF1" s="383"/>
      <c r="AG1" s="383"/>
      <c r="AH1" s="383"/>
      <c r="AI1" s="383"/>
      <c r="AJ1" s="383"/>
      <c r="AK1" s="383"/>
      <c r="AL1" s="383"/>
      <c r="AM1" s="383"/>
      <c r="AN1" s="383"/>
      <c r="AO1" s="383"/>
      <c r="AP1" s="383"/>
      <c r="AQ1" s="383"/>
      <c r="AR1" s="383"/>
      <c r="AS1" s="383"/>
      <c r="AT1" s="383"/>
      <c r="AU1" s="383"/>
      <c r="AV1" s="383"/>
      <c r="AW1" s="383"/>
      <c r="AX1" s="383"/>
      <c r="AY1" s="393"/>
      <c r="AZ1" s="393"/>
      <c r="BA1" s="393"/>
      <c r="BB1" s="393"/>
      <c r="BC1" s="393"/>
      <c r="BD1" s="393"/>
      <c r="BE1" s="393"/>
      <c r="BF1" s="393"/>
      <c r="BG1" s="393"/>
      <c r="BH1" s="393"/>
      <c r="BI1" s="393"/>
      <c r="BJ1" s="393"/>
      <c r="BK1" s="393"/>
      <c r="BL1" s="393"/>
      <c r="BM1" s="393"/>
      <c r="BN1" s="393"/>
      <c r="BO1" s="393"/>
      <c r="BP1" s="393"/>
      <c r="BQ1" s="393"/>
      <c r="BR1" s="393"/>
      <c r="BS1" s="393"/>
    </row>
    <row r="2" spans="1:71" ht="30" customHeight="1" x14ac:dyDescent="0.3">
      <c r="A2" s="457" t="s">
        <v>1756</v>
      </c>
      <c r="B2" s="1100" t="s">
        <v>1757</v>
      </c>
      <c r="C2" s="1096"/>
      <c r="D2" s="1096"/>
      <c r="E2" s="1097"/>
      <c r="F2" s="1098" t="s">
        <v>1758</v>
      </c>
      <c r="G2" s="1096"/>
      <c r="H2" s="1097"/>
      <c r="I2" s="1095" t="s">
        <v>1759</v>
      </c>
      <c r="J2" s="1096"/>
      <c r="K2" s="1097"/>
      <c r="L2" s="1095" t="s">
        <v>1760</v>
      </c>
      <c r="M2" s="1096"/>
      <c r="N2" s="1097"/>
      <c r="O2" s="1095" t="s">
        <v>1761</v>
      </c>
      <c r="P2" s="1096"/>
      <c r="Q2" s="1097"/>
      <c r="R2" s="1095" t="s">
        <v>1762</v>
      </c>
      <c r="S2" s="1096"/>
      <c r="T2" s="1097"/>
      <c r="U2" s="1095" t="s">
        <v>1763</v>
      </c>
      <c r="V2" s="1096"/>
      <c r="W2" s="1097"/>
      <c r="X2" s="1095" t="s">
        <v>1764</v>
      </c>
      <c r="Y2" s="1096"/>
      <c r="Z2" s="1097"/>
      <c r="AA2" s="1095" t="s">
        <v>1765</v>
      </c>
      <c r="AB2" s="1096"/>
      <c r="AC2" s="1097"/>
      <c r="AD2" s="1095" t="s">
        <v>1766</v>
      </c>
      <c r="AE2" s="1096"/>
      <c r="AF2" s="1097"/>
      <c r="AG2" s="1095" t="s">
        <v>1767</v>
      </c>
      <c r="AH2" s="1096"/>
      <c r="AI2" s="1097"/>
      <c r="AJ2" s="1095" t="s">
        <v>1768</v>
      </c>
      <c r="AK2" s="1096"/>
      <c r="AL2" s="1097"/>
      <c r="AM2" s="1095" t="s">
        <v>1769</v>
      </c>
      <c r="AN2" s="1096"/>
      <c r="AO2" s="1097"/>
      <c r="AP2" s="1095" t="s">
        <v>1770</v>
      </c>
      <c r="AQ2" s="1096"/>
      <c r="AR2" s="1097"/>
      <c r="AS2" s="1095" t="s">
        <v>1771</v>
      </c>
      <c r="AT2" s="1096"/>
      <c r="AU2" s="1097"/>
      <c r="AV2" s="1095" t="s">
        <v>1772</v>
      </c>
      <c r="AW2" s="1096"/>
      <c r="AX2" s="1097"/>
      <c r="AY2" s="393"/>
      <c r="AZ2" s="393"/>
      <c r="BA2" s="393"/>
      <c r="BB2" s="393"/>
      <c r="BC2" s="393"/>
      <c r="BD2" s="393"/>
      <c r="BE2" s="393"/>
      <c r="BF2" s="393"/>
      <c r="BG2" s="393"/>
      <c r="BH2" s="393"/>
      <c r="BI2" s="393"/>
      <c r="BJ2" s="393"/>
      <c r="BK2" s="393"/>
      <c r="BL2" s="393"/>
      <c r="BM2" s="393"/>
      <c r="BN2" s="393"/>
      <c r="BO2" s="393"/>
      <c r="BP2" s="393"/>
      <c r="BQ2" s="393"/>
      <c r="BR2" s="393"/>
      <c r="BS2" s="393"/>
    </row>
    <row r="3" spans="1:71" ht="27.75" customHeight="1" x14ac:dyDescent="0.3">
      <c r="A3" s="458"/>
      <c r="B3" s="459" t="s">
        <v>1773</v>
      </c>
      <c r="C3" s="460" t="s">
        <v>1774</v>
      </c>
      <c r="D3" s="460" t="s">
        <v>1775</v>
      </c>
      <c r="E3" s="461" t="s">
        <v>1776</v>
      </c>
      <c r="F3" s="462" t="s">
        <v>1773</v>
      </c>
      <c r="G3" s="463" t="s">
        <v>1777</v>
      </c>
      <c r="H3" s="464" t="s">
        <v>1778</v>
      </c>
      <c r="I3" s="465" t="s">
        <v>1773</v>
      </c>
      <c r="J3" s="463" t="s">
        <v>1777</v>
      </c>
      <c r="K3" s="464" t="s">
        <v>1778</v>
      </c>
      <c r="L3" s="465" t="s">
        <v>1773</v>
      </c>
      <c r="M3" s="463" t="s">
        <v>1777</v>
      </c>
      <c r="N3" s="464" t="s">
        <v>1778</v>
      </c>
      <c r="O3" s="465" t="s">
        <v>1773</v>
      </c>
      <c r="P3" s="463" t="s">
        <v>1777</v>
      </c>
      <c r="Q3" s="464" t="s">
        <v>1778</v>
      </c>
      <c r="R3" s="465" t="s">
        <v>1773</v>
      </c>
      <c r="S3" s="463" t="s">
        <v>1777</v>
      </c>
      <c r="T3" s="464" t="s">
        <v>1778</v>
      </c>
      <c r="U3" s="465" t="s">
        <v>1773</v>
      </c>
      <c r="V3" s="463" t="s">
        <v>1777</v>
      </c>
      <c r="W3" s="464" t="s">
        <v>1778</v>
      </c>
      <c r="X3" s="465" t="s">
        <v>1773</v>
      </c>
      <c r="Y3" s="463" t="s">
        <v>1777</v>
      </c>
      <c r="Z3" s="464" t="s">
        <v>1778</v>
      </c>
      <c r="AA3" s="465" t="s">
        <v>1773</v>
      </c>
      <c r="AB3" s="463" t="s">
        <v>1777</v>
      </c>
      <c r="AC3" s="464" t="s">
        <v>1778</v>
      </c>
      <c r="AD3" s="465" t="s">
        <v>1773</v>
      </c>
      <c r="AE3" s="463" t="s">
        <v>1777</v>
      </c>
      <c r="AF3" s="464" t="s">
        <v>1778</v>
      </c>
      <c r="AG3" s="465" t="s">
        <v>1773</v>
      </c>
      <c r="AH3" s="463" t="s">
        <v>1777</v>
      </c>
      <c r="AI3" s="464" t="s">
        <v>1778</v>
      </c>
      <c r="AJ3" s="465" t="s">
        <v>1773</v>
      </c>
      <c r="AK3" s="463" t="s">
        <v>1777</v>
      </c>
      <c r="AL3" s="464" t="s">
        <v>1778</v>
      </c>
      <c r="AM3" s="465" t="s">
        <v>1773</v>
      </c>
      <c r="AN3" s="463" t="s">
        <v>1777</v>
      </c>
      <c r="AO3" s="464" t="s">
        <v>1778</v>
      </c>
      <c r="AP3" s="465" t="s">
        <v>1773</v>
      </c>
      <c r="AQ3" s="463" t="s">
        <v>1777</v>
      </c>
      <c r="AR3" s="464" t="s">
        <v>1778</v>
      </c>
      <c r="AS3" s="465" t="s">
        <v>1773</v>
      </c>
      <c r="AT3" s="463" t="s">
        <v>1777</v>
      </c>
      <c r="AU3" s="464" t="s">
        <v>1778</v>
      </c>
      <c r="AV3" s="465" t="s">
        <v>1773</v>
      </c>
      <c r="AW3" s="463" t="s">
        <v>1777</v>
      </c>
      <c r="AX3" s="464" t="s">
        <v>1778</v>
      </c>
      <c r="AY3" s="393"/>
      <c r="AZ3" s="393"/>
      <c r="BA3" s="393"/>
      <c r="BB3" s="393"/>
      <c r="BC3" s="393"/>
      <c r="BD3" s="393"/>
      <c r="BE3" s="393"/>
      <c r="BF3" s="393"/>
      <c r="BG3" s="393"/>
      <c r="BH3" s="393"/>
      <c r="BI3" s="393"/>
      <c r="BJ3" s="393"/>
      <c r="BK3" s="393"/>
      <c r="BL3" s="393"/>
      <c r="BM3" s="393"/>
      <c r="BN3" s="393"/>
      <c r="BO3" s="393"/>
      <c r="BP3" s="393"/>
      <c r="BQ3" s="393"/>
      <c r="BR3" s="393"/>
      <c r="BS3" s="393"/>
    </row>
    <row r="4" spans="1:71" ht="15" customHeight="1" x14ac:dyDescent="0.3">
      <c r="A4" s="466" t="s">
        <v>1779</v>
      </c>
      <c r="B4" s="467">
        <v>1</v>
      </c>
      <c r="C4" s="468">
        <v>7134253.3698352063</v>
      </c>
      <c r="D4" s="468">
        <f>C4*$D$15</f>
        <v>7248401.4237525696</v>
      </c>
      <c r="E4" s="469">
        <f>B4*D4</f>
        <v>7248401.4237525696</v>
      </c>
      <c r="F4" s="470">
        <f t="shared" ref="F4:F11" si="0">+B4</f>
        <v>1</v>
      </c>
      <c r="G4" s="468">
        <f t="shared" ref="G4:G9" si="1">+D4*$G$15</f>
        <v>7407866.255075126</v>
      </c>
      <c r="H4" s="471">
        <f>+G4*F4</f>
        <v>7407866.255075126</v>
      </c>
      <c r="I4" s="472">
        <f t="shared" ref="I4:I11" si="2">+F4</f>
        <v>1</v>
      </c>
      <c r="J4" s="468">
        <f t="shared" ref="J4:J9" si="3">+G4*$J$15</f>
        <v>7578247.1789418533</v>
      </c>
      <c r="K4" s="471">
        <f>+J4*I4</f>
        <v>7578247.1789418533</v>
      </c>
      <c r="L4" s="472">
        <f t="shared" ref="L4:L11" si="4">+I4</f>
        <v>1</v>
      </c>
      <c r="M4" s="468">
        <f t="shared" ref="M4:M9" si="5">+J4*$M$15</f>
        <v>7729812.1225206908</v>
      </c>
      <c r="N4" s="471">
        <f>+M4*L4</f>
        <v>7729812.1225206908</v>
      </c>
      <c r="O4" s="472">
        <f t="shared" ref="O4:O9" si="6">+L4</f>
        <v>1</v>
      </c>
      <c r="P4" s="468">
        <f t="shared" ref="P4:P9" si="7">+M4*$P$15</f>
        <v>7884408.364971105</v>
      </c>
      <c r="Q4" s="471">
        <f>+P4*O4</f>
        <v>7884408.364971105</v>
      </c>
      <c r="R4" s="472">
        <f t="shared" ref="R4:R11" si="8">+O4</f>
        <v>1</v>
      </c>
      <c r="S4" s="468">
        <f t="shared" ref="S4:S10" si="9">+P4*$S$15</f>
        <v>8113056.2075552661</v>
      </c>
      <c r="T4" s="471">
        <f>+S4*R4</f>
        <v>8113056.2075552661</v>
      </c>
      <c r="U4" s="472">
        <f t="shared" ref="U4:U11" si="10">+R4</f>
        <v>1</v>
      </c>
      <c r="V4" s="468">
        <f>+S4*V15</f>
        <v>8348334.8375743683</v>
      </c>
      <c r="W4" s="471">
        <f>+V4*U4</f>
        <v>8348334.8375743683</v>
      </c>
      <c r="X4" s="472">
        <f t="shared" ref="X4:X11" si="11">+U4</f>
        <v>1</v>
      </c>
      <c r="Y4" s="468">
        <f>+V4*Y15</f>
        <v>8632178.222051898</v>
      </c>
      <c r="Z4" s="471">
        <f>+Y4*X4</f>
        <v>8632178.222051898</v>
      </c>
      <c r="AA4" s="472">
        <f t="shared" ref="AA4:AA11" si="12">+X4</f>
        <v>1</v>
      </c>
      <c r="AB4" s="468">
        <f>+Y4*AB15</f>
        <v>8856614.8558252472</v>
      </c>
      <c r="AC4" s="471">
        <f>+AB4*AA4</f>
        <v>8856614.8558252472</v>
      </c>
      <c r="AD4" s="472">
        <f t="shared" ref="AD4:AD11" si="13">+AA4</f>
        <v>1</v>
      </c>
      <c r="AE4" s="468">
        <f>+AB4*AE15</f>
        <v>9042603.7677975763</v>
      </c>
      <c r="AF4" s="471">
        <f>+AE4*AD4</f>
        <v>9042603.7677975763</v>
      </c>
      <c r="AG4" s="472">
        <f t="shared" ref="AG4:AG11" si="14">+AD4</f>
        <v>1</v>
      </c>
      <c r="AH4" s="468">
        <f>+AE4*AH15</f>
        <v>9304839.277063705</v>
      </c>
      <c r="AI4" s="471">
        <f>+AH4*AG4</f>
        <v>9304839.277063705</v>
      </c>
      <c r="AJ4" s="472">
        <f t="shared" ref="AJ4:AJ11" si="15">+AG4</f>
        <v>1</v>
      </c>
      <c r="AK4" s="468">
        <f>+AH4*AK15</f>
        <v>9574679.6160985511</v>
      </c>
      <c r="AL4" s="471">
        <f>+AK4*AJ4</f>
        <v>9574679.6160985511</v>
      </c>
      <c r="AM4" s="472">
        <f t="shared" ref="AM4:AM11" si="16">+AJ4</f>
        <v>1</v>
      </c>
      <c r="AN4" s="468">
        <f>+AK4*AN15</f>
        <v>9852345.3249654081</v>
      </c>
      <c r="AO4" s="471">
        <f>+AN4*AM4</f>
        <v>9852345.3249654081</v>
      </c>
      <c r="AP4" s="472">
        <f t="shared" ref="AP4:AP11" si="17">+AM4</f>
        <v>1</v>
      </c>
      <c r="AQ4" s="468">
        <f>+AN4*AQ15</f>
        <v>10138063.339389404</v>
      </c>
      <c r="AR4" s="471">
        <f>+AQ4*AP4</f>
        <v>10138063.339389404</v>
      </c>
      <c r="AS4" s="472">
        <f t="shared" ref="AS4:AS11" si="18">+AP4</f>
        <v>1</v>
      </c>
      <c r="AT4" s="468">
        <f>+AQ4*AT15</f>
        <v>10432067.176231695</v>
      </c>
      <c r="AU4" s="471">
        <f>+AT4*AS4</f>
        <v>10432067.176231695</v>
      </c>
      <c r="AV4" s="472">
        <f t="shared" ref="AV4:AV11" si="19">+AS4</f>
        <v>1</v>
      </c>
      <c r="AW4" s="468">
        <f>+AT4*AW15</f>
        <v>10734597.124342414</v>
      </c>
      <c r="AX4" s="471">
        <f>+AW4*AV4</f>
        <v>10734597.124342414</v>
      </c>
      <c r="AY4" s="393"/>
      <c r="AZ4" s="393"/>
      <c r="BA4" s="393"/>
      <c r="BB4" s="393"/>
      <c r="BC4" s="393"/>
      <c r="BD4" s="393"/>
      <c r="BE4" s="393"/>
      <c r="BF4" s="393"/>
      <c r="BG4" s="393"/>
      <c r="BH4" s="393"/>
      <c r="BI4" s="393"/>
      <c r="BJ4" s="393"/>
      <c r="BK4" s="393"/>
      <c r="BL4" s="393"/>
      <c r="BM4" s="393"/>
      <c r="BN4" s="393"/>
      <c r="BO4" s="393"/>
      <c r="BP4" s="393"/>
      <c r="BQ4" s="393"/>
      <c r="BR4" s="393"/>
      <c r="BS4" s="393"/>
    </row>
    <row r="5" spans="1:71" ht="15" customHeight="1" x14ac:dyDescent="0.3">
      <c r="A5" s="466" t="s">
        <v>1780</v>
      </c>
      <c r="B5" s="473">
        <v>4299</v>
      </c>
      <c r="C5" s="468">
        <v>563.0587445402997</v>
      </c>
      <c r="D5" s="468">
        <f>C5*$D$15</f>
        <v>572.06768445294449</v>
      </c>
      <c r="E5" s="469">
        <f>B5*D5</f>
        <v>2459318.9754632083</v>
      </c>
      <c r="F5" s="474">
        <f t="shared" si="0"/>
        <v>4299</v>
      </c>
      <c r="G5" s="468">
        <f t="shared" si="1"/>
        <v>584.65317351090926</v>
      </c>
      <c r="H5" s="471">
        <f>+G5*F5</f>
        <v>2513423.992923399</v>
      </c>
      <c r="I5" s="475">
        <f t="shared" si="2"/>
        <v>4299</v>
      </c>
      <c r="J5" s="468">
        <f t="shared" si="3"/>
        <v>598.10019650166009</v>
      </c>
      <c r="K5" s="471">
        <f>+J5*I5</f>
        <v>2571232.7447606367</v>
      </c>
      <c r="L5" s="475">
        <f t="shared" si="4"/>
        <v>4299</v>
      </c>
      <c r="M5" s="468">
        <f t="shared" si="5"/>
        <v>610.06220043169333</v>
      </c>
      <c r="N5" s="471">
        <f>+M5*L5</f>
        <v>2622657.3996558497</v>
      </c>
      <c r="O5" s="475">
        <f t="shared" si="6"/>
        <v>4299</v>
      </c>
      <c r="P5" s="468">
        <f t="shared" si="7"/>
        <v>622.26344444032725</v>
      </c>
      <c r="Q5" s="471">
        <f>+P5*O5</f>
        <v>2675110.5476489668</v>
      </c>
      <c r="R5" s="475">
        <f t="shared" si="8"/>
        <v>4299</v>
      </c>
      <c r="S5" s="468">
        <f t="shared" si="9"/>
        <v>640.30908432909666</v>
      </c>
      <c r="T5" s="471">
        <f>+S5*R5</f>
        <v>2752688.7535307864</v>
      </c>
      <c r="U5" s="475">
        <f t="shared" si="10"/>
        <v>4299</v>
      </c>
      <c r="V5" s="468">
        <f>+S5*V15</f>
        <v>658.87804777464044</v>
      </c>
      <c r="W5" s="471">
        <f>+V5*U5</f>
        <v>2832516.7273831791</v>
      </c>
      <c r="X5" s="475">
        <f t="shared" si="11"/>
        <v>4299</v>
      </c>
      <c r="Y5" s="468">
        <f>+V5*Y15</f>
        <v>681.27990139897827</v>
      </c>
      <c r="Z5" s="471">
        <f>+Y5*X5</f>
        <v>2928822.2961142077</v>
      </c>
      <c r="AA5" s="475">
        <f t="shared" si="12"/>
        <v>4299</v>
      </c>
      <c r="AB5" s="468">
        <f>+Y5*AB15</f>
        <v>698.99317883535173</v>
      </c>
      <c r="AC5" s="471">
        <f>+AB5*AA5</f>
        <v>3004971.6758131771</v>
      </c>
      <c r="AD5" s="475">
        <f t="shared" si="13"/>
        <v>4299</v>
      </c>
      <c r="AE5" s="468">
        <f>+AB5*AE15</f>
        <v>713.6720355908941</v>
      </c>
      <c r="AF5" s="471">
        <f>+AE5*AD5</f>
        <v>3068076.0810052538</v>
      </c>
      <c r="AG5" s="475">
        <f t="shared" si="14"/>
        <v>4299</v>
      </c>
      <c r="AH5" s="468">
        <f>+AE5*AH15</f>
        <v>734.36852462303</v>
      </c>
      <c r="AI5" s="471">
        <f>+AH5*AG5</f>
        <v>3157050.287354406</v>
      </c>
      <c r="AJ5" s="475">
        <f t="shared" si="15"/>
        <v>4299</v>
      </c>
      <c r="AK5" s="468">
        <f>+AH5*AK15</f>
        <v>755.66521183709779</v>
      </c>
      <c r="AL5" s="471">
        <f>+AK5*AJ5</f>
        <v>3248604.7456876836</v>
      </c>
      <c r="AM5" s="475">
        <f t="shared" si="16"/>
        <v>4299</v>
      </c>
      <c r="AN5" s="468">
        <f>+AK5*AN15</f>
        <v>777.5795029803736</v>
      </c>
      <c r="AO5" s="471">
        <f>+AN5*AM5</f>
        <v>3342814.2833126262</v>
      </c>
      <c r="AP5" s="475">
        <f t="shared" si="17"/>
        <v>4299</v>
      </c>
      <c r="AQ5" s="468">
        <f>+AN5*AQ15</f>
        <v>800.12930856680441</v>
      </c>
      <c r="AR5" s="471">
        <f>+AQ5*AP5</f>
        <v>3439755.8975286921</v>
      </c>
      <c r="AS5" s="475">
        <f t="shared" si="18"/>
        <v>4299</v>
      </c>
      <c r="AT5" s="468">
        <f>+AQ5*AT15</f>
        <v>823.33305851524165</v>
      </c>
      <c r="AU5" s="471">
        <f>+AT5*AS5</f>
        <v>3539508.818557024</v>
      </c>
      <c r="AV5" s="475">
        <f t="shared" si="19"/>
        <v>4299</v>
      </c>
      <c r="AW5" s="468">
        <f>+AT5*AW15</f>
        <v>847.20971721218359</v>
      </c>
      <c r="AX5" s="471">
        <f>+AW5*AV5</f>
        <v>3642154.5742951771</v>
      </c>
      <c r="AY5" s="393"/>
      <c r="AZ5" s="393"/>
      <c r="BA5" s="393"/>
      <c r="BB5" s="393"/>
      <c r="BC5" s="393"/>
      <c r="BD5" s="393"/>
      <c r="BE5" s="393"/>
      <c r="BF5" s="393"/>
      <c r="BG5" s="393"/>
      <c r="BH5" s="393"/>
      <c r="BI5" s="393"/>
      <c r="BJ5" s="393"/>
      <c r="BK5" s="393"/>
      <c r="BL5" s="393"/>
      <c r="BM5" s="393"/>
      <c r="BN5" s="393"/>
      <c r="BO5" s="393"/>
      <c r="BP5" s="393"/>
      <c r="BQ5" s="393"/>
      <c r="BR5" s="393"/>
      <c r="BS5" s="393"/>
    </row>
    <row r="6" spans="1:71" ht="15" customHeight="1" x14ac:dyDescent="0.3">
      <c r="A6" s="466" t="s">
        <v>1781</v>
      </c>
      <c r="B6" s="476">
        <v>1</v>
      </c>
      <c r="C6" s="468">
        <v>632964.56655269512</v>
      </c>
      <c r="D6" s="468">
        <f>C6*$D$15</f>
        <v>643091.9996175383</v>
      </c>
      <c r="E6" s="469">
        <f>B6*D6</f>
        <v>643091.9996175383</v>
      </c>
      <c r="F6" s="477">
        <f t="shared" si="0"/>
        <v>1</v>
      </c>
      <c r="G6" s="468">
        <f t="shared" si="1"/>
        <v>657240.02360912412</v>
      </c>
      <c r="H6" s="471">
        <f>+G6*F6</f>
        <v>657240.02360912412</v>
      </c>
      <c r="I6" s="478">
        <f t="shared" si="2"/>
        <v>1</v>
      </c>
      <c r="J6" s="468">
        <f t="shared" si="3"/>
        <v>672356.54415213387</v>
      </c>
      <c r="K6" s="471">
        <f>+J6*I6</f>
        <v>672356.54415213387</v>
      </c>
      <c r="L6" s="478">
        <f t="shared" si="4"/>
        <v>1</v>
      </c>
      <c r="M6" s="468">
        <f t="shared" si="5"/>
        <v>685803.67503517657</v>
      </c>
      <c r="N6" s="471">
        <f>+M6*L6</f>
        <v>685803.67503517657</v>
      </c>
      <c r="O6" s="478">
        <f t="shared" si="6"/>
        <v>1</v>
      </c>
      <c r="P6" s="468">
        <f t="shared" si="7"/>
        <v>699519.74853588012</v>
      </c>
      <c r="Q6" s="471">
        <f>+P6*O6</f>
        <v>699519.74853588012</v>
      </c>
      <c r="R6" s="478">
        <f t="shared" si="8"/>
        <v>1</v>
      </c>
      <c r="S6" s="468">
        <f t="shared" si="9"/>
        <v>719805.82124342059</v>
      </c>
      <c r="T6" s="471">
        <f>+S6*R6</f>
        <v>719805.82124342059</v>
      </c>
      <c r="U6" s="478">
        <f t="shared" si="10"/>
        <v>1</v>
      </c>
      <c r="V6" s="468">
        <f>+S6*V15</f>
        <v>740680.19005947968</v>
      </c>
      <c r="W6" s="471">
        <f>+V6*U6</f>
        <v>740680.19005947968</v>
      </c>
      <c r="X6" s="478">
        <f t="shared" si="11"/>
        <v>1</v>
      </c>
      <c r="Y6" s="468">
        <f>+V6*Y15</f>
        <v>765863.31652150198</v>
      </c>
      <c r="Z6" s="471">
        <f>+Y6*X6</f>
        <v>765863.31652150198</v>
      </c>
      <c r="AA6" s="478">
        <f t="shared" si="12"/>
        <v>1</v>
      </c>
      <c r="AB6" s="468">
        <f>+Y6*AB15</f>
        <v>785775.762751061</v>
      </c>
      <c r="AC6" s="471">
        <f>+AB6*AA6</f>
        <v>785775.762751061</v>
      </c>
      <c r="AD6" s="478">
        <f t="shared" si="13"/>
        <v>1</v>
      </c>
      <c r="AE6" s="468">
        <f>+AB6*AE15</f>
        <v>802277.05376883317</v>
      </c>
      <c r="AF6" s="471">
        <f>+AE6*AD6</f>
        <v>802277.05376883317</v>
      </c>
      <c r="AG6" s="478">
        <f t="shared" si="14"/>
        <v>1</v>
      </c>
      <c r="AH6" s="468">
        <f>+AE6*AH15</f>
        <v>825543.08832812926</v>
      </c>
      <c r="AI6" s="471">
        <f>+AH6*AG6</f>
        <v>825543.08832812926</v>
      </c>
      <c r="AJ6" s="478">
        <f t="shared" si="15"/>
        <v>1</v>
      </c>
      <c r="AK6" s="468">
        <f>+AH6*AK15</f>
        <v>849483.8378896449</v>
      </c>
      <c r="AL6" s="471">
        <f>+AK6*AJ6</f>
        <v>849483.8378896449</v>
      </c>
      <c r="AM6" s="478">
        <f t="shared" si="16"/>
        <v>1</v>
      </c>
      <c r="AN6" s="468">
        <f>+AK6*AN15</f>
        <v>874118.86918844457</v>
      </c>
      <c r="AO6" s="471">
        <f>+AN6*AM6</f>
        <v>874118.86918844457</v>
      </c>
      <c r="AP6" s="478">
        <f t="shared" si="17"/>
        <v>1</v>
      </c>
      <c r="AQ6" s="468">
        <f>+AN6*AQ15</f>
        <v>899468.3163949094</v>
      </c>
      <c r="AR6" s="471">
        <f>+AQ6*AP6</f>
        <v>899468.3163949094</v>
      </c>
      <c r="AS6" s="478">
        <f t="shared" si="18"/>
        <v>1</v>
      </c>
      <c r="AT6" s="468">
        <f>+AQ6*AT15</f>
        <v>925552.89757036173</v>
      </c>
      <c r="AU6" s="471">
        <f>+AT6*AS6</f>
        <v>925552.89757036173</v>
      </c>
      <c r="AV6" s="478">
        <f t="shared" si="19"/>
        <v>1</v>
      </c>
      <c r="AW6" s="468">
        <f>+AT6*AW15</f>
        <v>952393.93159990211</v>
      </c>
      <c r="AX6" s="471">
        <f>+AW6*AV6</f>
        <v>952393.93159990211</v>
      </c>
      <c r="AY6" s="393"/>
      <c r="AZ6" s="393"/>
      <c r="BA6" s="393"/>
      <c r="BB6" s="393"/>
      <c r="BC6" s="393"/>
      <c r="BD6" s="393"/>
      <c r="BE6" s="393"/>
      <c r="BF6" s="393"/>
      <c r="BG6" s="393"/>
      <c r="BH6" s="393"/>
      <c r="BI6" s="393"/>
      <c r="BJ6" s="393"/>
      <c r="BK6" s="393"/>
      <c r="BL6" s="393"/>
      <c r="BM6" s="393"/>
      <c r="BN6" s="393"/>
      <c r="BO6" s="393"/>
      <c r="BP6" s="393"/>
      <c r="BQ6" s="393"/>
      <c r="BR6" s="393"/>
      <c r="BS6" s="393"/>
    </row>
    <row r="7" spans="1:71" ht="15" customHeight="1" x14ac:dyDescent="0.3">
      <c r="A7" s="466" t="s">
        <v>1782</v>
      </c>
      <c r="B7" s="476">
        <v>34</v>
      </c>
      <c r="C7" s="468">
        <v>31106.732546347019</v>
      </c>
      <c r="D7" s="468">
        <f>C7*$D$15</f>
        <v>31604.440267088572</v>
      </c>
      <c r="E7" s="469">
        <f>B7*D7</f>
        <v>1074550.9690810114</v>
      </c>
      <c r="F7" s="477">
        <f t="shared" si="0"/>
        <v>34</v>
      </c>
      <c r="G7" s="468">
        <f t="shared" si="1"/>
        <v>32299.737952964522</v>
      </c>
      <c r="H7" s="471">
        <f>+G7*F7</f>
        <v>1098191.0904007938</v>
      </c>
      <c r="I7" s="478">
        <f t="shared" si="2"/>
        <v>34</v>
      </c>
      <c r="J7" s="468">
        <f t="shared" si="3"/>
        <v>33042.631925882706</v>
      </c>
      <c r="K7" s="471">
        <f>+J7*I7</f>
        <v>1123449.4854800119</v>
      </c>
      <c r="L7" s="478">
        <f t="shared" si="4"/>
        <v>34</v>
      </c>
      <c r="M7" s="468">
        <f t="shared" si="5"/>
        <v>33703.484564400358</v>
      </c>
      <c r="N7" s="471">
        <f>+M7*L7</f>
        <v>1145918.4751896122</v>
      </c>
      <c r="O7" s="478">
        <f t="shared" si="6"/>
        <v>34</v>
      </c>
      <c r="P7" s="468">
        <f t="shared" si="7"/>
        <v>34377.554255688367</v>
      </c>
      <c r="Q7" s="471">
        <f>+P7*O7</f>
        <v>1168836.8446934044</v>
      </c>
      <c r="R7" s="478">
        <f t="shared" si="8"/>
        <v>34</v>
      </c>
      <c r="S7" s="468">
        <f t="shared" si="9"/>
        <v>35374.503329103325</v>
      </c>
      <c r="T7" s="471">
        <f>+S7*R7</f>
        <v>1202733.1131895131</v>
      </c>
      <c r="U7" s="478">
        <f t="shared" si="10"/>
        <v>34</v>
      </c>
      <c r="V7" s="468">
        <f>+S7*V15</f>
        <v>36400.363925647318</v>
      </c>
      <c r="W7" s="471">
        <f>+V7*U7</f>
        <v>1237612.3734720089</v>
      </c>
      <c r="X7" s="478">
        <f t="shared" si="11"/>
        <v>34</v>
      </c>
      <c r="Y7" s="468">
        <f>+V7*Y15</f>
        <v>37637.976299119327</v>
      </c>
      <c r="Z7" s="471">
        <f>+Y7*X7</f>
        <v>1279691.1941700571</v>
      </c>
      <c r="AA7" s="478">
        <f t="shared" si="12"/>
        <v>34</v>
      </c>
      <c r="AB7" s="468">
        <f>+Y7*AB15</f>
        <v>38616.563682896434</v>
      </c>
      <c r="AC7" s="471">
        <f>+AB7*AA7</f>
        <v>1312963.1652184788</v>
      </c>
      <c r="AD7" s="478">
        <f t="shared" si="13"/>
        <v>34</v>
      </c>
      <c r="AE7" s="468">
        <f>+AB7*AE15</f>
        <v>39427.511520237254</v>
      </c>
      <c r="AF7" s="471">
        <f>+AE7*AD7</f>
        <v>1340535.3916880665</v>
      </c>
      <c r="AG7" s="478">
        <f t="shared" si="14"/>
        <v>34</v>
      </c>
      <c r="AH7" s="468">
        <f>+AE7*AH15</f>
        <v>40570.909354324132</v>
      </c>
      <c r="AI7" s="471">
        <f>+AH7*AG7</f>
        <v>1379410.9180470204</v>
      </c>
      <c r="AJ7" s="478">
        <f t="shared" si="15"/>
        <v>34</v>
      </c>
      <c r="AK7" s="468">
        <f>+AH7*AK15</f>
        <v>41747.465725599526</v>
      </c>
      <c r="AL7" s="471">
        <f>+AK7*AJ7</f>
        <v>1419413.8346703839</v>
      </c>
      <c r="AM7" s="478">
        <f t="shared" si="16"/>
        <v>34</v>
      </c>
      <c r="AN7" s="468">
        <f>+AK7*AN15</f>
        <v>42958.142231641912</v>
      </c>
      <c r="AO7" s="471">
        <f>+AN7*AM7</f>
        <v>1460576.835875825</v>
      </c>
      <c r="AP7" s="478">
        <f t="shared" si="17"/>
        <v>34</v>
      </c>
      <c r="AQ7" s="468">
        <f>+AN7*AQ15</f>
        <v>44203.928356359524</v>
      </c>
      <c r="AR7" s="471">
        <f>+AQ7*AP7</f>
        <v>1502933.5641162237</v>
      </c>
      <c r="AS7" s="478">
        <f t="shared" si="18"/>
        <v>34</v>
      </c>
      <c r="AT7" s="468">
        <f>+AQ7*AT15</f>
        <v>45485.842278693948</v>
      </c>
      <c r="AU7" s="471">
        <f>+AT7*AS7</f>
        <v>1546518.6374755942</v>
      </c>
      <c r="AV7" s="478">
        <f t="shared" si="19"/>
        <v>34</v>
      </c>
      <c r="AW7" s="468">
        <f>+AT7*AW15</f>
        <v>46804.931704776071</v>
      </c>
      <c r="AX7" s="471">
        <f>+AW7*AV7</f>
        <v>1591367.6779623865</v>
      </c>
      <c r="AY7" s="393"/>
      <c r="AZ7" s="393"/>
      <c r="BA7" s="393"/>
      <c r="BB7" s="393"/>
      <c r="BC7" s="393"/>
      <c r="BD7" s="393"/>
      <c r="BE7" s="393"/>
      <c r="BF7" s="393"/>
      <c r="BG7" s="393"/>
      <c r="BH7" s="393"/>
      <c r="BI7" s="393"/>
      <c r="BJ7" s="393"/>
      <c r="BK7" s="393"/>
      <c r="BL7" s="393"/>
      <c r="BM7" s="393"/>
      <c r="BN7" s="393"/>
      <c r="BO7" s="393"/>
      <c r="BP7" s="393"/>
      <c r="BQ7" s="393"/>
      <c r="BR7" s="393"/>
      <c r="BS7" s="393"/>
    </row>
    <row r="8" spans="1:71" ht="15" customHeight="1" x14ac:dyDescent="0.3">
      <c r="A8" s="466" t="s">
        <v>1783</v>
      </c>
      <c r="B8" s="476">
        <v>1</v>
      </c>
      <c r="C8" s="468">
        <v>1164072.863274517</v>
      </c>
      <c r="D8" s="468">
        <f>C8*$D$15</f>
        <v>1182698.0290869093</v>
      </c>
      <c r="E8" s="469">
        <f>(B8*D8)/2</f>
        <v>591349.01454345463</v>
      </c>
      <c r="F8" s="477">
        <f t="shared" si="0"/>
        <v>1</v>
      </c>
      <c r="G8" s="468">
        <f t="shared" si="1"/>
        <v>1208717.3857268214</v>
      </c>
      <c r="H8" s="471">
        <f>+G8*F8*0.5</f>
        <v>604358.69286341069</v>
      </c>
      <c r="I8" s="478">
        <f t="shared" si="2"/>
        <v>1</v>
      </c>
      <c r="J8" s="468">
        <f t="shared" si="3"/>
        <v>1236517.8855985382</v>
      </c>
      <c r="K8" s="471">
        <f>+J8*I8*0.5</f>
        <v>618258.94279926911</v>
      </c>
      <c r="L8" s="478">
        <f t="shared" si="4"/>
        <v>1</v>
      </c>
      <c r="M8" s="468">
        <f t="shared" si="5"/>
        <v>1261248.243310509</v>
      </c>
      <c r="N8" s="471">
        <f>+M8*L8*0.5</f>
        <v>630624.12165525451</v>
      </c>
      <c r="O8" s="478">
        <f t="shared" si="6"/>
        <v>1</v>
      </c>
      <c r="P8" s="468">
        <f t="shared" si="7"/>
        <v>1286473.2081767193</v>
      </c>
      <c r="Q8" s="471">
        <f>+P8*O8*0.5</f>
        <v>643236.60408835963</v>
      </c>
      <c r="R8" s="478">
        <f t="shared" si="8"/>
        <v>1</v>
      </c>
      <c r="S8" s="468">
        <f t="shared" si="9"/>
        <v>1323780.9312138441</v>
      </c>
      <c r="T8" s="471">
        <f>+S8*R8*0.5</f>
        <v>661890.46560692205</v>
      </c>
      <c r="U8" s="478">
        <f t="shared" si="10"/>
        <v>1</v>
      </c>
      <c r="V8" s="468">
        <f>+S8*V15</f>
        <v>1362170.5782190454</v>
      </c>
      <c r="W8" s="471">
        <f>+V8*U8*0.5</f>
        <v>681085.28910952271</v>
      </c>
      <c r="X8" s="478">
        <f t="shared" si="11"/>
        <v>1</v>
      </c>
      <c r="Y8" s="468">
        <f>+V8*Y15</f>
        <v>1408484.3778784929</v>
      </c>
      <c r="Z8" s="471">
        <f>+Y8*X8*0.5</f>
        <v>704242.18893924647</v>
      </c>
      <c r="AA8" s="478">
        <f t="shared" si="12"/>
        <v>1</v>
      </c>
      <c r="AB8" s="468">
        <f>+Y8*AB15</f>
        <v>1445104.9717033338</v>
      </c>
      <c r="AC8" s="471">
        <f>+AB8*AA8*0.5</f>
        <v>722552.48585166689</v>
      </c>
      <c r="AD8" s="478">
        <f t="shared" si="13"/>
        <v>1</v>
      </c>
      <c r="AE8" s="468">
        <f>+AB8*AE15</f>
        <v>1475452.1761091037</v>
      </c>
      <c r="AF8" s="471">
        <f>+AE8*AD8*0.5</f>
        <v>737726.08805455186</v>
      </c>
      <c r="AG8" s="478">
        <f t="shared" si="14"/>
        <v>1</v>
      </c>
      <c r="AH8" s="468">
        <f>+AE8*AH15</f>
        <v>1518240.2892162676</v>
      </c>
      <c r="AI8" s="471">
        <f>+AH8*AG8*0.5</f>
        <v>759120.14460813382</v>
      </c>
      <c r="AJ8" s="478">
        <f t="shared" si="15"/>
        <v>1</v>
      </c>
      <c r="AK8" s="468">
        <f>+AH8*AK15</f>
        <v>1562269.2576035394</v>
      </c>
      <c r="AL8" s="471">
        <f>+AK8*AJ8*0.5</f>
        <v>781134.62880176969</v>
      </c>
      <c r="AM8" s="478">
        <f t="shared" si="16"/>
        <v>1</v>
      </c>
      <c r="AN8" s="468">
        <f>+AK8*AN15</f>
        <v>1607575.0660740419</v>
      </c>
      <c r="AO8" s="471">
        <f>+AN8*AM8*0.5</f>
        <v>803787.53303702094</v>
      </c>
      <c r="AP8" s="478">
        <f t="shared" si="17"/>
        <v>1</v>
      </c>
      <c r="AQ8" s="468">
        <f>+AN8*AQ15</f>
        <v>1654194.742990189</v>
      </c>
      <c r="AR8" s="471">
        <f>+AQ8*AP8*0.5</f>
        <v>827097.3714950945</v>
      </c>
      <c r="AS8" s="478">
        <f t="shared" si="18"/>
        <v>1</v>
      </c>
      <c r="AT8" s="468">
        <f>+AQ8*AT15</f>
        <v>1702166.3905369043</v>
      </c>
      <c r="AU8" s="471">
        <f>+AT8*AS8*0.5</f>
        <v>851083.19526845217</v>
      </c>
      <c r="AV8" s="478">
        <f t="shared" si="19"/>
        <v>1</v>
      </c>
      <c r="AW8" s="468">
        <f>+AT8*AW15</f>
        <v>1751529.2158624744</v>
      </c>
      <c r="AX8" s="471">
        <f>+AW8*AV8*0.5</f>
        <v>875764.6079312372</v>
      </c>
      <c r="AY8" s="393"/>
      <c r="AZ8" s="393"/>
      <c r="BA8" s="393"/>
      <c r="BB8" s="393"/>
      <c r="BC8" s="393"/>
      <c r="BD8" s="393"/>
      <c r="BE8" s="393"/>
      <c r="BF8" s="393"/>
      <c r="BG8" s="393"/>
      <c r="BH8" s="393"/>
      <c r="BI8" s="393"/>
      <c r="BJ8" s="393"/>
      <c r="BK8" s="393"/>
      <c r="BL8" s="393"/>
      <c r="BM8" s="393"/>
      <c r="BN8" s="393"/>
      <c r="BO8" s="393"/>
      <c r="BP8" s="393"/>
      <c r="BQ8" s="393"/>
      <c r="BR8" s="393"/>
      <c r="BS8" s="393"/>
    </row>
    <row r="9" spans="1:71" ht="15" customHeight="1" x14ac:dyDescent="0.3">
      <c r="A9" s="466" t="s">
        <v>1784</v>
      </c>
      <c r="B9" s="473">
        <v>4299</v>
      </c>
      <c r="C9" s="479">
        <v>97.084122880608689</v>
      </c>
      <c r="D9" s="479">
        <f>C9*D15</f>
        <v>98.637468846698425</v>
      </c>
      <c r="E9" s="469">
        <f>(B9*D9)/2</f>
        <v>212021.23928597826</v>
      </c>
      <c r="F9" s="474">
        <f t="shared" si="0"/>
        <v>4299</v>
      </c>
      <c r="G9" s="468">
        <f t="shared" si="1"/>
        <v>100.80749316132579</v>
      </c>
      <c r="H9" s="471">
        <f>+G9*F9*0.5</f>
        <v>216685.7065502698</v>
      </c>
      <c r="I9" s="475">
        <f t="shared" si="2"/>
        <v>4299</v>
      </c>
      <c r="J9" s="468">
        <f t="shared" si="3"/>
        <v>103.12606550403628</v>
      </c>
      <c r="K9" s="471">
        <f>+J9*I9*0.5</f>
        <v>221669.47780092599</v>
      </c>
      <c r="L9" s="475">
        <f t="shared" si="4"/>
        <v>4299</v>
      </c>
      <c r="M9" s="468">
        <f t="shared" si="5"/>
        <v>105.188586814117</v>
      </c>
      <c r="N9" s="471">
        <f>+M9*L9*0.5</f>
        <v>226102.86735694451</v>
      </c>
      <c r="O9" s="475">
        <f t="shared" si="6"/>
        <v>4299</v>
      </c>
      <c r="P9" s="468">
        <f t="shared" si="7"/>
        <v>107.29235855039934</v>
      </c>
      <c r="Q9" s="471">
        <f>+P9*O9*0.5</f>
        <v>230624.92470408339</v>
      </c>
      <c r="R9" s="475">
        <f t="shared" si="8"/>
        <v>4299</v>
      </c>
      <c r="S9" s="468">
        <f t="shared" si="9"/>
        <v>110.40383694836092</v>
      </c>
      <c r="T9" s="471">
        <f>+S9*R9*0.5</f>
        <v>237313.0475205018</v>
      </c>
      <c r="U9" s="475">
        <f t="shared" si="10"/>
        <v>4299</v>
      </c>
      <c r="V9" s="468">
        <f>+S9*V15</f>
        <v>113.60554821986338</v>
      </c>
      <c r="W9" s="471">
        <f>+V9*U9*0.5</f>
        <v>244195.12589859634</v>
      </c>
      <c r="X9" s="475">
        <f t="shared" si="11"/>
        <v>4299</v>
      </c>
      <c r="Y9" s="468">
        <f>+V9*Y15</f>
        <v>117.46813685933874</v>
      </c>
      <c r="Z9" s="471">
        <f>+Y9*X9*0.5</f>
        <v>252497.76017914864</v>
      </c>
      <c r="AA9" s="475">
        <f t="shared" si="12"/>
        <v>4299</v>
      </c>
      <c r="AB9" s="468">
        <f>+Y9*AB15</f>
        <v>120.52230841768156</v>
      </c>
      <c r="AC9" s="471">
        <f>+AB9*AA9*0.5</f>
        <v>259062.70194380652</v>
      </c>
      <c r="AD9" s="475">
        <f t="shared" si="13"/>
        <v>4299</v>
      </c>
      <c r="AE9" s="468">
        <f>+AB9*AE15</f>
        <v>123.05327689445286</v>
      </c>
      <c r="AF9" s="471">
        <f>+AE9*AD9*0.5</f>
        <v>264503.01868462644</v>
      </c>
      <c r="AG9" s="475">
        <f t="shared" si="14"/>
        <v>4299</v>
      </c>
      <c r="AH9" s="468">
        <f>+AE9*AH15</f>
        <v>126.62182192439198</v>
      </c>
      <c r="AI9" s="471">
        <f>+AH9*AG9*0.5</f>
        <v>272173.60622648057</v>
      </c>
      <c r="AJ9" s="475">
        <f t="shared" si="15"/>
        <v>4299</v>
      </c>
      <c r="AK9" s="468">
        <f>+AH9*AK15</f>
        <v>130.29385476019934</v>
      </c>
      <c r="AL9" s="471">
        <f>+AK9*AJ9*0.5</f>
        <v>280066.64080704848</v>
      </c>
      <c r="AM9" s="475">
        <f t="shared" si="16"/>
        <v>4299</v>
      </c>
      <c r="AN9" s="468">
        <f>+AK9*AN15</f>
        <v>134.0723765482451</v>
      </c>
      <c r="AO9" s="471">
        <f>+AN9*AM9*0.5</f>
        <v>288188.57339045283</v>
      </c>
      <c r="AP9" s="475">
        <f t="shared" si="17"/>
        <v>4299</v>
      </c>
      <c r="AQ9" s="468">
        <f>+AN9*AQ15</f>
        <v>137.96047546814421</v>
      </c>
      <c r="AR9" s="471">
        <f>+AQ9*AP9*0.5</f>
        <v>296546.042018776</v>
      </c>
      <c r="AS9" s="475">
        <f t="shared" si="18"/>
        <v>4299</v>
      </c>
      <c r="AT9" s="468">
        <f>+AQ9*AT15</f>
        <v>141.96132925672038</v>
      </c>
      <c r="AU9" s="471">
        <f>+AT9*AS9*0.5</f>
        <v>305145.87723732047</v>
      </c>
      <c r="AV9" s="475">
        <f t="shared" si="19"/>
        <v>4299</v>
      </c>
      <c r="AW9" s="468">
        <f>+AT9*AW15</f>
        <v>146.07820780516525</v>
      </c>
      <c r="AX9" s="471">
        <f>+AW9*AV9*0.5</f>
        <v>313995.10767720273</v>
      </c>
      <c r="AY9" s="393"/>
      <c r="AZ9" s="393"/>
      <c r="BA9" s="393"/>
      <c r="BB9" s="393"/>
      <c r="BC9" s="393"/>
      <c r="BD9" s="393"/>
      <c r="BE9" s="393"/>
      <c r="BF9" s="393"/>
      <c r="BG9" s="393"/>
      <c r="BH9" s="393"/>
      <c r="BI9" s="393"/>
      <c r="BJ9" s="393"/>
      <c r="BK9" s="393"/>
      <c r="BL9" s="393"/>
      <c r="BM9" s="393"/>
      <c r="BN9" s="393"/>
      <c r="BO9" s="393"/>
      <c r="BP9" s="393"/>
      <c r="BQ9" s="393"/>
      <c r="BR9" s="393"/>
      <c r="BS9" s="393"/>
    </row>
    <row r="10" spans="1:71" ht="15" customHeight="1" x14ac:dyDescent="0.3">
      <c r="A10" s="466" t="s">
        <v>1785</v>
      </c>
      <c r="B10" s="476">
        <v>3</v>
      </c>
      <c r="C10" s="480"/>
      <c r="D10" s="479">
        <v>40000</v>
      </c>
      <c r="E10" s="469">
        <f>(B10*D10)</f>
        <v>120000</v>
      </c>
      <c r="F10" s="474">
        <f t="shared" si="0"/>
        <v>3</v>
      </c>
      <c r="G10" s="468">
        <v>46000</v>
      </c>
      <c r="H10" s="471">
        <f>+G10*F10</f>
        <v>138000</v>
      </c>
      <c r="I10" s="474">
        <f t="shared" si="2"/>
        <v>3</v>
      </c>
      <c r="J10" s="468">
        <f>+G10</f>
        <v>46000</v>
      </c>
      <c r="K10" s="471">
        <f>+J10*I10</f>
        <v>138000</v>
      </c>
      <c r="L10" s="474">
        <f t="shared" si="4"/>
        <v>3</v>
      </c>
      <c r="M10" s="468">
        <f>+J10</f>
        <v>46000</v>
      </c>
      <c r="N10" s="471">
        <f>+M10*L10</f>
        <v>138000</v>
      </c>
      <c r="O10" s="480"/>
      <c r="P10" s="480"/>
      <c r="Q10" s="481">
        <f>+P10*O10</f>
        <v>0</v>
      </c>
      <c r="R10" s="480">
        <f t="shared" si="8"/>
        <v>0</v>
      </c>
      <c r="S10" s="480">
        <f t="shared" si="9"/>
        <v>0</v>
      </c>
      <c r="T10" s="481">
        <f>+S10*R10</f>
        <v>0</v>
      </c>
      <c r="U10" s="480">
        <f t="shared" si="10"/>
        <v>0</v>
      </c>
      <c r="V10" s="480"/>
      <c r="W10" s="481"/>
      <c r="X10" s="480">
        <f t="shared" si="11"/>
        <v>0</v>
      </c>
      <c r="Y10" s="480"/>
      <c r="Z10" s="481"/>
      <c r="AA10" s="480">
        <f t="shared" si="12"/>
        <v>0</v>
      </c>
      <c r="AB10" s="480"/>
      <c r="AC10" s="481"/>
      <c r="AD10" s="480">
        <f t="shared" si="13"/>
        <v>0</v>
      </c>
      <c r="AE10" s="480"/>
      <c r="AF10" s="481"/>
      <c r="AG10" s="480">
        <f t="shared" si="14"/>
        <v>0</v>
      </c>
      <c r="AH10" s="480"/>
      <c r="AI10" s="481"/>
      <c r="AJ10" s="480">
        <f t="shared" si="15"/>
        <v>0</v>
      </c>
      <c r="AK10" s="480"/>
      <c r="AL10" s="481"/>
      <c r="AM10" s="480">
        <f t="shared" si="16"/>
        <v>0</v>
      </c>
      <c r="AN10" s="480"/>
      <c r="AO10" s="481"/>
      <c r="AP10" s="480">
        <f t="shared" si="17"/>
        <v>0</v>
      </c>
      <c r="AQ10" s="480"/>
      <c r="AR10" s="481"/>
      <c r="AS10" s="480">
        <f t="shared" si="18"/>
        <v>0</v>
      </c>
      <c r="AT10" s="480"/>
      <c r="AU10" s="481"/>
      <c r="AV10" s="480">
        <f t="shared" si="19"/>
        <v>0</v>
      </c>
      <c r="AW10" s="480"/>
      <c r="AX10" s="481"/>
      <c r="AY10" s="393"/>
      <c r="AZ10" s="393"/>
      <c r="BA10" s="393"/>
      <c r="BB10" s="393"/>
      <c r="BC10" s="393"/>
      <c r="BD10" s="393"/>
      <c r="BE10" s="393"/>
      <c r="BF10" s="393"/>
      <c r="BG10" s="393"/>
      <c r="BH10" s="393"/>
      <c r="BI10" s="393"/>
      <c r="BJ10" s="393"/>
      <c r="BK10" s="393"/>
      <c r="BL10" s="393"/>
      <c r="BM10" s="393"/>
      <c r="BN10" s="393"/>
      <c r="BO10" s="393"/>
      <c r="BP10" s="393"/>
      <c r="BQ10" s="393"/>
      <c r="BR10" s="393"/>
      <c r="BS10" s="393"/>
    </row>
    <row r="11" spans="1:71" ht="15" customHeight="1" x14ac:dyDescent="0.3">
      <c r="A11" s="466" t="s">
        <v>1786</v>
      </c>
      <c r="B11" s="482">
        <v>3</v>
      </c>
      <c r="C11" s="483"/>
      <c r="D11" s="484">
        <v>2553412.7000000002</v>
      </c>
      <c r="E11" s="469">
        <f>(B11*D11)</f>
        <v>7660238.1000000006</v>
      </c>
      <c r="F11" s="485">
        <f t="shared" si="0"/>
        <v>3</v>
      </c>
      <c r="G11" s="486">
        <f>+D11+24790.41</f>
        <v>2578203.1100000003</v>
      </c>
      <c r="H11" s="471">
        <f>+G11*F11</f>
        <v>7734609.330000001</v>
      </c>
      <c r="I11" s="478">
        <f t="shared" si="2"/>
        <v>3</v>
      </c>
      <c r="J11" s="487">
        <f>+G11+24790.41</f>
        <v>2602993.5200000005</v>
      </c>
      <c r="K11" s="471">
        <f>+J11*I11</f>
        <v>7808980.5600000015</v>
      </c>
      <c r="L11" s="478">
        <f t="shared" si="4"/>
        <v>3</v>
      </c>
      <c r="M11" s="487">
        <f>+J11+24790.41</f>
        <v>2627783.9300000006</v>
      </c>
      <c r="N11" s="471">
        <f>+M11*L11</f>
        <v>7883351.7900000019</v>
      </c>
      <c r="O11" s="478">
        <f>+L11</f>
        <v>3</v>
      </c>
      <c r="P11" s="468">
        <f>+M11*$P$16</f>
        <v>2654061.7693000007</v>
      </c>
      <c r="Q11" s="471">
        <f>+P11*O11</f>
        <v>7962185.3079000022</v>
      </c>
      <c r="R11" s="478">
        <f t="shared" si="8"/>
        <v>3</v>
      </c>
      <c r="S11" s="468">
        <f>+P11*$S$16</f>
        <v>2680602.3869930007</v>
      </c>
      <c r="T11" s="471">
        <f>+S11*R11</f>
        <v>8041807.1609790027</v>
      </c>
      <c r="U11" s="478">
        <f t="shared" si="10"/>
        <v>3</v>
      </c>
      <c r="V11" s="468">
        <f>+S11*V16</f>
        <v>2707408.4108629306</v>
      </c>
      <c r="W11" s="471">
        <f>+V11*U11</f>
        <v>8122225.2325887922</v>
      </c>
      <c r="X11" s="478">
        <f t="shared" si="11"/>
        <v>3</v>
      </c>
      <c r="Y11" s="468">
        <f>+V11*Y16</f>
        <v>2734482.4949715598</v>
      </c>
      <c r="Z11" s="471">
        <f>+Y11*X11</f>
        <v>8203447.4849146791</v>
      </c>
      <c r="AA11" s="478">
        <f t="shared" si="12"/>
        <v>3</v>
      </c>
      <c r="AB11" s="468">
        <f>+Y11*AB16</f>
        <v>2761827.3199212756</v>
      </c>
      <c r="AC11" s="471">
        <f>+AB11*AA11</f>
        <v>8285481.9597638268</v>
      </c>
      <c r="AD11" s="478">
        <f t="shared" si="13"/>
        <v>3</v>
      </c>
      <c r="AE11" s="468">
        <f>+AB11*AE16</f>
        <v>2789445.5931204883</v>
      </c>
      <c r="AF11" s="471">
        <f>+AE11*AD11</f>
        <v>8368336.779361465</v>
      </c>
      <c r="AG11" s="478">
        <f t="shared" si="14"/>
        <v>3</v>
      </c>
      <c r="AH11" s="468">
        <f>+AE11*AH16</f>
        <v>2817340.0490516932</v>
      </c>
      <c r="AI11" s="471">
        <f>+AH11*AG11</f>
        <v>8452020.14715508</v>
      </c>
      <c r="AJ11" s="478">
        <f t="shared" si="15"/>
        <v>3</v>
      </c>
      <c r="AK11" s="468">
        <f>+AH11*AK16</f>
        <v>2845513.44954221</v>
      </c>
      <c r="AL11" s="471">
        <f>+AK11*AJ11</f>
        <v>8536540.3486266304</v>
      </c>
      <c r="AM11" s="478">
        <f t="shared" si="16"/>
        <v>3</v>
      </c>
      <c r="AN11" s="468">
        <f>+AK11*AN16</f>
        <v>2873968.5840376322</v>
      </c>
      <c r="AO11" s="471">
        <f>+AN11*AM11</f>
        <v>8621905.7521128971</v>
      </c>
      <c r="AP11" s="478">
        <f t="shared" si="17"/>
        <v>3</v>
      </c>
      <c r="AQ11" s="468">
        <f>+AN11*AQ16</f>
        <v>2902708.2698780084</v>
      </c>
      <c r="AR11" s="471">
        <f>+AQ11*AP11</f>
        <v>8708124.8096340261</v>
      </c>
      <c r="AS11" s="478">
        <f t="shared" si="18"/>
        <v>3</v>
      </c>
      <c r="AT11" s="468">
        <f>+AQ11*AT16</f>
        <v>2931735.3525767885</v>
      </c>
      <c r="AU11" s="471">
        <f>+AT11*AS11</f>
        <v>8795206.0577303655</v>
      </c>
      <c r="AV11" s="478">
        <f t="shared" si="19"/>
        <v>3</v>
      </c>
      <c r="AW11" s="468">
        <f>+AT11*AW16</f>
        <v>2961052.7061025565</v>
      </c>
      <c r="AX11" s="471">
        <f>+AW11*AV11</f>
        <v>8883158.1183076687</v>
      </c>
      <c r="AY11" s="393"/>
      <c r="AZ11" s="393"/>
      <c r="BA11" s="393"/>
      <c r="BB11" s="393"/>
      <c r="BC11" s="393"/>
      <c r="BD11" s="393"/>
      <c r="BE11" s="393"/>
      <c r="BF11" s="393"/>
      <c r="BG11" s="393"/>
      <c r="BH11" s="393"/>
      <c r="BI11" s="393"/>
      <c r="BJ11" s="393"/>
      <c r="BK11" s="393"/>
      <c r="BL11" s="393"/>
      <c r="BM11" s="393"/>
      <c r="BN11" s="393"/>
      <c r="BO11" s="393"/>
      <c r="BP11" s="393"/>
      <c r="BQ11" s="393"/>
      <c r="BR11" s="393"/>
      <c r="BS11" s="393"/>
    </row>
    <row r="12" spans="1:71" ht="11.25" customHeight="1" x14ac:dyDescent="0.3">
      <c r="A12" s="488" t="s">
        <v>1778</v>
      </c>
      <c r="B12" s="489"/>
      <c r="C12" s="490"/>
      <c r="D12" s="491"/>
      <c r="E12" s="492">
        <f>SUM(E4:E11)</f>
        <v>20008971.721743759</v>
      </c>
      <c r="F12" s="493"/>
      <c r="G12" s="494"/>
      <c r="H12" s="495">
        <f>SUM(H4:H11)</f>
        <v>20370375.091422126</v>
      </c>
      <c r="I12" s="493"/>
      <c r="J12" s="494"/>
      <c r="K12" s="495">
        <f>SUM(K4:K11)</f>
        <v>20732194.93393483</v>
      </c>
      <c r="L12" s="493"/>
      <c r="M12" s="494"/>
      <c r="N12" s="495">
        <f>SUM(N4:N11)</f>
        <v>21062270.451413531</v>
      </c>
      <c r="O12" s="493"/>
      <c r="P12" s="494"/>
      <c r="Q12" s="495">
        <f>SUM(Q4:Q11)</f>
        <v>21263922.342541803</v>
      </c>
      <c r="R12" s="493"/>
      <c r="S12" s="494"/>
      <c r="T12" s="495">
        <f>SUM(T4:T11)</f>
        <v>21729294.569625415</v>
      </c>
      <c r="U12" s="493"/>
      <c r="V12" s="494"/>
      <c r="W12" s="495">
        <f>SUM(W4:W11)</f>
        <v>22206649.776085947</v>
      </c>
      <c r="X12" s="493"/>
      <c r="Y12" s="494"/>
      <c r="Z12" s="495">
        <f>SUM(Z4:Z11)</f>
        <v>22766742.46289074</v>
      </c>
      <c r="AA12" s="493"/>
      <c r="AB12" s="494"/>
      <c r="AC12" s="495">
        <f>SUM(AC4:AC11)</f>
        <v>23227422.607167266</v>
      </c>
      <c r="AD12" s="493"/>
      <c r="AE12" s="494"/>
      <c r="AF12" s="495">
        <f>SUM(AF4:AF11)</f>
        <v>23624058.180360373</v>
      </c>
      <c r="AG12" s="493"/>
      <c r="AH12" s="494"/>
      <c r="AI12" s="495">
        <f>SUM(AI4:AI11)</f>
        <v>24150157.468782954</v>
      </c>
      <c r="AJ12" s="493"/>
      <c r="AK12" s="494"/>
      <c r="AL12" s="495">
        <f>SUM(AL4:AL11)</f>
        <v>24689923.652581714</v>
      </c>
      <c r="AM12" s="493"/>
      <c r="AN12" s="494"/>
      <c r="AO12" s="495">
        <f>SUM(AO4:AO11)</f>
        <v>25243737.171882674</v>
      </c>
      <c r="AP12" s="493"/>
      <c r="AQ12" s="494"/>
      <c r="AR12" s="495">
        <f>SUM(AR4:AR11)</f>
        <v>25811989.340577126</v>
      </c>
      <c r="AS12" s="493"/>
      <c r="AT12" s="494"/>
      <c r="AU12" s="495">
        <f>SUM(AU4:AU11)</f>
        <v>26395082.660070814</v>
      </c>
      <c r="AV12" s="493"/>
      <c r="AW12" s="494"/>
      <c r="AX12" s="495">
        <f>SUM(AX4:AX11)</f>
        <v>26993431.142115988</v>
      </c>
      <c r="AY12" s="496">
        <f>SUM(O12:AX12)</f>
        <v>288102411.37468284</v>
      </c>
      <c r="AZ12" s="393"/>
      <c r="BA12" s="393"/>
      <c r="BB12" s="393"/>
      <c r="BC12" s="393"/>
      <c r="BD12" s="393"/>
      <c r="BE12" s="393"/>
      <c r="BF12" s="393"/>
      <c r="BG12" s="393"/>
      <c r="BH12" s="393"/>
      <c r="BI12" s="393"/>
      <c r="BJ12" s="393"/>
      <c r="BK12" s="393"/>
      <c r="BL12" s="393"/>
      <c r="BM12" s="393"/>
      <c r="BN12" s="393"/>
      <c r="BO12" s="393"/>
      <c r="BP12" s="393"/>
      <c r="BQ12" s="393"/>
      <c r="BR12" s="393"/>
      <c r="BS12" s="393"/>
    </row>
    <row r="13" spans="1:71" ht="30" customHeight="1" x14ac:dyDescent="0.3">
      <c r="A13" s="497" t="s">
        <v>1787</v>
      </c>
      <c r="B13" s="498"/>
      <c r="C13" s="498"/>
      <c r="D13" s="498"/>
      <c r="E13" s="499"/>
      <c r="F13" s="500"/>
      <c r="G13" s="500"/>
      <c r="H13" s="383"/>
      <c r="I13" s="501"/>
      <c r="J13" s="502"/>
      <c r="K13" s="503"/>
      <c r="L13" s="500"/>
      <c r="M13" s="500"/>
      <c r="N13" s="383"/>
      <c r="O13" s="383"/>
      <c r="P13" s="383"/>
      <c r="Q13" s="383"/>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496"/>
      <c r="AZ13" s="393"/>
      <c r="BA13" s="393"/>
      <c r="BB13" s="393"/>
      <c r="BC13" s="393"/>
      <c r="BD13" s="393"/>
      <c r="BE13" s="393"/>
      <c r="BF13" s="393"/>
      <c r="BG13" s="393"/>
      <c r="BH13" s="393"/>
      <c r="BI13" s="393"/>
      <c r="BJ13" s="393"/>
      <c r="BK13" s="393"/>
      <c r="BL13" s="393"/>
      <c r="BM13" s="393"/>
      <c r="BN13" s="393"/>
      <c r="BO13" s="393"/>
      <c r="BP13" s="393"/>
      <c r="BQ13" s="393"/>
      <c r="BR13" s="393"/>
      <c r="BS13" s="393"/>
    </row>
    <row r="14" spans="1:71" ht="22.5" customHeight="1" x14ac:dyDescent="0.3">
      <c r="A14" s="504" t="s">
        <v>303</v>
      </c>
      <c r="B14" s="498"/>
      <c r="C14" s="498"/>
      <c r="D14" s="505">
        <v>45894</v>
      </c>
      <c r="E14" s="499"/>
      <c r="F14" s="500"/>
      <c r="G14" s="505">
        <v>45925</v>
      </c>
      <c r="H14" s="383"/>
      <c r="I14" s="501"/>
      <c r="J14" s="505">
        <v>45955</v>
      </c>
      <c r="K14" s="503"/>
      <c r="L14" s="500"/>
      <c r="M14" s="505">
        <v>45986</v>
      </c>
      <c r="N14" s="383"/>
      <c r="O14" s="383"/>
      <c r="P14" s="505">
        <v>46016</v>
      </c>
      <c r="Q14" s="383"/>
      <c r="R14" s="383"/>
      <c r="S14" s="505">
        <v>46048</v>
      </c>
      <c r="T14" s="383"/>
      <c r="U14" s="383"/>
      <c r="V14" s="505">
        <v>46079</v>
      </c>
      <c r="W14" s="383"/>
      <c r="X14" s="383"/>
      <c r="Y14" s="505">
        <v>46107</v>
      </c>
      <c r="Z14" s="383"/>
      <c r="AA14" s="383"/>
      <c r="AB14" s="505">
        <v>46138</v>
      </c>
      <c r="AC14" s="383"/>
      <c r="AD14" s="383"/>
      <c r="AE14" s="505">
        <v>46168</v>
      </c>
      <c r="AF14" s="383"/>
      <c r="AG14" s="383"/>
      <c r="AH14" s="505">
        <v>46199</v>
      </c>
      <c r="AI14" s="383"/>
      <c r="AJ14" s="383"/>
      <c r="AK14" s="505">
        <v>46229</v>
      </c>
      <c r="AL14" s="383"/>
      <c r="AM14" s="383"/>
      <c r="AN14" s="505">
        <v>46260</v>
      </c>
      <c r="AO14" s="383"/>
      <c r="AP14" s="383"/>
      <c r="AQ14" s="505">
        <v>46291</v>
      </c>
      <c r="AR14" s="383"/>
      <c r="AS14" s="383"/>
      <c r="AT14" s="505">
        <v>46321</v>
      </c>
      <c r="AU14" s="383"/>
      <c r="AV14" s="383"/>
      <c r="AW14" s="505">
        <v>46352</v>
      </c>
      <c r="AX14" s="383"/>
      <c r="AY14" s="496"/>
      <c r="AZ14" s="393"/>
      <c r="BA14" s="393"/>
      <c r="BB14" s="393"/>
      <c r="BC14" s="393"/>
      <c r="BD14" s="393"/>
      <c r="BE14" s="393"/>
      <c r="BF14" s="393"/>
      <c r="BG14" s="393"/>
      <c r="BH14" s="393"/>
      <c r="BI14" s="393"/>
      <c r="BJ14" s="393"/>
      <c r="BK14" s="393"/>
      <c r="BL14" s="393"/>
      <c r="BM14" s="393"/>
      <c r="BN14" s="393"/>
      <c r="BO14" s="393"/>
      <c r="BP14" s="393"/>
      <c r="BQ14" s="393"/>
      <c r="BR14" s="393"/>
      <c r="BS14" s="393"/>
    </row>
    <row r="15" spans="1:71" ht="11.25" customHeight="1" x14ac:dyDescent="0.3">
      <c r="A15" s="412" t="s">
        <v>1788</v>
      </c>
      <c r="B15" s="498"/>
      <c r="C15" s="498"/>
      <c r="D15" s="506">
        <v>1.016</v>
      </c>
      <c r="E15" s="383"/>
      <c r="F15" s="500"/>
      <c r="G15" s="506">
        <v>1.022</v>
      </c>
      <c r="H15" s="383"/>
      <c r="I15" s="501"/>
      <c r="J15" s="507">
        <f>1+Flk!K34</f>
        <v>1.0229999999999999</v>
      </c>
      <c r="K15" s="503"/>
      <c r="L15" s="500"/>
      <c r="M15" s="507">
        <f>1+Flk!L34</f>
        <v>1.02</v>
      </c>
      <c r="N15" s="383"/>
      <c r="O15" s="383"/>
      <c r="P15" s="507">
        <f>1+Flk!M34</f>
        <v>1.02</v>
      </c>
      <c r="Q15" s="383"/>
      <c r="R15" s="383"/>
      <c r="S15" s="507">
        <f>1+ipcene</f>
        <v>1.0289999999999999</v>
      </c>
      <c r="T15" s="383"/>
      <c r="U15" s="383"/>
      <c r="V15" s="507">
        <f>1+'REAL-BDGT2026'!J196</f>
        <v>1.0289999999999999</v>
      </c>
      <c r="W15" s="383"/>
      <c r="X15" s="383"/>
      <c r="Y15" s="507">
        <f>1+'REAL-BDGT2026'!K196</f>
        <v>1.034</v>
      </c>
      <c r="Z15" s="383"/>
      <c r="AA15" s="383"/>
      <c r="AB15" s="507">
        <f>1+'REAL-BDGT2026'!L196</f>
        <v>1.026</v>
      </c>
      <c r="AC15" s="383"/>
      <c r="AD15" s="383"/>
      <c r="AE15" s="507">
        <f>1+'REAL-BDGT2026'!M196</f>
        <v>1.0209999999999999</v>
      </c>
      <c r="AF15" s="383"/>
      <c r="AG15" s="383"/>
      <c r="AH15" s="507">
        <f>1+'REAL-BDGT2026'!N196</f>
        <v>1.0289999999999999</v>
      </c>
      <c r="AI15" s="383"/>
      <c r="AJ15" s="383"/>
      <c r="AK15" s="507">
        <f>1+'REAL-BDGT2026'!O196</f>
        <v>1.0289999999999999</v>
      </c>
      <c r="AL15" s="383"/>
      <c r="AM15" s="383"/>
      <c r="AN15" s="507">
        <f>1+'REAL-BDGT2026'!P196</f>
        <v>1.0289999999999999</v>
      </c>
      <c r="AO15" s="383"/>
      <c r="AP15" s="383"/>
      <c r="AQ15" s="507">
        <f>1+'REAL-BDGT2026'!Q196</f>
        <v>1.0289999999999999</v>
      </c>
      <c r="AR15" s="383"/>
      <c r="AS15" s="383"/>
      <c r="AT15" s="507">
        <f>1+'REAL-BDGT2026'!R196</f>
        <v>1.0289999999999999</v>
      </c>
      <c r="AU15" s="383"/>
      <c r="AV15" s="383"/>
      <c r="AW15" s="507">
        <f>1+'REAL-BDGT2026'!S196</f>
        <v>1.0289999999999999</v>
      </c>
      <c r="AX15" s="383"/>
      <c r="AY15" s="496"/>
      <c r="AZ15" s="393"/>
      <c r="BA15" s="393"/>
      <c r="BB15" s="393"/>
      <c r="BC15" s="393"/>
      <c r="BD15" s="393"/>
      <c r="BE15" s="393"/>
      <c r="BF15" s="393"/>
      <c r="BG15" s="393"/>
      <c r="BH15" s="393"/>
      <c r="BI15" s="393"/>
      <c r="BJ15" s="393"/>
      <c r="BK15" s="393"/>
      <c r="BL15" s="393"/>
      <c r="BM15" s="393"/>
      <c r="BN15" s="393"/>
      <c r="BO15" s="393"/>
      <c r="BP15" s="393"/>
      <c r="BQ15" s="393"/>
      <c r="BR15" s="393"/>
      <c r="BS15" s="393"/>
    </row>
    <row r="16" spans="1:71" ht="11.25" customHeight="1" x14ac:dyDescent="0.3">
      <c r="A16" s="412" t="s">
        <v>1789</v>
      </c>
      <c r="B16" s="498"/>
      <c r="C16" s="498"/>
      <c r="D16" s="506"/>
      <c r="E16" s="383"/>
      <c r="F16" s="500"/>
      <c r="G16" s="508">
        <v>1.01</v>
      </c>
      <c r="H16" s="383"/>
      <c r="I16" s="383"/>
      <c r="J16" s="509">
        <f>+G16</f>
        <v>1.01</v>
      </c>
      <c r="K16" s="383"/>
      <c r="L16" s="383"/>
      <c r="M16" s="509">
        <f>+J16</f>
        <v>1.01</v>
      </c>
      <c r="N16" s="383"/>
      <c r="O16" s="383"/>
      <c r="P16" s="509">
        <f>+M16</f>
        <v>1.01</v>
      </c>
      <c r="Q16" s="383"/>
      <c r="R16" s="383"/>
      <c r="S16" s="509">
        <f>+P16</f>
        <v>1.01</v>
      </c>
      <c r="T16" s="383"/>
      <c r="U16" s="383"/>
      <c r="V16" s="509">
        <f>+S16</f>
        <v>1.01</v>
      </c>
      <c r="W16" s="383"/>
      <c r="X16" s="383"/>
      <c r="Y16" s="509">
        <f>+V16</f>
        <v>1.01</v>
      </c>
      <c r="Z16" s="383"/>
      <c r="AA16" s="383"/>
      <c r="AB16" s="509">
        <f>+Y16</f>
        <v>1.01</v>
      </c>
      <c r="AC16" s="383"/>
      <c r="AD16" s="383"/>
      <c r="AE16" s="509">
        <f>+AB16</f>
        <v>1.01</v>
      </c>
      <c r="AF16" s="383"/>
      <c r="AG16" s="383"/>
      <c r="AH16" s="509">
        <f>+AE16</f>
        <v>1.01</v>
      </c>
      <c r="AI16" s="383"/>
      <c r="AJ16" s="383"/>
      <c r="AK16" s="509">
        <f>+AH16</f>
        <v>1.01</v>
      </c>
      <c r="AL16" s="383"/>
      <c r="AM16" s="383"/>
      <c r="AN16" s="509">
        <f>+AK16</f>
        <v>1.01</v>
      </c>
      <c r="AO16" s="383"/>
      <c r="AP16" s="383"/>
      <c r="AQ16" s="509">
        <f>+AN16</f>
        <v>1.01</v>
      </c>
      <c r="AR16" s="383"/>
      <c r="AS16" s="383"/>
      <c r="AT16" s="509">
        <f>+AQ16</f>
        <v>1.01</v>
      </c>
      <c r="AU16" s="383"/>
      <c r="AV16" s="383"/>
      <c r="AW16" s="509">
        <f>+AT16</f>
        <v>1.01</v>
      </c>
      <c r="AX16" s="383"/>
      <c r="AY16" s="496"/>
      <c r="AZ16" s="393"/>
      <c r="BA16" s="393"/>
      <c r="BB16" s="393"/>
      <c r="BC16" s="393"/>
      <c r="BD16" s="393"/>
      <c r="BE16" s="393"/>
      <c r="BF16" s="393"/>
      <c r="BG16" s="393"/>
      <c r="BH16" s="393"/>
      <c r="BI16" s="393"/>
      <c r="BJ16" s="393"/>
      <c r="BK16" s="393"/>
      <c r="BL16" s="393"/>
      <c r="BM16" s="393"/>
      <c r="BN16" s="393"/>
      <c r="BO16" s="393"/>
      <c r="BP16" s="393"/>
      <c r="BQ16" s="393"/>
      <c r="BR16" s="393"/>
      <c r="BS16" s="393"/>
    </row>
    <row r="17" spans="1:71" ht="11.25" customHeight="1" x14ac:dyDescent="0.3">
      <c r="A17" s="510"/>
      <c r="B17" s="511"/>
      <c r="C17" s="511"/>
      <c r="D17" s="511"/>
      <c r="E17" s="512"/>
      <c r="F17" s="513"/>
      <c r="G17" s="514" t="s">
        <v>1790</v>
      </c>
      <c r="H17" s="417"/>
      <c r="I17" s="515"/>
      <c r="J17" s="516"/>
      <c r="K17" s="517"/>
      <c r="L17" s="513"/>
      <c r="M17" s="513"/>
      <c r="N17" s="417"/>
      <c r="O17" s="417"/>
      <c r="P17" s="417"/>
      <c r="Q17" s="417"/>
      <c r="R17" s="417"/>
      <c r="S17" s="417"/>
      <c r="T17" s="417"/>
      <c r="U17" s="417"/>
      <c r="V17" s="417"/>
      <c r="W17" s="417"/>
      <c r="X17" s="417"/>
      <c r="Y17" s="417"/>
      <c r="Z17" s="417"/>
      <c r="AA17" s="417"/>
      <c r="AB17" s="417"/>
      <c r="AC17" s="417"/>
      <c r="AD17" s="417"/>
      <c r="AE17" s="417"/>
      <c r="AF17" s="417"/>
      <c r="AG17" s="417"/>
      <c r="AH17" s="417"/>
      <c r="AI17" s="417"/>
      <c r="AJ17" s="417"/>
      <c r="AK17" s="417"/>
      <c r="AL17" s="417"/>
      <c r="AM17" s="417"/>
      <c r="AN17" s="417"/>
      <c r="AO17" s="417"/>
      <c r="AP17" s="417"/>
      <c r="AQ17" s="417"/>
      <c r="AR17" s="417"/>
      <c r="AS17" s="417"/>
      <c r="AT17" s="417"/>
      <c r="AU17" s="417"/>
      <c r="AV17" s="417"/>
      <c r="AW17" s="417"/>
      <c r="AX17" s="417"/>
      <c r="AY17" s="518"/>
      <c r="AZ17" s="519"/>
      <c r="BA17" s="519"/>
      <c r="BB17" s="519"/>
      <c r="BC17" s="519"/>
      <c r="BD17" s="519"/>
      <c r="BE17" s="519"/>
      <c r="BF17" s="519"/>
      <c r="BG17" s="519"/>
      <c r="BH17" s="519"/>
      <c r="BI17" s="519"/>
      <c r="BJ17" s="519"/>
      <c r="BK17" s="519"/>
      <c r="BL17" s="519"/>
      <c r="BM17" s="519"/>
      <c r="BN17" s="519"/>
      <c r="BO17" s="519"/>
      <c r="BP17" s="519"/>
      <c r="BQ17" s="519"/>
      <c r="BR17" s="519"/>
      <c r="BS17" s="519"/>
    </row>
    <row r="18" spans="1:71" ht="11.25" customHeight="1" x14ac:dyDescent="0.3">
      <c r="A18" s="520"/>
      <c r="B18" s="498"/>
      <c r="C18" s="498"/>
      <c r="D18" s="498"/>
      <c r="E18" s="499"/>
      <c r="F18" s="500"/>
      <c r="G18" s="383"/>
      <c r="H18" s="383"/>
      <c r="I18" s="501"/>
      <c r="J18" s="502"/>
      <c r="K18" s="503"/>
      <c r="L18" s="500"/>
      <c r="M18" s="500"/>
      <c r="N18" s="383"/>
      <c r="O18" s="383"/>
      <c r="P18" s="383"/>
      <c r="Q18" s="383"/>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496"/>
      <c r="AZ18" s="393"/>
      <c r="BA18" s="393"/>
      <c r="BB18" s="393"/>
      <c r="BC18" s="393"/>
      <c r="BD18" s="393"/>
      <c r="BE18" s="393"/>
      <c r="BF18" s="393"/>
      <c r="BG18" s="393"/>
      <c r="BH18" s="393"/>
      <c r="BI18" s="393"/>
      <c r="BJ18" s="393"/>
      <c r="BK18" s="393"/>
      <c r="BL18" s="393"/>
      <c r="BM18" s="393"/>
      <c r="BN18" s="393"/>
      <c r="BO18" s="393"/>
      <c r="BP18" s="393"/>
      <c r="BQ18" s="393"/>
      <c r="BR18" s="393"/>
      <c r="BS18" s="393"/>
    </row>
    <row r="19" spans="1:71" ht="18.75" customHeight="1" x14ac:dyDescent="0.3">
      <c r="A19" s="521" t="s">
        <v>1791</v>
      </c>
      <c r="B19" s="1094" t="s">
        <v>1792</v>
      </c>
      <c r="C19" s="1087"/>
      <c r="D19" s="1087"/>
      <c r="E19" s="1088"/>
      <c r="F19" s="1093" t="str">
        <f>+F2</f>
        <v>Octubre 2025 RFC</v>
      </c>
      <c r="G19" s="1087"/>
      <c r="H19" s="1088"/>
      <c r="I19" s="1093" t="str">
        <f>+I2</f>
        <v>Noviembre 2025 RFC</v>
      </c>
      <c r="J19" s="1087"/>
      <c r="K19" s="1088"/>
      <c r="L19" s="1093" t="str">
        <f>+L2</f>
        <v>Diciembre 2025 RFC</v>
      </c>
      <c r="M19" s="1087"/>
      <c r="N19" s="1088"/>
      <c r="O19" s="1093" t="str">
        <f>+O2</f>
        <v>Enero 2026 RFC</v>
      </c>
      <c r="P19" s="1087"/>
      <c r="Q19" s="1088"/>
      <c r="R19" s="1093" t="str">
        <f>+R2</f>
        <v>Febrero 2026 RFC</v>
      </c>
      <c r="S19" s="1087"/>
      <c r="T19" s="1088"/>
      <c r="U19" s="1093" t="str">
        <f>+U2</f>
        <v>Marzo 2026 RFC</v>
      </c>
      <c r="V19" s="1087"/>
      <c r="W19" s="1088"/>
      <c r="X19" s="1093" t="str">
        <f>+X2</f>
        <v>Abril 2026 RFC</v>
      </c>
      <c r="Y19" s="1087"/>
      <c r="Z19" s="1088"/>
      <c r="AA19" s="1093" t="str">
        <f>+AA2</f>
        <v>Mayo 2026 RFC</v>
      </c>
      <c r="AB19" s="1087"/>
      <c r="AC19" s="1088"/>
      <c r="AD19" s="1093" t="str">
        <f>+AD2</f>
        <v>Junio 2026 RFC</v>
      </c>
      <c r="AE19" s="1087"/>
      <c r="AF19" s="1088"/>
      <c r="AG19" s="1093" t="str">
        <f>+AG2</f>
        <v>Julio 2026 RFC</v>
      </c>
      <c r="AH19" s="1087"/>
      <c r="AI19" s="1088"/>
      <c r="AJ19" s="1093" t="str">
        <f>+AJ2</f>
        <v>Agosto 2026 RFC</v>
      </c>
      <c r="AK19" s="1087"/>
      <c r="AL19" s="1088"/>
      <c r="AM19" s="1093" t="str">
        <f>+AM2</f>
        <v>Septiembre 2026 RFC</v>
      </c>
      <c r="AN19" s="1087"/>
      <c r="AO19" s="1088"/>
      <c r="AP19" s="1093" t="str">
        <f>+AP2</f>
        <v>Octubre 2026 RFC</v>
      </c>
      <c r="AQ19" s="1087"/>
      <c r="AR19" s="1088"/>
      <c r="AS19" s="1093" t="str">
        <f>+AS2</f>
        <v>Noviembre 2026 RFC</v>
      </c>
      <c r="AT19" s="1087"/>
      <c r="AU19" s="1088"/>
      <c r="AV19" s="1093" t="str">
        <f>+AV2</f>
        <v>Diciembre 2026 RFC</v>
      </c>
      <c r="AW19" s="1087"/>
      <c r="AX19" s="1088"/>
      <c r="AY19" s="496"/>
      <c r="AZ19" s="393"/>
      <c r="BA19" s="393"/>
      <c r="BB19" s="393"/>
      <c r="BC19" s="393"/>
      <c r="BD19" s="393"/>
      <c r="BE19" s="393"/>
      <c r="BF19" s="393"/>
      <c r="BG19" s="393"/>
      <c r="BH19" s="393"/>
      <c r="BI19" s="393"/>
      <c r="BJ19" s="393"/>
      <c r="BK19" s="393"/>
      <c r="BL19" s="393"/>
      <c r="BM19" s="393"/>
      <c r="BN19" s="393"/>
      <c r="BO19" s="393"/>
      <c r="BP19" s="393"/>
      <c r="BQ19" s="393"/>
      <c r="BR19" s="393"/>
      <c r="BS19" s="393"/>
    </row>
    <row r="20" spans="1:71" ht="22.5" customHeight="1" x14ac:dyDescent="0.3">
      <c r="A20" s="522" t="s">
        <v>104</v>
      </c>
      <c r="B20" s="523" t="s">
        <v>1773</v>
      </c>
      <c r="C20" s="524"/>
      <c r="D20" s="525" t="s">
        <v>1775</v>
      </c>
      <c r="E20" s="526" t="s">
        <v>1776</v>
      </c>
      <c r="F20" s="462" t="s">
        <v>1773</v>
      </c>
      <c r="G20" s="463" t="s">
        <v>1777</v>
      </c>
      <c r="H20" s="527" t="s">
        <v>1778</v>
      </c>
      <c r="I20" s="462" t="s">
        <v>1773</v>
      </c>
      <c r="J20" s="463" t="s">
        <v>1777</v>
      </c>
      <c r="K20" s="527" t="s">
        <v>1778</v>
      </c>
      <c r="L20" s="462" t="s">
        <v>1773</v>
      </c>
      <c r="M20" s="463" t="s">
        <v>1777</v>
      </c>
      <c r="N20" s="527" t="s">
        <v>1778</v>
      </c>
      <c r="O20" s="462" t="s">
        <v>1773</v>
      </c>
      <c r="P20" s="463" t="s">
        <v>1777</v>
      </c>
      <c r="Q20" s="527" t="s">
        <v>1778</v>
      </c>
      <c r="R20" s="462" t="s">
        <v>1773</v>
      </c>
      <c r="S20" s="463" t="s">
        <v>1777</v>
      </c>
      <c r="T20" s="527" t="s">
        <v>1778</v>
      </c>
      <c r="U20" s="462" t="s">
        <v>1773</v>
      </c>
      <c r="V20" s="463" t="s">
        <v>1777</v>
      </c>
      <c r="W20" s="527" t="s">
        <v>1778</v>
      </c>
      <c r="X20" s="462" t="s">
        <v>1773</v>
      </c>
      <c r="Y20" s="463" t="s">
        <v>1777</v>
      </c>
      <c r="Z20" s="527" t="s">
        <v>1778</v>
      </c>
      <c r="AA20" s="462" t="s">
        <v>1773</v>
      </c>
      <c r="AB20" s="463" t="s">
        <v>1777</v>
      </c>
      <c r="AC20" s="527" t="s">
        <v>1778</v>
      </c>
      <c r="AD20" s="462" t="s">
        <v>1773</v>
      </c>
      <c r="AE20" s="463" t="s">
        <v>1777</v>
      </c>
      <c r="AF20" s="527" t="s">
        <v>1778</v>
      </c>
      <c r="AG20" s="462" t="s">
        <v>1773</v>
      </c>
      <c r="AH20" s="463" t="s">
        <v>1777</v>
      </c>
      <c r="AI20" s="527" t="s">
        <v>1778</v>
      </c>
      <c r="AJ20" s="462" t="s">
        <v>1773</v>
      </c>
      <c r="AK20" s="463" t="s">
        <v>1777</v>
      </c>
      <c r="AL20" s="527" t="s">
        <v>1778</v>
      </c>
      <c r="AM20" s="462" t="s">
        <v>1773</v>
      </c>
      <c r="AN20" s="463" t="s">
        <v>1777</v>
      </c>
      <c r="AO20" s="527" t="s">
        <v>1778</v>
      </c>
      <c r="AP20" s="462" t="s">
        <v>1773</v>
      </c>
      <c r="AQ20" s="463" t="s">
        <v>1777</v>
      </c>
      <c r="AR20" s="527" t="s">
        <v>1778</v>
      </c>
      <c r="AS20" s="462" t="s">
        <v>1773</v>
      </c>
      <c r="AT20" s="463" t="s">
        <v>1777</v>
      </c>
      <c r="AU20" s="527" t="s">
        <v>1778</v>
      </c>
      <c r="AV20" s="462" t="s">
        <v>1773</v>
      </c>
      <c r="AW20" s="463" t="s">
        <v>1777</v>
      </c>
      <c r="AX20" s="527" t="s">
        <v>1778</v>
      </c>
      <c r="AY20" s="496"/>
      <c r="AZ20" s="393"/>
      <c r="BA20" s="393"/>
      <c r="BB20" s="393"/>
      <c r="BC20" s="393"/>
      <c r="BD20" s="393"/>
      <c r="BE20" s="393"/>
      <c r="BF20" s="393"/>
      <c r="BG20" s="393"/>
      <c r="BH20" s="393"/>
      <c r="BI20" s="393"/>
      <c r="BJ20" s="393"/>
      <c r="BK20" s="393"/>
      <c r="BL20" s="393"/>
      <c r="BM20" s="393"/>
      <c r="BN20" s="393"/>
      <c r="BO20" s="393"/>
      <c r="BP20" s="393"/>
      <c r="BQ20" s="393"/>
      <c r="BR20" s="393"/>
      <c r="BS20" s="393"/>
    </row>
    <row r="21" spans="1:71" ht="15" customHeight="1" x14ac:dyDescent="0.3">
      <c r="A21" s="528" t="s">
        <v>1793</v>
      </c>
      <c r="B21" s="529">
        <v>1</v>
      </c>
      <c r="C21" s="530"/>
      <c r="D21" s="531">
        <v>1620021.69</v>
      </c>
      <c r="E21" s="532">
        <f>+D21*B21</f>
        <v>1620021.69</v>
      </c>
      <c r="F21" s="529">
        <v>1</v>
      </c>
      <c r="G21" s="533">
        <f>+D21*G15</f>
        <v>1655662.1671799999</v>
      </c>
      <c r="H21" s="534">
        <f>+G21*F21</f>
        <v>1655662.1671799999</v>
      </c>
      <c r="I21" s="529">
        <v>1</v>
      </c>
      <c r="J21" s="533">
        <f>+G21*J15</f>
        <v>1693742.3970251398</v>
      </c>
      <c r="K21" s="534">
        <f>+J21*I21</f>
        <v>1693742.3970251398</v>
      </c>
      <c r="L21" s="529">
        <v>1</v>
      </c>
      <c r="M21" s="533">
        <f>+J21*M15</f>
        <v>1727617.2449656427</v>
      </c>
      <c r="N21" s="534">
        <f>+M21*L21</f>
        <v>1727617.2449656427</v>
      </c>
      <c r="O21" s="529">
        <v>1</v>
      </c>
      <c r="P21" s="533">
        <f>+M21*P15</f>
        <v>1762169.5898649555</v>
      </c>
      <c r="Q21" s="534">
        <f>+P21*O21</f>
        <v>1762169.5898649555</v>
      </c>
      <c r="R21" s="529">
        <v>1</v>
      </c>
      <c r="S21" s="533">
        <f>+P21*S15</f>
        <v>1813272.507971039</v>
      </c>
      <c r="T21" s="534">
        <f>+S21*R21</f>
        <v>1813272.507971039</v>
      </c>
      <c r="U21" s="529">
        <v>1</v>
      </c>
      <c r="V21" s="533">
        <f>+S21*V15</f>
        <v>1865857.410702199</v>
      </c>
      <c r="W21" s="534">
        <f>+V21*U21</f>
        <v>1865857.410702199</v>
      </c>
      <c r="X21" s="529">
        <v>1</v>
      </c>
      <c r="Y21" s="533">
        <f>+V21*Y15</f>
        <v>1929296.5626660739</v>
      </c>
      <c r="Z21" s="534">
        <f>+Y21*X21</f>
        <v>1929296.5626660739</v>
      </c>
      <c r="AA21" s="529">
        <v>1</v>
      </c>
      <c r="AB21" s="533">
        <f>+Y21*AB15</f>
        <v>1979458.2732953918</v>
      </c>
      <c r="AC21" s="534">
        <f>+AB21*AA21</f>
        <v>1979458.2732953918</v>
      </c>
      <c r="AD21" s="529">
        <v>1</v>
      </c>
      <c r="AE21" s="533">
        <f>+AB21*AE15</f>
        <v>2021026.8970345948</v>
      </c>
      <c r="AF21" s="534">
        <f>+AE21*AD21</f>
        <v>2021026.8970345948</v>
      </c>
      <c r="AG21" s="529">
        <v>1</v>
      </c>
      <c r="AH21" s="533">
        <f>+AE21*AH15</f>
        <v>2079636.677048598</v>
      </c>
      <c r="AI21" s="534">
        <f>+AH21*AG21</f>
        <v>2079636.677048598</v>
      </c>
      <c r="AJ21" s="529">
        <v>1</v>
      </c>
      <c r="AK21" s="533">
        <f>+AH21*AK15</f>
        <v>2139946.140683007</v>
      </c>
      <c r="AL21" s="534">
        <f>+AK21*AJ21</f>
        <v>2139946.140683007</v>
      </c>
      <c r="AM21" s="529">
        <v>1</v>
      </c>
      <c r="AN21" s="533">
        <f>+AK21*AN15</f>
        <v>2202004.5787628139</v>
      </c>
      <c r="AO21" s="534">
        <f>+AN21*AM21</f>
        <v>2202004.5787628139</v>
      </c>
      <c r="AP21" s="529">
        <v>1</v>
      </c>
      <c r="AQ21" s="533">
        <f>+AN21*AQ15</f>
        <v>2265862.7115469351</v>
      </c>
      <c r="AR21" s="534">
        <f>+AQ21*AP21</f>
        <v>2265862.7115469351</v>
      </c>
      <c r="AS21" s="529">
        <v>1</v>
      </c>
      <c r="AT21" s="533">
        <f>+AQ21*AT15</f>
        <v>2331572.730181796</v>
      </c>
      <c r="AU21" s="534">
        <f>+AT21*AS21</f>
        <v>2331572.730181796</v>
      </c>
      <c r="AV21" s="529">
        <v>1</v>
      </c>
      <c r="AW21" s="533">
        <f>+AT21*AW15</f>
        <v>2399188.3393570678</v>
      </c>
      <c r="AX21" s="534">
        <f>+AW21*AV21</f>
        <v>2399188.3393570678</v>
      </c>
      <c r="AY21" s="496"/>
      <c r="AZ21" s="393"/>
      <c r="BA21" s="393"/>
      <c r="BB21" s="393"/>
      <c r="BC21" s="393"/>
      <c r="BD21" s="393"/>
      <c r="BE21" s="393"/>
      <c r="BF21" s="393"/>
      <c r="BG21" s="393"/>
      <c r="BH21" s="393"/>
      <c r="BI21" s="393"/>
      <c r="BJ21" s="393"/>
      <c r="BK21" s="393"/>
      <c r="BL21" s="393"/>
      <c r="BM21" s="393"/>
      <c r="BN21" s="393"/>
      <c r="BO21" s="393"/>
      <c r="BP21" s="393"/>
      <c r="BQ21" s="393"/>
      <c r="BR21" s="393"/>
      <c r="BS21" s="393"/>
    </row>
    <row r="22" spans="1:71" ht="15" customHeight="1" x14ac:dyDescent="0.3">
      <c r="A22" s="535" t="s">
        <v>1794</v>
      </c>
      <c r="B22" s="536">
        <v>6299</v>
      </c>
      <c r="C22" s="498"/>
      <c r="D22" s="531">
        <v>151.63</v>
      </c>
      <c r="E22" s="537">
        <f>+D22*B22</f>
        <v>955117.37</v>
      </c>
      <c r="F22" s="536">
        <v>6299</v>
      </c>
      <c r="G22" s="533">
        <f>+D22*G15</f>
        <v>154.96585999999999</v>
      </c>
      <c r="H22" s="538">
        <f>+G22*F22</f>
        <v>976129.95213999995</v>
      </c>
      <c r="I22" s="539">
        <v>6299</v>
      </c>
      <c r="J22" s="533">
        <f>+G22*J15</f>
        <v>158.53007477999998</v>
      </c>
      <c r="K22" s="538">
        <f>+J22*I22</f>
        <v>998580.94103921985</v>
      </c>
      <c r="L22" s="539">
        <v>6299</v>
      </c>
      <c r="M22" s="533">
        <f>+J22*M15</f>
        <v>161.70067627559999</v>
      </c>
      <c r="N22" s="538">
        <f>+M22*L22</f>
        <v>1018552.5598600043</v>
      </c>
      <c r="O22" s="539">
        <v>6299</v>
      </c>
      <c r="P22" s="533">
        <f>+M22*P15</f>
        <v>164.934689801112</v>
      </c>
      <c r="Q22" s="538">
        <f>+P22*O22</f>
        <v>1038923.6110572045</v>
      </c>
      <c r="R22" s="539">
        <v>6299</v>
      </c>
      <c r="S22" s="533">
        <f>+P22*S15</f>
        <v>169.71779580534422</v>
      </c>
      <c r="T22" s="538">
        <f>+S22*R22</f>
        <v>1069052.3957778632</v>
      </c>
      <c r="U22" s="539">
        <v>6299</v>
      </c>
      <c r="V22" s="533">
        <f>+S22*V15</f>
        <v>174.63961188369919</v>
      </c>
      <c r="W22" s="538">
        <f>+V22*U22</f>
        <v>1100054.9152554213</v>
      </c>
      <c r="X22" s="539">
        <v>6299</v>
      </c>
      <c r="Y22" s="533">
        <f>+V22*Y15</f>
        <v>180.57735868774498</v>
      </c>
      <c r="Z22" s="538">
        <f>+Y22*X22</f>
        <v>1137456.7823741056</v>
      </c>
      <c r="AA22" s="539">
        <v>6299</v>
      </c>
      <c r="AB22" s="533">
        <f>+Y22*AB15</f>
        <v>185.27237001362636</v>
      </c>
      <c r="AC22" s="538">
        <f>+AB22*AA22</f>
        <v>1167030.6587158325</v>
      </c>
      <c r="AD22" s="539">
        <v>6299</v>
      </c>
      <c r="AE22" s="533">
        <f>+AB22*AE15</f>
        <v>189.16308978391248</v>
      </c>
      <c r="AF22" s="538">
        <f>+AE22*AD22</f>
        <v>1191538.3025488646</v>
      </c>
      <c r="AG22" s="539">
        <v>6299</v>
      </c>
      <c r="AH22" s="533">
        <f>+AE22*AH15</f>
        <v>194.64881938764591</v>
      </c>
      <c r="AI22" s="538">
        <f>+AH22*AG22</f>
        <v>1226092.9133227817</v>
      </c>
      <c r="AJ22" s="539">
        <v>6299</v>
      </c>
      <c r="AK22" s="533">
        <f>+AH22*AK15</f>
        <v>200.29363514988762</v>
      </c>
      <c r="AL22" s="538">
        <f>+AK22*AJ22</f>
        <v>1261649.6078091422</v>
      </c>
      <c r="AM22" s="539">
        <v>6299</v>
      </c>
      <c r="AN22" s="533">
        <f>+AK22*AN15</f>
        <v>206.10215056923434</v>
      </c>
      <c r="AO22" s="538">
        <f>+AN22*AM22</f>
        <v>1298237.446435607</v>
      </c>
      <c r="AP22" s="539">
        <v>6299</v>
      </c>
      <c r="AQ22" s="533">
        <f>+AN22*AQ15</f>
        <v>212.07911293574213</v>
      </c>
      <c r="AR22" s="538">
        <f>+AQ22*AP22</f>
        <v>1335886.3323822396</v>
      </c>
      <c r="AS22" s="539">
        <v>6299</v>
      </c>
      <c r="AT22" s="533">
        <f>+AQ22*AT15</f>
        <v>218.22940721087863</v>
      </c>
      <c r="AU22" s="538">
        <f>+AT22*AS22</f>
        <v>1374627.0360213246</v>
      </c>
      <c r="AV22" s="539">
        <v>6299</v>
      </c>
      <c r="AW22" s="533">
        <f>+AT22*AW15</f>
        <v>224.55806001999409</v>
      </c>
      <c r="AX22" s="538">
        <f>+AW22*AV22</f>
        <v>1414491.2200659427</v>
      </c>
      <c r="AY22" s="496"/>
      <c r="AZ22" s="393"/>
      <c r="BA22" s="393"/>
      <c r="BB22" s="393"/>
      <c r="BC22" s="393"/>
      <c r="BD22" s="393"/>
      <c r="BE22" s="393"/>
      <c r="BF22" s="393"/>
      <c r="BG22" s="393"/>
      <c r="BH22" s="393"/>
      <c r="BI22" s="393"/>
      <c r="BJ22" s="393"/>
      <c r="BK22" s="393"/>
      <c r="BL22" s="393"/>
      <c r="BM22" s="393"/>
      <c r="BN22" s="393"/>
      <c r="BO22" s="393"/>
      <c r="BP22" s="393"/>
      <c r="BQ22" s="393"/>
      <c r="BR22" s="393"/>
      <c r="BS22" s="393"/>
    </row>
    <row r="23" spans="1:71" ht="15" customHeight="1" x14ac:dyDescent="0.3">
      <c r="A23" s="488" t="s">
        <v>1795</v>
      </c>
      <c r="B23" s="489"/>
      <c r="C23" s="490"/>
      <c r="D23" s="491"/>
      <c r="E23" s="492">
        <f>SUM(E21:E22)</f>
        <v>2575139.06</v>
      </c>
      <c r="F23" s="540"/>
      <c r="G23" s="541"/>
      <c r="H23" s="542">
        <f>SUM(H21:H22)</f>
        <v>2631792.1193199996</v>
      </c>
      <c r="I23" s="540"/>
      <c r="J23" s="541"/>
      <c r="K23" s="542">
        <f>SUM(K21:K22)</f>
        <v>2692323.3380643595</v>
      </c>
      <c r="L23" s="540"/>
      <c r="M23" s="541"/>
      <c r="N23" s="542">
        <f>SUM(N21:N22)</f>
        <v>2746169.8048256468</v>
      </c>
      <c r="O23" s="540"/>
      <c r="P23" s="541"/>
      <c r="Q23" s="542">
        <f>SUM(Q21:Q22)</f>
        <v>2801093.2009221599</v>
      </c>
      <c r="R23" s="540"/>
      <c r="S23" s="541"/>
      <c r="T23" s="542">
        <f>SUM(T21:T22)</f>
        <v>2882324.9037489025</v>
      </c>
      <c r="U23" s="540"/>
      <c r="V23" s="541"/>
      <c r="W23" s="542">
        <f>SUM(W21:W22)</f>
        <v>2965912.3259576205</v>
      </c>
      <c r="X23" s="540"/>
      <c r="Y23" s="541"/>
      <c r="Z23" s="542">
        <f>SUM(Z21:Z22)</f>
        <v>3066753.3450401798</v>
      </c>
      <c r="AA23" s="540"/>
      <c r="AB23" s="541"/>
      <c r="AC23" s="542">
        <f>SUM(AC21:AC22)</f>
        <v>3146488.9320112243</v>
      </c>
      <c r="AD23" s="540"/>
      <c r="AE23" s="541"/>
      <c r="AF23" s="542">
        <f>SUM(AF21:AF22)</f>
        <v>3212565.1995834596</v>
      </c>
      <c r="AG23" s="540"/>
      <c r="AH23" s="541"/>
      <c r="AI23" s="542">
        <f>SUM(AI21:AI22)</f>
        <v>3305729.5903713796</v>
      </c>
      <c r="AJ23" s="540"/>
      <c r="AK23" s="541"/>
      <c r="AL23" s="542">
        <f>SUM(AL21:AL22)</f>
        <v>3401595.7484921492</v>
      </c>
      <c r="AM23" s="540"/>
      <c r="AN23" s="541"/>
      <c r="AO23" s="542">
        <f>SUM(AO21:AO22)</f>
        <v>3500242.025198421</v>
      </c>
      <c r="AP23" s="540"/>
      <c r="AQ23" s="541"/>
      <c r="AR23" s="542">
        <f>SUM(AR21:AR22)</f>
        <v>3601749.0439291745</v>
      </c>
      <c r="AS23" s="540"/>
      <c r="AT23" s="541"/>
      <c r="AU23" s="542">
        <f>SUM(AU21:AU22)</f>
        <v>3706199.7662031204</v>
      </c>
      <c r="AV23" s="540"/>
      <c r="AW23" s="541"/>
      <c r="AX23" s="542">
        <f>SUM(AX21:AX22)</f>
        <v>3813679.5594230108</v>
      </c>
      <c r="AY23" s="496">
        <f>SUM(O23:AX23)</f>
        <v>39404333.640880808</v>
      </c>
      <c r="AZ23" s="393"/>
      <c r="BA23" s="393"/>
      <c r="BB23" s="393"/>
      <c r="BC23" s="393"/>
      <c r="BD23" s="393"/>
      <c r="BE23" s="393"/>
      <c r="BF23" s="393"/>
      <c r="BG23" s="393"/>
      <c r="BH23" s="393"/>
      <c r="BI23" s="393"/>
      <c r="BJ23" s="393"/>
      <c r="BK23" s="393"/>
      <c r="BL23" s="393"/>
      <c r="BM23" s="393"/>
      <c r="BN23" s="393"/>
      <c r="BO23" s="393"/>
      <c r="BP23" s="393"/>
      <c r="BQ23" s="393"/>
      <c r="BR23" s="393"/>
      <c r="BS23" s="393"/>
    </row>
    <row r="24" spans="1:71" ht="11.25" customHeight="1" x14ac:dyDescent="0.3">
      <c r="A24" s="504"/>
      <c r="B24" s="543"/>
      <c r="C24" s="498"/>
      <c r="D24" s="498"/>
      <c r="E24" s="499"/>
      <c r="F24" s="500"/>
      <c r="G24" s="500"/>
      <c r="H24" s="383"/>
      <c r="I24" s="501"/>
      <c r="J24" s="502"/>
      <c r="K24" s="503"/>
      <c r="L24" s="500"/>
      <c r="M24" s="500"/>
      <c r="N24" s="383"/>
      <c r="O24" s="383"/>
      <c r="P24" s="383"/>
      <c r="Q24" s="383"/>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496"/>
      <c r="AZ24" s="393"/>
      <c r="BA24" s="393"/>
      <c r="BB24" s="393"/>
      <c r="BC24" s="393"/>
      <c r="BD24" s="393"/>
      <c r="BE24" s="393"/>
      <c r="BF24" s="393"/>
      <c r="BG24" s="393"/>
      <c r="BH24" s="393"/>
      <c r="BI24" s="393"/>
      <c r="BJ24" s="393"/>
      <c r="BK24" s="393"/>
      <c r="BL24" s="393"/>
      <c r="BM24" s="393"/>
      <c r="BN24" s="393"/>
      <c r="BO24" s="393"/>
      <c r="BP24" s="393"/>
      <c r="BQ24" s="393"/>
      <c r="BR24" s="393"/>
      <c r="BS24" s="393"/>
    </row>
    <row r="25" spans="1:71" ht="24" customHeight="1" x14ac:dyDescent="0.3">
      <c r="A25" s="544" t="s">
        <v>107</v>
      </c>
      <c r="B25" s="545" t="s">
        <v>1773</v>
      </c>
      <c r="C25" s="546"/>
      <c r="D25" s="547" t="s">
        <v>1775</v>
      </c>
      <c r="E25" s="548" t="s">
        <v>1776</v>
      </c>
      <c r="F25" s="462" t="str">
        <f t="shared" ref="F25:AX25" si="20">+F20</f>
        <v>Cantidad</v>
      </c>
      <c r="G25" s="463" t="str">
        <f t="shared" si="20"/>
        <v>Precio Unitario</v>
      </c>
      <c r="H25" s="527" t="str">
        <f t="shared" si="20"/>
        <v>Total</v>
      </c>
      <c r="I25" s="462" t="str">
        <f t="shared" si="20"/>
        <v>Cantidad</v>
      </c>
      <c r="J25" s="463" t="str">
        <f t="shared" si="20"/>
        <v>Precio Unitario</v>
      </c>
      <c r="K25" s="527" t="str">
        <f t="shared" si="20"/>
        <v>Total</v>
      </c>
      <c r="L25" s="462" t="str">
        <f t="shared" si="20"/>
        <v>Cantidad</v>
      </c>
      <c r="M25" s="463" t="str">
        <f t="shared" si="20"/>
        <v>Precio Unitario</v>
      </c>
      <c r="N25" s="527" t="str">
        <f t="shared" si="20"/>
        <v>Total</v>
      </c>
      <c r="O25" s="462" t="str">
        <f t="shared" si="20"/>
        <v>Cantidad</v>
      </c>
      <c r="P25" s="463" t="str">
        <f t="shared" si="20"/>
        <v>Precio Unitario</v>
      </c>
      <c r="Q25" s="527" t="str">
        <f t="shared" si="20"/>
        <v>Total</v>
      </c>
      <c r="R25" s="462" t="str">
        <f t="shared" si="20"/>
        <v>Cantidad</v>
      </c>
      <c r="S25" s="463" t="str">
        <f t="shared" si="20"/>
        <v>Precio Unitario</v>
      </c>
      <c r="T25" s="527" t="str">
        <f t="shared" si="20"/>
        <v>Total</v>
      </c>
      <c r="U25" s="462" t="str">
        <f t="shared" si="20"/>
        <v>Cantidad</v>
      </c>
      <c r="V25" s="463" t="str">
        <f t="shared" si="20"/>
        <v>Precio Unitario</v>
      </c>
      <c r="W25" s="527" t="str">
        <f t="shared" si="20"/>
        <v>Total</v>
      </c>
      <c r="X25" s="462" t="str">
        <f t="shared" si="20"/>
        <v>Cantidad</v>
      </c>
      <c r="Y25" s="463" t="str">
        <f t="shared" si="20"/>
        <v>Precio Unitario</v>
      </c>
      <c r="Z25" s="527" t="str">
        <f t="shared" si="20"/>
        <v>Total</v>
      </c>
      <c r="AA25" s="462" t="str">
        <f t="shared" si="20"/>
        <v>Cantidad</v>
      </c>
      <c r="AB25" s="463" t="str">
        <f t="shared" si="20"/>
        <v>Precio Unitario</v>
      </c>
      <c r="AC25" s="527" t="str">
        <f t="shared" si="20"/>
        <v>Total</v>
      </c>
      <c r="AD25" s="462" t="str">
        <f t="shared" si="20"/>
        <v>Cantidad</v>
      </c>
      <c r="AE25" s="463" t="str">
        <f t="shared" si="20"/>
        <v>Precio Unitario</v>
      </c>
      <c r="AF25" s="527" t="str">
        <f t="shared" si="20"/>
        <v>Total</v>
      </c>
      <c r="AG25" s="462" t="str">
        <f t="shared" si="20"/>
        <v>Cantidad</v>
      </c>
      <c r="AH25" s="463" t="str">
        <f t="shared" si="20"/>
        <v>Precio Unitario</v>
      </c>
      <c r="AI25" s="527" t="str">
        <f t="shared" si="20"/>
        <v>Total</v>
      </c>
      <c r="AJ25" s="462" t="str">
        <f t="shared" si="20"/>
        <v>Cantidad</v>
      </c>
      <c r="AK25" s="463" t="str">
        <f t="shared" si="20"/>
        <v>Precio Unitario</v>
      </c>
      <c r="AL25" s="527" t="str">
        <f t="shared" si="20"/>
        <v>Total</v>
      </c>
      <c r="AM25" s="462" t="str">
        <f t="shared" si="20"/>
        <v>Cantidad</v>
      </c>
      <c r="AN25" s="463" t="str">
        <f t="shared" si="20"/>
        <v>Precio Unitario</v>
      </c>
      <c r="AO25" s="527" t="str">
        <f t="shared" si="20"/>
        <v>Total</v>
      </c>
      <c r="AP25" s="462" t="str">
        <f t="shared" si="20"/>
        <v>Cantidad</v>
      </c>
      <c r="AQ25" s="463" t="str">
        <f t="shared" si="20"/>
        <v>Precio Unitario</v>
      </c>
      <c r="AR25" s="527" t="str">
        <f t="shared" si="20"/>
        <v>Total</v>
      </c>
      <c r="AS25" s="462" t="str">
        <f t="shared" si="20"/>
        <v>Cantidad</v>
      </c>
      <c r="AT25" s="463" t="str">
        <f t="shared" si="20"/>
        <v>Precio Unitario</v>
      </c>
      <c r="AU25" s="527" t="str">
        <f t="shared" si="20"/>
        <v>Total</v>
      </c>
      <c r="AV25" s="462" t="str">
        <f t="shared" si="20"/>
        <v>Cantidad</v>
      </c>
      <c r="AW25" s="463" t="str">
        <f t="shared" si="20"/>
        <v>Precio Unitario</v>
      </c>
      <c r="AX25" s="527" t="str">
        <f t="shared" si="20"/>
        <v>Total</v>
      </c>
      <c r="AY25" s="496"/>
      <c r="AZ25" s="393"/>
      <c r="BA25" s="393"/>
      <c r="BB25" s="393"/>
      <c r="BC25" s="393"/>
      <c r="BD25" s="393"/>
      <c r="BE25" s="393"/>
      <c r="BF25" s="393"/>
      <c r="BG25" s="393"/>
      <c r="BH25" s="393"/>
      <c r="BI25" s="393"/>
      <c r="BJ25" s="393"/>
      <c r="BK25" s="393"/>
      <c r="BL25" s="393"/>
      <c r="BM25" s="393"/>
      <c r="BN25" s="393"/>
      <c r="BO25" s="393"/>
      <c r="BP25" s="393"/>
      <c r="BQ25" s="393"/>
      <c r="BR25" s="393"/>
      <c r="BS25" s="393"/>
    </row>
    <row r="26" spans="1:71" ht="16.5" customHeight="1" x14ac:dyDescent="0.3">
      <c r="A26" s="549" t="s">
        <v>1796</v>
      </c>
      <c r="B26" s="529">
        <v>3</v>
      </c>
      <c r="C26" s="550"/>
      <c r="D26" s="551">
        <v>1937633.4180552</v>
      </c>
      <c r="E26" s="551">
        <f>+D26*B26</f>
        <v>5812900.2541656001</v>
      </c>
      <c r="F26" s="529">
        <f>+B26</f>
        <v>3</v>
      </c>
      <c r="G26" s="552">
        <f>+D26+18811.97</f>
        <v>1956445.3880552</v>
      </c>
      <c r="H26" s="534">
        <f>+G26*F26</f>
        <v>5869336.1641656002</v>
      </c>
      <c r="I26" s="529">
        <f>+F26</f>
        <v>3</v>
      </c>
      <c r="J26" s="552">
        <f>+G26+18811.97</f>
        <v>1975257.3580552</v>
      </c>
      <c r="K26" s="534">
        <f>+J26*I26</f>
        <v>5925772.0741655994</v>
      </c>
      <c r="L26" s="529">
        <f>+I26</f>
        <v>3</v>
      </c>
      <c r="M26" s="552">
        <f>+J26+18811.97</f>
        <v>1994069.3280551999</v>
      </c>
      <c r="N26" s="534">
        <f>+M26*L26</f>
        <v>5982207.9841655996</v>
      </c>
      <c r="O26" s="529">
        <f>+L26</f>
        <v>3</v>
      </c>
      <c r="P26" s="533">
        <f>+M26*P16</f>
        <v>2014010.021335752</v>
      </c>
      <c r="Q26" s="534">
        <f>+P26*O26</f>
        <v>6042030.0640072562</v>
      </c>
      <c r="R26" s="529">
        <f>+O26</f>
        <v>3</v>
      </c>
      <c r="S26" s="533">
        <f>+P26*S16</f>
        <v>2034150.1215491095</v>
      </c>
      <c r="T26" s="534">
        <f>+S26*R26</f>
        <v>6102450.3646473289</v>
      </c>
      <c r="U26" s="529">
        <f>+R26</f>
        <v>3</v>
      </c>
      <c r="V26" s="533">
        <f>+S26*V16</f>
        <v>2054491.6227646007</v>
      </c>
      <c r="W26" s="534">
        <f>+V26*U26</f>
        <v>6163474.8682938023</v>
      </c>
      <c r="X26" s="529">
        <f>+U26</f>
        <v>3</v>
      </c>
      <c r="Y26" s="533">
        <f>+V26*Y16</f>
        <v>2075036.5389922466</v>
      </c>
      <c r="Z26" s="534">
        <f>+Y26*X26</f>
        <v>6225109.6169767398</v>
      </c>
      <c r="AA26" s="529">
        <f>+X26</f>
        <v>3</v>
      </c>
      <c r="AB26" s="533">
        <f>+Y26*AB16</f>
        <v>2095786.904382169</v>
      </c>
      <c r="AC26" s="534">
        <f>+AB26*AA26</f>
        <v>6287360.7131465068</v>
      </c>
      <c r="AD26" s="529">
        <f>+AA26</f>
        <v>3</v>
      </c>
      <c r="AE26" s="533">
        <f>+AB26*AE16</f>
        <v>2116744.7734259907</v>
      </c>
      <c r="AF26" s="534">
        <f>+AE26*AD26</f>
        <v>6350234.3202779721</v>
      </c>
      <c r="AG26" s="529">
        <f>+AD26</f>
        <v>3</v>
      </c>
      <c r="AH26" s="533">
        <f>+AE26*AH16</f>
        <v>2137912.2211602507</v>
      </c>
      <c r="AI26" s="534">
        <f>+AH26*AG26</f>
        <v>6413736.6634807521</v>
      </c>
      <c r="AJ26" s="529">
        <f>+AG26</f>
        <v>3</v>
      </c>
      <c r="AK26" s="533">
        <f>+AH26*AK16</f>
        <v>2159291.3433718532</v>
      </c>
      <c r="AL26" s="534">
        <f>+AK26*AJ26</f>
        <v>6477874.0301155597</v>
      </c>
      <c r="AM26" s="529">
        <f>+AJ26</f>
        <v>3</v>
      </c>
      <c r="AN26" s="533">
        <f>+AK26*AN16</f>
        <v>2180884.2568055717</v>
      </c>
      <c r="AO26" s="534">
        <f>+AN26*AM26</f>
        <v>6542652.7704167152</v>
      </c>
      <c r="AP26" s="529">
        <f>+AM26</f>
        <v>3</v>
      </c>
      <c r="AQ26" s="533">
        <f>+AN26*AQ16</f>
        <v>2202693.0993736275</v>
      </c>
      <c r="AR26" s="534">
        <f>+AQ26*AP26</f>
        <v>6608079.2981208824</v>
      </c>
      <c r="AS26" s="529">
        <f>+AP26</f>
        <v>3</v>
      </c>
      <c r="AT26" s="533">
        <f>+AQ26*AT16</f>
        <v>2224720.0303673637</v>
      </c>
      <c r="AU26" s="534">
        <f>+AT26*AS26</f>
        <v>6674160.0911020916</v>
      </c>
      <c r="AV26" s="529">
        <f>+AS26</f>
        <v>3</v>
      </c>
      <c r="AW26" s="533">
        <f>+AT26*AW16</f>
        <v>2246967.2306710375</v>
      </c>
      <c r="AX26" s="534">
        <f>+AW26*AV26</f>
        <v>6740901.6920131128</v>
      </c>
      <c r="AY26" s="496"/>
      <c r="AZ26" s="393"/>
      <c r="BA26" s="393"/>
      <c r="BB26" s="393"/>
      <c r="BC26" s="393"/>
      <c r="BD26" s="393"/>
      <c r="BE26" s="393"/>
      <c r="BF26" s="393"/>
      <c r="BG26" s="393"/>
      <c r="BH26" s="393"/>
      <c r="BI26" s="393"/>
      <c r="BJ26" s="393"/>
      <c r="BK26" s="393"/>
      <c r="BL26" s="393"/>
      <c r="BM26" s="393"/>
      <c r="BN26" s="393"/>
      <c r="BO26" s="393"/>
      <c r="BP26" s="393"/>
      <c r="BQ26" s="393"/>
      <c r="BR26" s="393"/>
      <c r="BS26" s="393"/>
    </row>
    <row r="27" spans="1:71" ht="16.5" customHeight="1" x14ac:dyDescent="0.3">
      <c r="A27" s="504" t="s">
        <v>1797</v>
      </c>
      <c r="B27" s="543">
        <v>3</v>
      </c>
      <c r="C27" s="553"/>
      <c r="D27" s="531">
        <v>40000</v>
      </c>
      <c r="E27" s="531">
        <f>+D27*B27</f>
        <v>120000</v>
      </c>
      <c r="F27" s="536">
        <f>+B27</f>
        <v>3</v>
      </c>
      <c r="G27" s="533">
        <f>+D27</f>
        <v>40000</v>
      </c>
      <c r="H27" s="538">
        <f>+G27*F27</f>
        <v>120000</v>
      </c>
      <c r="I27" s="536">
        <f>+F27</f>
        <v>3</v>
      </c>
      <c r="J27" s="533">
        <f>+G27</f>
        <v>40000</v>
      </c>
      <c r="K27" s="538">
        <f>+J27*I27</f>
        <v>120000</v>
      </c>
      <c r="L27" s="536">
        <f>+I27</f>
        <v>3</v>
      </c>
      <c r="M27" s="533">
        <f>+J27</f>
        <v>40000</v>
      </c>
      <c r="N27" s="538">
        <f>+M27*L27</f>
        <v>120000</v>
      </c>
      <c r="O27" s="536"/>
      <c r="P27" s="533"/>
      <c r="Q27" s="538">
        <f>+P27*O27</f>
        <v>0</v>
      </c>
      <c r="R27" s="536"/>
      <c r="S27" s="533"/>
      <c r="T27" s="538">
        <f>+S27*R27</f>
        <v>0</v>
      </c>
      <c r="U27" s="536"/>
      <c r="V27" s="533"/>
      <c r="W27" s="538">
        <f>+V27*U27</f>
        <v>0</v>
      </c>
      <c r="X27" s="536"/>
      <c r="Y27" s="533"/>
      <c r="Z27" s="538">
        <f>+Y27*X27</f>
        <v>0</v>
      </c>
      <c r="AA27" s="536"/>
      <c r="AB27" s="533"/>
      <c r="AC27" s="538">
        <f>+AB27*AA27</f>
        <v>0</v>
      </c>
      <c r="AD27" s="536"/>
      <c r="AE27" s="533"/>
      <c r="AF27" s="538">
        <f>+AE27*AD27</f>
        <v>0</v>
      </c>
      <c r="AG27" s="536"/>
      <c r="AH27" s="533"/>
      <c r="AI27" s="538">
        <f>+AH27*AG27</f>
        <v>0</v>
      </c>
      <c r="AJ27" s="536"/>
      <c r="AK27" s="533"/>
      <c r="AL27" s="538">
        <f>+AK27*AJ27</f>
        <v>0</v>
      </c>
      <c r="AM27" s="536"/>
      <c r="AN27" s="533"/>
      <c r="AO27" s="538">
        <f>+AN27*AM27</f>
        <v>0</v>
      </c>
      <c r="AP27" s="536"/>
      <c r="AQ27" s="533"/>
      <c r="AR27" s="538">
        <f>+AQ27*AP27</f>
        <v>0</v>
      </c>
      <c r="AS27" s="536"/>
      <c r="AT27" s="533"/>
      <c r="AU27" s="538">
        <f>+AT27*AS27</f>
        <v>0</v>
      </c>
      <c r="AV27" s="536"/>
      <c r="AW27" s="533"/>
      <c r="AX27" s="538">
        <f>+AW27*AV27</f>
        <v>0</v>
      </c>
      <c r="AY27" s="496"/>
      <c r="AZ27" s="393"/>
      <c r="BA27" s="393"/>
      <c r="BB27" s="393"/>
      <c r="BC27" s="393"/>
      <c r="BD27" s="393"/>
      <c r="BE27" s="393"/>
      <c r="BF27" s="393"/>
      <c r="BG27" s="393"/>
      <c r="BH27" s="393"/>
      <c r="BI27" s="393"/>
      <c r="BJ27" s="393"/>
      <c r="BK27" s="393"/>
      <c r="BL27" s="393"/>
      <c r="BM27" s="393"/>
      <c r="BN27" s="393"/>
      <c r="BO27" s="393"/>
      <c r="BP27" s="393"/>
      <c r="BQ27" s="393"/>
      <c r="BR27" s="393"/>
      <c r="BS27" s="393"/>
    </row>
    <row r="28" spans="1:71" ht="15" customHeight="1" x14ac:dyDescent="0.3">
      <c r="A28" s="488" t="s">
        <v>1798</v>
      </c>
      <c r="B28" s="489"/>
      <c r="C28" s="490"/>
      <c r="D28" s="491"/>
      <c r="E28" s="492">
        <f>SUM(E26:E27)</f>
        <v>5932900.2541656001</v>
      </c>
      <c r="F28" s="540"/>
      <c r="G28" s="541"/>
      <c r="H28" s="542">
        <f>SUM(H26:H27)</f>
        <v>5989336.1641656002</v>
      </c>
      <c r="I28" s="540"/>
      <c r="J28" s="541"/>
      <c r="K28" s="542">
        <f>SUM(K26:K27)</f>
        <v>6045772.0741655994</v>
      </c>
      <c r="L28" s="540"/>
      <c r="M28" s="541"/>
      <c r="N28" s="542">
        <f>SUM(N26:N27)</f>
        <v>6102207.9841655996</v>
      </c>
      <c r="O28" s="540"/>
      <c r="P28" s="541"/>
      <c r="Q28" s="542">
        <f>SUM(Q26:Q27)</f>
        <v>6042030.0640072562</v>
      </c>
      <c r="R28" s="540"/>
      <c r="S28" s="541"/>
      <c r="T28" s="542">
        <f>SUM(T26:T27)</f>
        <v>6102450.3646473289</v>
      </c>
      <c r="U28" s="540"/>
      <c r="V28" s="541"/>
      <c r="W28" s="542">
        <f>SUM(W26:W27)</f>
        <v>6163474.8682938023</v>
      </c>
      <c r="X28" s="540"/>
      <c r="Y28" s="541"/>
      <c r="Z28" s="542">
        <f>SUM(Z26:Z27)</f>
        <v>6225109.6169767398</v>
      </c>
      <c r="AA28" s="540"/>
      <c r="AB28" s="541"/>
      <c r="AC28" s="542">
        <f>SUM(AC26:AC27)</f>
        <v>6287360.7131465068</v>
      </c>
      <c r="AD28" s="540"/>
      <c r="AE28" s="541"/>
      <c r="AF28" s="542">
        <f>SUM(AF26:AF27)</f>
        <v>6350234.3202779721</v>
      </c>
      <c r="AG28" s="540"/>
      <c r="AH28" s="541"/>
      <c r="AI28" s="542">
        <f>SUM(AI26:AI27)</f>
        <v>6413736.6634807521</v>
      </c>
      <c r="AJ28" s="540"/>
      <c r="AK28" s="541"/>
      <c r="AL28" s="542">
        <f>SUM(AL26:AL27)</f>
        <v>6477874.0301155597</v>
      </c>
      <c r="AM28" s="540"/>
      <c r="AN28" s="541"/>
      <c r="AO28" s="542">
        <f>SUM(AO26:AO27)</f>
        <v>6542652.7704167152</v>
      </c>
      <c r="AP28" s="540"/>
      <c r="AQ28" s="541"/>
      <c r="AR28" s="542">
        <f>SUM(AR26:AR27)</f>
        <v>6608079.2981208824</v>
      </c>
      <c r="AS28" s="540"/>
      <c r="AT28" s="541"/>
      <c r="AU28" s="542">
        <f>SUM(AU26:AU27)</f>
        <v>6674160.0911020916</v>
      </c>
      <c r="AV28" s="540"/>
      <c r="AW28" s="541"/>
      <c r="AX28" s="542">
        <f>SUM(AX26:AX27)</f>
        <v>6740901.6920131128</v>
      </c>
      <c r="AY28" s="496">
        <f>SUM(O28:AX28)</f>
        <v>76628064.492598727</v>
      </c>
      <c r="AZ28" s="393"/>
      <c r="BA28" s="393"/>
      <c r="BB28" s="393"/>
      <c r="BC28" s="393"/>
      <c r="BD28" s="393"/>
      <c r="BE28" s="393"/>
      <c r="BF28" s="393"/>
      <c r="BG28" s="393"/>
      <c r="BH28" s="393"/>
      <c r="BI28" s="393"/>
      <c r="BJ28" s="393"/>
      <c r="BK28" s="393"/>
      <c r="BL28" s="393"/>
      <c r="BM28" s="393"/>
      <c r="BN28" s="393"/>
      <c r="BO28" s="393"/>
      <c r="BP28" s="393"/>
      <c r="BQ28" s="393"/>
      <c r="BR28" s="393"/>
      <c r="BS28" s="393"/>
    </row>
    <row r="29" spans="1:71" ht="11.25" customHeight="1" x14ac:dyDescent="0.3">
      <c r="A29" s="554"/>
      <c r="B29" s="498"/>
      <c r="C29" s="498"/>
      <c r="D29" s="498"/>
      <c r="E29" s="499"/>
      <c r="F29" s="500"/>
      <c r="G29" s="500"/>
      <c r="H29" s="383"/>
      <c r="I29" s="501"/>
      <c r="J29" s="502"/>
      <c r="K29" s="503"/>
      <c r="L29" s="500"/>
      <c r="M29" s="500"/>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93"/>
      <c r="AZ29" s="393"/>
      <c r="BA29" s="393"/>
      <c r="BB29" s="393"/>
      <c r="BC29" s="393"/>
      <c r="BD29" s="393"/>
      <c r="BE29" s="393"/>
      <c r="BF29" s="393"/>
      <c r="BG29" s="393"/>
      <c r="BH29" s="393"/>
      <c r="BI29" s="393"/>
      <c r="BJ29" s="393"/>
      <c r="BK29" s="393"/>
      <c r="BL29" s="393"/>
      <c r="BM29" s="393"/>
      <c r="BN29" s="393"/>
      <c r="BO29" s="393"/>
      <c r="BP29" s="393"/>
      <c r="BQ29" s="393"/>
      <c r="BR29" s="393"/>
      <c r="BS29" s="393"/>
    </row>
    <row r="30" spans="1:71" ht="11.25" hidden="1" customHeight="1" outlineLevel="1" x14ac:dyDescent="0.3">
      <c r="A30" s="383"/>
      <c r="B30" s="1099" t="s">
        <v>1799</v>
      </c>
      <c r="C30" s="1087"/>
      <c r="D30" s="1087"/>
      <c r="E30" s="1087"/>
      <c r="F30" s="1087"/>
      <c r="G30" s="1087"/>
      <c r="H30" s="1087"/>
      <c r="I30" s="1087"/>
      <c r="J30" s="1087"/>
      <c r="K30" s="1087"/>
      <c r="L30" s="1087"/>
      <c r="M30" s="1088"/>
      <c r="N30" s="383"/>
      <c r="O30" s="383"/>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93"/>
      <c r="AZ30" s="393"/>
      <c r="BA30" s="393"/>
      <c r="BB30" s="393"/>
      <c r="BC30" s="393"/>
      <c r="BD30" s="393"/>
      <c r="BE30" s="393"/>
      <c r="BF30" s="393"/>
      <c r="BG30" s="393"/>
      <c r="BH30" s="393"/>
      <c r="BI30" s="393"/>
      <c r="BJ30" s="393"/>
      <c r="BK30" s="393"/>
      <c r="BL30" s="393"/>
      <c r="BM30" s="393"/>
      <c r="BN30" s="393"/>
      <c r="BO30" s="393"/>
      <c r="BP30" s="393"/>
      <c r="BQ30" s="393"/>
      <c r="BR30" s="393"/>
      <c r="BS30" s="393"/>
    </row>
    <row r="31" spans="1:71" ht="11.25" hidden="1" customHeight="1" outlineLevel="1" x14ac:dyDescent="0.3">
      <c r="A31" s="383"/>
      <c r="B31" s="555" t="s">
        <v>1800</v>
      </c>
      <c r="C31" s="555" t="s">
        <v>1801</v>
      </c>
      <c r="D31" s="555" t="s">
        <v>1802</v>
      </c>
      <c r="E31" s="555" t="s">
        <v>1803</v>
      </c>
      <c r="F31" s="555" t="s">
        <v>1804</v>
      </c>
      <c r="G31" s="555" t="s">
        <v>1805</v>
      </c>
      <c r="H31" s="555" t="s">
        <v>1806</v>
      </c>
      <c r="I31" s="555" t="s">
        <v>1807</v>
      </c>
      <c r="J31" s="555" t="s">
        <v>1808</v>
      </c>
      <c r="K31" s="555" t="s">
        <v>1809</v>
      </c>
      <c r="L31" s="555" t="s">
        <v>1810</v>
      </c>
      <c r="M31" s="555" t="s">
        <v>1811</v>
      </c>
      <c r="N31" s="383"/>
      <c r="O31" s="383"/>
      <c r="P31" s="383"/>
      <c r="Q31" s="383"/>
      <c r="R31" s="383"/>
      <c r="S31" s="383"/>
      <c r="T31" s="383"/>
      <c r="U31" s="383"/>
      <c r="V31" s="383"/>
      <c r="W31" s="383"/>
      <c r="X31" s="383"/>
      <c r="Y31" s="383"/>
      <c r="Z31" s="383"/>
      <c r="AA31" s="383"/>
      <c r="AB31" s="383"/>
      <c r="AC31" s="383"/>
      <c r="AD31" s="383"/>
      <c r="AE31" s="383"/>
      <c r="AF31" s="383"/>
      <c r="AG31" s="383"/>
      <c r="AH31" s="383"/>
      <c r="AI31" s="383"/>
      <c r="AJ31" s="383"/>
      <c r="AK31" s="383"/>
      <c r="AL31" s="383"/>
      <c r="AM31" s="383"/>
      <c r="AN31" s="383"/>
      <c r="AO31" s="383"/>
      <c r="AP31" s="383"/>
      <c r="AQ31" s="383"/>
      <c r="AR31" s="383"/>
      <c r="AS31" s="383"/>
      <c r="AT31" s="383"/>
      <c r="AU31" s="383"/>
      <c r="AV31" s="383"/>
      <c r="AW31" s="383"/>
      <c r="AX31" s="383"/>
      <c r="AY31" s="393"/>
      <c r="AZ31" s="393"/>
      <c r="BA31" s="393"/>
      <c r="BB31" s="393"/>
      <c r="BC31" s="393"/>
      <c r="BD31" s="393"/>
      <c r="BE31" s="393"/>
      <c r="BF31" s="393"/>
      <c r="BG31" s="393"/>
      <c r="BH31" s="393"/>
      <c r="BI31" s="393"/>
      <c r="BJ31" s="393"/>
      <c r="BK31" s="393"/>
      <c r="BL31" s="393"/>
      <c r="BM31" s="393"/>
      <c r="BN31" s="393"/>
      <c r="BO31" s="393"/>
      <c r="BP31" s="393"/>
      <c r="BQ31" s="393"/>
      <c r="BR31" s="393"/>
      <c r="BS31" s="393"/>
    </row>
    <row r="32" spans="1:71" ht="11.25" hidden="1" customHeight="1" outlineLevel="1" x14ac:dyDescent="0.3">
      <c r="A32" s="383"/>
      <c r="B32" s="556"/>
      <c r="C32" s="556" t="s">
        <v>1812</v>
      </c>
      <c r="D32" s="556" t="s">
        <v>1813</v>
      </c>
      <c r="E32" s="556" t="s">
        <v>1814</v>
      </c>
      <c r="F32" s="556" t="s">
        <v>1815</v>
      </c>
      <c r="G32" s="556" t="s">
        <v>1816</v>
      </c>
      <c r="H32" s="556" t="s">
        <v>1817</v>
      </c>
      <c r="I32" s="556" t="s">
        <v>1818</v>
      </c>
      <c r="J32" s="556" t="s">
        <v>1819</v>
      </c>
      <c r="K32" s="556" t="s">
        <v>1820</v>
      </c>
      <c r="L32" s="556" t="s">
        <v>1821</v>
      </c>
      <c r="M32" s="556" t="s">
        <v>1822</v>
      </c>
      <c r="N32" s="383"/>
      <c r="O32" s="383"/>
      <c r="P32" s="383"/>
      <c r="Q32" s="383"/>
      <c r="R32" s="383"/>
      <c r="S32" s="383"/>
      <c r="T32" s="383"/>
      <c r="U32" s="383"/>
      <c r="V32" s="383"/>
      <c r="W32" s="383"/>
      <c r="X32" s="383"/>
      <c r="Y32" s="383"/>
      <c r="Z32" s="383"/>
      <c r="AA32" s="383"/>
      <c r="AB32" s="383"/>
      <c r="AC32" s="383"/>
      <c r="AD32" s="383"/>
      <c r="AE32" s="383"/>
      <c r="AF32" s="383"/>
      <c r="AG32" s="383"/>
      <c r="AH32" s="383"/>
      <c r="AI32" s="383"/>
      <c r="AJ32" s="383"/>
      <c r="AK32" s="383"/>
      <c r="AL32" s="383"/>
      <c r="AM32" s="383"/>
      <c r="AN32" s="383"/>
      <c r="AO32" s="383"/>
      <c r="AP32" s="383"/>
      <c r="AQ32" s="383"/>
      <c r="AR32" s="383"/>
      <c r="AS32" s="383"/>
      <c r="AT32" s="383"/>
      <c r="AU32" s="383"/>
      <c r="AV32" s="383"/>
      <c r="AW32" s="383"/>
      <c r="AX32" s="383"/>
      <c r="AY32" s="393"/>
      <c r="AZ32" s="393"/>
      <c r="BA32" s="393"/>
      <c r="BB32" s="393"/>
      <c r="BC32" s="393"/>
      <c r="BD32" s="393"/>
      <c r="BE32" s="393"/>
      <c r="BF32" s="393"/>
      <c r="BG32" s="393"/>
      <c r="BH32" s="393"/>
      <c r="BI32" s="393"/>
      <c r="BJ32" s="393"/>
      <c r="BK32" s="393"/>
      <c r="BL32" s="393"/>
      <c r="BM32" s="393"/>
      <c r="BN32" s="393"/>
      <c r="BO32" s="393"/>
      <c r="BP32" s="393"/>
      <c r="BQ32" s="393"/>
      <c r="BR32" s="393"/>
      <c r="BS32" s="393"/>
    </row>
    <row r="33" spans="1:71" ht="11.25" hidden="1" customHeight="1" outlineLevel="1" x14ac:dyDescent="0.3">
      <c r="A33" s="556" t="s">
        <v>1823</v>
      </c>
      <c r="B33" s="557"/>
      <c r="C33" s="557">
        <v>1.0529999999999999</v>
      </c>
      <c r="D33" s="557">
        <v>1.0549999999999999</v>
      </c>
      <c r="E33" s="558">
        <v>1.0509999999999999</v>
      </c>
      <c r="F33" s="558">
        <v>1.077</v>
      </c>
      <c r="G33" s="558">
        <v>1.0620000000000001</v>
      </c>
      <c r="H33" s="558">
        <v>1.056</v>
      </c>
      <c r="I33" s="558">
        <v>1.07</v>
      </c>
      <c r="J33" s="558">
        <v>1.0580000000000001</v>
      </c>
      <c r="K33" s="559">
        <v>1.0580000000000001</v>
      </c>
      <c r="L33" s="558">
        <v>1.073</v>
      </c>
      <c r="M33" s="558">
        <v>1.06</v>
      </c>
      <c r="N33" s="383"/>
      <c r="O33" s="383"/>
      <c r="P33" s="383"/>
      <c r="Q33" s="383"/>
      <c r="R33" s="383"/>
      <c r="S33" s="383"/>
      <c r="T33" s="383"/>
      <c r="U33" s="383"/>
      <c r="V33" s="383"/>
      <c r="W33" s="383"/>
      <c r="X33" s="383"/>
      <c r="Y33" s="383"/>
      <c r="Z33" s="383"/>
      <c r="AA33" s="383"/>
      <c r="AB33" s="383"/>
      <c r="AC33" s="383"/>
      <c r="AD33" s="383"/>
      <c r="AE33" s="383"/>
      <c r="AF33" s="383"/>
      <c r="AG33" s="383"/>
      <c r="AH33" s="383"/>
      <c r="AI33" s="383"/>
      <c r="AJ33" s="383"/>
      <c r="AK33" s="383"/>
      <c r="AL33" s="383"/>
      <c r="AM33" s="383"/>
      <c r="AN33" s="383"/>
      <c r="AO33" s="383"/>
      <c r="AP33" s="383"/>
      <c r="AQ33" s="383"/>
      <c r="AR33" s="383"/>
      <c r="AS33" s="383"/>
      <c r="AT33" s="383"/>
      <c r="AU33" s="383"/>
      <c r="AV33" s="383"/>
      <c r="AW33" s="383"/>
      <c r="AX33" s="383"/>
      <c r="AY33" s="393"/>
      <c r="AZ33" s="393"/>
      <c r="BA33" s="393"/>
      <c r="BB33" s="393"/>
      <c r="BC33" s="393"/>
      <c r="BD33" s="393"/>
      <c r="BE33" s="393"/>
      <c r="BF33" s="393"/>
      <c r="BG33" s="393"/>
      <c r="BH33" s="393"/>
      <c r="BI33" s="393"/>
      <c r="BJ33" s="393"/>
      <c r="BK33" s="393"/>
      <c r="BL33" s="393"/>
      <c r="BM33" s="393"/>
      <c r="BN33" s="393"/>
      <c r="BO33" s="393"/>
      <c r="BP33" s="393"/>
      <c r="BQ33" s="393"/>
      <c r="BR33" s="393"/>
      <c r="BS33" s="393"/>
    </row>
    <row r="34" spans="1:71" ht="11.25" hidden="1" customHeight="1" outlineLevel="1" x14ac:dyDescent="0.3">
      <c r="A34" s="560" t="s">
        <v>1779</v>
      </c>
      <c r="B34" s="561">
        <v>506187.72</v>
      </c>
      <c r="C34" s="562">
        <f>B34*C33</f>
        <v>533015.66915999993</v>
      </c>
      <c r="D34" s="563">
        <f t="shared" ref="D34:D39" si="21">C34*$D$33</f>
        <v>562331.53096379992</v>
      </c>
      <c r="E34" s="563">
        <f t="shared" ref="E34:E39" si="22">D34*$E$33</f>
        <v>591010.43904295366</v>
      </c>
      <c r="F34" s="563">
        <f t="shared" ref="F34:F39" si="23">E34*$F$33</f>
        <v>636518.24284926103</v>
      </c>
      <c r="G34" s="563">
        <f t="shared" ref="G34:G39" si="24">F34*$G$33</f>
        <v>675982.3739059153</v>
      </c>
      <c r="H34" s="563">
        <f>G34*$H$33</f>
        <v>713837.38684464653</v>
      </c>
      <c r="I34" s="563">
        <f t="shared" ref="I34:I39" si="25">H34*$I$33</f>
        <v>763806.00392377179</v>
      </c>
      <c r="J34" s="563">
        <f t="shared" ref="J34:K39" si="26">I34*$J$33</f>
        <v>808106.75215135061</v>
      </c>
      <c r="K34" s="564">
        <f t="shared" si="26"/>
        <v>854976.94377612893</v>
      </c>
      <c r="L34" s="565">
        <f t="shared" ref="L34:L39" si="27">K34*$L$33</f>
        <v>917390.26067178627</v>
      </c>
      <c r="M34" s="565">
        <f>L34*M$33</f>
        <v>972433.67631209351</v>
      </c>
      <c r="N34" s="383"/>
      <c r="O34" s="383"/>
      <c r="P34" s="383"/>
      <c r="Q34" s="383"/>
      <c r="R34" s="383"/>
      <c r="S34" s="383"/>
      <c r="T34" s="383"/>
      <c r="U34" s="383"/>
      <c r="V34" s="383"/>
      <c r="W34" s="383"/>
      <c r="X34" s="383"/>
      <c r="Y34" s="383"/>
      <c r="Z34" s="383"/>
      <c r="AA34" s="383"/>
      <c r="AB34" s="383"/>
      <c r="AC34" s="383"/>
      <c r="AD34" s="383"/>
      <c r="AE34" s="383"/>
      <c r="AF34" s="383"/>
      <c r="AG34" s="383"/>
      <c r="AH34" s="383"/>
      <c r="AI34" s="383"/>
      <c r="AJ34" s="383"/>
      <c r="AK34" s="383"/>
      <c r="AL34" s="383"/>
      <c r="AM34" s="383"/>
      <c r="AN34" s="383"/>
      <c r="AO34" s="383"/>
      <c r="AP34" s="383"/>
      <c r="AQ34" s="383"/>
      <c r="AR34" s="383"/>
      <c r="AS34" s="383"/>
      <c r="AT34" s="383"/>
      <c r="AU34" s="383"/>
      <c r="AV34" s="383"/>
      <c r="AW34" s="383"/>
      <c r="AX34" s="383"/>
      <c r="AY34" s="393"/>
      <c r="AZ34" s="393"/>
      <c r="BA34" s="393"/>
      <c r="BB34" s="393"/>
      <c r="BC34" s="393"/>
      <c r="BD34" s="393"/>
      <c r="BE34" s="393"/>
      <c r="BF34" s="393"/>
      <c r="BG34" s="393"/>
      <c r="BH34" s="393"/>
      <c r="BI34" s="393"/>
      <c r="BJ34" s="393"/>
      <c r="BK34" s="393"/>
      <c r="BL34" s="393"/>
      <c r="BM34" s="393"/>
      <c r="BN34" s="393"/>
      <c r="BO34" s="393"/>
      <c r="BP34" s="393"/>
      <c r="BQ34" s="393"/>
      <c r="BR34" s="393"/>
      <c r="BS34" s="393"/>
    </row>
    <row r="35" spans="1:71" ht="11.25" hidden="1" customHeight="1" outlineLevel="1" x14ac:dyDescent="0.3">
      <c r="A35" s="560" t="s">
        <v>1780</v>
      </c>
      <c r="B35" s="561">
        <v>39.950000000000003</v>
      </c>
      <c r="C35" s="562">
        <f>B35*$C$33</f>
        <v>42.067349999999998</v>
      </c>
      <c r="D35" s="563">
        <f t="shared" si="21"/>
        <v>44.381054249999998</v>
      </c>
      <c r="E35" s="563">
        <f t="shared" si="22"/>
        <v>46.644488016749996</v>
      </c>
      <c r="F35" s="563">
        <f t="shared" si="23"/>
        <v>50.236113594039743</v>
      </c>
      <c r="G35" s="563">
        <f t="shared" si="24"/>
        <v>53.350752636870212</v>
      </c>
      <c r="H35" s="563">
        <f>G35*$H$33</f>
        <v>56.338394784534948</v>
      </c>
      <c r="I35" s="563">
        <f t="shared" si="25"/>
        <v>60.282082419452401</v>
      </c>
      <c r="J35" s="563">
        <f t="shared" si="26"/>
        <v>63.778443199780646</v>
      </c>
      <c r="K35" s="564">
        <f t="shared" si="26"/>
        <v>67.477592905367928</v>
      </c>
      <c r="L35" s="565">
        <f t="shared" si="27"/>
        <v>72.403457187459779</v>
      </c>
      <c r="M35" s="565">
        <f>L35*M$33</f>
        <v>76.747664618707375</v>
      </c>
      <c r="N35" s="383"/>
      <c r="O35" s="383"/>
      <c r="P35" s="383"/>
      <c r="Q35" s="383"/>
      <c r="R35" s="383"/>
      <c r="S35" s="383"/>
      <c r="T35" s="383"/>
      <c r="U35" s="383"/>
      <c r="V35" s="383"/>
      <c r="W35" s="383"/>
      <c r="X35" s="383"/>
      <c r="Y35" s="383"/>
      <c r="Z35" s="383"/>
      <c r="AA35" s="383"/>
      <c r="AB35" s="383"/>
      <c r="AC35" s="383"/>
      <c r="AD35" s="383"/>
      <c r="AE35" s="383"/>
      <c r="AF35" s="383"/>
      <c r="AG35" s="383"/>
      <c r="AH35" s="383"/>
      <c r="AI35" s="383"/>
      <c r="AJ35" s="383"/>
      <c r="AK35" s="383"/>
      <c r="AL35" s="383"/>
      <c r="AM35" s="383"/>
      <c r="AN35" s="383"/>
      <c r="AO35" s="383"/>
      <c r="AP35" s="383"/>
      <c r="AQ35" s="383"/>
      <c r="AR35" s="383"/>
      <c r="AS35" s="383"/>
      <c r="AT35" s="383"/>
      <c r="AU35" s="383"/>
      <c r="AV35" s="383"/>
      <c r="AW35" s="383"/>
      <c r="AX35" s="383"/>
      <c r="AY35" s="393"/>
      <c r="AZ35" s="393"/>
      <c r="BA35" s="393"/>
      <c r="BB35" s="393"/>
      <c r="BC35" s="393"/>
      <c r="BD35" s="393"/>
      <c r="BE35" s="393"/>
      <c r="BF35" s="393"/>
      <c r="BG35" s="393"/>
      <c r="BH35" s="393"/>
      <c r="BI35" s="393"/>
      <c r="BJ35" s="393"/>
      <c r="BK35" s="393"/>
      <c r="BL35" s="393"/>
      <c r="BM35" s="393"/>
      <c r="BN35" s="393"/>
      <c r="BO35" s="393"/>
      <c r="BP35" s="393"/>
      <c r="BQ35" s="393"/>
      <c r="BR35" s="393"/>
      <c r="BS35" s="393"/>
    </row>
    <row r="36" spans="1:71" ht="11.25" hidden="1" customHeight="1" outlineLevel="1" x14ac:dyDescent="0.3">
      <c r="A36" s="560" t="s">
        <v>1781</v>
      </c>
      <c r="B36" s="561">
        <v>44909.94</v>
      </c>
      <c r="C36" s="562">
        <f>B36*$C$33</f>
        <v>47290.166819999999</v>
      </c>
      <c r="D36" s="563">
        <f t="shared" si="21"/>
        <v>49891.125995099996</v>
      </c>
      <c r="E36" s="563">
        <f t="shared" si="22"/>
        <v>52435.573420850094</v>
      </c>
      <c r="F36" s="563">
        <f t="shared" si="23"/>
        <v>56473.112574255552</v>
      </c>
      <c r="G36" s="563">
        <f t="shared" si="24"/>
        <v>59974.445553859397</v>
      </c>
      <c r="H36" s="563">
        <f>G36*$H$33</f>
        <v>63333.014504875529</v>
      </c>
      <c r="I36" s="563">
        <f t="shared" si="25"/>
        <v>67766.325520216822</v>
      </c>
      <c r="J36" s="563">
        <f t="shared" si="26"/>
        <v>71696.772400389396</v>
      </c>
      <c r="K36" s="564">
        <f t="shared" si="26"/>
        <v>75855.18519961198</v>
      </c>
      <c r="L36" s="565">
        <f t="shared" si="27"/>
        <v>81392.613719183646</v>
      </c>
      <c r="M36" s="565">
        <f>L36*M$33</f>
        <v>86276.170542334672</v>
      </c>
      <c r="N36" s="383"/>
      <c r="O36" s="383"/>
      <c r="P36" s="383"/>
      <c r="Q36" s="383"/>
      <c r="R36" s="383"/>
      <c r="S36" s="383"/>
      <c r="T36" s="383"/>
      <c r="U36" s="383"/>
      <c r="V36" s="383"/>
      <c r="W36" s="383"/>
      <c r="X36" s="383"/>
      <c r="Y36" s="383"/>
      <c r="Z36" s="383"/>
      <c r="AA36" s="383"/>
      <c r="AB36" s="383"/>
      <c r="AC36" s="383"/>
      <c r="AD36" s="383"/>
      <c r="AE36" s="383"/>
      <c r="AF36" s="383"/>
      <c r="AG36" s="383"/>
      <c r="AH36" s="383"/>
      <c r="AI36" s="383"/>
      <c r="AJ36" s="383"/>
      <c r="AK36" s="383"/>
      <c r="AL36" s="383"/>
      <c r="AM36" s="383"/>
      <c r="AN36" s="383"/>
      <c r="AO36" s="383"/>
      <c r="AP36" s="383"/>
      <c r="AQ36" s="383"/>
      <c r="AR36" s="383"/>
      <c r="AS36" s="383"/>
      <c r="AT36" s="383"/>
      <c r="AU36" s="383"/>
      <c r="AV36" s="383"/>
      <c r="AW36" s="383"/>
      <c r="AX36" s="383"/>
      <c r="AY36" s="393"/>
      <c r="AZ36" s="393"/>
      <c r="BA36" s="393"/>
      <c r="BB36" s="393"/>
      <c r="BC36" s="393"/>
      <c r="BD36" s="393"/>
      <c r="BE36" s="393"/>
      <c r="BF36" s="393"/>
      <c r="BG36" s="393"/>
      <c r="BH36" s="393"/>
      <c r="BI36" s="393"/>
      <c r="BJ36" s="393"/>
      <c r="BK36" s="393"/>
      <c r="BL36" s="393"/>
      <c r="BM36" s="393"/>
      <c r="BN36" s="393"/>
      <c r="BO36" s="393"/>
      <c r="BP36" s="393"/>
      <c r="BQ36" s="393"/>
      <c r="BR36" s="393"/>
      <c r="BS36" s="393"/>
    </row>
    <row r="37" spans="1:71" ht="11.25" hidden="1" customHeight="1" outlineLevel="1" x14ac:dyDescent="0.3">
      <c r="A37" s="560" t="s">
        <v>1782</v>
      </c>
      <c r="B37" s="561">
        <v>5210</v>
      </c>
      <c r="C37" s="562">
        <f>B37*$C$33</f>
        <v>5486.13</v>
      </c>
      <c r="D37" s="563">
        <f t="shared" si="21"/>
        <v>5787.86715</v>
      </c>
      <c r="E37" s="563">
        <f t="shared" si="22"/>
        <v>6083.0483746499995</v>
      </c>
      <c r="F37" s="563">
        <f t="shared" si="23"/>
        <v>6551.4430994980494</v>
      </c>
      <c r="G37" s="563">
        <f t="shared" si="24"/>
        <v>6957.6325716669289</v>
      </c>
      <c r="H37" s="563">
        <f>G37*$H$33</f>
        <v>7347.2599956802769</v>
      </c>
      <c r="I37" s="563">
        <f t="shared" si="25"/>
        <v>7861.5681953778967</v>
      </c>
      <c r="J37" s="563">
        <f t="shared" si="26"/>
        <v>8317.5391507098157</v>
      </c>
      <c r="K37" s="564">
        <f t="shared" si="26"/>
        <v>8799.9564214509846</v>
      </c>
      <c r="L37" s="565">
        <f t="shared" si="27"/>
        <v>9442.3532402169058</v>
      </c>
      <c r="M37" s="565">
        <v>4240</v>
      </c>
      <c r="N37" s="383"/>
      <c r="O37" s="383"/>
      <c r="P37" s="383"/>
      <c r="Q37" s="383"/>
      <c r="R37" s="383"/>
      <c r="S37" s="383"/>
      <c r="T37" s="383"/>
      <c r="U37" s="383"/>
      <c r="V37" s="383"/>
      <c r="W37" s="383"/>
      <c r="X37" s="383"/>
      <c r="Y37" s="383"/>
      <c r="Z37" s="383"/>
      <c r="AA37" s="383"/>
      <c r="AB37" s="383"/>
      <c r="AC37" s="383"/>
      <c r="AD37" s="383"/>
      <c r="AE37" s="383"/>
      <c r="AF37" s="383"/>
      <c r="AG37" s="383"/>
      <c r="AH37" s="383"/>
      <c r="AI37" s="383"/>
      <c r="AJ37" s="383"/>
      <c r="AK37" s="383"/>
      <c r="AL37" s="383"/>
      <c r="AM37" s="383"/>
      <c r="AN37" s="383"/>
      <c r="AO37" s="383"/>
      <c r="AP37" s="383"/>
      <c r="AQ37" s="383"/>
      <c r="AR37" s="383"/>
      <c r="AS37" s="383"/>
      <c r="AT37" s="383"/>
      <c r="AU37" s="383"/>
      <c r="AV37" s="383"/>
      <c r="AW37" s="383"/>
      <c r="AX37" s="383"/>
      <c r="AY37" s="393"/>
      <c r="AZ37" s="393"/>
      <c r="BA37" s="393"/>
      <c r="BB37" s="393"/>
      <c r="BC37" s="393"/>
      <c r="BD37" s="393"/>
      <c r="BE37" s="393"/>
      <c r="BF37" s="393"/>
      <c r="BG37" s="393"/>
      <c r="BH37" s="393"/>
      <c r="BI37" s="393"/>
      <c r="BJ37" s="393"/>
      <c r="BK37" s="393"/>
      <c r="BL37" s="393"/>
      <c r="BM37" s="393"/>
      <c r="BN37" s="393"/>
      <c r="BO37" s="393"/>
      <c r="BP37" s="393"/>
      <c r="BQ37" s="393"/>
      <c r="BR37" s="393"/>
      <c r="BS37" s="393"/>
    </row>
    <row r="38" spans="1:71" ht="11.25" hidden="1" customHeight="1" outlineLevel="1" x14ac:dyDescent="0.3">
      <c r="A38" s="560" t="s">
        <v>1824</v>
      </c>
      <c r="B38" s="561">
        <v>82593</v>
      </c>
      <c r="C38" s="562">
        <f>B38*$C$33</f>
        <v>86970.428999999989</v>
      </c>
      <c r="D38" s="563">
        <f t="shared" si="21"/>
        <v>91753.802594999986</v>
      </c>
      <c r="E38" s="563">
        <f t="shared" si="22"/>
        <v>96433.246527344978</v>
      </c>
      <c r="F38" s="563">
        <f t="shared" si="23"/>
        <v>103858.60650995054</v>
      </c>
      <c r="G38" s="563">
        <f t="shared" si="24"/>
        <v>110297.84011356748</v>
      </c>
      <c r="H38" s="563">
        <f>G38*$H$33</f>
        <v>116474.51915992727</v>
      </c>
      <c r="I38" s="563">
        <f t="shared" si="25"/>
        <v>124627.73550112218</v>
      </c>
      <c r="J38" s="563">
        <f t="shared" si="26"/>
        <v>131856.14416018728</v>
      </c>
      <c r="K38" s="564">
        <f t="shared" si="26"/>
        <v>139503.80052147814</v>
      </c>
      <c r="L38" s="565">
        <f t="shared" si="27"/>
        <v>149687.57795954603</v>
      </c>
      <c r="M38" s="565">
        <f>L38*M$33</f>
        <v>158668.83263711882</v>
      </c>
      <c r="N38" s="383"/>
      <c r="O38" s="383"/>
      <c r="P38" s="383"/>
      <c r="Q38" s="383"/>
      <c r="R38" s="383"/>
      <c r="S38" s="383"/>
      <c r="T38" s="383"/>
      <c r="U38" s="383"/>
      <c r="V38" s="383"/>
      <c r="W38" s="383"/>
      <c r="X38" s="383"/>
      <c r="Y38" s="383"/>
      <c r="Z38" s="383"/>
      <c r="AA38" s="383"/>
      <c r="AB38" s="383"/>
      <c r="AC38" s="383"/>
      <c r="AD38" s="383"/>
      <c r="AE38" s="383"/>
      <c r="AF38" s="383"/>
      <c r="AG38" s="383"/>
      <c r="AH38" s="383"/>
      <c r="AI38" s="383"/>
      <c r="AJ38" s="383"/>
      <c r="AK38" s="383"/>
      <c r="AL38" s="383"/>
      <c r="AM38" s="383"/>
      <c r="AN38" s="383"/>
      <c r="AO38" s="383"/>
      <c r="AP38" s="383"/>
      <c r="AQ38" s="383"/>
      <c r="AR38" s="383"/>
      <c r="AS38" s="383"/>
      <c r="AT38" s="383"/>
      <c r="AU38" s="383"/>
      <c r="AV38" s="383"/>
      <c r="AW38" s="383"/>
      <c r="AX38" s="383"/>
      <c r="AY38" s="393"/>
      <c r="AZ38" s="393"/>
      <c r="BA38" s="393"/>
      <c r="BB38" s="393"/>
      <c r="BC38" s="393"/>
      <c r="BD38" s="393"/>
      <c r="BE38" s="393"/>
      <c r="BF38" s="393"/>
      <c r="BG38" s="393"/>
      <c r="BH38" s="393"/>
      <c r="BI38" s="393"/>
      <c r="BJ38" s="393"/>
      <c r="BK38" s="393"/>
      <c r="BL38" s="393"/>
      <c r="BM38" s="393"/>
      <c r="BN38" s="393"/>
      <c r="BO38" s="393"/>
      <c r="BP38" s="393"/>
      <c r="BQ38" s="393"/>
      <c r="BR38" s="393"/>
      <c r="BS38" s="393"/>
    </row>
    <row r="39" spans="1:71" ht="11.25" hidden="1" customHeight="1" outlineLevel="1" x14ac:dyDescent="0.3">
      <c r="A39" s="566" t="s">
        <v>1825</v>
      </c>
      <c r="B39" s="567">
        <v>6.89</v>
      </c>
      <c r="C39" s="568">
        <f>B39*$C$33</f>
        <v>7.2551699999999988</v>
      </c>
      <c r="D39" s="569">
        <f t="shared" si="21"/>
        <v>7.6542043499999979</v>
      </c>
      <c r="E39" s="569">
        <f t="shared" si="22"/>
        <v>8.0445687718499972</v>
      </c>
      <c r="F39" s="569">
        <f t="shared" si="23"/>
        <v>8.6640005672824465</v>
      </c>
      <c r="G39" s="569">
        <f t="shared" si="24"/>
        <v>9.2011686024539578</v>
      </c>
      <c r="H39" s="569">
        <v>9.7100000000000009</v>
      </c>
      <c r="I39" s="569">
        <f t="shared" si="25"/>
        <v>10.389700000000001</v>
      </c>
      <c r="J39" s="569">
        <f t="shared" si="26"/>
        <v>10.992302600000002</v>
      </c>
      <c r="K39" s="570">
        <f t="shared" si="26"/>
        <v>11.629856150800002</v>
      </c>
      <c r="L39" s="565">
        <f t="shared" si="27"/>
        <v>12.478835649808401</v>
      </c>
      <c r="M39" s="565">
        <f>L39*M$33</f>
        <v>13.227565788796905</v>
      </c>
      <c r="N39" s="383"/>
      <c r="O39" s="383"/>
      <c r="P39" s="383"/>
      <c r="Q39" s="383"/>
      <c r="R39" s="383"/>
      <c r="S39" s="383"/>
      <c r="T39" s="383"/>
      <c r="U39" s="383"/>
      <c r="V39" s="383"/>
      <c r="W39" s="383"/>
      <c r="X39" s="383"/>
      <c r="Y39" s="383"/>
      <c r="Z39" s="383"/>
      <c r="AA39" s="383"/>
      <c r="AB39" s="383"/>
      <c r="AC39" s="383"/>
      <c r="AD39" s="383"/>
      <c r="AE39" s="383"/>
      <c r="AF39" s="383"/>
      <c r="AG39" s="383"/>
      <c r="AH39" s="383"/>
      <c r="AI39" s="383"/>
      <c r="AJ39" s="383"/>
      <c r="AK39" s="383"/>
      <c r="AL39" s="383"/>
      <c r="AM39" s="383"/>
      <c r="AN39" s="383"/>
      <c r="AO39" s="383"/>
      <c r="AP39" s="383"/>
      <c r="AQ39" s="383"/>
      <c r="AR39" s="383"/>
      <c r="AS39" s="383"/>
      <c r="AT39" s="383"/>
      <c r="AU39" s="383"/>
      <c r="AV39" s="383"/>
      <c r="AW39" s="383"/>
      <c r="AX39" s="383"/>
      <c r="AY39" s="393"/>
      <c r="AZ39" s="393"/>
      <c r="BA39" s="393"/>
      <c r="BB39" s="393"/>
      <c r="BC39" s="393"/>
      <c r="BD39" s="393"/>
      <c r="BE39" s="393"/>
      <c r="BF39" s="393"/>
      <c r="BG39" s="393"/>
      <c r="BH39" s="393"/>
      <c r="BI39" s="393"/>
      <c r="BJ39" s="393"/>
      <c r="BK39" s="393"/>
      <c r="BL39" s="393"/>
      <c r="BM39" s="393"/>
      <c r="BN39" s="393"/>
      <c r="BO39" s="393"/>
      <c r="BP39" s="393"/>
      <c r="BQ39" s="393"/>
      <c r="BR39" s="393"/>
      <c r="BS39" s="393"/>
    </row>
    <row r="40" spans="1:71" ht="11.25" hidden="1" customHeight="1" outlineLevel="1" x14ac:dyDescent="0.3">
      <c r="A40" s="571"/>
      <c r="B40" s="1099" t="s">
        <v>1799</v>
      </c>
      <c r="C40" s="1087"/>
      <c r="D40" s="1087"/>
      <c r="E40" s="1087"/>
      <c r="F40" s="1087"/>
      <c r="G40" s="1087"/>
      <c r="H40" s="1087"/>
      <c r="I40" s="1087"/>
      <c r="J40" s="1087"/>
      <c r="K40" s="1087"/>
      <c r="L40" s="1087"/>
      <c r="M40" s="1088"/>
      <c r="N40" s="383"/>
      <c r="O40" s="383"/>
      <c r="P40" s="383"/>
      <c r="Q40" s="383"/>
      <c r="R40" s="383"/>
      <c r="S40" s="383"/>
      <c r="T40" s="383"/>
      <c r="U40" s="383"/>
      <c r="V40" s="383"/>
      <c r="W40" s="383"/>
      <c r="X40" s="383"/>
      <c r="Y40" s="383"/>
      <c r="Z40" s="383"/>
      <c r="AA40" s="383"/>
      <c r="AB40" s="383"/>
      <c r="AC40" s="383"/>
      <c r="AD40" s="383"/>
      <c r="AE40" s="383"/>
      <c r="AF40" s="383"/>
      <c r="AG40" s="383"/>
      <c r="AH40" s="383"/>
      <c r="AI40" s="383"/>
      <c r="AJ40" s="383"/>
      <c r="AK40" s="383"/>
      <c r="AL40" s="383"/>
      <c r="AM40" s="383"/>
      <c r="AN40" s="383"/>
      <c r="AO40" s="383"/>
      <c r="AP40" s="383"/>
      <c r="AQ40" s="383"/>
      <c r="AR40" s="383"/>
      <c r="AS40" s="383"/>
      <c r="AT40" s="383"/>
      <c r="AU40" s="383"/>
      <c r="AV40" s="383"/>
      <c r="AW40" s="383"/>
      <c r="AX40" s="383"/>
      <c r="AY40" s="393"/>
      <c r="AZ40" s="393"/>
      <c r="BA40" s="393"/>
      <c r="BB40" s="393"/>
      <c r="BC40" s="393"/>
      <c r="BD40" s="393"/>
      <c r="BE40" s="393"/>
      <c r="BF40" s="393"/>
      <c r="BG40" s="393"/>
      <c r="BH40" s="393"/>
      <c r="BI40" s="393"/>
      <c r="BJ40" s="393"/>
      <c r="BK40" s="393"/>
      <c r="BL40" s="393"/>
      <c r="BM40" s="393"/>
      <c r="BN40" s="393"/>
      <c r="BO40" s="393"/>
      <c r="BP40" s="393"/>
      <c r="BQ40" s="393"/>
      <c r="BR40" s="393"/>
      <c r="BS40" s="393"/>
    </row>
    <row r="41" spans="1:71" ht="11.25" hidden="1" customHeight="1" outlineLevel="1" x14ac:dyDescent="0.3">
      <c r="A41" s="383"/>
      <c r="B41" s="556" t="s">
        <v>1826</v>
      </c>
      <c r="C41" s="556" t="s">
        <v>1827</v>
      </c>
      <c r="D41" s="556" t="s">
        <v>1828</v>
      </c>
      <c r="E41" s="556" t="s">
        <v>1829</v>
      </c>
      <c r="F41" s="556" t="s">
        <v>1830</v>
      </c>
      <c r="G41" s="556" t="s">
        <v>1831</v>
      </c>
      <c r="H41" s="556" t="s">
        <v>1832</v>
      </c>
      <c r="I41" s="556" t="s">
        <v>1833</v>
      </c>
      <c r="J41" s="556" t="s">
        <v>1834</v>
      </c>
      <c r="K41" s="556" t="s">
        <v>1835</v>
      </c>
      <c r="L41" s="556" t="s">
        <v>1836</v>
      </c>
      <c r="M41" s="556" t="s">
        <v>1837</v>
      </c>
      <c r="N41" s="383"/>
      <c r="O41" s="383"/>
      <c r="P41" s="383"/>
      <c r="Q41" s="383"/>
      <c r="R41" s="383"/>
      <c r="S41" s="383"/>
      <c r="T41" s="383"/>
      <c r="U41" s="383"/>
      <c r="V41" s="383"/>
      <c r="W41" s="383"/>
      <c r="X41" s="383"/>
      <c r="Y41" s="383"/>
      <c r="Z41" s="383"/>
      <c r="AA41" s="383"/>
      <c r="AB41" s="383"/>
      <c r="AC41" s="383"/>
      <c r="AD41" s="383"/>
      <c r="AE41" s="383"/>
      <c r="AF41" s="383"/>
      <c r="AG41" s="383"/>
      <c r="AH41" s="383"/>
      <c r="AI41" s="383"/>
      <c r="AJ41" s="383"/>
      <c r="AK41" s="383"/>
      <c r="AL41" s="383"/>
      <c r="AM41" s="383"/>
      <c r="AN41" s="383"/>
      <c r="AO41" s="383"/>
      <c r="AP41" s="383"/>
      <c r="AQ41" s="383"/>
      <c r="AR41" s="383"/>
      <c r="AS41" s="383"/>
      <c r="AT41" s="383"/>
      <c r="AU41" s="383"/>
      <c r="AV41" s="383"/>
      <c r="AW41" s="383"/>
      <c r="AX41" s="383"/>
      <c r="AY41" s="393"/>
      <c r="AZ41" s="393"/>
      <c r="BA41" s="393"/>
      <c r="BB41" s="393"/>
      <c r="BC41" s="393"/>
      <c r="BD41" s="393"/>
      <c r="BE41" s="393"/>
      <c r="BF41" s="393"/>
      <c r="BG41" s="393"/>
      <c r="BH41" s="393"/>
      <c r="BI41" s="393"/>
      <c r="BJ41" s="393"/>
      <c r="BK41" s="393"/>
      <c r="BL41" s="393"/>
      <c r="BM41" s="393"/>
      <c r="BN41" s="393"/>
      <c r="BO41" s="393"/>
      <c r="BP41" s="393"/>
      <c r="BQ41" s="393"/>
      <c r="BR41" s="393"/>
      <c r="BS41" s="393"/>
    </row>
    <row r="42" spans="1:71" ht="11.25" hidden="1" customHeight="1" outlineLevel="1" x14ac:dyDescent="0.3">
      <c r="A42" s="383"/>
      <c r="B42" s="556" t="s">
        <v>1838</v>
      </c>
      <c r="C42" s="556" t="s">
        <v>1839</v>
      </c>
      <c r="D42" s="556" t="s">
        <v>1840</v>
      </c>
      <c r="E42" s="556" t="s">
        <v>1841</v>
      </c>
      <c r="F42" s="556" t="s">
        <v>1842</v>
      </c>
      <c r="G42" s="556" t="s">
        <v>1843</v>
      </c>
      <c r="H42" s="556" t="s">
        <v>1844</v>
      </c>
      <c r="I42" s="556" t="s">
        <v>1845</v>
      </c>
      <c r="J42" s="556" t="s">
        <v>1846</v>
      </c>
      <c r="K42" s="556" t="s">
        <v>1847</v>
      </c>
      <c r="L42" s="556" t="s">
        <v>1848</v>
      </c>
      <c r="M42" s="556" t="s">
        <v>1849</v>
      </c>
      <c r="N42" s="383"/>
      <c r="O42" s="383"/>
      <c r="P42" s="383"/>
      <c r="Q42" s="383"/>
      <c r="R42" s="383"/>
      <c r="S42" s="383"/>
      <c r="T42" s="383"/>
      <c r="U42" s="383"/>
      <c r="V42" s="383"/>
      <c r="W42" s="383"/>
      <c r="X42" s="383"/>
      <c r="Y42" s="383"/>
      <c r="Z42" s="383"/>
      <c r="AA42" s="383"/>
      <c r="AB42" s="383"/>
      <c r="AC42" s="383"/>
      <c r="AD42" s="383"/>
      <c r="AE42" s="383"/>
      <c r="AF42" s="383"/>
      <c r="AG42" s="383"/>
      <c r="AH42" s="383"/>
      <c r="AI42" s="383"/>
      <c r="AJ42" s="383"/>
      <c r="AK42" s="383"/>
      <c r="AL42" s="383"/>
      <c r="AM42" s="383"/>
      <c r="AN42" s="383"/>
      <c r="AO42" s="383"/>
      <c r="AP42" s="383"/>
      <c r="AQ42" s="383"/>
      <c r="AR42" s="383"/>
      <c r="AS42" s="383"/>
      <c r="AT42" s="383"/>
      <c r="AU42" s="383"/>
      <c r="AV42" s="383"/>
      <c r="AW42" s="383"/>
      <c r="AX42" s="383"/>
      <c r="AY42" s="393"/>
      <c r="AZ42" s="393"/>
      <c r="BA42" s="393"/>
      <c r="BB42" s="393"/>
      <c r="BC42" s="393"/>
      <c r="BD42" s="393"/>
      <c r="BE42" s="393"/>
      <c r="BF42" s="393"/>
      <c r="BG42" s="393"/>
      <c r="BH42" s="393"/>
      <c r="BI42" s="393"/>
      <c r="BJ42" s="393"/>
      <c r="BK42" s="393"/>
      <c r="BL42" s="393"/>
      <c r="BM42" s="393"/>
      <c r="BN42" s="393"/>
      <c r="BO42" s="393"/>
      <c r="BP42" s="393"/>
      <c r="BQ42" s="393"/>
      <c r="BR42" s="393"/>
      <c r="BS42" s="393"/>
    </row>
    <row r="43" spans="1:71" ht="11.25" hidden="1" customHeight="1" outlineLevel="1" x14ac:dyDescent="0.3">
      <c r="A43" s="556" t="s">
        <v>1823</v>
      </c>
      <c r="B43" s="558">
        <v>1.071</v>
      </c>
      <c r="C43" s="558">
        <v>1.0780000000000001</v>
      </c>
      <c r="D43" s="558">
        <v>1.075</v>
      </c>
      <c r="E43" s="558">
        <v>1.071</v>
      </c>
      <c r="F43" s="558">
        <v>1.073</v>
      </c>
      <c r="G43" s="558">
        <v>1.1080000000000001</v>
      </c>
      <c r="H43" s="558">
        <v>1.1200000000000001</v>
      </c>
      <c r="I43" s="558">
        <v>1.0940000000000001</v>
      </c>
      <c r="J43" s="558">
        <v>1.119</v>
      </c>
      <c r="K43" s="558">
        <v>1.2110000000000001</v>
      </c>
      <c r="L43" s="558">
        <v>1.2170000000000001</v>
      </c>
      <c r="M43" s="558">
        <v>1.141</v>
      </c>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93"/>
      <c r="AZ43" s="393"/>
      <c r="BA43" s="393"/>
      <c r="BB43" s="393"/>
      <c r="BC43" s="393"/>
      <c r="BD43" s="393"/>
      <c r="BE43" s="393"/>
      <c r="BF43" s="393"/>
      <c r="BG43" s="393"/>
      <c r="BH43" s="393"/>
      <c r="BI43" s="393"/>
      <c r="BJ43" s="393"/>
      <c r="BK43" s="393"/>
      <c r="BL43" s="393"/>
      <c r="BM43" s="393"/>
      <c r="BN43" s="393"/>
      <c r="BO43" s="393"/>
      <c r="BP43" s="393"/>
      <c r="BQ43" s="393"/>
      <c r="BR43" s="393"/>
      <c r="BS43" s="393"/>
    </row>
    <row r="44" spans="1:71" ht="11.25" hidden="1" customHeight="1" outlineLevel="1" x14ac:dyDescent="0.3">
      <c r="A44" s="560" t="s">
        <v>1779</v>
      </c>
      <c r="B44" s="565">
        <f t="shared" ref="B44:B49" si="28">M34*$B$43</f>
        <v>1041476.4673302521</v>
      </c>
      <c r="C44" s="565">
        <f t="shared" ref="C44:C49" si="29">B44*$C$43</f>
        <v>1122711.6317820118</v>
      </c>
      <c r="D44" s="565">
        <f>C44*$D$43</f>
        <v>1206915.0041656627</v>
      </c>
      <c r="E44" s="565">
        <f t="shared" ref="E44:E49" si="30">D44*$E$43</f>
        <v>1292605.9694614247</v>
      </c>
      <c r="F44" s="565">
        <f t="shared" ref="F44:F49" si="31">E44*$F$43</f>
        <v>1386966.2052321087</v>
      </c>
      <c r="G44" s="565">
        <f t="shared" ref="G44:G49" si="32">F44*$G$43</f>
        <v>1536758.5553971766</v>
      </c>
      <c r="H44" s="565">
        <f t="shared" ref="H44:M48" si="33">G44*H$43</f>
        <v>1721169.582044838</v>
      </c>
      <c r="I44" s="565">
        <f t="shared" si="33"/>
        <v>1882959.5227570529</v>
      </c>
      <c r="J44" s="565">
        <f t="shared" si="33"/>
        <v>2107031.7059651422</v>
      </c>
      <c r="K44" s="565">
        <f t="shared" si="33"/>
        <v>2551615.3959237873</v>
      </c>
      <c r="L44" s="565">
        <f t="shared" si="33"/>
        <v>3105315.9368392495</v>
      </c>
      <c r="M44" s="565">
        <f t="shared" si="33"/>
        <v>3543165.4839335838</v>
      </c>
      <c r="N44" s="383"/>
      <c r="O44" s="383"/>
      <c r="P44" s="383"/>
      <c r="Q44" s="383"/>
      <c r="R44" s="383"/>
      <c r="S44" s="383"/>
      <c r="T44" s="383"/>
      <c r="U44" s="383"/>
      <c r="V44" s="383"/>
      <c r="W44" s="383"/>
      <c r="X44" s="383"/>
      <c r="Y44" s="383"/>
      <c r="Z44" s="383"/>
      <c r="AA44" s="383"/>
      <c r="AB44" s="383"/>
      <c r="AC44" s="383"/>
      <c r="AD44" s="383"/>
      <c r="AE44" s="383"/>
      <c r="AF44" s="383"/>
      <c r="AG44" s="383"/>
      <c r="AH44" s="383"/>
      <c r="AI44" s="383"/>
      <c r="AJ44" s="383"/>
      <c r="AK44" s="383"/>
      <c r="AL44" s="383"/>
      <c r="AM44" s="383"/>
      <c r="AN44" s="383"/>
      <c r="AO44" s="383"/>
      <c r="AP44" s="383"/>
      <c r="AQ44" s="383"/>
      <c r="AR44" s="383"/>
      <c r="AS44" s="383"/>
      <c r="AT44" s="383"/>
      <c r="AU44" s="383"/>
      <c r="AV44" s="383"/>
      <c r="AW44" s="383"/>
      <c r="AX44" s="383"/>
      <c r="AY44" s="393"/>
      <c r="AZ44" s="393"/>
      <c r="BA44" s="393"/>
      <c r="BB44" s="393"/>
      <c r="BC44" s="393"/>
      <c r="BD44" s="393"/>
      <c r="BE44" s="393"/>
      <c r="BF44" s="393"/>
      <c r="BG44" s="393"/>
      <c r="BH44" s="393"/>
      <c r="BI44" s="393"/>
      <c r="BJ44" s="393"/>
      <c r="BK44" s="393"/>
      <c r="BL44" s="393"/>
      <c r="BM44" s="393"/>
      <c r="BN44" s="393"/>
      <c r="BO44" s="393"/>
      <c r="BP44" s="393"/>
      <c r="BQ44" s="393"/>
      <c r="BR44" s="393"/>
      <c r="BS44" s="393"/>
    </row>
    <row r="45" spans="1:71" ht="11.25" hidden="1" customHeight="1" outlineLevel="1" x14ac:dyDescent="0.3">
      <c r="A45" s="560" t="s">
        <v>1780</v>
      </c>
      <c r="B45" s="565">
        <f t="shared" si="28"/>
        <v>82.196748806635597</v>
      </c>
      <c r="C45" s="565">
        <f t="shared" si="29"/>
        <v>88.608095213553185</v>
      </c>
      <c r="D45" s="565">
        <f>C45*$D$43</f>
        <v>95.253702354569668</v>
      </c>
      <c r="E45" s="565">
        <f t="shared" si="30"/>
        <v>102.01671522174411</v>
      </c>
      <c r="F45" s="565">
        <f t="shared" si="31"/>
        <v>109.46393543293142</v>
      </c>
      <c r="G45" s="565">
        <f t="shared" si="32"/>
        <v>121.28604045968802</v>
      </c>
      <c r="H45" s="565">
        <f t="shared" si="33"/>
        <v>135.8403653148506</v>
      </c>
      <c r="I45" s="565">
        <f t="shared" si="33"/>
        <v>148.60935965444656</v>
      </c>
      <c r="J45" s="565">
        <f t="shared" si="33"/>
        <v>166.29387345332572</v>
      </c>
      <c r="K45" s="565">
        <f t="shared" si="33"/>
        <v>201.38188075197746</v>
      </c>
      <c r="L45" s="565">
        <f t="shared" si="33"/>
        <v>245.08174887515659</v>
      </c>
      <c r="M45" s="565">
        <f t="shared" si="33"/>
        <v>279.63827546655369</v>
      </c>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93"/>
      <c r="AZ45" s="393"/>
      <c r="BA45" s="393"/>
      <c r="BB45" s="393"/>
      <c r="BC45" s="393"/>
      <c r="BD45" s="393"/>
      <c r="BE45" s="393"/>
      <c r="BF45" s="393"/>
      <c r="BG45" s="393"/>
      <c r="BH45" s="393"/>
      <c r="BI45" s="393"/>
      <c r="BJ45" s="393"/>
      <c r="BK45" s="393"/>
      <c r="BL45" s="393"/>
      <c r="BM45" s="393"/>
      <c r="BN45" s="393"/>
      <c r="BO45" s="393"/>
      <c r="BP45" s="393"/>
      <c r="BQ45" s="393"/>
      <c r="BR45" s="393"/>
      <c r="BS45" s="393"/>
    </row>
    <row r="46" spans="1:71" ht="11.25" hidden="1" customHeight="1" outlineLevel="1" x14ac:dyDescent="0.3">
      <c r="A46" s="560" t="s">
        <v>1781</v>
      </c>
      <c r="B46" s="565">
        <f t="shared" si="28"/>
        <v>92401.778650840424</v>
      </c>
      <c r="C46" s="565">
        <f t="shared" si="29"/>
        <v>99609.11738560599</v>
      </c>
      <c r="D46" s="565">
        <f>C46*$D$43</f>
        <v>107079.80118952644</v>
      </c>
      <c r="E46" s="565">
        <f t="shared" si="30"/>
        <v>114682.46707398281</v>
      </c>
      <c r="F46" s="565">
        <f t="shared" si="31"/>
        <v>123054.28717038356</v>
      </c>
      <c r="G46" s="565">
        <f t="shared" si="32"/>
        <v>136344.15018478499</v>
      </c>
      <c r="H46" s="565">
        <f t="shared" si="33"/>
        <v>152705.4482069592</v>
      </c>
      <c r="I46" s="565">
        <f t="shared" si="33"/>
        <v>167059.76033841338</v>
      </c>
      <c r="J46" s="565">
        <f t="shared" si="33"/>
        <v>186939.87181868457</v>
      </c>
      <c r="K46" s="565">
        <f t="shared" si="33"/>
        <v>226384.18477242702</v>
      </c>
      <c r="L46" s="565">
        <f t="shared" si="33"/>
        <v>275509.55286804371</v>
      </c>
      <c r="M46" s="565">
        <f t="shared" si="33"/>
        <v>314356.3998224379</v>
      </c>
      <c r="N46" s="383"/>
      <c r="O46" s="383"/>
      <c r="P46" s="383"/>
      <c r="Q46" s="383"/>
      <c r="R46" s="383"/>
      <c r="S46" s="383"/>
      <c r="T46" s="383"/>
      <c r="U46" s="383"/>
      <c r="V46" s="383"/>
      <c r="W46" s="383"/>
      <c r="X46" s="383"/>
      <c r="Y46" s="383"/>
      <c r="Z46" s="383"/>
      <c r="AA46" s="383"/>
      <c r="AB46" s="383"/>
      <c r="AC46" s="383"/>
      <c r="AD46" s="383"/>
      <c r="AE46" s="383"/>
      <c r="AF46" s="383"/>
      <c r="AG46" s="383"/>
      <c r="AH46" s="383"/>
      <c r="AI46" s="383"/>
      <c r="AJ46" s="383"/>
      <c r="AK46" s="383"/>
      <c r="AL46" s="383"/>
      <c r="AM46" s="383"/>
      <c r="AN46" s="383"/>
      <c r="AO46" s="383"/>
      <c r="AP46" s="383"/>
      <c r="AQ46" s="383"/>
      <c r="AR46" s="383"/>
      <c r="AS46" s="383"/>
      <c r="AT46" s="383"/>
      <c r="AU46" s="383"/>
      <c r="AV46" s="383"/>
      <c r="AW46" s="383"/>
      <c r="AX46" s="383"/>
      <c r="AY46" s="393"/>
      <c r="AZ46" s="393"/>
      <c r="BA46" s="393"/>
      <c r="BB46" s="393"/>
      <c r="BC46" s="393"/>
      <c r="BD46" s="393"/>
      <c r="BE46" s="393"/>
      <c r="BF46" s="393"/>
      <c r="BG46" s="393"/>
      <c r="BH46" s="393"/>
      <c r="BI46" s="393"/>
      <c r="BJ46" s="393"/>
      <c r="BK46" s="393"/>
      <c r="BL46" s="393"/>
      <c r="BM46" s="393"/>
      <c r="BN46" s="393"/>
      <c r="BO46" s="393"/>
      <c r="BP46" s="393"/>
      <c r="BQ46" s="393"/>
      <c r="BR46" s="393"/>
      <c r="BS46" s="393"/>
    </row>
    <row r="47" spans="1:71" ht="11.25" hidden="1" customHeight="1" outlineLevel="1" x14ac:dyDescent="0.3">
      <c r="A47" s="560" t="s">
        <v>1782</v>
      </c>
      <c r="B47" s="565">
        <f t="shared" si="28"/>
        <v>4541.04</v>
      </c>
      <c r="C47" s="565">
        <f t="shared" si="29"/>
        <v>4895.2411200000006</v>
      </c>
      <c r="D47" s="565">
        <f>C47*$D$43</f>
        <v>5262.3842040000009</v>
      </c>
      <c r="E47" s="565">
        <f t="shared" si="30"/>
        <v>5636.0134824840006</v>
      </c>
      <c r="F47" s="565">
        <f t="shared" si="31"/>
        <v>6047.4424667053327</v>
      </c>
      <c r="G47" s="565">
        <f t="shared" si="32"/>
        <v>6700.5662531095095</v>
      </c>
      <c r="H47" s="565">
        <f t="shared" si="33"/>
        <v>7504.6342034826512</v>
      </c>
      <c r="I47" s="565">
        <f t="shared" si="33"/>
        <v>8210.0698186100217</v>
      </c>
      <c r="J47" s="565">
        <f t="shared" si="33"/>
        <v>9187.068127024615</v>
      </c>
      <c r="K47" s="565">
        <f t="shared" si="33"/>
        <v>11125.53950182681</v>
      </c>
      <c r="L47" s="565">
        <f t="shared" si="33"/>
        <v>13539.781573723229</v>
      </c>
      <c r="M47" s="565">
        <f t="shared" si="33"/>
        <v>15448.890775618203</v>
      </c>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3"/>
      <c r="AW47" s="383"/>
      <c r="AX47" s="383"/>
      <c r="AY47" s="393"/>
      <c r="AZ47" s="393"/>
      <c r="BA47" s="393"/>
      <c r="BB47" s="393"/>
      <c r="BC47" s="393"/>
      <c r="BD47" s="393"/>
      <c r="BE47" s="393"/>
      <c r="BF47" s="393"/>
      <c r="BG47" s="393"/>
      <c r="BH47" s="393"/>
      <c r="BI47" s="393"/>
      <c r="BJ47" s="393"/>
      <c r="BK47" s="393"/>
      <c r="BL47" s="393"/>
      <c r="BM47" s="393"/>
      <c r="BN47" s="393"/>
      <c r="BO47" s="393"/>
      <c r="BP47" s="393"/>
      <c r="BQ47" s="393"/>
      <c r="BR47" s="393"/>
      <c r="BS47" s="393"/>
    </row>
    <row r="48" spans="1:71" ht="11.25" hidden="1" customHeight="1" outlineLevel="1" x14ac:dyDescent="0.3">
      <c r="A48" s="560" t="s">
        <v>1824</v>
      </c>
      <c r="B48" s="565">
        <f t="shared" si="28"/>
        <v>169934.31975435425</v>
      </c>
      <c r="C48" s="565">
        <f t="shared" si="29"/>
        <v>183189.19669519388</v>
      </c>
      <c r="D48" s="565">
        <f>C48*$D$43</f>
        <v>196928.38644733341</v>
      </c>
      <c r="E48" s="565">
        <f t="shared" si="30"/>
        <v>210910.30188509409</v>
      </c>
      <c r="F48" s="565">
        <f t="shared" si="31"/>
        <v>226306.75392270595</v>
      </c>
      <c r="G48" s="565">
        <f t="shared" si="32"/>
        <v>250747.8833463582</v>
      </c>
      <c r="H48" s="565">
        <f t="shared" si="33"/>
        <v>280837.62934792123</v>
      </c>
      <c r="I48" s="565">
        <f t="shared" si="33"/>
        <v>307236.36650662584</v>
      </c>
      <c r="J48" s="565">
        <f t="shared" si="33"/>
        <v>343797.49412091431</v>
      </c>
      <c r="K48" s="565">
        <f t="shared" si="33"/>
        <v>416338.76538042724</v>
      </c>
      <c r="L48" s="565">
        <f t="shared" si="33"/>
        <v>506684.27746797999</v>
      </c>
      <c r="M48" s="565">
        <f t="shared" si="33"/>
        <v>578126.76059096516</v>
      </c>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93"/>
      <c r="AZ48" s="393"/>
      <c r="BA48" s="393"/>
      <c r="BB48" s="393"/>
      <c r="BC48" s="393"/>
      <c r="BD48" s="393"/>
      <c r="BE48" s="393"/>
      <c r="BF48" s="393"/>
      <c r="BG48" s="393"/>
      <c r="BH48" s="393"/>
      <c r="BI48" s="393"/>
      <c r="BJ48" s="393"/>
      <c r="BK48" s="393"/>
      <c r="BL48" s="393"/>
      <c r="BM48" s="393"/>
      <c r="BN48" s="393"/>
      <c r="BO48" s="393"/>
      <c r="BP48" s="393"/>
      <c r="BQ48" s="393"/>
      <c r="BR48" s="393"/>
      <c r="BS48" s="393"/>
    </row>
    <row r="49" spans="1:71" ht="11.25" hidden="1" customHeight="1" outlineLevel="1" x14ac:dyDescent="0.3">
      <c r="A49" s="560" t="s">
        <v>1825</v>
      </c>
      <c r="B49" s="565">
        <f t="shared" si="28"/>
        <v>14.166722959801485</v>
      </c>
      <c r="C49" s="565">
        <f t="shared" si="29"/>
        <v>15.271727350666001</v>
      </c>
      <c r="D49" s="565">
        <v>16.420000000000002</v>
      </c>
      <c r="E49" s="565">
        <f t="shared" si="30"/>
        <v>17.585820000000002</v>
      </c>
      <c r="F49" s="565">
        <f t="shared" si="31"/>
        <v>18.86958486</v>
      </c>
      <c r="G49" s="565">
        <f t="shared" si="32"/>
        <v>20.907500024880001</v>
      </c>
      <c r="H49" s="565">
        <f>G49*H$43</f>
        <v>23.416400027865603</v>
      </c>
      <c r="I49" s="565">
        <f>H49*I$43</f>
        <v>25.617541630484972</v>
      </c>
      <c r="J49" s="565">
        <f>I49*J$43</f>
        <v>28.666029084512683</v>
      </c>
      <c r="K49" s="565">
        <v>34.72</v>
      </c>
      <c r="L49" s="565">
        <v>42.256999999999998</v>
      </c>
      <c r="M49" s="565">
        <f>L49*M$43</f>
        <v>48.215236999999995</v>
      </c>
      <c r="N49" s="383"/>
      <c r="O49" s="383"/>
      <c r="P49" s="383"/>
      <c r="Q49" s="383"/>
      <c r="R49" s="383"/>
      <c r="S49" s="383"/>
      <c r="T49" s="383"/>
      <c r="U49" s="383"/>
      <c r="V49" s="383"/>
      <c r="W49" s="383"/>
      <c r="X49" s="383"/>
      <c r="Y49" s="383"/>
      <c r="Z49" s="383"/>
      <c r="AA49" s="383"/>
      <c r="AB49" s="383"/>
      <c r="AC49" s="383"/>
      <c r="AD49" s="383"/>
      <c r="AE49" s="383"/>
      <c r="AF49" s="383"/>
      <c r="AG49" s="383"/>
      <c r="AH49" s="383"/>
      <c r="AI49" s="383"/>
      <c r="AJ49" s="383"/>
      <c r="AK49" s="383"/>
      <c r="AL49" s="383"/>
      <c r="AM49" s="383"/>
      <c r="AN49" s="383"/>
      <c r="AO49" s="383"/>
      <c r="AP49" s="383"/>
      <c r="AQ49" s="383"/>
      <c r="AR49" s="383"/>
      <c r="AS49" s="383"/>
      <c r="AT49" s="383"/>
      <c r="AU49" s="383"/>
      <c r="AV49" s="383"/>
      <c r="AW49" s="383"/>
      <c r="AX49" s="383"/>
      <c r="AY49" s="393"/>
      <c r="AZ49" s="393"/>
      <c r="BA49" s="393"/>
      <c r="BB49" s="393"/>
      <c r="BC49" s="393"/>
      <c r="BD49" s="393"/>
      <c r="BE49" s="393"/>
      <c r="BF49" s="393"/>
      <c r="BG49" s="393"/>
      <c r="BH49" s="393"/>
      <c r="BI49" s="393"/>
      <c r="BJ49" s="393"/>
      <c r="BK49" s="393"/>
      <c r="BL49" s="393"/>
      <c r="BM49" s="393"/>
      <c r="BN49" s="393"/>
      <c r="BO49" s="393"/>
      <c r="BP49" s="393"/>
      <c r="BQ49" s="393"/>
      <c r="BR49" s="393"/>
      <c r="BS49" s="393"/>
    </row>
    <row r="50" spans="1:71" ht="11.25" hidden="1" customHeight="1" outlineLevel="1" x14ac:dyDescent="0.3">
      <c r="A50" s="571"/>
      <c r="B50" s="1099" t="s">
        <v>1799</v>
      </c>
      <c r="C50" s="1087"/>
      <c r="D50" s="1087"/>
      <c r="E50" s="1087"/>
      <c r="F50" s="1087"/>
      <c r="G50" s="1087"/>
      <c r="H50" s="1087"/>
      <c r="I50" s="1087"/>
      <c r="J50" s="1087"/>
      <c r="K50" s="1087"/>
      <c r="L50" s="1087"/>
      <c r="M50" s="1088"/>
      <c r="N50" s="383"/>
      <c r="O50" s="383"/>
      <c r="P50" s="383"/>
      <c r="Q50" s="383"/>
      <c r="R50" s="383"/>
      <c r="S50" s="383"/>
      <c r="T50" s="383"/>
      <c r="U50" s="383"/>
      <c r="V50" s="383"/>
      <c r="W50" s="383"/>
      <c r="X50" s="383"/>
      <c r="Y50" s="383"/>
      <c r="Z50" s="383"/>
      <c r="AA50" s="383"/>
      <c r="AB50" s="383"/>
      <c r="AC50" s="383"/>
      <c r="AD50" s="383"/>
      <c r="AE50" s="383"/>
      <c r="AF50" s="383"/>
      <c r="AG50" s="383"/>
      <c r="AH50" s="383"/>
      <c r="AI50" s="383"/>
      <c r="AJ50" s="383"/>
      <c r="AK50" s="383"/>
      <c r="AL50" s="383"/>
      <c r="AM50" s="383"/>
      <c r="AN50" s="383"/>
      <c r="AO50" s="383"/>
      <c r="AP50" s="383"/>
      <c r="AQ50" s="383"/>
      <c r="AR50" s="383"/>
      <c r="AS50" s="383"/>
      <c r="AT50" s="383"/>
      <c r="AU50" s="383"/>
      <c r="AV50" s="383"/>
      <c r="AW50" s="383"/>
      <c r="AX50" s="383"/>
      <c r="AY50" s="393"/>
      <c r="AZ50" s="393"/>
      <c r="BA50" s="393"/>
      <c r="BB50" s="393"/>
      <c r="BC50" s="393"/>
      <c r="BD50" s="393"/>
      <c r="BE50" s="393"/>
      <c r="BF50" s="393"/>
      <c r="BG50" s="393"/>
      <c r="BH50" s="393"/>
      <c r="BI50" s="393"/>
      <c r="BJ50" s="393"/>
      <c r="BK50" s="393"/>
      <c r="BL50" s="393"/>
      <c r="BM50" s="393"/>
      <c r="BN50" s="393"/>
      <c r="BO50" s="393"/>
      <c r="BP50" s="393"/>
      <c r="BQ50" s="393"/>
      <c r="BR50" s="393"/>
      <c r="BS50" s="393"/>
    </row>
    <row r="51" spans="1:71" ht="11.25" hidden="1" customHeight="1" outlineLevel="1" x14ac:dyDescent="0.3">
      <c r="A51" s="275"/>
      <c r="B51" s="556" t="s">
        <v>1850</v>
      </c>
      <c r="C51" s="556" t="s">
        <v>1851</v>
      </c>
      <c r="D51" s="556" t="s">
        <v>1852</v>
      </c>
      <c r="E51" s="556" t="s">
        <v>1853</v>
      </c>
      <c r="F51" s="556" t="s">
        <v>1854</v>
      </c>
      <c r="G51" s="556" t="s">
        <v>1855</v>
      </c>
      <c r="H51" s="556" t="s">
        <v>1856</v>
      </c>
      <c r="I51" s="556" t="s">
        <v>1857</v>
      </c>
      <c r="J51" s="556" t="s">
        <v>1858</v>
      </c>
      <c r="K51" s="556" t="s">
        <v>1859</v>
      </c>
      <c r="L51" s="556" t="s">
        <v>1860</v>
      </c>
      <c r="M51" s="556" t="s">
        <v>1861</v>
      </c>
      <c r="N51" s="383"/>
      <c r="O51" s="383"/>
      <c r="P51" s="383"/>
      <c r="Q51" s="383"/>
      <c r="R51" s="383"/>
      <c r="S51" s="383"/>
      <c r="T51" s="383"/>
      <c r="U51" s="383"/>
      <c r="V51" s="383"/>
      <c r="W51" s="383"/>
      <c r="X51" s="383"/>
      <c r="Y51" s="383"/>
      <c r="Z51" s="383"/>
      <c r="AA51" s="383"/>
      <c r="AB51" s="383"/>
      <c r="AC51" s="383"/>
      <c r="AD51" s="383"/>
      <c r="AE51" s="383"/>
      <c r="AF51" s="383"/>
      <c r="AG51" s="383"/>
      <c r="AH51" s="383"/>
      <c r="AI51" s="383"/>
      <c r="AJ51" s="383"/>
      <c r="AK51" s="383"/>
      <c r="AL51" s="383"/>
      <c r="AM51" s="383"/>
      <c r="AN51" s="383"/>
      <c r="AO51" s="383"/>
      <c r="AP51" s="383"/>
      <c r="AQ51" s="383"/>
      <c r="AR51" s="383"/>
      <c r="AS51" s="383"/>
      <c r="AT51" s="383"/>
      <c r="AU51" s="383"/>
      <c r="AV51" s="383"/>
      <c r="AW51" s="383"/>
      <c r="AX51" s="383"/>
      <c r="AY51" s="393"/>
      <c r="AZ51" s="393"/>
      <c r="BA51" s="393"/>
      <c r="BB51" s="393"/>
      <c r="BC51" s="393"/>
      <c r="BD51" s="393"/>
      <c r="BE51" s="393"/>
      <c r="BF51" s="393"/>
      <c r="BG51" s="393"/>
      <c r="BH51" s="393"/>
      <c r="BI51" s="393"/>
      <c r="BJ51" s="393"/>
      <c r="BK51" s="393"/>
      <c r="BL51" s="393"/>
      <c r="BM51" s="393"/>
      <c r="BN51" s="393"/>
      <c r="BO51" s="393"/>
      <c r="BP51" s="393"/>
      <c r="BQ51" s="393"/>
      <c r="BR51" s="393"/>
      <c r="BS51" s="393"/>
    </row>
    <row r="52" spans="1:71" ht="34.5" hidden="1" customHeight="1" outlineLevel="1" x14ac:dyDescent="0.3">
      <c r="A52" s="275"/>
      <c r="B52" s="556" t="s">
        <v>1862</v>
      </c>
      <c r="C52" s="556" t="s">
        <v>1863</v>
      </c>
      <c r="D52" s="556" t="s">
        <v>1864</v>
      </c>
      <c r="E52" s="556" t="s">
        <v>1865</v>
      </c>
      <c r="F52" s="556" t="s">
        <v>1866</v>
      </c>
      <c r="G52" s="556" t="s">
        <v>1867</v>
      </c>
      <c r="H52" s="556" t="s">
        <v>1868</v>
      </c>
      <c r="I52" s="556" t="s">
        <v>1869</v>
      </c>
      <c r="J52" s="556" t="s">
        <v>1870</v>
      </c>
      <c r="K52" s="556" t="s">
        <v>1871</v>
      </c>
      <c r="L52" s="556" t="s">
        <v>1872</v>
      </c>
      <c r="M52" s="556" t="s">
        <v>1873</v>
      </c>
      <c r="N52" s="383"/>
      <c r="O52" s="383"/>
      <c r="P52" s="383"/>
      <c r="Q52" s="383"/>
      <c r="R52" s="383"/>
      <c r="S52" s="383"/>
      <c r="T52" s="383"/>
      <c r="U52" s="383"/>
      <c r="V52" s="383"/>
      <c r="W52" s="383"/>
      <c r="X52" s="383"/>
      <c r="Y52" s="383"/>
      <c r="Z52" s="383"/>
      <c r="AA52" s="383"/>
      <c r="AB52" s="383"/>
      <c r="AC52" s="383"/>
      <c r="AD52" s="383"/>
      <c r="AE52" s="383"/>
      <c r="AF52" s="383"/>
      <c r="AG52" s="383"/>
      <c r="AH52" s="383"/>
      <c r="AI52" s="383"/>
      <c r="AJ52" s="383"/>
      <c r="AK52" s="383"/>
      <c r="AL52" s="383"/>
      <c r="AM52" s="383"/>
      <c r="AN52" s="383"/>
      <c r="AO52" s="383"/>
      <c r="AP52" s="383"/>
      <c r="AQ52" s="383"/>
      <c r="AR52" s="383"/>
      <c r="AS52" s="383"/>
      <c r="AT52" s="383"/>
      <c r="AU52" s="383"/>
      <c r="AV52" s="383"/>
      <c r="AW52" s="383"/>
      <c r="AX52" s="383"/>
      <c r="AY52" s="393"/>
      <c r="AZ52" s="393"/>
      <c r="BA52" s="393"/>
      <c r="BB52" s="393"/>
      <c r="BC52" s="393"/>
      <c r="BD52" s="393"/>
      <c r="BE52" s="393"/>
      <c r="BF52" s="393"/>
      <c r="BG52" s="393"/>
      <c r="BH52" s="393"/>
      <c r="BI52" s="393"/>
      <c r="BJ52" s="393"/>
      <c r="BK52" s="393"/>
      <c r="BL52" s="393"/>
      <c r="BM52" s="393"/>
      <c r="BN52" s="393"/>
      <c r="BO52" s="393"/>
      <c r="BP52" s="393"/>
      <c r="BQ52" s="393"/>
      <c r="BR52" s="393"/>
      <c r="BS52" s="393"/>
    </row>
    <row r="53" spans="1:71" ht="11.25" hidden="1" customHeight="1" outlineLevel="1" x14ac:dyDescent="0.3">
      <c r="A53" s="556" t="s">
        <v>1823</v>
      </c>
      <c r="B53" s="558">
        <v>1.1319999999999999</v>
      </c>
      <c r="C53" s="558">
        <v>1.0980000000000001</v>
      </c>
      <c r="D53" s="558">
        <v>1.044</v>
      </c>
      <c r="E53" s="558">
        <v>1.048</v>
      </c>
      <c r="F53" s="558">
        <v>1.0509999999999999</v>
      </c>
      <c r="G53" s="558">
        <v>1.042</v>
      </c>
      <c r="H53" s="558">
        <v>1.04</v>
      </c>
      <c r="I53" s="558">
        <v>1.032</v>
      </c>
      <c r="J53" s="558">
        <v>1.032</v>
      </c>
      <c r="K53" s="558">
        <v>1.0329999999999999</v>
      </c>
      <c r="L53" s="558">
        <v>1.0309999999999999</v>
      </c>
      <c r="M53" s="558">
        <v>1.0209999999999999</v>
      </c>
      <c r="N53" s="383"/>
      <c r="O53" s="383"/>
      <c r="P53" s="383"/>
      <c r="Q53" s="383"/>
      <c r="R53" s="383"/>
      <c r="S53" s="383"/>
      <c r="T53" s="383"/>
      <c r="U53" s="383"/>
      <c r="V53" s="383"/>
      <c r="W53" s="383"/>
      <c r="X53" s="383"/>
      <c r="Y53" s="383"/>
      <c r="Z53" s="383"/>
      <c r="AA53" s="383"/>
      <c r="AB53" s="383"/>
      <c r="AC53" s="383"/>
      <c r="AD53" s="383"/>
      <c r="AE53" s="383"/>
      <c r="AF53" s="383"/>
      <c r="AG53" s="383"/>
      <c r="AH53" s="383"/>
      <c r="AI53" s="383"/>
      <c r="AJ53" s="383"/>
      <c r="AK53" s="383"/>
      <c r="AL53" s="383"/>
      <c r="AM53" s="383"/>
      <c r="AN53" s="383"/>
      <c r="AO53" s="383"/>
      <c r="AP53" s="383"/>
      <c r="AQ53" s="383"/>
      <c r="AR53" s="383"/>
      <c r="AS53" s="383"/>
      <c r="AT53" s="383"/>
      <c r="AU53" s="383"/>
      <c r="AV53" s="383"/>
      <c r="AW53" s="383"/>
      <c r="AX53" s="383"/>
      <c r="AY53" s="393"/>
      <c r="AZ53" s="393"/>
      <c r="BA53" s="393"/>
      <c r="BB53" s="393"/>
      <c r="BC53" s="393"/>
      <c r="BD53" s="393"/>
      <c r="BE53" s="393"/>
      <c r="BF53" s="393"/>
      <c r="BG53" s="393"/>
      <c r="BH53" s="393"/>
      <c r="BI53" s="393"/>
      <c r="BJ53" s="393"/>
      <c r="BK53" s="393"/>
      <c r="BL53" s="393"/>
      <c r="BM53" s="393"/>
      <c r="BN53" s="393"/>
      <c r="BO53" s="393"/>
      <c r="BP53" s="393"/>
      <c r="BQ53" s="393"/>
      <c r="BR53" s="393"/>
      <c r="BS53" s="393"/>
    </row>
    <row r="54" spans="1:71" ht="11.25" hidden="1" customHeight="1" outlineLevel="1" x14ac:dyDescent="0.3">
      <c r="A54" s="560" t="s">
        <v>1779</v>
      </c>
      <c r="B54" s="565">
        <f>M44*$B$53</f>
        <v>4010863.3278128165</v>
      </c>
      <c r="C54" s="565">
        <f t="shared" ref="C54:C59" si="34">B54*$C$53</f>
        <v>4403927.9339384725</v>
      </c>
      <c r="D54" s="565">
        <f t="shared" ref="D54:D59" si="35">C54*$D$53</f>
        <v>4597700.7630317658</v>
      </c>
      <c r="E54" s="565">
        <f t="shared" ref="E54:E59" si="36">D54*$E$53</f>
        <v>4818390.3996572904</v>
      </c>
      <c r="F54" s="565">
        <f t="shared" ref="F54:F59" si="37">E54*$F$53</f>
        <v>5064128.3100398118</v>
      </c>
      <c r="G54" s="565">
        <f t="shared" ref="G54:G59" si="38">F54*$G$53</f>
        <v>5276821.6990614841</v>
      </c>
      <c r="H54" s="565">
        <f t="shared" ref="H54:H59" si="39">G54*$H$53</f>
        <v>5487894.5670239432</v>
      </c>
      <c r="I54" s="565">
        <f t="shared" ref="I54:J58" si="40">H54*$I$53</f>
        <v>5663507.1931687091</v>
      </c>
      <c r="J54" s="565">
        <f t="shared" si="40"/>
        <v>5844739.4233501079</v>
      </c>
      <c r="K54" s="565">
        <f t="shared" ref="K54:K59" si="41">J54*$K$53</f>
        <v>6037615.8243206609</v>
      </c>
      <c r="L54" s="565">
        <f t="shared" ref="L54:L59" si="42">K54*$L$53</f>
        <v>6224781.9148746012</v>
      </c>
      <c r="M54" s="565">
        <f t="shared" ref="M54:M59" si="43">L54*$M$53</f>
        <v>6355502.3350869669</v>
      </c>
      <c r="N54" s="383"/>
      <c r="O54" s="383"/>
      <c r="P54" s="383"/>
      <c r="Q54" s="383"/>
      <c r="R54" s="383"/>
      <c r="S54" s="383"/>
      <c r="T54" s="383"/>
      <c r="U54" s="383"/>
      <c r="V54" s="383"/>
      <c r="W54" s="383"/>
      <c r="X54" s="383"/>
      <c r="Y54" s="383"/>
      <c r="Z54" s="383"/>
      <c r="AA54" s="383"/>
      <c r="AB54" s="383"/>
      <c r="AC54" s="383"/>
      <c r="AD54" s="383"/>
      <c r="AE54" s="383"/>
      <c r="AF54" s="383"/>
      <c r="AG54" s="383"/>
      <c r="AH54" s="383"/>
      <c r="AI54" s="383"/>
      <c r="AJ54" s="383"/>
      <c r="AK54" s="383"/>
      <c r="AL54" s="383"/>
      <c r="AM54" s="383"/>
      <c r="AN54" s="383"/>
      <c r="AO54" s="383"/>
      <c r="AP54" s="383"/>
      <c r="AQ54" s="383"/>
      <c r="AR54" s="383"/>
      <c r="AS54" s="383"/>
      <c r="AT54" s="383"/>
      <c r="AU54" s="383"/>
      <c r="AV54" s="383"/>
      <c r="AW54" s="383"/>
      <c r="AX54" s="383"/>
      <c r="AY54" s="393"/>
      <c r="AZ54" s="393"/>
      <c r="BA54" s="393"/>
      <c r="BB54" s="393"/>
      <c r="BC54" s="393"/>
      <c r="BD54" s="393"/>
      <c r="BE54" s="393"/>
      <c r="BF54" s="393"/>
      <c r="BG54" s="393"/>
      <c r="BH54" s="393"/>
      <c r="BI54" s="393"/>
      <c r="BJ54" s="393"/>
      <c r="BK54" s="393"/>
      <c r="BL54" s="393"/>
      <c r="BM54" s="393"/>
      <c r="BN54" s="393"/>
      <c r="BO54" s="393"/>
      <c r="BP54" s="393"/>
      <c r="BQ54" s="393"/>
      <c r="BR54" s="393"/>
      <c r="BS54" s="393"/>
    </row>
    <row r="55" spans="1:71" ht="11.25" hidden="1" customHeight="1" outlineLevel="1" x14ac:dyDescent="0.3">
      <c r="A55" s="560" t="s">
        <v>1780</v>
      </c>
      <c r="B55" s="565">
        <f>M45*B53</f>
        <v>316.55052782813874</v>
      </c>
      <c r="C55" s="565">
        <f t="shared" si="34"/>
        <v>347.57247955529635</v>
      </c>
      <c r="D55" s="565">
        <f t="shared" si="35"/>
        <v>362.86566865572939</v>
      </c>
      <c r="E55" s="565">
        <f t="shared" si="36"/>
        <v>380.2832207512044</v>
      </c>
      <c r="F55" s="565">
        <f t="shared" si="37"/>
        <v>399.67766500951581</v>
      </c>
      <c r="G55" s="565">
        <f t="shared" si="38"/>
        <v>416.4641269399155</v>
      </c>
      <c r="H55" s="565">
        <f t="shared" si="39"/>
        <v>433.12269201751212</v>
      </c>
      <c r="I55" s="565">
        <f t="shared" si="40"/>
        <v>446.98261816207253</v>
      </c>
      <c r="J55" s="565">
        <f t="shared" si="40"/>
        <v>461.28606194325886</v>
      </c>
      <c r="K55" s="565">
        <f t="shared" si="41"/>
        <v>476.50850198738635</v>
      </c>
      <c r="L55" s="565">
        <f t="shared" si="42"/>
        <v>491.28026554899532</v>
      </c>
      <c r="M55" s="565">
        <f t="shared" si="43"/>
        <v>501.59715112552419</v>
      </c>
      <c r="N55" s="383"/>
      <c r="O55" s="383"/>
      <c r="P55" s="383"/>
      <c r="Q55" s="383"/>
      <c r="R55" s="383"/>
      <c r="S55" s="383"/>
      <c r="T55" s="383"/>
      <c r="U55" s="383"/>
      <c r="V55" s="383"/>
      <c r="W55" s="383"/>
      <c r="X55" s="383"/>
      <c r="Y55" s="383"/>
      <c r="Z55" s="383"/>
      <c r="AA55" s="383"/>
      <c r="AB55" s="383"/>
      <c r="AC55" s="383"/>
      <c r="AD55" s="383"/>
      <c r="AE55" s="383"/>
      <c r="AF55" s="383"/>
      <c r="AG55" s="383"/>
      <c r="AH55" s="383"/>
      <c r="AI55" s="383"/>
      <c r="AJ55" s="383"/>
      <c r="AK55" s="383"/>
      <c r="AL55" s="383"/>
      <c r="AM55" s="383"/>
      <c r="AN55" s="383"/>
      <c r="AO55" s="383"/>
      <c r="AP55" s="383"/>
      <c r="AQ55" s="383"/>
      <c r="AR55" s="383"/>
      <c r="AS55" s="383"/>
      <c r="AT55" s="383"/>
      <c r="AU55" s="383"/>
      <c r="AV55" s="383"/>
      <c r="AW55" s="383"/>
      <c r="AX55" s="383"/>
      <c r="AY55" s="393"/>
      <c r="AZ55" s="393"/>
      <c r="BA55" s="393"/>
      <c r="BB55" s="393"/>
      <c r="BC55" s="393"/>
      <c r="BD55" s="393"/>
      <c r="BE55" s="393"/>
      <c r="BF55" s="393"/>
      <c r="BG55" s="393"/>
      <c r="BH55" s="393"/>
      <c r="BI55" s="393"/>
      <c r="BJ55" s="393"/>
      <c r="BK55" s="393"/>
      <c r="BL55" s="393"/>
      <c r="BM55" s="393"/>
      <c r="BN55" s="393"/>
      <c r="BO55" s="393"/>
      <c r="BP55" s="393"/>
      <c r="BQ55" s="393"/>
      <c r="BR55" s="393"/>
      <c r="BS55" s="393"/>
    </row>
    <row r="56" spans="1:71" ht="11.25" hidden="1" customHeight="1" outlineLevel="1" x14ac:dyDescent="0.3">
      <c r="A56" s="560" t="s">
        <v>1781</v>
      </c>
      <c r="B56" s="565">
        <f>M46*$B$53</f>
        <v>355851.44459899969</v>
      </c>
      <c r="C56" s="565">
        <f t="shared" si="34"/>
        <v>390724.8861697017</v>
      </c>
      <c r="D56" s="565">
        <f t="shared" si="35"/>
        <v>407916.78116116859</v>
      </c>
      <c r="E56" s="565">
        <f t="shared" si="36"/>
        <v>427496.78665690467</v>
      </c>
      <c r="F56" s="565">
        <f t="shared" si="37"/>
        <v>449299.12277640676</v>
      </c>
      <c r="G56" s="565">
        <f t="shared" si="38"/>
        <v>468169.68593301583</v>
      </c>
      <c r="H56" s="565">
        <f t="shared" si="39"/>
        <v>486896.47337033646</v>
      </c>
      <c r="I56" s="565">
        <f t="shared" si="40"/>
        <v>502477.16051818721</v>
      </c>
      <c r="J56" s="565">
        <f t="shared" si="40"/>
        <v>518556.42965476919</v>
      </c>
      <c r="K56" s="565">
        <f t="shared" si="41"/>
        <v>535668.79183337651</v>
      </c>
      <c r="L56" s="565">
        <f t="shared" si="42"/>
        <v>552274.52438021114</v>
      </c>
      <c r="M56" s="565">
        <f t="shared" si="43"/>
        <v>563872.28939219553</v>
      </c>
      <c r="N56" s="383"/>
      <c r="O56" s="383"/>
      <c r="P56" s="383"/>
      <c r="Q56" s="383"/>
      <c r="R56" s="383"/>
      <c r="S56" s="383"/>
      <c r="T56" s="383"/>
      <c r="U56" s="383"/>
      <c r="V56" s="383"/>
      <c r="W56" s="383"/>
      <c r="X56" s="383"/>
      <c r="Y56" s="383"/>
      <c r="Z56" s="383"/>
      <c r="AA56" s="383"/>
      <c r="AB56" s="383"/>
      <c r="AC56" s="383"/>
      <c r="AD56" s="383"/>
      <c r="AE56" s="383"/>
      <c r="AF56" s="383"/>
      <c r="AG56" s="383"/>
      <c r="AH56" s="383"/>
      <c r="AI56" s="383"/>
      <c r="AJ56" s="383"/>
      <c r="AK56" s="383"/>
      <c r="AL56" s="383"/>
      <c r="AM56" s="383"/>
      <c r="AN56" s="383"/>
      <c r="AO56" s="383"/>
      <c r="AP56" s="383"/>
      <c r="AQ56" s="383"/>
      <c r="AR56" s="383"/>
      <c r="AS56" s="383"/>
      <c r="AT56" s="383"/>
      <c r="AU56" s="383"/>
      <c r="AV56" s="383"/>
      <c r="AW56" s="383"/>
      <c r="AX56" s="383"/>
      <c r="AY56" s="393"/>
      <c r="AZ56" s="393"/>
      <c r="BA56" s="393"/>
      <c r="BB56" s="393"/>
      <c r="BC56" s="393"/>
      <c r="BD56" s="393"/>
      <c r="BE56" s="393"/>
      <c r="BF56" s="393"/>
      <c r="BG56" s="393"/>
      <c r="BH56" s="393"/>
      <c r="BI56" s="393"/>
      <c r="BJ56" s="393"/>
      <c r="BK56" s="393"/>
      <c r="BL56" s="393"/>
      <c r="BM56" s="393"/>
      <c r="BN56" s="393"/>
      <c r="BO56" s="393"/>
      <c r="BP56" s="393"/>
      <c r="BQ56" s="393"/>
      <c r="BR56" s="393"/>
      <c r="BS56" s="393"/>
    </row>
    <row r="57" spans="1:71" ht="11.25" hidden="1" customHeight="1" outlineLevel="1" x14ac:dyDescent="0.3">
      <c r="A57" s="560" t="s">
        <v>1782</v>
      </c>
      <c r="B57" s="565">
        <f>M47*$B$53</f>
        <v>17488.144357999805</v>
      </c>
      <c r="C57" s="565">
        <f t="shared" si="34"/>
        <v>19201.982505083786</v>
      </c>
      <c r="D57" s="565">
        <f t="shared" si="35"/>
        <v>20046.869735307475</v>
      </c>
      <c r="E57" s="565">
        <f t="shared" si="36"/>
        <v>21009.119482602233</v>
      </c>
      <c r="F57" s="565">
        <f t="shared" si="37"/>
        <v>22080.584576214944</v>
      </c>
      <c r="G57" s="565">
        <f t="shared" si="38"/>
        <v>23007.969128415971</v>
      </c>
      <c r="H57" s="565">
        <f t="shared" si="39"/>
        <v>23928.28789355261</v>
      </c>
      <c r="I57" s="565">
        <f t="shared" si="40"/>
        <v>24693.993106146292</v>
      </c>
      <c r="J57" s="565">
        <f t="shared" si="40"/>
        <v>25484.200885542974</v>
      </c>
      <c r="K57" s="565">
        <f t="shared" si="41"/>
        <v>26325.179514765889</v>
      </c>
      <c r="L57" s="565">
        <f t="shared" si="42"/>
        <v>27141.26007972363</v>
      </c>
      <c r="M57" s="565">
        <f t="shared" si="43"/>
        <v>27711.226541397824</v>
      </c>
      <c r="N57" s="383"/>
      <c r="O57" s="383"/>
      <c r="P57" s="383"/>
      <c r="Q57" s="383"/>
      <c r="R57" s="383"/>
      <c r="S57" s="383"/>
      <c r="T57" s="383"/>
      <c r="U57" s="383"/>
      <c r="V57" s="383"/>
      <c r="W57" s="383"/>
      <c r="X57" s="383"/>
      <c r="Y57" s="383"/>
      <c r="Z57" s="383"/>
      <c r="AA57" s="383"/>
      <c r="AB57" s="383"/>
      <c r="AC57" s="383"/>
      <c r="AD57" s="383"/>
      <c r="AE57" s="383"/>
      <c r="AF57" s="383"/>
      <c r="AG57" s="383"/>
      <c r="AH57" s="383"/>
      <c r="AI57" s="383"/>
      <c r="AJ57" s="383"/>
      <c r="AK57" s="383"/>
      <c r="AL57" s="383"/>
      <c r="AM57" s="383"/>
      <c r="AN57" s="383"/>
      <c r="AO57" s="383"/>
      <c r="AP57" s="383"/>
      <c r="AQ57" s="383"/>
      <c r="AR57" s="383"/>
      <c r="AS57" s="383"/>
      <c r="AT57" s="383"/>
      <c r="AU57" s="383"/>
      <c r="AV57" s="383"/>
      <c r="AW57" s="383"/>
      <c r="AX57" s="383"/>
      <c r="AY57" s="393"/>
      <c r="AZ57" s="393"/>
      <c r="BA57" s="393"/>
      <c r="BB57" s="393"/>
      <c r="BC57" s="393"/>
      <c r="BD57" s="393"/>
      <c r="BE57" s="393"/>
      <c r="BF57" s="393"/>
      <c r="BG57" s="393"/>
      <c r="BH57" s="393"/>
      <c r="BI57" s="393"/>
      <c r="BJ57" s="393"/>
      <c r="BK57" s="393"/>
      <c r="BL57" s="393"/>
      <c r="BM57" s="393"/>
      <c r="BN57" s="393"/>
      <c r="BO57" s="393"/>
      <c r="BP57" s="393"/>
      <c r="BQ57" s="393"/>
      <c r="BR57" s="393"/>
      <c r="BS57" s="393"/>
    </row>
    <row r="58" spans="1:71" ht="11.25" hidden="1" customHeight="1" outlineLevel="1" x14ac:dyDescent="0.3">
      <c r="A58" s="560" t="s">
        <v>1824</v>
      </c>
      <c r="B58" s="565">
        <f>M48*$B$53</f>
        <v>654439.49298897246</v>
      </c>
      <c r="C58" s="565">
        <f t="shared" si="34"/>
        <v>718574.56330189179</v>
      </c>
      <c r="D58" s="565">
        <f t="shared" si="35"/>
        <v>750191.84408717509</v>
      </c>
      <c r="E58" s="565">
        <f t="shared" si="36"/>
        <v>786201.05260335957</v>
      </c>
      <c r="F58" s="565">
        <f t="shared" si="37"/>
        <v>826297.3062861308</v>
      </c>
      <c r="G58" s="565">
        <f t="shared" si="38"/>
        <v>861001.79315014835</v>
      </c>
      <c r="H58" s="565">
        <f t="shared" si="39"/>
        <v>895441.86487615434</v>
      </c>
      <c r="I58" s="565">
        <f t="shared" si="40"/>
        <v>924096.00455219136</v>
      </c>
      <c r="J58" s="565">
        <f t="shared" si="40"/>
        <v>953667.07669786154</v>
      </c>
      <c r="K58" s="565">
        <f t="shared" si="41"/>
        <v>985138.09022889088</v>
      </c>
      <c r="L58" s="565">
        <f t="shared" si="42"/>
        <v>1015677.3710259864</v>
      </c>
      <c r="M58" s="565">
        <f t="shared" si="43"/>
        <v>1037006.595817532</v>
      </c>
      <c r="N58" s="383"/>
      <c r="O58" s="383"/>
      <c r="P58" s="383"/>
      <c r="Q58" s="383"/>
      <c r="R58" s="383"/>
      <c r="S58" s="383"/>
      <c r="T58" s="383"/>
      <c r="U58" s="383"/>
      <c r="V58" s="383"/>
      <c r="W58" s="383"/>
      <c r="X58" s="383"/>
      <c r="Y58" s="383"/>
      <c r="Z58" s="383"/>
      <c r="AA58" s="383"/>
      <c r="AB58" s="383"/>
      <c r="AC58" s="383"/>
      <c r="AD58" s="383"/>
      <c r="AE58" s="383"/>
      <c r="AF58" s="383"/>
      <c r="AG58" s="383"/>
      <c r="AH58" s="383"/>
      <c r="AI58" s="383"/>
      <c r="AJ58" s="383"/>
      <c r="AK58" s="383"/>
      <c r="AL58" s="383"/>
      <c r="AM58" s="383"/>
      <c r="AN58" s="383"/>
      <c r="AO58" s="383"/>
      <c r="AP58" s="383"/>
      <c r="AQ58" s="383"/>
      <c r="AR58" s="383"/>
      <c r="AS58" s="383"/>
      <c r="AT58" s="383"/>
      <c r="AU58" s="383"/>
      <c r="AV58" s="383"/>
      <c r="AW58" s="383"/>
      <c r="AX58" s="383"/>
      <c r="AY58" s="393"/>
      <c r="AZ58" s="393"/>
      <c r="BA58" s="393"/>
      <c r="BB58" s="393"/>
      <c r="BC58" s="393"/>
      <c r="BD58" s="393"/>
      <c r="BE58" s="393"/>
      <c r="BF58" s="393"/>
      <c r="BG58" s="393"/>
      <c r="BH58" s="393"/>
      <c r="BI58" s="393"/>
      <c r="BJ58" s="393"/>
      <c r="BK58" s="393"/>
      <c r="BL58" s="393"/>
      <c r="BM58" s="393"/>
      <c r="BN58" s="393"/>
      <c r="BO58" s="393"/>
      <c r="BP58" s="393"/>
      <c r="BQ58" s="393"/>
      <c r="BR58" s="393"/>
      <c r="BS58" s="393"/>
    </row>
    <row r="59" spans="1:71" ht="11.25" hidden="1" customHeight="1" outlineLevel="1" x14ac:dyDescent="0.3">
      <c r="A59" s="560" t="s">
        <v>1825</v>
      </c>
      <c r="B59" s="565">
        <f>M49*$B$53</f>
        <v>54.579648283999987</v>
      </c>
      <c r="C59" s="565">
        <f t="shared" si="34"/>
        <v>59.928453815831993</v>
      </c>
      <c r="D59" s="565">
        <f t="shared" si="35"/>
        <v>62.565305783728604</v>
      </c>
      <c r="E59" s="565">
        <f t="shared" si="36"/>
        <v>65.568440461347578</v>
      </c>
      <c r="F59" s="565">
        <f t="shared" si="37"/>
        <v>68.912430924876304</v>
      </c>
      <c r="G59" s="565">
        <f t="shared" si="38"/>
        <v>71.806753023721114</v>
      </c>
      <c r="H59" s="565">
        <f t="shared" si="39"/>
        <v>74.679023144669955</v>
      </c>
      <c r="I59" s="565">
        <f>H59*$I$53</f>
        <v>77.068751885299392</v>
      </c>
      <c r="J59" s="565">
        <v>79.540000000000006</v>
      </c>
      <c r="K59" s="565">
        <f t="shared" si="41"/>
        <v>82.164820000000006</v>
      </c>
      <c r="L59" s="565">
        <f t="shared" si="42"/>
        <v>84.711929420000004</v>
      </c>
      <c r="M59" s="565">
        <f t="shared" si="43"/>
        <v>86.490879937819997</v>
      </c>
      <c r="N59" s="383"/>
      <c r="O59" s="383"/>
      <c r="P59" s="383"/>
      <c r="Q59" s="383"/>
      <c r="R59" s="383"/>
      <c r="S59" s="383"/>
      <c r="T59" s="383"/>
      <c r="U59" s="383"/>
      <c r="V59" s="383"/>
      <c r="W59" s="383"/>
      <c r="X59" s="383"/>
      <c r="Y59" s="383"/>
      <c r="Z59" s="383"/>
      <c r="AA59" s="383"/>
      <c r="AB59" s="383"/>
      <c r="AC59" s="383"/>
      <c r="AD59" s="383"/>
      <c r="AE59" s="383"/>
      <c r="AF59" s="383"/>
      <c r="AG59" s="383"/>
      <c r="AH59" s="383"/>
      <c r="AI59" s="383"/>
      <c r="AJ59" s="383"/>
      <c r="AK59" s="383"/>
      <c r="AL59" s="383"/>
      <c r="AM59" s="383"/>
      <c r="AN59" s="383"/>
      <c r="AO59" s="383"/>
      <c r="AP59" s="383"/>
      <c r="AQ59" s="383"/>
      <c r="AR59" s="383"/>
      <c r="AS59" s="383"/>
      <c r="AT59" s="383"/>
      <c r="AU59" s="383"/>
      <c r="AV59" s="383"/>
      <c r="AW59" s="383"/>
      <c r="AX59" s="383"/>
      <c r="AY59" s="393"/>
      <c r="AZ59" s="393"/>
      <c r="BA59" s="393"/>
      <c r="BB59" s="393"/>
      <c r="BC59" s="393"/>
      <c r="BD59" s="393"/>
      <c r="BE59" s="393"/>
      <c r="BF59" s="393"/>
      <c r="BG59" s="393"/>
      <c r="BH59" s="393"/>
      <c r="BI59" s="393"/>
      <c r="BJ59" s="393"/>
      <c r="BK59" s="393"/>
      <c r="BL59" s="393"/>
      <c r="BM59" s="393"/>
      <c r="BN59" s="393"/>
      <c r="BO59" s="393"/>
      <c r="BP59" s="393"/>
      <c r="BQ59" s="393"/>
      <c r="BR59" s="393"/>
      <c r="BS59" s="393"/>
    </row>
    <row r="60" spans="1:71" ht="11.25" hidden="1" customHeight="1" outlineLevel="1" x14ac:dyDescent="0.3">
      <c r="A60" s="571"/>
      <c r="B60" s="1099"/>
      <c r="C60" s="1087"/>
      <c r="D60" s="1087"/>
      <c r="E60" s="1087"/>
      <c r="F60" s="1087"/>
      <c r="G60" s="1087"/>
      <c r="H60" s="1087"/>
      <c r="I60" s="1087"/>
      <c r="J60" s="1087"/>
      <c r="K60" s="1087"/>
      <c r="L60" s="1087"/>
      <c r="M60" s="1088"/>
      <c r="N60" s="383"/>
      <c r="O60" s="383"/>
      <c r="P60" s="383"/>
      <c r="Q60" s="383"/>
      <c r="R60" s="383"/>
      <c r="S60" s="383"/>
      <c r="T60" s="383"/>
      <c r="U60" s="383"/>
      <c r="V60" s="383"/>
      <c r="W60" s="383"/>
      <c r="X60" s="383"/>
      <c r="Y60" s="383"/>
      <c r="Z60" s="383"/>
      <c r="AA60" s="383"/>
      <c r="AB60" s="383"/>
      <c r="AC60" s="383"/>
      <c r="AD60" s="383"/>
      <c r="AE60" s="383"/>
      <c r="AF60" s="383"/>
      <c r="AG60" s="383"/>
      <c r="AH60" s="383"/>
      <c r="AI60" s="383"/>
      <c r="AJ60" s="383"/>
      <c r="AK60" s="383"/>
      <c r="AL60" s="383"/>
      <c r="AM60" s="383"/>
      <c r="AN60" s="383"/>
      <c r="AO60" s="383"/>
      <c r="AP60" s="383"/>
      <c r="AQ60" s="383"/>
      <c r="AR60" s="383"/>
      <c r="AS60" s="383"/>
      <c r="AT60" s="383"/>
      <c r="AU60" s="383"/>
      <c r="AV60" s="383"/>
      <c r="AW60" s="383"/>
      <c r="AX60" s="383"/>
      <c r="AY60" s="393"/>
      <c r="AZ60" s="393"/>
      <c r="BA60" s="393"/>
      <c r="BB60" s="393"/>
      <c r="BC60" s="393"/>
      <c r="BD60" s="393"/>
      <c r="BE60" s="393"/>
      <c r="BF60" s="393"/>
      <c r="BG60" s="393"/>
      <c r="BH60" s="393"/>
      <c r="BI60" s="393"/>
      <c r="BJ60" s="393"/>
      <c r="BK60" s="393"/>
      <c r="BL60" s="393"/>
      <c r="BM60" s="393"/>
      <c r="BN60" s="393"/>
      <c r="BO60" s="393"/>
      <c r="BP60" s="393"/>
      <c r="BQ60" s="393"/>
      <c r="BR60" s="393"/>
      <c r="BS60" s="393"/>
    </row>
    <row r="61" spans="1:71" ht="11.25" hidden="1" customHeight="1" outlineLevel="1" x14ac:dyDescent="0.3">
      <c r="A61" s="275"/>
      <c r="B61" s="556" t="s">
        <v>1874</v>
      </c>
      <c r="C61" s="556" t="s">
        <v>1875</v>
      </c>
      <c r="D61" s="556" t="s">
        <v>1876</v>
      </c>
      <c r="E61" s="556" t="s">
        <v>1877</v>
      </c>
      <c r="F61" s="556" t="s">
        <v>1878</v>
      </c>
      <c r="G61" s="556" t="s">
        <v>1879</v>
      </c>
      <c r="H61" s="556" t="s">
        <v>1880</v>
      </c>
      <c r="I61" s="556" t="s">
        <v>1881</v>
      </c>
      <c r="J61" s="556" t="s">
        <v>1882</v>
      </c>
      <c r="K61" s="556"/>
      <c r="L61" s="556"/>
      <c r="M61" s="556"/>
      <c r="N61" s="383"/>
      <c r="O61" s="383"/>
      <c r="P61" s="383"/>
      <c r="Q61" s="383"/>
      <c r="R61" s="383"/>
      <c r="S61" s="383"/>
      <c r="T61" s="383"/>
      <c r="U61" s="383"/>
      <c r="V61" s="383"/>
      <c r="W61" s="383"/>
      <c r="X61" s="383"/>
      <c r="Y61" s="383"/>
      <c r="Z61" s="383"/>
      <c r="AA61" s="383"/>
      <c r="AB61" s="383"/>
      <c r="AC61" s="383"/>
      <c r="AD61" s="383"/>
      <c r="AE61" s="383"/>
      <c r="AF61" s="383"/>
      <c r="AG61" s="383"/>
      <c r="AH61" s="383"/>
      <c r="AI61" s="383"/>
      <c r="AJ61" s="383"/>
      <c r="AK61" s="383"/>
      <c r="AL61" s="383"/>
      <c r="AM61" s="383"/>
      <c r="AN61" s="383"/>
      <c r="AO61" s="383"/>
      <c r="AP61" s="383"/>
      <c r="AQ61" s="383"/>
      <c r="AR61" s="383"/>
      <c r="AS61" s="383"/>
      <c r="AT61" s="383"/>
      <c r="AU61" s="383"/>
      <c r="AV61" s="383"/>
      <c r="AW61" s="383"/>
      <c r="AX61" s="383"/>
      <c r="AY61" s="393"/>
      <c r="AZ61" s="393"/>
      <c r="BA61" s="393"/>
      <c r="BB61" s="393"/>
      <c r="BC61" s="393"/>
      <c r="BD61" s="393"/>
      <c r="BE61" s="393"/>
      <c r="BF61" s="393"/>
      <c r="BG61" s="393"/>
      <c r="BH61" s="393"/>
      <c r="BI61" s="393"/>
      <c r="BJ61" s="393"/>
      <c r="BK61" s="393"/>
      <c r="BL61" s="393"/>
      <c r="BM61" s="393"/>
      <c r="BN61" s="393"/>
      <c r="BO61" s="393"/>
      <c r="BP61" s="393"/>
      <c r="BQ61" s="393"/>
      <c r="BR61" s="393"/>
      <c r="BS61" s="393"/>
    </row>
    <row r="62" spans="1:71" ht="11.25" hidden="1" customHeight="1" outlineLevel="1" x14ac:dyDescent="0.3">
      <c r="A62" s="275"/>
      <c r="B62" s="556" t="s">
        <v>1883</v>
      </c>
      <c r="C62" s="556" t="s">
        <v>1884</v>
      </c>
      <c r="D62" s="556" t="s">
        <v>1885</v>
      </c>
      <c r="E62" s="556" t="s">
        <v>1886</v>
      </c>
      <c r="F62" s="556" t="s">
        <v>1887</v>
      </c>
      <c r="G62" s="556" t="s">
        <v>1888</v>
      </c>
      <c r="H62" s="556"/>
      <c r="I62" s="556"/>
      <c r="J62" s="556"/>
      <c r="K62" s="556"/>
      <c r="L62" s="556"/>
      <c r="M62" s="556"/>
      <c r="N62" s="383"/>
      <c r="O62" s="383"/>
      <c r="P62" s="383"/>
      <c r="Q62" s="383"/>
      <c r="R62" s="383"/>
      <c r="S62" s="383"/>
      <c r="T62" s="383"/>
      <c r="U62" s="383"/>
      <c r="V62" s="383"/>
      <c r="W62" s="383"/>
      <c r="X62" s="383"/>
      <c r="Y62" s="383"/>
      <c r="Z62" s="383"/>
      <c r="AA62" s="383"/>
      <c r="AB62" s="383"/>
      <c r="AC62" s="383"/>
      <c r="AD62" s="383"/>
      <c r="AE62" s="383"/>
      <c r="AF62" s="383"/>
      <c r="AG62" s="383"/>
      <c r="AH62" s="383"/>
      <c r="AI62" s="383"/>
      <c r="AJ62" s="383"/>
      <c r="AK62" s="383"/>
      <c r="AL62" s="383"/>
      <c r="AM62" s="383"/>
      <c r="AN62" s="383"/>
      <c r="AO62" s="383"/>
      <c r="AP62" s="383"/>
      <c r="AQ62" s="383"/>
      <c r="AR62" s="383"/>
      <c r="AS62" s="383"/>
      <c r="AT62" s="383"/>
      <c r="AU62" s="383"/>
      <c r="AV62" s="383"/>
      <c r="AW62" s="383"/>
      <c r="AX62" s="383"/>
      <c r="AY62" s="393"/>
      <c r="AZ62" s="393"/>
      <c r="BA62" s="393"/>
      <c r="BB62" s="393"/>
      <c r="BC62" s="393"/>
      <c r="BD62" s="393"/>
      <c r="BE62" s="393"/>
      <c r="BF62" s="393"/>
      <c r="BG62" s="393"/>
      <c r="BH62" s="393"/>
      <c r="BI62" s="393"/>
      <c r="BJ62" s="393"/>
      <c r="BK62" s="393"/>
      <c r="BL62" s="393"/>
      <c r="BM62" s="393"/>
      <c r="BN62" s="393"/>
      <c r="BO62" s="393"/>
      <c r="BP62" s="393"/>
      <c r="BQ62" s="393"/>
      <c r="BR62" s="393"/>
      <c r="BS62" s="393"/>
    </row>
    <row r="63" spans="1:71" ht="11.25" hidden="1" customHeight="1" outlineLevel="1" x14ac:dyDescent="0.3">
      <c r="A63" s="556" t="s">
        <v>1823</v>
      </c>
      <c r="B63" s="558">
        <v>1.032</v>
      </c>
      <c r="C63" s="558">
        <v>1.0229999999999999</v>
      </c>
      <c r="D63" s="558">
        <v>1.016</v>
      </c>
      <c r="E63" s="558">
        <v>1.0209999999999999</v>
      </c>
      <c r="F63" s="558">
        <v>1.0249999999999999</v>
      </c>
      <c r="G63" s="558">
        <v>1.016</v>
      </c>
      <c r="H63" s="558"/>
      <c r="I63" s="558"/>
      <c r="J63" s="558"/>
      <c r="K63" s="558"/>
      <c r="L63" s="558"/>
      <c r="M63" s="558"/>
      <c r="N63" s="383"/>
      <c r="O63" s="383"/>
      <c r="P63" s="383"/>
      <c r="Q63" s="383"/>
      <c r="R63" s="383"/>
      <c r="S63" s="383"/>
      <c r="T63" s="383"/>
      <c r="U63" s="383"/>
      <c r="V63" s="383"/>
      <c r="W63" s="383"/>
      <c r="X63" s="383"/>
      <c r="Y63" s="383"/>
      <c r="Z63" s="383"/>
      <c r="AA63" s="383"/>
      <c r="AB63" s="383"/>
      <c r="AC63" s="383"/>
      <c r="AD63" s="383"/>
      <c r="AE63" s="383"/>
      <c r="AF63" s="383"/>
      <c r="AG63" s="383"/>
      <c r="AH63" s="383"/>
      <c r="AI63" s="383"/>
      <c r="AJ63" s="383"/>
      <c r="AK63" s="383"/>
      <c r="AL63" s="383"/>
      <c r="AM63" s="383"/>
      <c r="AN63" s="383"/>
      <c r="AO63" s="383"/>
      <c r="AP63" s="383"/>
      <c r="AQ63" s="383"/>
      <c r="AR63" s="383"/>
      <c r="AS63" s="383"/>
      <c r="AT63" s="383"/>
      <c r="AU63" s="383"/>
      <c r="AV63" s="383"/>
      <c r="AW63" s="383"/>
      <c r="AX63" s="383"/>
      <c r="AY63" s="393"/>
      <c r="AZ63" s="393"/>
      <c r="BA63" s="393"/>
      <c r="BB63" s="393"/>
      <c r="BC63" s="393"/>
      <c r="BD63" s="393"/>
      <c r="BE63" s="393"/>
      <c r="BF63" s="393"/>
      <c r="BG63" s="393"/>
      <c r="BH63" s="393"/>
      <c r="BI63" s="393"/>
      <c r="BJ63" s="393"/>
      <c r="BK63" s="393"/>
      <c r="BL63" s="393"/>
      <c r="BM63" s="393"/>
      <c r="BN63" s="393"/>
      <c r="BO63" s="393"/>
      <c r="BP63" s="393"/>
      <c r="BQ63" s="393"/>
      <c r="BR63" s="393"/>
      <c r="BS63" s="393"/>
    </row>
    <row r="64" spans="1:71" ht="11.25" hidden="1" customHeight="1" outlineLevel="1" x14ac:dyDescent="0.3">
      <c r="A64" s="560" t="s">
        <v>1779</v>
      </c>
      <c r="B64" s="565">
        <f>M54*B63</f>
        <v>6558878.4098097496</v>
      </c>
      <c r="C64" s="565">
        <f>B64*C63</f>
        <v>6709732.613235373</v>
      </c>
      <c r="D64" s="565">
        <f t="shared" ref="D64:D69" si="44">C64*$D$63</f>
        <v>6817088.3350471389</v>
      </c>
      <c r="E64" s="565">
        <f t="shared" ref="E64:E69" si="45">D64*E$63</f>
        <v>6960247.1900831284</v>
      </c>
      <c r="F64" s="565">
        <f>E64*$F$63</f>
        <v>7134253.3698352063</v>
      </c>
      <c r="G64" s="565">
        <f t="shared" ref="G64:G69" si="46">F64*$G$63</f>
        <v>7248401.4237525696</v>
      </c>
      <c r="H64" s="565"/>
      <c r="I64" s="565"/>
      <c r="J64" s="565"/>
      <c r="K64" s="565"/>
      <c r="L64" s="565"/>
      <c r="M64" s="565"/>
      <c r="N64" s="383"/>
      <c r="O64" s="383"/>
      <c r="P64" s="383"/>
      <c r="Q64" s="383"/>
      <c r="R64" s="383"/>
      <c r="S64" s="383"/>
      <c r="T64" s="383"/>
      <c r="U64" s="383"/>
      <c r="V64" s="383"/>
      <c r="W64" s="383"/>
      <c r="X64" s="383"/>
      <c r="Y64" s="383"/>
      <c r="Z64" s="383"/>
      <c r="AA64" s="383"/>
      <c r="AB64" s="383"/>
      <c r="AC64" s="38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93"/>
      <c r="AZ64" s="393"/>
      <c r="BA64" s="393"/>
      <c r="BB64" s="393"/>
      <c r="BC64" s="393"/>
      <c r="BD64" s="393"/>
      <c r="BE64" s="393"/>
      <c r="BF64" s="393"/>
      <c r="BG64" s="393"/>
      <c r="BH64" s="393"/>
      <c r="BI64" s="393"/>
      <c r="BJ64" s="393"/>
      <c r="BK64" s="393"/>
      <c r="BL64" s="393"/>
      <c r="BM64" s="393"/>
      <c r="BN64" s="393"/>
      <c r="BO64" s="393"/>
      <c r="BP64" s="393"/>
      <c r="BQ64" s="393"/>
      <c r="BR64" s="393"/>
      <c r="BS64" s="393"/>
    </row>
    <row r="65" spans="1:71" ht="11.25" hidden="1" customHeight="1" outlineLevel="1" x14ac:dyDescent="0.3">
      <c r="A65" s="560" t="s">
        <v>1780</v>
      </c>
      <c r="B65" s="565">
        <f>M55*B63</f>
        <v>517.64825996154093</v>
      </c>
      <c r="C65" s="565">
        <f>B65*C63</f>
        <v>529.55416994065638</v>
      </c>
      <c r="D65" s="565">
        <f t="shared" si="44"/>
        <v>538.02703665970694</v>
      </c>
      <c r="E65" s="565">
        <f t="shared" si="45"/>
        <v>549.32560442956071</v>
      </c>
      <c r="F65" s="565">
        <f>E65*$F$63</f>
        <v>563.0587445402997</v>
      </c>
      <c r="G65" s="565">
        <f t="shared" si="46"/>
        <v>572.06768445294449</v>
      </c>
      <c r="H65" s="565"/>
      <c r="I65" s="565"/>
      <c r="J65" s="565"/>
      <c r="K65" s="565"/>
      <c r="L65" s="565"/>
      <c r="M65" s="565"/>
      <c r="N65" s="383"/>
      <c r="O65" s="383"/>
      <c r="P65" s="383"/>
      <c r="Q65" s="383"/>
      <c r="R65" s="383"/>
      <c r="S65" s="383"/>
      <c r="T65" s="383"/>
      <c r="U65" s="383"/>
      <c r="V65" s="383"/>
      <c r="W65" s="383"/>
      <c r="X65" s="383"/>
      <c r="Y65" s="383"/>
      <c r="Z65" s="383"/>
      <c r="AA65" s="383"/>
      <c r="AB65" s="383"/>
      <c r="AC65" s="383"/>
      <c r="AD65" s="383"/>
      <c r="AE65" s="383"/>
      <c r="AF65" s="383"/>
      <c r="AG65" s="383"/>
      <c r="AH65" s="383"/>
      <c r="AI65" s="383"/>
      <c r="AJ65" s="383"/>
      <c r="AK65" s="383"/>
      <c r="AL65" s="383"/>
      <c r="AM65" s="383"/>
      <c r="AN65" s="383"/>
      <c r="AO65" s="383"/>
      <c r="AP65" s="383"/>
      <c r="AQ65" s="383"/>
      <c r="AR65" s="383"/>
      <c r="AS65" s="383"/>
      <c r="AT65" s="383"/>
      <c r="AU65" s="383"/>
      <c r="AV65" s="383"/>
      <c r="AW65" s="383"/>
      <c r="AX65" s="383"/>
      <c r="AY65" s="393"/>
      <c r="AZ65" s="393"/>
      <c r="BA65" s="393"/>
      <c r="BB65" s="393"/>
      <c r="BC65" s="393"/>
      <c r="BD65" s="393"/>
      <c r="BE65" s="393"/>
      <c r="BF65" s="393"/>
      <c r="BG65" s="393"/>
      <c r="BH65" s="393"/>
      <c r="BI65" s="393"/>
      <c r="BJ65" s="393"/>
      <c r="BK65" s="393"/>
      <c r="BL65" s="393"/>
      <c r="BM65" s="393"/>
      <c r="BN65" s="393"/>
      <c r="BO65" s="393"/>
      <c r="BP65" s="393"/>
      <c r="BQ65" s="393"/>
      <c r="BR65" s="393"/>
      <c r="BS65" s="393"/>
    </row>
    <row r="66" spans="1:71" ht="11.25" hidden="1" customHeight="1" outlineLevel="1" x14ac:dyDescent="0.3">
      <c r="A66" s="560" t="s">
        <v>1781</v>
      </c>
      <c r="B66" s="565">
        <f>M56*B63</f>
        <v>581916.20265274576</v>
      </c>
      <c r="C66" s="565">
        <f>B66*C63</f>
        <v>595300.27531375887</v>
      </c>
      <c r="D66" s="565">
        <f t="shared" si="44"/>
        <v>604825.07971877907</v>
      </c>
      <c r="E66" s="565">
        <f t="shared" si="45"/>
        <v>617526.40639287338</v>
      </c>
      <c r="F66" s="565">
        <f>E66*$F$63</f>
        <v>632964.56655269512</v>
      </c>
      <c r="G66" s="565">
        <f t="shared" si="46"/>
        <v>643091.9996175383</v>
      </c>
      <c r="H66" s="565"/>
      <c r="I66" s="565"/>
      <c r="J66" s="565"/>
      <c r="K66" s="565"/>
      <c r="L66" s="565"/>
      <c r="M66" s="565"/>
      <c r="N66" s="383"/>
      <c r="O66" s="383"/>
      <c r="P66" s="383"/>
      <c r="Q66" s="383"/>
      <c r="R66" s="383"/>
      <c r="S66" s="383"/>
      <c r="T66" s="383"/>
      <c r="U66" s="383"/>
      <c r="V66" s="383"/>
      <c r="W66" s="383"/>
      <c r="X66" s="383"/>
      <c r="Y66" s="383"/>
      <c r="Z66" s="383"/>
      <c r="AA66" s="383"/>
      <c r="AB66" s="383"/>
      <c r="AC66" s="383"/>
      <c r="AD66" s="383"/>
      <c r="AE66" s="383"/>
      <c r="AF66" s="383"/>
      <c r="AG66" s="383"/>
      <c r="AH66" s="383"/>
      <c r="AI66" s="383"/>
      <c r="AJ66" s="383"/>
      <c r="AK66" s="383"/>
      <c r="AL66" s="383"/>
      <c r="AM66" s="383"/>
      <c r="AN66" s="383"/>
      <c r="AO66" s="383"/>
      <c r="AP66" s="383"/>
      <c r="AQ66" s="383"/>
      <c r="AR66" s="383"/>
      <c r="AS66" s="383"/>
      <c r="AT66" s="383"/>
      <c r="AU66" s="383"/>
      <c r="AV66" s="383"/>
      <c r="AW66" s="383"/>
      <c r="AX66" s="383"/>
      <c r="AY66" s="393"/>
      <c r="AZ66" s="393"/>
      <c r="BA66" s="393"/>
      <c r="BB66" s="393"/>
      <c r="BC66" s="393"/>
      <c r="BD66" s="393"/>
      <c r="BE66" s="393"/>
      <c r="BF66" s="393"/>
      <c r="BG66" s="393"/>
      <c r="BH66" s="393"/>
      <c r="BI66" s="393"/>
      <c r="BJ66" s="393"/>
      <c r="BK66" s="393"/>
      <c r="BL66" s="393"/>
      <c r="BM66" s="393"/>
      <c r="BN66" s="393"/>
      <c r="BO66" s="393"/>
      <c r="BP66" s="393"/>
      <c r="BQ66" s="393"/>
      <c r="BR66" s="393"/>
      <c r="BS66" s="393"/>
    </row>
    <row r="67" spans="1:71" ht="11.25" hidden="1" customHeight="1" outlineLevel="1" x14ac:dyDescent="0.3">
      <c r="A67" s="560" t="s">
        <v>1782</v>
      </c>
      <c r="B67" s="565">
        <f>M57*B63</f>
        <v>28597.985790722556</v>
      </c>
      <c r="C67" s="565">
        <f>B67*C63</f>
        <v>29255.739463909173</v>
      </c>
      <c r="D67" s="565">
        <f t="shared" si="44"/>
        <v>29723.831295331718</v>
      </c>
      <c r="E67" s="565">
        <f t="shared" si="45"/>
        <v>30348.031752533683</v>
      </c>
      <c r="F67" s="565">
        <f>E67*$F$63</f>
        <v>31106.732546347022</v>
      </c>
      <c r="G67" s="565">
        <f t="shared" si="46"/>
        <v>31604.440267088576</v>
      </c>
      <c r="H67" s="565"/>
      <c r="I67" s="565"/>
      <c r="J67" s="565"/>
      <c r="K67" s="565"/>
      <c r="L67" s="565"/>
      <c r="M67" s="565"/>
      <c r="N67" s="383"/>
      <c r="O67" s="383"/>
      <c r="P67" s="383"/>
      <c r="Q67" s="383"/>
      <c r="R67" s="383"/>
      <c r="S67" s="383"/>
      <c r="T67" s="383"/>
      <c r="U67" s="383"/>
      <c r="V67" s="383"/>
      <c r="W67" s="383"/>
      <c r="X67" s="383"/>
      <c r="Y67" s="383"/>
      <c r="Z67" s="383"/>
      <c r="AA67" s="383"/>
      <c r="AB67" s="383"/>
      <c r="AC67" s="383"/>
      <c r="AD67" s="383"/>
      <c r="AE67" s="383"/>
      <c r="AF67" s="383"/>
      <c r="AG67" s="383"/>
      <c r="AH67" s="383"/>
      <c r="AI67" s="383"/>
      <c r="AJ67" s="383"/>
      <c r="AK67" s="383"/>
      <c r="AL67" s="383"/>
      <c r="AM67" s="383"/>
      <c r="AN67" s="383"/>
      <c r="AO67" s="383"/>
      <c r="AP67" s="383"/>
      <c r="AQ67" s="383"/>
      <c r="AR67" s="383"/>
      <c r="AS67" s="383"/>
      <c r="AT67" s="383"/>
      <c r="AU67" s="383"/>
      <c r="AV67" s="383"/>
      <c r="AW67" s="383"/>
      <c r="AX67" s="383"/>
      <c r="AY67" s="393"/>
      <c r="AZ67" s="393"/>
      <c r="BA67" s="393"/>
      <c r="BB67" s="393"/>
      <c r="BC67" s="393"/>
      <c r="BD67" s="393"/>
      <c r="BE67" s="393"/>
      <c r="BF67" s="393"/>
      <c r="BG67" s="393"/>
      <c r="BH67" s="393"/>
      <c r="BI67" s="393"/>
      <c r="BJ67" s="393"/>
      <c r="BK67" s="393"/>
      <c r="BL67" s="393"/>
      <c r="BM67" s="393"/>
      <c r="BN67" s="393"/>
      <c r="BO67" s="393"/>
      <c r="BP67" s="393"/>
      <c r="BQ67" s="393"/>
      <c r="BR67" s="393"/>
      <c r="BS67" s="393"/>
    </row>
    <row r="68" spans="1:71" ht="11.25" hidden="1" customHeight="1" outlineLevel="1" x14ac:dyDescent="0.3">
      <c r="A68" s="560" t="s">
        <v>1824</v>
      </c>
      <c r="B68" s="565">
        <f>M58*B63</f>
        <v>1070190.8068836932</v>
      </c>
      <c r="C68" s="565">
        <f>B68*C63</f>
        <v>1094805.1954420181</v>
      </c>
      <c r="D68" s="565">
        <f t="shared" si="44"/>
        <v>1112322.0785690905</v>
      </c>
      <c r="E68" s="565">
        <f t="shared" si="45"/>
        <v>1135680.8422190412</v>
      </c>
      <c r="F68" s="565">
        <f>E68*$F$63</f>
        <v>1164072.8632745172</v>
      </c>
      <c r="G68" s="565">
        <f t="shared" si="46"/>
        <v>1182698.0290869095</v>
      </c>
      <c r="H68" s="565"/>
      <c r="I68" s="565"/>
      <c r="J68" s="565"/>
      <c r="K68" s="565"/>
      <c r="L68" s="565"/>
      <c r="M68" s="565"/>
      <c r="N68" s="383"/>
      <c r="O68" s="383"/>
      <c r="P68" s="383"/>
      <c r="Q68" s="383"/>
      <c r="R68" s="383"/>
      <c r="S68" s="383"/>
      <c r="T68" s="383"/>
      <c r="U68" s="383"/>
      <c r="V68" s="383"/>
      <c r="W68" s="383"/>
      <c r="X68" s="383"/>
      <c r="Y68" s="383"/>
      <c r="Z68" s="383"/>
      <c r="AA68" s="383"/>
      <c r="AB68" s="383"/>
      <c r="AC68" s="383"/>
      <c r="AD68" s="383"/>
      <c r="AE68" s="383"/>
      <c r="AF68" s="383"/>
      <c r="AG68" s="383"/>
      <c r="AH68" s="383"/>
      <c r="AI68" s="383"/>
      <c r="AJ68" s="383"/>
      <c r="AK68" s="383"/>
      <c r="AL68" s="383"/>
      <c r="AM68" s="383"/>
      <c r="AN68" s="383"/>
      <c r="AO68" s="383"/>
      <c r="AP68" s="383"/>
      <c r="AQ68" s="383"/>
      <c r="AR68" s="383"/>
      <c r="AS68" s="383"/>
      <c r="AT68" s="383"/>
      <c r="AU68" s="383"/>
      <c r="AV68" s="383"/>
      <c r="AW68" s="383"/>
      <c r="AX68" s="383"/>
      <c r="AY68" s="393"/>
      <c r="AZ68" s="393"/>
      <c r="BA68" s="393"/>
      <c r="BB68" s="393"/>
      <c r="BC68" s="393"/>
      <c r="BD68" s="393"/>
      <c r="BE68" s="393"/>
      <c r="BF68" s="393"/>
      <c r="BG68" s="393"/>
      <c r="BH68" s="393"/>
      <c r="BI68" s="393"/>
      <c r="BJ68" s="393"/>
      <c r="BK68" s="393"/>
      <c r="BL68" s="393"/>
      <c r="BM68" s="393"/>
      <c r="BN68" s="393"/>
      <c r="BO68" s="393"/>
      <c r="BP68" s="393"/>
      <c r="BQ68" s="393"/>
      <c r="BR68" s="393"/>
      <c r="BS68" s="393"/>
    </row>
    <row r="69" spans="1:71" ht="11.25" hidden="1" customHeight="1" outlineLevel="1" x14ac:dyDescent="0.3">
      <c r="A69" s="560" t="s">
        <v>1825</v>
      </c>
      <c r="B69" s="565">
        <v>89.25</v>
      </c>
      <c r="C69" s="565">
        <v>91.31</v>
      </c>
      <c r="D69" s="565">
        <f t="shared" si="44"/>
        <v>92.770960000000002</v>
      </c>
      <c r="E69" s="565">
        <f t="shared" si="45"/>
        <v>94.719150159999998</v>
      </c>
      <c r="F69" s="565">
        <v>97.09</v>
      </c>
      <c r="G69" s="565">
        <f t="shared" si="46"/>
        <v>98.643439999999998</v>
      </c>
      <c r="H69" s="565"/>
      <c r="I69" s="565"/>
      <c r="J69" s="565"/>
      <c r="K69" s="565"/>
      <c r="L69" s="565"/>
      <c r="M69" s="565"/>
      <c r="N69" s="383"/>
      <c r="O69" s="383"/>
      <c r="P69" s="383"/>
      <c r="Q69" s="383"/>
      <c r="R69" s="383"/>
      <c r="S69" s="383"/>
      <c r="T69" s="383"/>
      <c r="U69" s="383"/>
      <c r="V69" s="383"/>
      <c r="W69" s="383"/>
      <c r="X69" s="383"/>
      <c r="Y69" s="383"/>
      <c r="Z69" s="383"/>
      <c r="AA69" s="383"/>
      <c r="AB69" s="383"/>
      <c r="AC69" s="383"/>
      <c r="AD69" s="383"/>
      <c r="AE69" s="383"/>
      <c r="AF69" s="383"/>
      <c r="AG69" s="383"/>
      <c r="AH69" s="383"/>
      <c r="AI69" s="383"/>
      <c r="AJ69" s="383"/>
      <c r="AK69" s="383"/>
      <c r="AL69" s="383"/>
      <c r="AM69" s="383"/>
      <c r="AN69" s="383"/>
      <c r="AO69" s="383"/>
      <c r="AP69" s="383"/>
      <c r="AQ69" s="383"/>
      <c r="AR69" s="383"/>
      <c r="AS69" s="383"/>
      <c r="AT69" s="383"/>
      <c r="AU69" s="383"/>
      <c r="AV69" s="383"/>
      <c r="AW69" s="383"/>
      <c r="AX69" s="383"/>
      <c r="AY69" s="393"/>
      <c r="AZ69" s="393"/>
      <c r="BA69" s="393"/>
      <c r="BB69" s="393"/>
      <c r="BC69" s="393"/>
      <c r="BD69" s="393"/>
      <c r="BE69" s="393"/>
      <c r="BF69" s="393"/>
      <c r="BG69" s="393"/>
      <c r="BH69" s="393"/>
      <c r="BI69" s="393"/>
      <c r="BJ69" s="393"/>
      <c r="BK69" s="393"/>
      <c r="BL69" s="393"/>
      <c r="BM69" s="393"/>
      <c r="BN69" s="393"/>
      <c r="BO69" s="393"/>
      <c r="BP69" s="393"/>
      <c r="BQ69" s="393"/>
      <c r="BR69" s="393"/>
      <c r="BS69" s="393"/>
    </row>
    <row r="70" spans="1:71" ht="11.25" hidden="1" customHeight="1" outlineLevel="1" x14ac:dyDescent="0.3">
      <c r="A70" s="571"/>
      <c r="B70" s="1099"/>
      <c r="C70" s="1087"/>
      <c r="D70" s="1087"/>
      <c r="E70" s="1087"/>
      <c r="F70" s="1087"/>
      <c r="G70" s="1087"/>
      <c r="H70" s="1087"/>
      <c r="I70" s="1087"/>
      <c r="J70" s="1087"/>
      <c r="K70" s="1087"/>
      <c r="L70" s="1087"/>
      <c r="M70" s="1088"/>
      <c r="N70" s="383"/>
      <c r="O70" s="383"/>
      <c r="P70" s="383"/>
      <c r="Q70" s="383"/>
      <c r="R70" s="383"/>
      <c r="S70" s="383"/>
      <c r="T70" s="383"/>
      <c r="U70" s="383"/>
      <c r="V70" s="383"/>
      <c r="W70" s="383"/>
      <c r="X70" s="383"/>
      <c r="Y70" s="383"/>
      <c r="Z70" s="383"/>
      <c r="AA70" s="383"/>
      <c r="AB70" s="383"/>
      <c r="AC70" s="383"/>
      <c r="AD70" s="383"/>
      <c r="AE70" s="383"/>
      <c r="AF70" s="383"/>
      <c r="AG70" s="383"/>
      <c r="AH70" s="383"/>
      <c r="AI70" s="383"/>
      <c r="AJ70" s="383"/>
      <c r="AK70" s="383"/>
      <c r="AL70" s="383"/>
      <c r="AM70" s="383"/>
      <c r="AN70" s="383"/>
      <c r="AO70" s="383"/>
      <c r="AP70" s="383"/>
      <c r="AQ70" s="383"/>
      <c r="AR70" s="383"/>
      <c r="AS70" s="383"/>
      <c r="AT70" s="383"/>
      <c r="AU70" s="383"/>
      <c r="AV70" s="383"/>
      <c r="AW70" s="383"/>
      <c r="AX70" s="383"/>
      <c r="AY70" s="393"/>
      <c r="AZ70" s="393"/>
      <c r="BA70" s="393"/>
      <c r="BB70" s="393"/>
      <c r="BC70" s="393"/>
      <c r="BD70" s="393"/>
      <c r="BE70" s="393"/>
      <c r="BF70" s="393"/>
      <c r="BG70" s="393"/>
      <c r="BH70" s="393"/>
      <c r="BI70" s="393"/>
      <c r="BJ70" s="393"/>
      <c r="BK70" s="393"/>
      <c r="BL70" s="393"/>
      <c r="BM70" s="393"/>
      <c r="BN70" s="393"/>
      <c r="BO70" s="393"/>
      <c r="BP70" s="393"/>
      <c r="BQ70" s="393"/>
      <c r="BR70" s="393"/>
      <c r="BS70" s="393"/>
    </row>
    <row r="71" spans="1:71" ht="11.25" hidden="1" customHeight="1" outlineLevel="1" x14ac:dyDescent="0.3">
      <c r="A71" s="383"/>
      <c r="B71" s="383"/>
      <c r="C71" s="383"/>
      <c r="D71" s="383"/>
      <c r="E71" s="383"/>
      <c r="F71" s="383"/>
      <c r="G71" s="383"/>
      <c r="H71" s="383"/>
      <c r="I71" s="383"/>
      <c r="J71" s="383"/>
      <c r="K71" s="383"/>
      <c r="L71" s="383"/>
      <c r="M71" s="383"/>
      <c r="N71" s="383"/>
      <c r="O71" s="383"/>
      <c r="P71" s="383"/>
      <c r="Q71" s="383"/>
      <c r="R71" s="383"/>
      <c r="S71" s="383"/>
      <c r="T71" s="383"/>
      <c r="U71" s="383"/>
      <c r="V71" s="383"/>
      <c r="W71" s="383"/>
      <c r="X71" s="383"/>
      <c r="Y71" s="383"/>
      <c r="Z71" s="383"/>
      <c r="AA71" s="383"/>
      <c r="AB71" s="383"/>
      <c r="AC71" s="383"/>
      <c r="AD71" s="383"/>
      <c r="AE71" s="383"/>
      <c r="AF71" s="383"/>
      <c r="AG71" s="383"/>
      <c r="AH71" s="383"/>
      <c r="AI71" s="383"/>
      <c r="AJ71" s="383"/>
      <c r="AK71" s="383"/>
      <c r="AL71" s="383"/>
      <c r="AM71" s="383"/>
      <c r="AN71" s="383"/>
      <c r="AO71" s="383"/>
      <c r="AP71" s="383"/>
      <c r="AQ71" s="383"/>
      <c r="AR71" s="383"/>
      <c r="AS71" s="383"/>
      <c r="AT71" s="383"/>
      <c r="AU71" s="383"/>
      <c r="AV71" s="383"/>
      <c r="AW71" s="383"/>
      <c r="AX71" s="383"/>
      <c r="AY71" s="393"/>
      <c r="AZ71" s="393"/>
      <c r="BA71" s="393"/>
      <c r="BB71" s="393"/>
      <c r="BC71" s="393"/>
      <c r="BD71" s="393"/>
      <c r="BE71" s="393"/>
      <c r="BF71" s="393"/>
      <c r="BG71" s="393"/>
      <c r="BH71" s="393"/>
      <c r="BI71" s="393"/>
      <c r="BJ71" s="393"/>
      <c r="BK71" s="393"/>
      <c r="BL71" s="393"/>
      <c r="BM71" s="393"/>
      <c r="BN71" s="393"/>
      <c r="BO71" s="393"/>
      <c r="BP71" s="393"/>
      <c r="BQ71" s="393"/>
      <c r="BR71" s="393"/>
      <c r="BS71" s="393"/>
    </row>
    <row r="72" spans="1:71" ht="11.25" hidden="1" customHeight="1" outlineLevel="1" x14ac:dyDescent="0.3">
      <c r="A72" s="383"/>
      <c r="B72" s="383"/>
      <c r="C72" s="383"/>
      <c r="D72" s="383"/>
      <c r="E72" s="383"/>
      <c r="F72" s="383"/>
      <c r="G72" s="383"/>
      <c r="H72" s="383"/>
      <c r="I72" s="383"/>
      <c r="J72" s="383"/>
      <c r="K72" s="383"/>
      <c r="L72" s="383"/>
      <c r="M72" s="383"/>
      <c r="N72" s="383"/>
      <c r="O72" s="383"/>
      <c r="P72" s="383"/>
      <c r="Q72" s="383"/>
      <c r="R72" s="383"/>
      <c r="S72" s="383"/>
      <c r="T72" s="383"/>
      <c r="U72" s="383"/>
      <c r="V72" s="383"/>
      <c r="W72" s="383"/>
      <c r="X72" s="383"/>
      <c r="Y72" s="383"/>
      <c r="Z72" s="383"/>
      <c r="AA72" s="383"/>
      <c r="AB72" s="383"/>
      <c r="AC72" s="383"/>
      <c r="AD72" s="383"/>
      <c r="AE72" s="383"/>
      <c r="AF72" s="383"/>
      <c r="AG72" s="383"/>
      <c r="AH72" s="383"/>
      <c r="AI72" s="383"/>
      <c r="AJ72" s="383"/>
      <c r="AK72" s="383"/>
      <c r="AL72" s="383"/>
      <c r="AM72" s="383"/>
      <c r="AN72" s="383"/>
      <c r="AO72" s="383"/>
      <c r="AP72" s="383"/>
      <c r="AQ72" s="383"/>
      <c r="AR72" s="383"/>
      <c r="AS72" s="383"/>
      <c r="AT72" s="383"/>
      <c r="AU72" s="383"/>
      <c r="AV72" s="383"/>
      <c r="AW72" s="383"/>
      <c r="AX72" s="383"/>
      <c r="AY72" s="393"/>
      <c r="AZ72" s="393"/>
      <c r="BA72" s="393"/>
      <c r="BB72" s="393"/>
      <c r="BC72" s="393"/>
      <c r="BD72" s="393"/>
      <c r="BE72" s="393"/>
      <c r="BF72" s="393"/>
      <c r="BG72" s="393"/>
      <c r="BH72" s="393"/>
      <c r="BI72" s="393"/>
      <c r="BJ72" s="393"/>
      <c r="BK72" s="393"/>
      <c r="BL72" s="393"/>
      <c r="BM72" s="393"/>
      <c r="BN72" s="393"/>
      <c r="BO72" s="393"/>
      <c r="BP72" s="393"/>
      <c r="BQ72" s="393"/>
      <c r="BR72" s="393"/>
      <c r="BS72" s="393"/>
    </row>
    <row r="73" spans="1:71" ht="11.25" customHeight="1" collapsed="1" x14ac:dyDescent="0.3">
      <c r="A73" s="554"/>
      <c r="B73" s="383"/>
      <c r="C73" s="383"/>
      <c r="D73" s="383"/>
      <c r="E73" s="383"/>
      <c r="F73" s="383"/>
      <c r="G73" s="383"/>
      <c r="H73" s="383"/>
      <c r="I73" s="383"/>
      <c r="J73" s="383"/>
      <c r="K73" s="383"/>
      <c r="L73" s="383"/>
      <c r="M73" s="383"/>
      <c r="N73" s="383"/>
      <c r="O73" s="383"/>
      <c r="P73" s="383"/>
      <c r="Q73" s="383"/>
      <c r="R73" s="383"/>
      <c r="S73" s="383"/>
      <c r="T73" s="383"/>
      <c r="U73" s="383"/>
      <c r="V73" s="383"/>
      <c r="W73" s="383"/>
      <c r="X73" s="383"/>
      <c r="Y73" s="383"/>
      <c r="Z73" s="383"/>
      <c r="AA73" s="383"/>
      <c r="AB73" s="383"/>
      <c r="AC73" s="383"/>
      <c r="AD73" s="383"/>
      <c r="AE73" s="383"/>
      <c r="AF73" s="383"/>
      <c r="AG73" s="383"/>
      <c r="AH73" s="383"/>
      <c r="AI73" s="383"/>
      <c r="AJ73" s="383"/>
      <c r="AK73" s="383"/>
      <c r="AL73" s="383"/>
      <c r="AM73" s="383"/>
      <c r="AN73" s="383"/>
      <c r="AO73" s="383"/>
      <c r="AP73" s="383"/>
      <c r="AQ73" s="383"/>
      <c r="AR73" s="383"/>
      <c r="AS73" s="383"/>
      <c r="AT73" s="383"/>
      <c r="AU73" s="383"/>
      <c r="AV73" s="383"/>
      <c r="AW73" s="383"/>
      <c r="AX73" s="383"/>
      <c r="AY73" s="393"/>
      <c r="AZ73" s="393"/>
      <c r="BA73" s="393"/>
      <c r="BB73" s="393"/>
      <c r="BC73" s="393"/>
      <c r="BD73" s="393"/>
      <c r="BE73" s="393"/>
      <c r="BF73" s="393"/>
      <c r="BG73" s="393"/>
      <c r="BH73" s="393"/>
      <c r="BI73" s="393"/>
      <c r="BJ73" s="393"/>
      <c r="BK73" s="393"/>
      <c r="BL73" s="393"/>
      <c r="BM73" s="393"/>
      <c r="BN73" s="393"/>
      <c r="BO73" s="393"/>
      <c r="BP73" s="393"/>
      <c r="BQ73" s="393"/>
      <c r="BR73" s="393"/>
      <c r="BS73" s="393"/>
    </row>
    <row r="74" spans="1:71" ht="11.25" customHeight="1" x14ac:dyDescent="0.3">
      <c r="A74" s="383"/>
      <c r="B74" s="383"/>
      <c r="C74" s="383"/>
      <c r="D74" s="383"/>
      <c r="E74" s="383"/>
      <c r="F74" s="383"/>
      <c r="G74" s="383"/>
      <c r="H74" s="383"/>
      <c r="I74" s="383"/>
      <c r="J74" s="383"/>
      <c r="K74" s="383"/>
      <c r="L74" s="383"/>
      <c r="M74" s="383"/>
      <c r="N74" s="383"/>
      <c r="O74" s="383"/>
      <c r="P74" s="383"/>
      <c r="Q74" s="383"/>
      <c r="R74" s="383"/>
      <c r="S74" s="383"/>
      <c r="T74" s="383"/>
      <c r="U74" s="383"/>
      <c r="V74" s="383"/>
      <c r="W74" s="383"/>
      <c r="X74" s="383"/>
      <c r="Y74" s="383"/>
      <c r="Z74" s="383"/>
      <c r="AA74" s="383"/>
      <c r="AB74" s="383"/>
      <c r="AC74" s="383"/>
      <c r="AD74" s="383"/>
      <c r="AE74" s="383"/>
      <c r="AF74" s="383"/>
      <c r="AG74" s="383"/>
      <c r="AH74" s="383"/>
      <c r="AI74" s="383"/>
      <c r="AJ74" s="383"/>
      <c r="AK74" s="383"/>
      <c r="AL74" s="383"/>
      <c r="AM74" s="383"/>
      <c r="AN74" s="383"/>
      <c r="AO74" s="383"/>
      <c r="AP74" s="383"/>
      <c r="AQ74" s="383"/>
      <c r="AR74" s="383"/>
      <c r="AS74" s="383"/>
      <c r="AT74" s="383"/>
      <c r="AU74" s="383"/>
      <c r="AV74" s="383"/>
      <c r="AW74" s="383"/>
      <c r="AX74" s="383"/>
      <c r="AY74" s="393"/>
      <c r="AZ74" s="393"/>
      <c r="BA74" s="393"/>
      <c r="BB74" s="393"/>
      <c r="BC74" s="393"/>
      <c r="BD74" s="393"/>
      <c r="BE74" s="393"/>
      <c r="BF74" s="393"/>
      <c r="BG74" s="393"/>
      <c r="BH74" s="393"/>
      <c r="BI74" s="393"/>
      <c r="BJ74" s="393"/>
      <c r="BK74" s="393"/>
      <c r="BL74" s="393"/>
      <c r="BM74" s="393"/>
      <c r="BN74" s="393"/>
      <c r="BO74" s="393"/>
      <c r="BP74" s="393"/>
      <c r="BQ74" s="393"/>
      <c r="BR74" s="393"/>
      <c r="BS74" s="393"/>
    </row>
    <row r="75" spans="1:71" ht="11.25" customHeight="1" x14ac:dyDescent="0.3">
      <c r="A75" s="383"/>
      <c r="B75" s="383"/>
      <c r="C75" s="383"/>
      <c r="D75" s="383"/>
      <c r="E75" s="383"/>
      <c r="F75" s="383"/>
      <c r="G75" s="383"/>
      <c r="H75" s="383"/>
      <c r="I75" s="383"/>
      <c r="J75" s="383"/>
      <c r="K75" s="383"/>
      <c r="L75" s="383"/>
      <c r="M75" s="383"/>
      <c r="N75" s="383"/>
      <c r="O75" s="383"/>
      <c r="P75" s="383"/>
      <c r="Q75" s="383"/>
      <c r="R75" s="383"/>
      <c r="S75" s="383"/>
      <c r="T75" s="383"/>
      <c r="U75" s="383"/>
      <c r="V75" s="383"/>
      <c r="W75" s="383"/>
      <c r="X75" s="383"/>
      <c r="Y75" s="383"/>
      <c r="Z75" s="383"/>
      <c r="AA75" s="383"/>
      <c r="AB75" s="383"/>
      <c r="AC75" s="383"/>
      <c r="AD75" s="383"/>
      <c r="AE75" s="383"/>
      <c r="AF75" s="383"/>
      <c r="AG75" s="383"/>
      <c r="AH75" s="383"/>
      <c r="AI75" s="383"/>
      <c r="AJ75" s="383"/>
      <c r="AK75" s="383"/>
      <c r="AL75" s="383"/>
      <c r="AM75" s="383"/>
      <c r="AN75" s="383"/>
      <c r="AO75" s="383"/>
      <c r="AP75" s="383"/>
      <c r="AQ75" s="383"/>
      <c r="AR75" s="383"/>
      <c r="AS75" s="383"/>
      <c r="AT75" s="383"/>
      <c r="AU75" s="383"/>
      <c r="AV75" s="383"/>
      <c r="AW75" s="383"/>
      <c r="AX75" s="383"/>
      <c r="AY75" s="393"/>
      <c r="AZ75" s="393"/>
      <c r="BA75" s="393"/>
      <c r="BB75" s="393"/>
      <c r="BC75" s="393"/>
      <c r="BD75" s="393"/>
      <c r="BE75" s="393"/>
      <c r="BF75" s="393"/>
      <c r="BG75" s="393"/>
      <c r="BH75" s="393"/>
      <c r="BI75" s="393"/>
      <c r="BJ75" s="393"/>
      <c r="BK75" s="393"/>
      <c r="BL75" s="393"/>
      <c r="BM75" s="393"/>
      <c r="BN75" s="393"/>
      <c r="BO75" s="393"/>
      <c r="BP75" s="393"/>
      <c r="BQ75" s="393"/>
      <c r="BR75" s="393"/>
      <c r="BS75" s="393"/>
    </row>
    <row r="76" spans="1:71" ht="11.25" customHeight="1" x14ac:dyDescent="0.3">
      <c r="A76" s="383"/>
      <c r="B76" s="383"/>
      <c r="C76" s="383"/>
      <c r="D76" s="383"/>
      <c r="E76" s="383"/>
      <c r="F76" s="383"/>
      <c r="G76" s="383"/>
      <c r="H76" s="383"/>
      <c r="I76" s="383"/>
      <c r="J76" s="383"/>
      <c r="K76" s="383"/>
      <c r="L76" s="383"/>
      <c r="M76" s="383"/>
      <c r="N76" s="383"/>
      <c r="O76" s="383"/>
      <c r="P76" s="383"/>
      <c r="Q76" s="383"/>
      <c r="R76" s="383"/>
      <c r="S76" s="383"/>
      <c r="T76" s="383"/>
      <c r="U76" s="383"/>
      <c r="V76" s="383"/>
      <c r="W76" s="383"/>
      <c r="X76" s="383"/>
      <c r="Y76" s="383"/>
      <c r="Z76" s="383"/>
      <c r="AA76" s="383"/>
      <c r="AB76" s="383"/>
      <c r="AC76" s="383"/>
      <c r="AD76" s="383"/>
      <c r="AE76" s="383"/>
      <c r="AF76" s="383"/>
      <c r="AG76" s="383"/>
      <c r="AH76" s="383"/>
      <c r="AI76" s="383"/>
      <c r="AJ76" s="383"/>
      <c r="AK76" s="383"/>
      <c r="AL76" s="383"/>
      <c r="AM76" s="383"/>
      <c r="AN76" s="383"/>
      <c r="AO76" s="383"/>
      <c r="AP76" s="383"/>
      <c r="AQ76" s="383"/>
      <c r="AR76" s="383"/>
      <c r="AS76" s="383"/>
      <c r="AT76" s="383"/>
      <c r="AU76" s="383"/>
      <c r="AV76" s="383"/>
      <c r="AW76" s="383"/>
      <c r="AX76" s="383"/>
      <c r="AY76" s="393"/>
      <c r="AZ76" s="393"/>
      <c r="BA76" s="393"/>
      <c r="BB76" s="393"/>
      <c r="BC76" s="393"/>
      <c r="BD76" s="393"/>
      <c r="BE76" s="393"/>
      <c r="BF76" s="393"/>
      <c r="BG76" s="393"/>
      <c r="BH76" s="393"/>
      <c r="BI76" s="393"/>
      <c r="BJ76" s="393"/>
      <c r="BK76" s="393"/>
      <c r="BL76" s="393"/>
      <c r="BM76" s="393"/>
      <c r="BN76" s="393"/>
      <c r="BO76" s="393"/>
      <c r="BP76" s="393"/>
      <c r="BQ76" s="393"/>
      <c r="BR76" s="393"/>
      <c r="BS76" s="393"/>
    </row>
    <row r="77" spans="1:71" ht="11.25" customHeight="1" x14ac:dyDescent="0.3">
      <c r="A77" s="383"/>
      <c r="B77" s="383"/>
      <c r="C77" s="383"/>
      <c r="D77" s="383"/>
      <c r="E77" s="383"/>
      <c r="F77" s="383"/>
      <c r="G77" s="383"/>
      <c r="H77" s="383"/>
      <c r="I77" s="383"/>
      <c r="J77" s="383"/>
      <c r="K77" s="383"/>
      <c r="L77" s="383"/>
      <c r="M77" s="383"/>
      <c r="N77" s="383"/>
      <c r="O77" s="383"/>
      <c r="P77" s="383"/>
      <c r="Q77" s="383"/>
      <c r="R77" s="383"/>
      <c r="S77" s="383"/>
      <c r="T77" s="383"/>
      <c r="U77" s="383"/>
      <c r="V77" s="383"/>
      <c r="W77" s="383"/>
      <c r="X77" s="383"/>
      <c r="Y77" s="383"/>
      <c r="Z77" s="383"/>
      <c r="AA77" s="383"/>
      <c r="AB77" s="383"/>
      <c r="AC77" s="383"/>
      <c r="AD77" s="383"/>
      <c r="AE77" s="383"/>
      <c r="AF77" s="383"/>
      <c r="AG77" s="383"/>
      <c r="AH77" s="383"/>
      <c r="AI77" s="383"/>
      <c r="AJ77" s="383"/>
      <c r="AK77" s="383"/>
      <c r="AL77" s="383"/>
      <c r="AM77" s="383"/>
      <c r="AN77" s="383"/>
      <c r="AO77" s="383"/>
      <c r="AP77" s="383"/>
      <c r="AQ77" s="383"/>
      <c r="AR77" s="383"/>
      <c r="AS77" s="383"/>
      <c r="AT77" s="383"/>
      <c r="AU77" s="383"/>
      <c r="AV77" s="383"/>
      <c r="AW77" s="383"/>
      <c r="AX77" s="383"/>
      <c r="AY77" s="393"/>
      <c r="AZ77" s="393"/>
      <c r="BA77" s="393"/>
      <c r="BB77" s="393"/>
      <c r="BC77" s="393"/>
      <c r="BD77" s="393"/>
      <c r="BE77" s="393"/>
      <c r="BF77" s="393"/>
      <c r="BG77" s="393"/>
      <c r="BH77" s="393"/>
      <c r="BI77" s="393"/>
      <c r="BJ77" s="393"/>
      <c r="BK77" s="393"/>
      <c r="BL77" s="393"/>
      <c r="BM77" s="393"/>
      <c r="BN77" s="393"/>
      <c r="BO77" s="393"/>
      <c r="BP77" s="393"/>
      <c r="BQ77" s="393"/>
      <c r="BR77" s="393"/>
      <c r="BS77" s="393"/>
    </row>
    <row r="78" spans="1:71" ht="11.25" customHeight="1" x14ac:dyDescent="0.3">
      <c r="A78" s="383"/>
      <c r="B78" s="383"/>
      <c r="C78" s="383"/>
      <c r="D78" s="383"/>
      <c r="E78" s="383"/>
      <c r="F78" s="383"/>
      <c r="G78" s="383"/>
      <c r="H78" s="383"/>
      <c r="I78" s="383"/>
      <c r="J78" s="383"/>
      <c r="K78" s="383"/>
      <c r="L78" s="383"/>
      <c r="M78" s="383"/>
      <c r="N78" s="383"/>
      <c r="O78" s="383"/>
      <c r="P78" s="383"/>
      <c r="Q78" s="383"/>
      <c r="R78" s="383"/>
      <c r="S78" s="383"/>
      <c r="T78" s="383"/>
      <c r="U78" s="383"/>
      <c r="V78" s="383"/>
      <c r="W78" s="383"/>
      <c r="X78" s="383"/>
      <c r="Y78" s="383"/>
      <c r="Z78" s="383"/>
      <c r="AA78" s="383"/>
      <c r="AB78" s="383"/>
      <c r="AC78" s="383"/>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93"/>
      <c r="AZ78" s="393"/>
      <c r="BA78" s="393"/>
      <c r="BB78" s="393"/>
      <c r="BC78" s="393"/>
      <c r="BD78" s="393"/>
      <c r="BE78" s="393"/>
      <c r="BF78" s="393"/>
      <c r="BG78" s="393"/>
      <c r="BH78" s="393"/>
      <c r="BI78" s="393"/>
      <c r="BJ78" s="393"/>
      <c r="BK78" s="393"/>
      <c r="BL78" s="393"/>
      <c r="BM78" s="393"/>
      <c r="BN78" s="393"/>
      <c r="BO78" s="393"/>
      <c r="BP78" s="393"/>
      <c r="BQ78" s="393"/>
      <c r="BR78" s="393"/>
      <c r="BS78" s="393"/>
    </row>
    <row r="79" spans="1:71" ht="11.25" customHeight="1" x14ac:dyDescent="0.3">
      <c r="A79" s="383"/>
      <c r="B79" s="383"/>
      <c r="C79" s="383"/>
      <c r="D79" s="383"/>
      <c r="E79" s="383"/>
      <c r="F79" s="383"/>
      <c r="G79" s="383"/>
      <c r="H79" s="383"/>
      <c r="I79" s="383"/>
      <c r="J79" s="383"/>
      <c r="K79" s="383"/>
      <c r="L79" s="383"/>
      <c r="M79" s="383"/>
      <c r="N79" s="383"/>
      <c r="O79" s="383"/>
      <c r="P79" s="383"/>
      <c r="Q79" s="383"/>
      <c r="R79" s="383"/>
      <c r="S79" s="383"/>
      <c r="T79" s="383"/>
      <c r="U79" s="383"/>
      <c r="V79" s="383"/>
      <c r="W79" s="383"/>
      <c r="X79" s="383"/>
      <c r="Y79" s="383"/>
      <c r="Z79" s="383"/>
      <c r="AA79" s="383"/>
      <c r="AB79" s="383"/>
      <c r="AC79" s="383"/>
      <c r="AD79" s="383"/>
      <c r="AE79" s="383"/>
      <c r="AF79" s="383"/>
      <c r="AG79" s="383"/>
      <c r="AH79" s="383"/>
      <c r="AI79" s="383"/>
      <c r="AJ79" s="383"/>
      <c r="AK79" s="383"/>
      <c r="AL79" s="383"/>
      <c r="AM79" s="383"/>
      <c r="AN79" s="383"/>
      <c r="AO79" s="383"/>
      <c r="AP79" s="383"/>
      <c r="AQ79" s="383"/>
      <c r="AR79" s="383"/>
      <c r="AS79" s="383"/>
      <c r="AT79" s="383"/>
      <c r="AU79" s="383"/>
      <c r="AV79" s="383"/>
      <c r="AW79" s="383"/>
      <c r="AX79" s="383"/>
      <c r="AY79" s="393"/>
      <c r="AZ79" s="393"/>
      <c r="BA79" s="393"/>
      <c r="BB79" s="393"/>
      <c r="BC79" s="393"/>
      <c r="BD79" s="393"/>
      <c r="BE79" s="393"/>
      <c r="BF79" s="393"/>
      <c r="BG79" s="393"/>
      <c r="BH79" s="393"/>
      <c r="BI79" s="393"/>
      <c r="BJ79" s="393"/>
      <c r="BK79" s="393"/>
      <c r="BL79" s="393"/>
      <c r="BM79" s="393"/>
      <c r="BN79" s="393"/>
      <c r="BO79" s="393"/>
      <c r="BP79" s="393"/>
      <c r="BQ79" s="393"/>
      <c r="BR79" s="393"/>
      <c r="BS79" s="393"/>
    </row>
    <row r="80" spans="1:71" ht="11.25" customHeight="1" x14ac:dyDescent="0.3">
      <c r="A80" s="383"/>
      <c r="B80" s="383"/>
      <c r="C80" s="383"/>
      <c r="D80" s="383"/>
      <c r="E80" s="383"/>
      <c r="F80" s="383"/>
      <c r="G80" s="383"/>
      <c r="H80" s="383"/>
      <c r="I80" s="383"/>
      <c r="J80" s="383"/>
      <c r="K80" s="383"/>
      <c r="L80" s="383"/>
      <c r="M80" s="383"/>
      <c r="N80" s="383"/>
      <c r="O80" s="383"/>
      <c r="P80" s="383"/>
      <c r="Q80" s="383"/>
      <c r="R80" s="383"/>
      <c r="S80" s="383"/>
      <c r="T80" s="383"/>
      <c r="U80" s="383"/>
      <c r="V80" s="383"/>
      <c r="W80" s="383"/>
      <c r="X80" s="383"/>
      <c r="Y80" s="383"/>
      <c r="Z80" s="383"/>
      <c r="AA80" s="383"/>
      <c r="AB80" s="383"/>
      <c r="AC80" s="383"/>
      <c r="AD80" s="383"/>
      <c r="AE80" s="383"/>
      <c r="AF80" s="383"/>
      <c r="AG80" s="383"/>
      <c r="AH80" s="383"/>
      <c r="AI80" s="383"/>
      <c r="AJ80" s="383"/>
      <c r="AK80" s="383"/>
      <c r="AL80" s="383"/>
      <c r="AM80" s="383"/>
      <c r="AN80" s="383"/>
      <c r="AO80" s="383"/>
      <c r="AP80" s="383"/>
      <c r="AQ80" s="383"/>
      <c r="AR80" s="383"/>
      <c r="AS80" s="383"/>
      <c r="AT80" s="383"/>
      <c r="AU80" s="383"/>
      <c r="AV80" s="383"/>
      <c r="AW80" s="383"/>
      <c r="AX80" s="383"/>
      <c r="AY80" s="393"/>
      <c r="AZ80" s="393"/>
      <c r="BA80" s="393"/>
      <c r="BB80" s="393"/>
      <c r="BC80" s="393"/>
      <c r="BD80" s="393"/>
      <c r="BE80" s="393"/>
      <c r="BF80" s="393"/>
      <c r="BG80" s="393"/>
      <c r="BH80" s="393"/>
      <c r="BI80" s="393"/>
      <c r="BJ80" s="393"/>
      <c r="BK80" s="393"/>
      <c r="BL80" s="393"/>
      <c r="BM80" s="393"/>
      <c r="BN80" s="393"/>
      <c r="BO80" s="393"/>
      <c r="BP80" s="393"/>
      <c r="BQ80" s="393"/>
      <c r="BR80" s="393"/>
      <c r="BS80" s="393"/>
    </row>
    <row r="81" spans="1:71" ht="11.25" customHeight="1" x14ac:dyDescent="0.3">
      <c r="A81" s="383"/>
      <c r="B81" s="383"/>
      <c r="C81" s="383"/>
      <c r="D81" s="383"/>
      <c r="E81" s="383"/>
      <c r="F81" s="383"/>
      <c r="G81" s="383"/>
      <c r="H81" s="383"/>
      <c r="I81" s="383"/>
      <c r="J81" s="383"/>
      <c r="K81" s="383"/>
      <c r="L81" s="383"/>
      <c r="M81" s="383"/>
      <c r="N81" s="383"/>
      <c r="O81" s="383"/>
      <c r="P81" s="383"/>
      <c r="Q81" s="383"/>
      <c r="R81" s="383"/>
      <c r="S81" s="383"/>
      <c r="T81" s="383"/>
      <c r="U81" s="383"/>
      <c r="V81" s="383"/>
      <c r="W81" s="383"/>
      <c r="X81" s="383"/>
      <c r="Y81" s="383"/>
      <c r="Z81" s="383"/>
      <c r="AA81" s="383"/>
      <c r="AB81" s="383"/>
      <c r="AC81" s="383"/>
      <c r="AD81" s="383"/>
      <c r="AE81" s="383"/>
      <c r="AF81" s="383"/>
      <c r="AG81" s="383"/>
      <c r="AH81" s="383"/>
      <c r="AI81" s="383"/>
      <c r="AJ81" s="383"/>
      <c r="AK81" s="383"/>
      <c r="AL81" s="383"/>
      <c r="AM81" s="383"/>
      <c r="AN81" s="383"/>
      <c r="AO81" s="383"/>
      <c r="AP81" s="383"/>
      <c r="AQ81" s="383"/>
      <c r="AR81" s="383"/>
      <c r="AS81" s="383"/>
      <c r="AT81" s="383"/>
      <c r="AU81" s="383"/>
      <c r="AV81" s="383"/>
      <c r="AW81" s="383"/>
      <c r="AX81" s="383"/>
      <c r="AY81" s="393"/>
      <c r="AZ81" s="393"/>
      <c r="BA81" s="393"/>
      <c r="BB81" s="393"/>
      <c r="BC81" s="393"/>
      <c r="BD81" s="393"/>
      <c r="BE81" s="393"/>
      <c r="BF81" s="393"/>
      <c r="BG81" s="393"/>
      <c r="BH81" s="393"/>
      <c r="BI81" s="393"/>
      <c r="BJ81" s="393"/>
      <c r="BK81" s="393"/>
      <c r="BL81" s="393"/>
      <c r="BM81" s="393"/>
      <c r="BN81" s="393"/>
      <c r="BO81" s="393"/>
      <c r="BP81" s="393"/>
      <c r="BQ81" s="393"/>
      <c r="BR81" s="393"/>
      <c r="BS81" s="393"/>
    </row>
    <row r="82" spans="1:71" ht="11.25" customHeight="1" x14ac:dyDescent="0.3">
      <c r="A82" s="383"/>
      <c r="B82" s="383"/>
      <c r="C82" s="383"/>
      <c r="D82" s="383"/>
      <c r="E82" s="383"/>
      <c r="F82" s="383"/>
      <c r="G82" s="383"/>
      <c r="H82" s="383"/>
      <c r="I82" s="383"/>
      <c r="J82" s="383"/>
      <c r="K82" s="383"/>
      <c r="L82" s="383"/>
      <c r="M82" s="383"/>
      <c r="N82" s="383"/>
      <c r="O82" s="383"/>
      <c r="P82" s="383"/>
      <c r="Q82" s="383"/>
      <c r="R82" s="383"/>
      <c r="S82" s="383"/>
      <c r="T82" s="383"/>
      <c r="U82" s="383"/>
      <c r="V82" s="383"/>
      <c r="W82" s="383"/>
      <c r="X82" s="383"/>
      <c r="Y82" s="383"/>
      <c r="Z82" s="383"/>
      <c r="AA82" s="383"/>
      <c r="AB82" s="383"/>
      <c r="AC82" s="383"/>
      <c r="AD82" s="383"/>
      <c r="AE82" s="383"/>
      <c r="AF82" s="383"/>
      <c r="AG82" s="383"/>
      <c r="AH82" s="383"/>
      <c r="AI82" s="383"/>
      <c r="AJ82" s="383"/>
      <c r="AK82" s="383"/>
      <c r="AL82" s="383"/>
      <c r="AM82" s="383"/>
      <c r="AN82" s="383"/>
      <c r="AO82" s="383"/>
      <c r="AP82" s="383"/>
      <c r="AQ82" s="383"/>
      <c r="AR82" s="383"/>
      <c r="AS82" s="383"/>
      <c r="AT82" s="383"/>
      <c r="AU82" s="383"/>
      <c r="AV82" s="383"/>
      <c r="AW82" s="383"/>
      <c r="AX82" s="383"/>
      <c r="AY82" s="393"/>
      <c r="AZ82" s="393"/>
      <c r="BA82" s="393"/>
      <c r="BB82" s="393"/>
      <c r="BC82" s="393"/>
      <c r="BD82" s="393"/>
      <c r="BE82" s="393"/>
      <c r="BF82" s="393"/>
      <c r="BG82" s="393"/>
      <c r="BH82" s="393"/>
      <c r="BI82" s="393"/>
      <c r="BJ82" s="393"/>
      <c r="BK82" s="393"/>
      <c r="BL82" s="393"/>
      <c r="BM82" s="393"/>
      <c r="BN82" s="393"/>
      <c r="BO82" s="393"/>
      <c r="BP82" s="393"/>
      <c r="BQ82" s="393"/>
      <c r="BR82" s="393"/>
      <c r="BS82" s="393"/>
    </row>
    <row r="83" spans="1:71" ht="11.25" customHeight="1" x14ac:dyDescent="0.3">
      <c r="A83" s="383"/>
      <c r="B83" s="383"/>
      <c r="C83" s="383"/>
      <c r="D83" s="383"/>
      <c r="E83" s="383"/>
      <c r="F83" s="383"/>
      <c r="G83" s="383"/>
      <c r="H83" s="383"/>
      <c r="I83" s="383"/>
      <c r="J83" s="383"/>
      <c r="K83" s="383"/>
      <c r="L83" s="383"/>
      <c r="M83" s="383"/>
      <c r="N83" s="383"/>
      <c r="O83" s="383"/>
      <c r="P83" s="383"/>
      <c r="Q83" s="383"/>
      <c r="R83" s="383"/>
      <c r="S83" s="383"/>
      <c r="T83" s="383"/>
      <c r="U83" s="383"/>
      <c r="V83" s="383"/>
      <c r="W83" s="383"/>
      <c r="X83" s="383"/>
      <c r="Y83" s="383"/>
      <c r="Z83" s="383"/>
      <c r="AA83" s="383"/>
      <c r="AB83" s="383"/>
      <c r="AC83" s="383"/>
      <c r="AD83" s="383"/>
      <c r="AE83" s="383"/>
      <c r="AF83" s="383"/>
      <c r="AG83" s="383"/>
      <c r="AH83" s="383"/>
      <c r="AI83" s="383"/>
      <c r="AJ83" s="383"/>
      <c r="AK83" s="383"/>
      <c r="AL83" s="383"/>
      <c r="AM83" s="383"/>
      <c r="AN83" s="383"/>
      <c r="AO83" s="383"/>
      <c r="AP83" s="383"/>
      <c r="AQ83" s="383"/>
      <c r="AR83" s="383"/>
      <c r="AS83" s="383"/>
      <c r="AT83" s="383"/>
      <c r="AU83" s="383"/>
      <c r="AV83" s="383"/>
      <c r="AW83" s="383"/>
      <c r="AX83" s="383"/>
      <c r="AY83" s="393"/>
      <c r="AZ83" s="393"/>
      <c r="BA83" s="393"/>
      <c r="BB83" s="393"/>
      <c r="BC83" s="393"/>
      <c r="BD83" s="393"/>
      <c r="BE83" s="393"/>
      <c r="BF83" s="393"/>
      <c r="BG83" s="393"/>
      <c r="BH83" s="393"/>
      <c r="BI83" s="393"/>
      <c r="BJ83" s="393"/>
      <c r="BK83" s="393"/>
      <c r="BL83" s="393"/>
      <c r="BM83" s="393"/>
      <c r="BN83" s="393"/>
      <c r="BO83" s="393"/>
      <c r="BP83" s="393"/>
      <c r="BQ83" s="393"/>
      <c r="BR83" s="393"/>
      <c r="BS83" s="393"/>
    </row>
    <row r="84" spans="1:71" ht="11.25" customHeight="1" x14ac:dyDescent="0.3">
      <c r="A84" s="383"/>
      <c r="B84" s="383"/>
      <c r="C84" s="383"/>
      <c r="D84" s="383"/>
      <c r="E84" s="383"/>
      <c r="F84" s="383"/>
      <c r="G84" s="383"/>
      <c r="H84" s="383"/>
      <c r="I84" s="383"/>
      <c r="J84" s="383"/>
      <c r="K84" s="383"/>
      <c r="L84" s="383"/>
      <c r="M84" s="383"/>
      <c r="N84" s="383"/>
      <c r="O84" s="383"/>
      <c r="P84" s="383"/>
      <c r="Q84" s="383"/>
      <c r="R84" s="383"/>
      <c r="S84" s="383"/>
      <c r="T84" s="383"/>
      <c r="U84" s="383"/>
      <c r="V84" s="383"/>
      <c r="W84" s="383"/>
      <c r="X84" s="383"/>
      <c r="Y84" s="383"/>
      <c r="Z84" s="383"/>
      <c r="AA84" s="383"/>
      <c r="AB84" s="383"/>
      <c r="AC84" s="383"/>
      <c r="AD84" s="383"/>
      <c r="AE84" s="383"/>
      <c r="AF84" s="383"/>
      <c r="AG84" s="383"/>
      <c r="AH84" s="383"/>
      <c r="AI84" s="383"/>
      <c r="AJ84" s="383"/>
      <c r="AK84" s="383"/>
      <c r="AL84" s="383"/>
      <c r="AM84" s="383"/>
      <c r="AN84" s="383"/>
      <c r="AO84" s="383"/>
      <c r="AP84" s="383"/>
      <c r="AQ84" s="383"/>
      <c r="AR84" s="383"/>
      <c r="AS84" s="383"/>
      <c r="AT84" s="383"/>
      <c r="AU84" s="383"/>
      <c r="AV84" s="383"/>
      <c r="AW84" s="383"/>
      <c r="AX84" s="383"/>
      <c r="AY84" s="393"/>
      <c r="AZ84" s="393"/>
      <c r="BA84" s="393"/>
      <c r="BB84" s="393"/>
      <c r="BC84" s="393"/>
      <c r="BD84" s="393"/>
      <c r="BE84" s="393"/>
      <c r="BF84" s="393"/>
      <c r="BG84" s="393"/>
      <c r="BH84" s="393"/>
      <c r="BI84" s="393"/>
      <c r="BJ84" s="393"/>
      <c r="BK84" s="393"/>
      <c r="BL84" s="393"/>
      <c r="BM84" s="393"/>
      <c r="BN84" s="393"/>
      <c r="BO84" s="393"/>
      <c r="BP84" s="393"/>
      <c r="BQ84" s="393"/>
      <c r="BR84" s="393"/>
      <c r="BS84" s="393"/>
    </row>
    <row r="85" spans="1:71" ht="11.25" customHeight="1" x14ac:dyDescent="0.3">
      <c r="A85" s="383"/>
      <c r="B85" s="383"/>
      <c r="C85" s="383"/>
      <c r="D85" s="383"/>
      <c r="E85" s="383"/>
      <c r="F85" s="383"/>
      <c r="G85" s="383"/>
      <c r="H85" s="383"/>
      <c r="I85" s="383"/>
      <c r="J85" s="383"/>
      <c r="K85" s="383"/>
      <c r="L85" s="383"/>
      <c r="M85" s="383"/>
      <c r="N85" s="383"/>
      <c r="O85" s="383"/>
      <c r="P85" s="383"/>
      <c r="Q85" s="383"/>
      <c r="R85" s="383"/>
      <c r="S85" s="383"/>
      <c r="T85" s="383"/>
      <c r="U85" s="383"/>
      <c r="V85" s="383"/>
      <c r="W85" s="383"/>
      <c r="X85" s="383"/>
      <c r="Y85" s="383"/>
      <c r="Z85" s="383"/>
      <c r="AA85" s="383"/>
      <c r="AB85" s="383"/>
      <c r="AC85" s="383"/>
      <c r="AD85" s="383"/>
      <c r="AE85" s="383"/>
      <c r="AF85" s="383"/>
      <c r="AG85" s="383"/>
      <c r="AH85" s="383"/>
      <c r="AI85" s="383"/>
      <c r="AJ85" s="383"/>
      <c r="AK85" s="383"/>
      <c r="AL85" s="383"/>
      <c r="AM85" s="383"/>
      <c r="AN85" s="383"/>
      <c r="AO85" s="383"/>
      <c r="AP85" s="383"/>
      <c r="AQ85" s="383"/>
      <c r="AR85" s="383"/>
      <c r="AS85" s="383"/>
      <c r="AT85" s="383"/>
      <c r="AU85" s="383"/>
      <c r="AV85" s="383"/>
      <c r="AW85" s="383"/>
      <c r="AX85" s="383"/>
      <c r="AY85" s="393"/>
      <c r="AZ85" s="393"/>
      <c r="BA85" s="393"/>
      <c r="BB85" s="393"/>
      <c r="BC85" s="393"/>
      <c r="BD85" s="393"/>
      <c r="BE85" s="393"/>
      <c r="BF85" s="393"/>
      <c r="BG85" s="393"/>
      <c r="BH85" s="393"/>
      <c r="BI85" s="393"/>
      <c r="BJ85" s="393"/>
      <c r="BK85" s="393"/>
      <c r="BL85" s="393"/>
      <c r="BM85" s="393"/>
      <c r="BN85" s="393"/>
      <c r="BO85" s="393"/>
      <c r="BP85" s="393"/>
      <c r="BQ85" s="393"/>
      <c r="BR85" s="393"/>
      <c r="BS85" s="393"/>
    </row>
    <row r="86" spans="1:71" ht="11.25" customHeight="1" x14ac:dyDescent="0.3">
      <c r="A86" s="383"/>
      <c r="B86" s="383"/>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3"/>
      <c r="AQ86" s="383"/>
      <c r="AR86" s="383"/>
      <c r="AS86" s="383"/>
      <c r="AT86" s="383"/>
      <c r="AU86" s="383"/>
      <c r="AV86" s="383"/>
      <c r="AW86" s="383"/>
      <c r="AX86" s="383"/>
      <c r="AY86" s="393"/>
      <c r="AZ86" s="393"/>
      <c r="BA86" s="393"/>
      <c r="BB86" s="393"/>
      <c r="BC86" s="393"/>
      <c r="BD86" s="393"/>
      <c r="BE86" s="393"/>
      <c r="BF86" s="393"/>
      <c r="BG86" s="393"/>
      <c r="BH86" s="393"/>
      <c r="BI86" s="393"/>
      <c r="BJ86" s="393"/>
      <c r="BK86" s="393"/>
      <c r="BL86" s="393"/>
      <c r="BM86" s="393"/>
      <c r="BN86" s="393"/>
      <c r="BO86" s="393"/>
      <c r="BP86" s="393"/>
      <c r="BQ86" s="393"/>
      <c r="BR86" s="393"/>
      <c r="BS86" s="393"/>
    </row>
    <row r="87" spans="1:71" ht="11.25" customHeight="1" x14ac:dyDescent="0.3">
      <c r="A87" s="383"/>
      <c r="B87" s="383"/>
      <c r="C87" s="383"/>
      <c r="D87" s="383"/>
      <c r="E87" s="383"/>
      <c r="F87" s="383"/>
      <c r="G87" s="383"/>
      <c r="H87" s="383"/>
      <c r="I87" s="383"/>
      <c r="J87" s="383"/>
      <c r="K87" s="383"/>
      <c r="L87" s="383"/>
      <c r="M87" s="383"/>
      <c r="N87" s="383"/>
      <c r="O87" s="383"/>
      <c r="P87" s="383"/>
      <c r="Q87" s="383"/>
      <c r="R87" s="383"/>
      <c r="S87" s="383"/>
      <c r="T87" s="383"/>
      <c r="U87" s="383"/>
      <c r="V87" s="383"/>
      <c r="W87" s="383"/>
      <c r="X87" s="383"/>
      <c r="Y87" s="383"/>
      <c r="Z87" s="383"/>
      <c r="AA87" s="383"/>
      <c r="AB87" s="383"/>
      <c r="AC87" s="383"/>
      <c r="AD87" s="383"/>
      <c r="AE87" s="383"/>
      <c r="AF87" s="383"/>
      <c r="AG87" s="383"/>
      <c r="AH87" s="383"/>
      <c r="AI87" s="383"/>
      <c r="AJ87" s="383"/>
      <c r="AK87" s="383"/>
      <c r="AL87" s="383"/>
      <c r="AM87" s="383"/>
      <c r="AN87" s="383"/>
      <c r="AO87" s="383"/>
      <c r="AP87" s="383"/>
      <c r="AQ87" s="383"/>
      <c r="AR87" s="383"/>
      <c r="AS87" s="383"/>
      <c r="AT87" s="383"/>
      <c r="AU87" s="383"/>
      <c r="AV87" s="383"/>
      <c r="AW87" s="383"/>
      <c r="AX87" s="383"/>
      <c r="AY87" s="393"/>
      <c r="AZ87" s="393"/>
      <c r="BA87" s="393"/>
      <c r="BB87" s="393"/>
      <c r="BC87" s="393"/>
      <c r="BD87" s="393"/>
      <c r="BE87" s="393"/>
      <c r="BF87" s="393"/>
      <c r="BG87" s="393"/>
      <c r="BH87" s="393"/>
      <c r="BI87" s="393"/>
      <c r="BJ87" s="393"/>
      <c r="BK87" s="393"/>
      <c r="BL87" s="393"/>
      <c r="BM87" s="393"/>
      <c r="BN87" s="393"/>
      <c r="BO87" s="393"/>
      <c r="BP87" s="393"/>
      <c r="BQ87" s="393"/>
      <c r="BR87" s="393"/>
      <c r="BS87" s="393"/>
    </row>
    <row r="88" spans="1:71" ht="11.25" customHeight="1" x14ac:dyDescent="0.3">
      <c r="A88" s="383"/>
      <c r="B88" s="383"/>
      <c r="C88" s="383"/>
      <c r="D88" s="383"/>
      <c r="E88" s="383"/>
      <c r="F88" s="383"/>
      <c r="G88" s="383"/>
      <c r="H88" s="383"/>
      <c r="I88" s="383"/>
      <c r="J88" s="383"/>
      <c r="K88" s="383"/>
      <c r="L88" s="383"/>
      <c r="M88" s="383"/>
      <c r="N88" s="383"/>
      <c r="O88" s="383"/>
      <c r="P88" s="383"/>
      <c r="Q88" s="383"/>
      <c r="R88" s="383"/>
      <c r="S88" s="383"/>
      <c r="T88" s="383"/>
      <c r="U88" s="383"/>
      <c r="V88" s="383"/>
      <c r="W88" s="383"/>
      <c r="X88" s="383"/>
      <c r="Y88" s="383"/>
      <c r="Z88" s="383"/>
      <c r="AA88" s="383"/>
      <c r="AB88" s="383"/>
      <c r="AC88" s="383"/>
      <c r="AD88" s="383"/>
      <c r="AE88" s="383"/>
      <c r="AF88" s="383"/>
      <c r="AG88" s="383"/>
      <c r="AH88" s="383"/>
      <c r="AI88" s="383"/>
      <c r="AJ88" s="383"/>
      <c r="AK88" s="383"/>
      <c r="AL88" s="383"/>
      <c r="AM88" s="383"/>
      <c r="AN88" s="383"/>
      <c r="AO88" s="383"/>
      <c r="AP88" s="383"/>
      <c r="AQ88" s="383"/>
      <c r="AR88" s="383"/>
      <c r="AS88" s="383"/>
      <c r="AT88" s="383"/>
      <c r="AU88" s="383"/>
      <c r="AV88" s="383"/>
      <c r="AW88" s="383"/>
      <c r="AX88" s="383"/>
      <c r="AY88" s="393"/>
      <c r="AZ88" s="393"/>
      <c r="BA88" s="393"/>
      <c r="BB88" s="393"/>
      <c r="BC88" s="393"/>
      <c r="BD88" s="393"/>
      <c r="BE88" s="393"/>
      <c r="BF88" s="393"/>
      <c r="BG88" s="393"/>
      <c r="BH88" s="393"/>
      <c r="BI88" s="393"/>
      <c r="BJ88" s="393"/>
      <c r="BK88" s="393"/>
      <c r="BL88" s="393"/>
      <c r="BM88" s="393"/>
      <c r="BN88" s="393"/>
      <c r="BO88" s="393"/>
      <c r="BP88" s="393"/>
      <c r="BQ88" s="393"/>
      <c r="BR88" s="393"/>
      <c r="BS88" s="393"/>
    </row>
    <row r="89" spans="1:71" ht="11.25" customHeight="1" x14ac:dyDescent="0.3">
      <c r="A89" s="383"/>
      <c r="B89" s="383"/>
      <c r="C89" s="383"/>
      <c r="D89" s="383"/>
      <c r="E89" s="383"/>
      <c r="F89" s="383"/>
      <c r="G89" s="383"/>
      <c r="H89" s="383"/>
      <c r="I89" s="383"/>
      <c r="J89" s="383"/>
      <c r="K89" s="383"/>
      <c r="L89" s="383"/>
      <c r="M89" s="383"/>
      <c r="N89" s="383"/>
      <c r="O89" s="383"/>
      <c r="P89" s="383"/>
      <c r="Q89" s="383"/>
      <c r="R89" s="383"/>
      <c r="S89" s="383"/>
      <c r="T89" s="383"/>
      <c r="U89" s="383"/>
      <c r="V89" s="383"/>
      <c r="W89" s="383"/>
      <c r="X89" s="383"/>
      <c r="Y89" s="383"/>
      <c r="Z89" s="383"/>
      <c r="AA89" s="383"/>
      <c r="AB89" s="383"/>
      <c r="AC89" s="383"/>
      <c r="AD89" s="383"/>
      <c r="AE89" s="383"/>
      <c r="AF89" s="383"/>
      <c r="AG89" s="383"/>
      <c r="AH89" s="383"/>
      <c r="AI89" s="383"/>
      <c r="AJ89" s="383"/>
      <c r="AK89" s="383"/>
      <c r="AL89" s="383"/>
      <c r="AM89" s="383"/>
      <c r="AN89" s="383"/>
      <c r="AO89" s="383"/>
      <c r="AP89" s="383"/>
      <c r="AQ89" s="383"/>
      <c r="AR89" s="383"/>
      <c r="AS89" s="383"/>
      <c r="AT89" s="383"/>
      <c r="AU89" s="383"/>
      <c r="AV89" s="383"/>
      <c r="AW89" s="383"/>
      <c r="AX89" s="383"/>
      <c r="AY89" s="393"/>
      <c r="AZ89" s="393"/>
      <c r="BA89" s="393"/>
      <c r="BB89" s="393"/>
      <c r="BC89" s="393"/>
      <c r="BD89" s="393"/>
      <c r="BE89" s="393"/>
      <c r="BF89" s="393"/>
      <c r="BG89" s="393"/>
      <c r="BH89" s="393"/>
      <c r="BI89" s="393"/>
      <c r="BJ89" s="393"/>
      <c r="BK89" s="393"/>
      <c r="BL89" s="393"/>
      <c r="BM89" s="393"/>
      <c r="BN89" s="393"/>
      <c r="BO89" s="393"/>
      <c r="BP89" s="393"/>
      <c r="BQ89" s="393"/>
      <c r="BR89" s="393"/>
      <c r="BS89" s="393"/>
    </row>
    <row r="90" spans="1:71" ht="11.25" customHeight="1" x14ac:dyDescent="0.3">
      <c r="A90" s="383"/>
      <c r="B90" s="383"/>
      <c r="C90" s="383"/>
      <c r="D90" s="383"/>
      <c r="E90" s="383"/>
      <c r="F90" s="383"/>
      <c r="G90" s="383"/>
      <c r="H90" s="383"/>
      <c r="I90" s="383"/>
      <c r="J90" s="383"/>
      <c r="K90" s="383"/>
      <c r="L90" s="383"/>
      <c r="M90" s="383"/>
      <c r="N90" s="383"/>
      <c r="O90" s="383"/>
      <c r="P90" s="383"/>
      <c r="Q90" s="383"/>
      <c r="R90" s="383"/>
      <c r="S90" s="383"/>
      <c r="T90" s="383"/>
      <c r="U90" s="383"/>
      <c r="V90" s="383"/>
      <c r="W90" s="383"/>
      <c r="X90" s="383"/>
      <c r="Y90" s="383"/>
      <c r="Z90" s="383"/>
      <c r="AA90" s="383"/>
      <c r="AB90" s="383"/>
      <c r="AC90" s="383"/>
      <c r="AD90" s="383"/>
      <c r="AE90" s="383"/>
      <c r="AF90" s="383"/>
      <c r="AG90" s="383"/>
      <c r="AH90" s="383"/>
      <c r="AI90" s="383"/>
      <c r="AJ90" s="383"/>
      <c r="AK90" s="383"/>
      <c r="AL90" s="383"/>
      <c r="AM90" s="383"/>
      <c r="AN90" s="383"/>
      <c r="AO90" s="383"/>
      <c r="AP90" s="383"/>
      <c r="AQ90" s="383"/>
      <c r="AR90" s="383"/>
      <c r="AS90" s="383"/>
      <c r="AT90" s="383"/>
      <c r="AU90" s="383"/>
      <c r="AV90" s="383"/>
      <c r="AW90" s="383"/>
      <c r="AX90" s="383"/>
      <c r="AY90" s="393"/>
      <c r="AZ90" s="393"/>
      <c r="BA90" s="393"/>
      <c r="BB90" s="393"/>
      <c r="BC90" s="393"/>
      <c r="BD90" s="393"/>
      <c r="BE90" s="393"/>
      <c r="BF90" s="393"/>
      <c r="BG90" s="393"/>
      <c r="BH90" s="393"/>
      <c r="BI90" s="393"/>
      <c r="BJ90" s="393"/>
      <c r="BK90" s="393"/>
      <c r="BL90" s="393"/>
      <c r="BM90" s="393"/>
      <c r="BN90" s="393"/>
      <c r="BO90" s="393"/>
      <c r="BP90" s="393"/>
      <c r="BQ90" s="393"/>
      <c r="BR90" s="393"/>
      <c r="BS90" s="393"/>
    </row>
    <row r="91" spans="1:71" ht="11.25" customHeight="1" x14ac:dyDescent="0.3">
      <c r="A91" s="383"/>
      <c r="B91" s="383"/>
      <c r="C91" s="383"/>
      <c r="D91" s="383"/>
      <c r="E91" s="383"/>
      <c r="F91" s="383"/>
      <c r="G91" s="383"/>
      <c r="H91" s="383"/>
      <c r="I91" s="383"/>
      <c r="J91" s="383"/>
      <c r="K91" s="383"/>
      <c r="L91" s="383"/>
      <c r="M91" s="383"/>
      <c r="N91" s="383"/>
      <c r="O91" s="383"/>
      <c r="P91" s="383"/>
      <c r="Q91" s="383"/>
      <c r="R91" s="383"/>
      <c r="S91" s="383"/>
      <c r="T91" s="383"/>
      <c r="U91" s="383"/>
      <c r="V91" s="383"/>
      <c r="W91" s="383"/>
      <c r="X91" s="383"/>
      <c r="Y91" s="383"/>
      <c r="Z91" s="383"/>
      <c r="AA91" s="383"/>
      <c r="AB91" s="383"/>
      <c r="AC91" s="383"/>
      <c r="AD91" s="383"/>
      <c r="AE91" s="383"/>
      <c r="AF91" s="383"/>
      <c r="AG91" s="383"/>
      <c r="AH91" s="383"/>
      <c r="AI91" s="383"/>
      <c r="AJ91" s="383"/>
      <c r="AK91" s="383"/>
      <c r="AL91" s="383"/>
      <c r="AM91" s="383"/>
      <c r="AN91" s="383"/>
      <c r="AO91" s="383"/>
      <c r="AP91" s="383"/>
      <c r="AQ91" s="383"/>
      <c r="AR91" s="383"/>
      <c r="AS91" s="383"/>
      <c r="AT91" s="383"/>
      <c r="AU91" s="383"/>
      <c r="AV91" s="383"/>
      <c r="AW91" s="383"/>
      <c r="AX91" s="383"/>
      <c r="AY91" s="393"/>
      <c r="AZ91" s="393"/>
      <c r="BA91" s="393"/>
      <c r="BB91" s="393"/>
      <c r="BC91" s="393"/>
      <c r="BD91" s="393"/>
      <c r="BE91" s="393"/>
      <c r="BF91" s="393"/>
      <c r="BG91" s="393"/>
      <c r="BH91" s="393"/>
      <c r="BI91" s="393"/>
      <c r="BJ91" s="393"/>
      <c r="BK91" s="393"/>
      <c r="BL91" s="393"/>
      <c r="BM91" s="393"/>
      <c r="BN91" s="393"/>
      <c r="BO91" s="393"/>
      <c r="BP91" s="393"/>
      <c r="BQ91" s="393"/>
      <c r="BR91" s="393"/>
      <c r="BS91" s="393"/>
    </row>
    <row r="92" spans="1:71" ht="11.25" customHeight="1" x14ac:dyDescent="0.3">
      <c r="A92" s="383"/>
      <c r="B92" s="383"/>
      <c r="C92" s="383"/>
      <c r="D92" s="383"/>
      <c r="E92" s="383"/>
      <c r="F92" s="383"/>
      <c r="G92" s="383"/>
      <c r="H92" s="383"/>
      <c r="I92" s="383"/>
      <c r="J92" s="383"/>
      <c r="K92" s="383"/>
      <c r="L92" s="383"/>
      <c r="M92" s="383"/>
      <c r="N92" s="383"/>
      <c r="O92" s="383"/>
      <c r="P92" s="383"/>
      <c r="Q92" s="383"/>
      <c r="R92" s="383"/>
      <c r="S92" s="383"/>
      <c r="T92" s="383"/>
      <c r="U92" s="383"/>
      <c r="V92" s="383"/>
      <c r="W92" s="383"/>
      <c r="X92" s="383"/>
      <c r="Y92" s="383"/>
      <c r="Z92" s="383"/>
      <c r="AA92" s="383"/>
      <c r="AB92" s="383"/>
      <c r="AC92" s="383"/>
      <c r="AD92" s="383"/>
      <c r="AE92" s="383"/>
      <c r="AF92" s="383"/>
      <c r="AG92" s="383"/>
      <c r="AH92" s="383"/>
      <c r="AI92" s="383"/>
      <c r="AJ92" s="383"/>
      <c r="AK92" s="383"/>
      <c r="AL92" s="383"/>
      <c r="AM92" s="383"/>
      <c r="AN92" s="383"/>
      <c r="AO92" s="383"/>
      <c r="AP92" s="383"/>
      <c r="AQ92" s="383"/>
      <c r="AR92" s="383"/>
      <c r="AS92" s="383"/>
      <c r="AT92" s="383"/>
      <c r="AU92" s="383"/>
      <c r="AV92" s="383"/>
      <c r="AW92" s="383"/>
      <c r="AX92" s="383"/>
      <c r="AY92" s="393"/>
      <c r="AZ92" s="393"/>
      <c r="BA92" s="393"/>
      <c r="BB92" s="393"/>
      <c r="BC92" s="393"/>
      <c r="BD92" s="393"/>
      <c r="BE92" s="393"/>
      <c r="BF92" s="393"/>
      <c r="BG92" s="393"/>
      <c r="BH92" s="393"/>
      <c r="BI92" s="393"/>
      <c r="BJ92" s="393"/>
      <c r="BK92" s="393"/>
      <c r="BL92" s="393"/>
      <c r="BM92" s="393"/>
      <c r="BN92" s="393"/>
      <c r="BO92" s="393"/>
      <c r="BP92" s="393"/>
      <c r="BQ92" s="393"/>
      <c r="BR92" s="393"/>
      <c r="BS92" s="393"/>
    </row>
    <row r="93" spans="1:71" ht="11.25" customHeight="1" x14ac:dyDescent="0.3">
      <c r="A93" s="383"/>
      <c r="B93" s="383"/>
      <c r="C93" s="383"/>
      <c r="D93" s="383"/>
      <c r="E93" s="383"/>
      <c r="F93" s="383"/>
      <c r="G93" s="383"/>
      <c r="H93" s="383"/>
      <c r="I93" s="383"/>
      <c r="J93" s="383"/>
      <c r="K93" s="383"/>
      <c r="L93" s="383"/>
      <c r="M93" s="383"/>
      <c r="N93" s="383"/>
      <c r="O93" s="383"/>
      <c r="P93" s="383"/>
      <c r="Q93" s="383"/>
      <c r="R93" s="383"/>
      <c r="S93" s="383"/>
      <c r="T93" s="383"/>
      <c r="U93" s="383"/>
      <c r="V93" s="383"/>
      <c r="W93" s="383"/>
      <c r="X93" s="383"/>
      <c r="Y93" s="383"/>
      <c r="Z93" s="383"/>
      <c r="AA93" s="383"/>
      <c r="AB93" s="383"/>
      <c r="AC93" s="383"/>
      <c r="AD93" s="383"/>
      <c r="AE93" s="383"/>
      <c r="AF93" s="383"/>
      <c r="AG93" s="383"/>
      <c r="AH93" s="383"/>
      <c r="AI93" s="383"/>
      <c r="AJ93" s="383"/>
      <c r="AK93" s="383"/>
      <c r="AL93" s="383"/>
      <c r="AM93" s="383"/>
      <c r="AN93" s="383"/>
      <c r="AO93" s="383"/>
      <c r="AP93" s="383"/>
      <c r="AQ93" s="383"/>
      <c r="AR93" s="383"/>
      <c r="AS93" s="383"/>
      <c r="AT93" s="383"/>
      <c r="AU93" s="383"/>
      <c r="AV93" s="383"/>
      <c r="AW93" s="383"/>
      <c r="AX93" s="383"/>
      <c r="AY93" s="393"/>
      <c r="AZ93" s="393"/>
      <c r="BA93" s="393"/>
      <c r="BB93" s="393"/>
      <c r="BC93" s="393"/>
      <c r="BD93" s="393"/>
      <c r="BE93" s="393"/>
      <c r="BF93" s="393"/>
      <c r="BG93" s="393"/>
      <c r="BH93" s="393"/>
      <c r="BI93" s="393"/>
      <c r="BJ93" s="393"/>
      <c r="BK93" s="393"/>
      <c r="BL93" s="393"/>
      <c r="BM93" s="393"/>
      <c r="BN93" s="393"/>
      <c r="BO93" s="393"/>
      <c r="BP93" s="393"/>
      <c r="BQ93" s="393"/>
      <c r="BR93" s="393"/>
      <c r="BS93" s="393"/>
    </row>
    <row r="94" spans="1:71" ht="11.25" customHeight="1" x14ac:dyDescent="0.3">
      <c r="A94" s="383"/>
      <c r="B94" s="383"/>
      <c r="C94" s="383"/>
      <c r="D94" s="383"/>
      <c r="E94" s="383"/>
      <c r="F94" s="383"/>
      <c r="G94" s="383"/>
      <c r="H94" s="383"/>
      <c r="I94" s="383"/>
      <c r="J94" s="383"/>
      <c r="K94" s="383"/>
      <c r="L94" s="383"/>
      <c r="M94" s="383"/>
      <c r="N94" s="383"/>
      <c r="O94" s="383"/>
      <c r="P94" s="383"/>
      <c r="Q94" s="383"/>
      <c r="R94" s="383"/>
      <c r="S94" s="383"/>
      <c r="T94" s="383"/>
      <c r="U94" s="383"/>
      <c r="V94" s="383"/>
      <c r="W94" s="383"/>
      <c r="X94" s="383"/>
      <c r="Y94" s="383"/>
      <c r="Z94" s="383"/>
      <c r="AA94" s="383"/>
      <c r="AB94" s="383"/>
      <c r="AC94" s="383"/>
      <c r="AD94" s="383"/>
      <c r="AE94" s="383"/>
      <c r="AF94" s="383"/>
      <c r="AG94" s="383"/>
      <c r="AH94" s="383"/>
      <c r="AI94" s="383"/>
      <c r="AJ94" s="383"/>
      <c r="AK94" s="383"/>
      <c r="AL94" s="383"/>
      <c r="AM94" s="383"/>
      <c r="AN94" s="383"/>
      <c r="AO94" s="383"/>
      <c r="AP94" s="383"/>
      <c r="AQ94" s="383"/>
      <c r="AR94" s="383"/>
      <c r="AS94" s="383"/>
      <c r="AT94" s="383"/>
      <c r="AU94" s="383"/>
      <c r="AV94" s="383"/>
      <c r="AW94" s="383"/>
      <c r="AX94" s="383"/>
      <c r="AY94" s="393"/>
      <c r="AZ94" s="393"/>
      <c r="BA94" s="393"/>
      <c r="BB94" s="393"/>
      <c r="BC94" s="393"/>
      <c r="BD94" s="393"/>
      <c r="BE94" s="393"/>
      <c r="BF94" s="393"/>
      <c r="BG94" s="393"/>
      <c r="BH94" s="393"/>
      <c r="BI94" s="393"/>
      <c r="BJ94" s="393"/>
      <c r="BK94" s="393"/>
      <c r="BL94" s="393"/>
      <c r="BM94" s="393"/>
      <c r="BN94" s="393"/>
      <c r="BO94" s="393"/>
      <c r="BP94" s="393"/>
      <c r="BQ94" s="393"/>
      <c r="BR94" s="393"/>
      <c r="BS94" s="393"/>
    </row>
    <row r="95" spans="1:71" ht="11.25" customHeight="1" x14ac:dyDescent="0.3">
      <c r="A95" s="383"/>
      <c r="B95" s="383"/>
      <c r="C95" s="383"/>
      <c r="D95" s="383"/>
      <c r="E95" s="383"/>
      <c r="F95" s="383"/>
      <c r="G95" s="383"/>
      <c r="H95" s="383"/>
      <c r="I95" s="383"/>
      <c r="J95" s="383"/>
      <c r="K95" s="383"/>
      <c r="L95" s="383"/>
      <c r="M95" s="383"/>
      <c r="N95" s="383"/>
      <c r="O95" s="383"/>
      <c r="P95" s="383"/>
      <c r="Q95" s="383"/>
      <c r="R95" s="383"/>
      <c r="S95" s="383"/>
      <c r="T95" s="383"/>
      <c r="U95" s="383"/>
      <c r="V95" s="383"/>
      <c r="W95" s="383"/>
      <c r="X95" s="383"/>
      <c r="Y95" s="383"/>
      <c r="Z95" s="383"/>
      <c r="AA95" s="383"/>
      <c r="AB95" s="383"/>
      <c r="AC95" s="383"/>
      <c r="AD95" s="383"/>
      <c r="AE95" s="383"/>
      <c r="AF95" s="383"/>
      <c r="AG95" s="383"/>
      <c r="AH95" s="383"/>
      <c r="AI95" s="383"/>
      <c r="AJ95" s="383"/>
      <c r="AK95" s="383"/>
      <c r="AL95" s="383"/>
      <c r="AM95" s="383"/>
      <c r="AN95" s="383"/>
      <c r="AO95" s="383"/>
      <c r="AP95" s="383"/>
      <c r="AQ95" s="383"/>
      <c r="AR95" s="383"/>
      <c r="AS95" s="383"/>
      <c r="AT95" s="383"/>
      <c r="AU95" s="383"/>
      <c r="AV95" s="383"/>
      <c r="AW95" s="383"/>
      <c r="AX95" s="383"/>
      <c r="AY95" s="393"/>
      <c r="AZ95" s="393"/>
      <c r="BA95" s="393"/>
      <c r="BB95" s="393"/>
      <c r="BC95" s="393"/>
      <c r="BD95" s="393"/>
      <c r="BE95" s="393"/>
      <c r="BF95" s="393"/>
      <c r="BG95" s="393"/>
      <c r="BH95" s="393"/>
      <c r="BI95" s="393"/>
      <c r="BJ95" s="393"/>
      <c r="BK95" s="393"/>
      <c r="BL95" s="393"/>
      <c r="BM95" s="393"/>
      <c r="BN95" s="393"/>
      <c r="BO95" s="393"/>
      <c r="BP95" s="393"/>
      <c r="BQ95" s="393"/>
      <c r="BR95" s="393"/>
      <c r="BS95" s="393"/>
    </row>
    <row r="96" spans="1:71" ht="11.25" customHeight="1" x14ac:dyDescent="0.3">
      <c r="A96" s="383"/>
      <c r="B96" s="383"/>
      <c r="C96" s="383"/>
      <c r="D96" s="383"/>
      <c r="E96" s="383"/>
      <c r="F96" s="383"/>
      <c r="G96" s="383"/>
      <c r="H96" s="383"/>
      <c r="I96" s="383"/>
      <c r="J96" s="383"/>
      <c r="K96" s="383"/>
      <c r="L96" s="383"/>
      <c r="M96" s="383"/>
      <c r="N96" s="383"/>
      <c r="O96" s="383"/>
      <c r="P96" s="383"/>
      <c r="Q96" s="383"/>
      <c r="R96" s="383"/>
      <c r="S96" s="383"/>
      <c r="T96" s="383"/>
      <c r="U96" s="383"/>
      <c r="V96" s="383"/>
      <c r="W96" s="383"/>
      <c r="X96" s="383"/>
      <c r="Y96" s="383"/>
      <c r="Z96" s="383"/>
      <c r="AA96" s="383"/>
      <c r="AB96" s="383"/>
      <c r="AC96" s="383"/>
      <c r="AD96" s="383"/>
      <c r="AE96" s="383"/>
      <c r="AF96" s="383"/>
      <c r="AG96" s="383"/>
      <c r="AH96" s="383"/>
      <c r="AI96" s="383"/>
      <c r="AJ96" s="383"/>
      <c r="AK96" s="383"/>
      <c r="AL96" s="383"/>
      <c r="AM96" s="383"/>
      <c r="AN96" s="383"/>
      <c r="AO96" s="383"/>
      <c r="AP96" s="383"/>
      <c r="AQ96" s="383"/>
      <c r="AR96" s="383"/>
      <c r="AS96" s="383"/>
      <c r="AT96" s="383"/>
      <c r="AU96" s="383"/>
      <c r="AV96" s="383"/>
      <c r="AW96" s="383"/>
      <c r="AX96" s="383"/>
      <c r="AY96" s="393"/>
      <c r="AZ96" s="393"/>
      <c r="BA96" s="393"/>
      <c r="BB96" s="393"/>
      <c r="BC96" s="393"/>
      <c r="BD96" s="393"/>
      <c r="BE96" s="393"/>
      <c r="BF96" s="393"/>
      <c r="BG96" s="393"/>
      <c r="BH96" s="393"/>
      <c r="BI96" s="393"/>
      <c r="BJ96" s="393"/>
      <c r="BK96" s="393"/>
      <c r="BL96" s="393"/>
      <c r="BM96" s="393"/>
      <c r="BN96" s="393"/>
      <c r="BO96" s="393"/>
      <c r="BP96" s="393"/>
      <c r="BQ96" s="393"/>
      <c r="BR96" s="393"/>
      <c r="BS96" s="393"/>
    </row>
    <row r="97" spans="1:71" ht="11.25" customHeight="1" x14ac:dyDescent="0.3">
      <c r="A97" s="383"/>
      <c r="B97" s="383"/>
      <c r="C97" s="383"/>
      <c r="D97" s="383"/>
      <c r="E97" s="383"/>
      <c r="F97" s="383"/>
      <c r="G97" s="383"/>
      <c r="H97" s="383"/>
      <c r="I97" s="383"/>
      <c r="J97" s="383"/>
      <c r="K97" s="383"/>
      <c r="L97" s="383"/>
      <c r="M97" s="383"/>
      <c r="N97" s="383"/>
      <c r="O97" s="383"/>
      <c r="P97" s="383"/>
      <c r="Q97" s="383"/>
      <c r="R97" s="383"/>
      <c r="S97" s="383"/>
      <c r="T97" s="383"/>
      <c r="U97" s="383"/>
      <c r="V97" s="383"/>
      <c r="W97" s="383"/>
      <c r="X97" s="383"/>
      <c r="Y97" s="383"/>
      <c r="Z97" s="383"/>
      <c r="AA97" s="383"/>
      <c r="AB97" s="383"/>
      <c r="AC97" s="383"/>
      <c r="AD97" s="383"/>
      <c r="AE97" s="383"/>
      <c r="AF97" s="383"/>
      <c r="AG97" s="383"/>
      <c r="AH97" s="383"/>
      <c r="AI97" s="383"/>
      <c r="AJ97" s="383"/>
      <c r="AK97" s="383"/>
      <c r="AL97" s="383"/>
      <c r="AM97" s="383"/>
      <c r="AN97" s="383"/>
      <c r="AO97" s="383"/>
      <c r="AP97" s="383"/>
      <c r="AQ97" s="383"/>
      <c r="AR97" s="383"/>
      <c r="AS97" s="383"/>
      <c r="AT97" s="383"/>
      <c r="AU97" s="383"/>
      <c r="AV97" s="383"/>
      <c r="AW97" s="383"/>
      <c r="AX97" s="383"/>
      <c r="AY97" s="393"/>
      <c r="AZ97" s="393"/>
      <c r="BA97" s="393"/>
      <c r="BB97" s="393"/>
      <c r="BC97" s="393"/>
      <c r="BD97" s="393"/>
      <c r="BE97" s="393"/>
      <c r="BF97" s="393"/>
      <c r="BG97" s="393"/>
      <c r="BH97" s="393"/>
      <c r="BI97" s="393"/>
      <c r="BJ97" s="393"/>
      <c r="BK97" s="393"/>
      <c r="BL97" s="393"/>
      <c r="BM97" s="393"/>
      <c r="BN97" s="393"/>
      <c r="BO97" s="393"/>
      <c r="BP97" s="393"/>
      <c r="BQ97" s="393"/>
      <c r="BR97" s="393"/>
      <c r="BS97" s="393"/>
    </row>
    <row r="98" spans="1:71" ht="11.25" customHeight="1" x14ac:dyDescent="0.3">
      <c r="A98" s="383"/>
      <c r="B98" s="383"/>
      <c r="C98" s="383"/>
      <c r="D98" s="383"/>
      <c r="E98" s="383"/>
      <c r="F98" s="383"/>
      <c r="G98" s="383"/>
      <c r="H98" s="383"/>
      <c r="I98" s="383"/>
      <c r="J98" s="383"/>
      <c r="K98" s="383"/>
      <c r="L98" s="383"/>
      <c r="M98" s="383"/>
      <c r="N98" s="383"/>
      <c r="O98" s="383"/>
      <c r="P98" s="383"/>
      <c r="Q98" s="383"/>
      <c r="R98" s="383"/>
      <c r="S98" s="383"/>
      <c r="T98" s="383"/>
      <c r="U98" s="383"/>
      <c r="V98" s="383"/>
      <c r="W98" s="383"/>
      <c r="X98" s="383"/>
      <c r="Y98" s="383"/>
      <c r="Z98" s="383"/>
      <c r="AA98" s="383"/>
      <c r="AB98" s="383"/>
      <c r="AC98" s="383"/>
      <c r="AD98" s="383"/>
      <c r="AE98" s="383"/>
      <c r="AF98" s="383"/>
      <c r="AG98" s="383"/>
      <c r="AH98" s="383"/>
      <c r="AI98" s="383"/>
      <c r="AJ98" s="383"/>
      <c r="AK98" s="383"/>
      <c r="AL98" s="383"/>
      <c r="AM98" s="383"/>
      <c r="AN98" s="383"/>
      <c r="AO98" s="383"/>
      <c r="AP98" s="383"/>
      <c r="AQ98" s="383"/>
      <c r="AR98" s="383"/>
      <c r="AS98" s="383"/>
      <c r="AT98" s="383"/>
      <c r="AU98" s="383"/>
      <c r="AV98" s="383"/>
      <c r="AW98" s="383"/>
      <c r="AX98" s="383"/>
      <c r="AY98" s="393"/>
      <c r="AZ98" s="393"/>
      <c r="BA98" s="393"/>
      <c r="BB98" s="393"/>
      <c r="BC98" s="393"/>
      <c r="BD98" s="393"/>
      <c r="BE98" s="393"/>
      <c r="BF98" s="393"/>
      <c r="BG98" s="393"/>
      <c r="BH98" s="393"/>
      <c r="BI98" s="393"/>
      <c r="BJ98" s="393"/>
      <c r="BK98" s="393"/>
      <c r="BL98" s="393"/>
      <c r="BM98" s="393"/>
      <c r="BN98" s="393"/>
      <c r="BO98" s="393"/>
      <c r="BP98" s="393"/>
      <c r="BQ98" s="393"/>
      <c r="BR98" s="393"/>
      <c r="BS98" s="393"/>
    </row>
    <row r="99" spans="1:71" ht="11.25" customHeight="1" x14ac:dyDescent="0.3">
      <c r="A99" s="383"/>
      <c r="B99" s="383"/>
      <c r="C99" s="383"/>
      <c r="D99" s="383"/>
      <c r="E99" s="383"/>
      <c r="F99" s="383"/>
      <c r="G99" s="383"/>
      <c r="H99" s="383"/>
      <c r="I99" s="383"/>
      <c r="J99" s="383"/>
      <c r="K99" s="383"/>
      <c r="L99" s="383"/>
      <c r="M99" s="383"/>
      <c r="N99" s="383"/>
      <c r="O99" s="383"/>
      <c r="P99" s="383"/>
      <c r="Q99" s="383"/>
      <c r="R99" s="383"/>
      <c r="S99" s="383"/>
      <c r="T99" s="383"/>
      <c r="U99" s="383"/>
      <c r="V99" s="383"/>
      <c r="W99" s="383"/>
      <c r="X99" s="383"/>
      <c r="Y99" s="383"/>
      <c r="Z99" s="383"/>
      <c r="AA99" s="383"/>
      <c r="AB99" s="383"/>
      <c r="AC99" s="383"/>
      <c r="AD99" s="383"/>
      <c r="AE99" s="383"/>
      <c r="AF99" s="383"/>
      <c r="AG99" s="383"/>
      <c r="AH99" s="383"/>
      <c r="AI99" s="383"/>
      <c r="AJ99" s="383"/>
      <c r="AK99" s="383"/>
      <c r="AL99" s="383"/>
      <c r="AM99" s="383"/>
      <c r="AN99" s="383"/>
      <c r="AO99" s="383"/>
      <c r="AP99" s="383"/>
      <c r="AQ99" s="383"/>
      <c r="AR99" s="383"/>
      <c r="AS99" s="383"/>
      <c r="AT99" s="383"/>
      <c r="AU99" s="383"/>
      <c r="AV99" s="383"/>
      <c r="AW99" s="383"/>
      <c r="AX99" s="383"/>
      <c r="AY99" s="393"/>
      <c r="AZ99" s="393"/>
      <c r="BA99" s="393"/>
      <c r="BB99" s="393"/>
      <c r="BC99" s="393"/>
      <c r="BD99" s="393"/>
      <c r="BE99" s="393"/>
      <c r="BF99" s="393"/>
      <c r="BG99" s="393"/>
      <c r="BH99" s="393"/>
      <c r="BI99" s="393"/>
      <c r="BJ99" s="393"/>
      <c r="BK99" s="393"/>
      <c r="BL99" s="393"/>
      <c r="BM99" s="393"/>
      <c r="BN99" s="393"/>
      <c r="BO99" s="393"/>
      <c r="BP99" s="393"/>
      <c r="BQ99" s="393"/>
      <c r="BR99" s="393"/>
      <c r="BS99" s="393"/>
    </row>
    <row r="100" spans="1:71" ht="11.25" customHeight="1" x14ac:dyDescent="0.3">
      <c r="A100" s="383"/>
      <c r="B100" s="383"/>
      <c r="C100" s="383"/>
      <c r="D100" s="383"/>
      <c r="E100" s="383"/>
      <c r="F100" s="383"/>
      <c r="G100" s="383"/>
      <c r="H100" s="383"/>
      <c r="I100" s="383"/>
      <c r="J100" s="383"/>
      <c r="K100" s="383"/>
      <c r="L100" s="383"/>
      <c r="M100" s="383"/>
      <c r="N100" s="383"/>
      <c r="O100" s="383"/>
      <c r="P100" s="383"/>
      <c r="Q100" s="383"/>
      <c r="R100" s="383"/>
      <c r="S100" s="383"/>
      <c r="T100" s="383"/>
      <c r="U100" s="383"/>
      <c r="V100" s="383"/>
      <c r="W100" s="383"/>
      <c r="X100" s="383"/>
      <c r="Y100" s="383"/>
      <c r="Z100" s="383"/>
      <c r="AA100" s="383"/>
      <c r="AB100" s="383"/>
      <c r="AC100" s="383"/>
      <c r="AD100" s="383"/>
      <c r="AE100" s="383"/>
      <c r="AF100" s="383"/>
      <c r="AG100" s="383"/>
      <c r="AH100" s="383"/>
      <c r="AI100" s="383"/>
      <c r="AJ100" s="383"/>
      <c r="AK100" s="383"/>
      <c r="AL100" s="383"/>
      <c r="AM100" s="383"/>
      <c r="AN100" s="383"/>
      <c r="AO100" s="383"/>
      <c r="AP100" s="383"/>
      <c r="AQ100" s="383"/>
      <c r="AR100" s="383"/>
      <c r="AS100" s="383"/>
      <c r="AT100" s="383"/>
      <c r="AU100" s="383"/>
      <c r="AV100" s="383"/>
      <c r="AW100" s="383"/>
      <c r="AX100" s="383"/>
      <c r="AY100" s="393"/>
      <c r="AZ100" s="393"/>
      <c r="BA100" s="393"/>
      <c r="BB100" s="393"/>
      <c r="BC100" s="393"/>
      <c r="BD100" s="393"/>
      <c r="BE100" s="393"/>
      <c r="BF100" s="393"/>
      <c r="BG100" s="393"/>
      <c r="BH100" s="393"/>
      <c r="BI100" s="393"/>
      <c r="BJ100" s="393"/>
      <c r="BK100" s="393"/>
      <c r="BL100" s="393"/>
      <c r="BM100" s="393"/>
      <c r="BN100" s="393"/>
      <c r="BO100" s="393"/>
      <c r="BP100" s="393"/>
      <c r="BQ100" s="393"/>
      <c r="BR100" s="393"/>
      <c r="BS100" s="393"/>
    </row>
    <row r="101" spans="1:71" ht="11.25" customHeight="1" x14ac:dyDescent="0.3">
      <c r="A101" s="383"/>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c r="X101" s="383"/>
      <c r="Y101" s="383"/>
      <c r="Z101" s="383"/>
      <c r="AA101" s="383"/>
      <c r="AB101" s="383"/>
      <c r="AC101" s="383"/>
      <c r="AD101" s="383"/>
      <c r="AE101" s="383"/>
      <c r="AF101" s="383"/>
      <c r="AG101" s="383"/>
      <c r="AH101" s="383"/>
      <c r="AI101" s="383"/>
      <c r="AJ101" s="383"/>
      <c r="AK101" s="383"/>
      <c r="AL101" s="383"/>
      <c r="AM101" s="383"/>
      <c r="AN101" s="383"/>
      <c r="AO101" s="383"/>
      <c r="AP101" s="383"/>
      <c r="AQ101" s="383"/>
      <c r="AR101" s="383"/>
      <c r="AS101" s="383"/>
      <c r="AT101" s="383"/>
      <c r="AU101" s="383"/>
      <c r="AV101" s="383"/>
      <c r="AW101" s="383"/>
      <c r="AX101" s="383"/>
      <c r="AY101" s="393"/>
      <c r="AZ101" s="393"/>
      <c r="BA101" s="393"/>
      <c r="BB101" s="393"/>
      <c r="BC101" s="393"/>
      <c r="BD101" s="393"/>
      <c r="BE101" s="393"/>
      <c r="BF101" s="393"/>
      <c r="BG101" s="393"/>
      <c r="BH101" s="393"/>
      <c r="BI101" s="393"/>
      <c r="BJ101" s="393"/>
      <c r="BK101" s="393"/>
      <c r="BL101" s="393"/>
      <c r="BM101" s="393"/>
      <c r="BN101" s="393"/>
      <c r="BO101" s="393"/>
      <c r="BP101" s="393"/>
      <c r="BQ101" s="393"/>
      <c r="BR101" s="393"/>
      <c r="BS101" s="393"/>
    </row>
    <row r="102" spans="1:71" ht="11.25" customHeight="1" x14ac:dyDescent="0.3">
      <c r="A102" s="383"/>
      <c r="B102" s="383"/>
      <c r="C102" s="383"/>
      <c r="D102" s="383"/>
      <c r="E102" s="383"/>
      <c r="F102" s="383"/>
      <c r="G102" s="383"/>
      <c r="H102" s="383"/>
      <c r="I102" s="383"/>
      <c r="J102" s="383"/>
      <c r="K102" s="383"/>
      <c r="L102" s="383"/>
      <c r="M102" s="383"/>
      <c r="N102" s="383"/>
      <c r="O102" s="383"/>
      <c r="P102" s="383"/>
      <c r="Q102" s="383"/>
      <c r="R102" s="383"/>
      <c r="S102" s="383"/>
      <c r="T102" s="383"/>
      <c r="U102" s="383"/>
      <c r="V102" s="383"/>
      <c r="W102" s="383"/>
      <c r="X102" s="383"/>
      <c r="Y102" s="383"/>
      <c r="Z102" s="383"/>
      <c r="AA102" s="383"/>
      <c r="AB102" s="383"/>
      <c r="AC102" s="383"/>
      <c r="AD102" s="383"/>
      <c r="AE102" s="383"/>
      <c r="AF102" s="383"/>
      <c r="AG102" s="383"/>
      <c r="AH102" s="383"/>
      <c r="AI102" s="383"/>
      <c r="AJ102" s="383"/>
      <c r="AK102" s="383"/>
      <c r="AL102" s="383"/>
      <c r="AM102" s="383"/>
      <c r="AN102" s="383"/>
      <c r="AO102" s="383"/>
      <c r="AP102" s="383"/>
      <c r="AQ102" s="383"/>
      <c r="AR102" s="383"/>
      <c r="AS102" s="383"/>
      <c r="AT102" s="383"/>
      <c r="AU102" s="383"/>
      <c r="AV102" s="383"/>
      <c r="AW102" s="383"/>
      <c r="AX102" s="383"/>
      <c r="AY102" s="393"/>
      <c r="AZ102" s="393"/>
      <c r="BA102" s="393"/>
      <c r="BB102" s="393"/>
      <c r="BC102" s="393"/>
      <c r="BD102" s="393"/>
      <c r="BE102" s="393"/>
      <c r="BF102" s="393"/>
      <c r="BG102" s="393"/>
      <c r="BH102" s="393"/>
      <c r="BI102" s="393"/>
      <c r="BJ102" s="393"/>
      <c r="BK102" s="393"/>
      <c r="BL102" s="393"/>
      <c r="BM102" s="393"/>
      <c r="BN102" s="393"/>
      <c r="BO102" s="393"/>
      <c r="BP102" s="393"/>
      <c r="BQ102" s="393"/>
      <c r="BR102" s="393"/>
      <c r="BS102" s="393"/>
    </row>
    <row r="103" spans="1:71" ht="11.25" customHeight="1" x14ac:dyDescent="0.3">
      <c r="A103" s="383"/>
      <c r="B103" s="383"/>
      <c r="C103" s="383"/>
      <c r="D103" s="383"/>
      <c r="E103" s="383"/>
      <c r="F103" s="383"/>
      <c r="G103" s="383"/>
      <c r="H103" s="383"/>
      <c r="I103" s="383"/>
      <c r="J103" s="383"/>
      <c r="K103" s="383"/>
      <c r="L103" s="383"/>
      <c r="M103" s="383"/>
      <c r="N103" s="383"/>
      <c r="O103" s="383"/>
      <c r="P103" s="383"/>
      <c r="Q103" s="383"/>
      <c r="R103" s="383"/>
      <c r="S103" s="383"/>
      <c r="T103" s="383"/>
      <c r="U103" s="383"/>
      <c r="V103" s="383"/>
      <c r="W103" s="383"/>
      <c r="X103" s="383"/>
      <c r="Y103" s="383"/>
      <c r="Z103" s="383"/>
      <c r="AA103" s="383"/>
      <c r="AB103" s="383"/>
      <c r="AC103" s="383"/>
      <c r="AD103" s="383"/>
      <c r="AE103" s="383"/>
      <c r="AF103" s="383"/>
      <c r="AG103" s="383"/>
      <c r="AH103" s="383"/>
      <c r="AI103" s="383"/>
      <c r="AJ103" s="383"/>
      <c r="AK103" s="383"/>
      <c r="AL103" s="383"/>
      <c r="AM103" s="383"/>
      <c r="AN103" s="383"/>
      <c r="AO103" s="383"/>
      <c r="AP103" s="383"/>
      <c r="AQ103" s="383"/>
      <c r="AR103" s="383"/>
      <c r="AS103" s="383"/>
      <c r="AT103" s="383"/>
      <c r="AU103" s="383"/>
      <c r="AV103" s="383"/>
      <c r="AW103" s="383"/>
      <c r="AX103" s="383"/>
      <c r="AY103" s="393"/>
      <c r="AZ103" s="393"/>
      <c r="BA103" s="393"/>
      <c r="BB103" s="393"/>
      <c r="BC103" s="393"/>
      <c r="BD103" s="393"/>
      <c r="BE103" s="393"/>
      <c r="BF103" s="393"/>
      <c r="BG103" s="393"/>
      <c r="BH103" s="393"/>
      <c r="BI103" s="393"/>
      <c r="BJ103" s="393"/>
      <c r="BK103" s="393"/>
      <c r="BL103" s="393"/>
      <c r="BM103" s="393"/>
      <c r="BN103" s="393"/>
      <c r="BO103" s="393"/>
      <c r="BP103" s="393"/>
      <c r="BQ103" s="393"/>
      <c r="BR103" s="393"/>
      <c r="BS103" s="393"/>
    </row>
    <row r="104" spans="1:71" ht="11.25" customHeight="1" x14ac:dyDescent="0.3">
      <c r="A104" s="383"/>
      <c r="B104" s="383"/>
      <c r="C104" s="383"/>
      <c r="D104" s="383"/>
      <c r="E104" s="383"/>
      <c r="F104" s="383"/>
      <c r="G104" s="383"/>
      <c r="H104" s="383"/>
      <c r="I104" s="383"/>
      <c r="J104" s="383"/>
      <c r="K104" s="383"/>
      <c r="L104" s="383"/>
      <c r="M104" s="383"/>
      <c r="N104" s="383"/>
      <c r="O104" s="383"/>
      <c r="P104" s="383"/>
      <c r="Q104" s="383"/>
      <c r="R104" s="383"/>
      <c r="S104" s="383"/>
      <c r="T104" s="383"/>
      <c r="U104" s="383"/>
      <c r="V104" s="383"/>
      <c r="W104" s="383"/>
      <c r="X104" s="383"/>
      <c r="Y104" s="383"/>
      <c r="Z104" s="383"/>
      <c r="AA104" s="383"/>
      <c r="AB104" s="383"/>
      <c r="AC104" s="383"/>
      <c r="AD104" s="383"/>
      <c r="AE104" s="383"/>
      <c r="AF104" s="383"/>
      <c r="AG104" s="383"/>
      <c r="AH104" s="383"/>
      <c r="AI104" s="383"/>
      <c r="AJ104" s="383"/>
      <c r="AK104" s="383"/>
      <c r="AL104" s="383"/>
      <c r="AM104" s="383"/>
      <c r="AN104" s="383"/>
      <c r="AO104" s="383"/>
      <c r="AP104" s="383"/>
      <c r="AQ104" s="383"/>
      <c r="AR104" s="383"/>
      <c r="AS104" s="383"/>
      <c r="AT104" s="383"/>
      <c r="AU104" s="383"/>
      <c r="AV104" s="383"/>
      <c r="AW104" s="383"/>
      <c r="AX104" s="383"/>
      <c r="AY104" s="393"/>
      <c r="AZ104" s="393"/>
      <c r="BA104" s="393"/>
      <c r="BB104" s="393"/>
      <c r="BC104" s="393"/>
      <c r="BD104" s="393"/>
      <c r="BE104" s="393"/>
      <c r="BF104" s="393"/>
      <c r="BG104" s="393"/>
      <c r="BH104" s="393"/>
      <c r="BI104" s="393"/>
      <c r="BJ104" s="393"/>
      <c r="BK104" s="393"/>
      <c r="BL104" s="393"/>
      <c r="BM104" s="393"/>
      <c r="BN104" s="393"/>
      <c r="BO104" s="393"/>
      <c r="BP104" s="393"/>
      <c r="BQ104" s="393"/>
      <c r="BR104" s="393"/>
      <c r="BS104" s="393"/>
    </row>
    <row r="105" spans="1:71" ht="11.25" customHeight="1" x14ac:dyDescent="0.3">
      <c r="A105" s="383"/>
      <c r="B105" s="383"/>
      <c r="C105" s="383"/>
      <c r="D105" s="383"/>
      <c r="E105" s="383"/>
      <c r="F105" s="383"/>
      <c r="G105" s="383"/>
      <c r="H105" s="383"/>
      <c r="I105" s="383"/>
      <c r="J105" s="383"/>
      <c r="K105" s="383"/>
      <c r="L105" s="383"/>
      <c r="M105" s="383"/>
      <c r="N105" s="383"/>
      <c r="O105" s="383"/>
      <c r="P105" s="383"/>
      <c r="Q105" s="383"/>
      <c r="R105" s="383"/>
      <c r="S105" s="383"/>
      <c r="T105" s="383"/>
      <c r="U105" s="383"/>
      <c r="V105" s="383"/>
      <c r="W105" s="383"/>
      <c r="X105" s="383"/>
      <c r="Y105" s="383"/>
      <c r="Z105" s="383"/>
      <c r="AA105" s="383"/>
      <c r="AB105" s="383"/>
      <c r="AC105" s="383"/>
      <c r="AD105" s="383"/>
      <c r="AE105" s="383"/>
      <c r="AF105" s="383"/>
      <c r="AG105" s="383"/>
      <c r="AH105" s="383"/>
      <c r="AI105" s="383"/>
      <c r="AJ105" s="383"/>
      <c r="AK105" s="383"/>
      <c r="AL105" s="383"/>
      <c r="AM105" s="383"/>
      <c r="AN105" s="383"/>
      <c r="AO105" s="383"/>
      <c r="AP105" s="383"/>
      <c r="AQ105" s="383"/>
      <c r="AR105" s="383"/>
      <c r="AS105" s="383"/>
      <c r="AT105" s="383"/>
      <c r="AU105" s="383"/>
      <c r="AV105" s="383"/>
      <c r="AW105" s="383"/>
      <c r="AX105" s="383"/>
      <c r="AY105" s="393"/>
      <c r="AZ105" s="393"/>
      <c r="BA105" s="393"/>
      <c r="BB105" s="393"/>
      <c r="BC105" s="393"/>
      <c r="BD105" s="393"/>
      <c r="BE105" s="393"/>
      <c r="BF105" s="393"/>
      <c r="BG105" s="393"/>
      <c r="BH105" s="393"/>
      <c r="BI105" s="393"/>
      <c r="BJ105" s="393"/>
      <c r="BK105" s="393"/>
      <c r="BL105" s="393"/>
      <c r="BM105" s="393"/>
      <c r="BN105" s="393"/>
      <c r="BO105" s="393"/>
      <c r="BP105" s="393"/>
      <c r="BQ105" s="393"/>
      <c r="BR105" s="393"/>
      <c r="BS105" s="393"/>
    </row>
    <row r="106" spans="1:71" ht="11.25" customHeight="1" x14ac:dyDescent="0.3">
      <c r="A106" s="383"/>
      <c r="B106" s="383"/>
      <c r="C106" s="383"/>
      <c r="D106" s="383"/>
      <c r="E106" s="383"/>
      <c r="F106" s="383"/>
      <c r="G106" s="383"/>
      <c r="H106" s="383"/>
      <c r="I106" s="383"/>
      <c r="J106" s="383"/>
      <c r="K106" s="383"/>
      <c r="L106" s="383"/>
      <c r="M106" s="383"/>
      <c r="N106" s="383"/>
      <c r="O106" s="383"/>
      <c r="P106" s="383"/>
      <c r="Q106" s="383"/>
      <c r="R106" s="383"/>
      <c r="S106" s="383"/>
      <c r="T106" s="383"/>
      <c r="U106" s="383"/>
      <c r="V106" s="383"/>
      <c r="W106" s="383"/>
      <c r="X106" s="383"/>
      <c r="Y106" s="383"/>
      <c r="Z106" s="383"/>
      <c r="AA106" s="383"/>
      <c r="AB106" s="383"/>
      <c r="AC106" s="383"/>
      <c r="AD106" s="383"/>
      <c r="AE106" s="383"/>
      <c r="AF106" s="383"/>
      <c r="AG106" s="383"/>
      <c r="AH106" s="383"/>
      <c r="AI106" s="383"/>
      <c r="AJ106" s="383"/>
      <c r="AK106" s="383"/>
      <c r="AL106" s="383"/>
      <c r="AM106" s="383"/>
      <c r="AN106" s="383"/>
      <c r="AO106" s="383"/>
      <c r="AP106" s="383"/>
      <c r="AQ106" s="383"/>
      <c r="AR106" s="383"/>
      <c r="AS106" s="383"/>
      <c r="AT106" s="383"/>
      <c r="AU106" s="383"/>
      <c r="AV106" s="383"/>
      <c r="AW106" s="383"/>
      <c r="AX106" s="383"/>
      <c r="AY106" s="393"/>
      <c r="AZ106" s="393"/>
      <c r="BA106" s="393"/>
      <c r="BB106" s="393"/>
      <c r="BC106" s="393"/>
      <c r="BD106" s="393"/>
      <c r="BE106" s="393"/>
      <c r="BF106" s="393"/>
      <c r="BG106" s="393"/>
      <c r="BH106" s="393"/>
      <c r="BI106" s="393"/>
      <c r="BJ106" s="393"/>
      <c r="BK106" s="393"/>
      <c r="BL106" s="393"/>
      <c r="BM106" s="393"/>
      <c r="BN106" s="393"/>
      <c r="BO106" s="393"/>
      <c r="BP106" s="393"/>
      <c r="BQ106" s="393"/>
      <c r="BR106" s="393"/>
      <c r="BS106" s="393"/>
    </row>
    <row r="107" spans="1:71" ht="11.25" customHeight="1" x14ac:dyDescent="0.3">
      <c r="A107" s="383"/>
      <c r="B107" s="383"/>
      <c r="C107" s="383"/>
      <c r="D107" s="383"/>
      <c r="E107" s="383"/>
      <c r="F107" s="383"/>
      <c r="G107" s="383"/>
      <c r="H107" s="383"/>
      <c r="I107" s="383"/>
      <c r="J107" s="383"/>
      <c r="K107" s="383"/>
      <c r="L107" s="383"/>
      <c r="M107" s="383"/>
      <c r="N107" s="383"/>
      <c r="O107" s="383"/>
      <c r="P107" s="383"/>
      <c r="Q107" s="383"/>
      <c r="R107" s="383"/>
      <c r="S107" s="383"/>
      <c r="T107" s="383"/>
      <c r="U107" s="383"/>
      <c r="V107" s="383"/>
      <c r="W107" s="383"/>
      <c r="X107" s="383"/>
      <c r="Y107" s="383"/>
      <c r="Z107" s="383"/>
      <c r="AA107" s="383"/>
      <c r="AB107" s="383"/>
      <c r="AC107" s="383"/>
      <c r="AD107" s="383"/>
      <c r="AE107" s="383"/>
      <c r="AF107" s="383"/>
      <c r="AG107" s="383"/>
      <c r="AH107" s="383"/>
      <c r="AI107" s="383"/>
      <c r="AJ107" s="383"/>
      <c r="AK107" s="383"/>
      <c r="AL107" s="383"/>
      <c r="AM107" s="383"/>
      <c r="AN107" s="383"/>
      <c r="AO107" s="383"/>
      <c r="AP107" s="383"/>
      <c r="AQ107" s="383"/>
      <c r="AR107" s="383"/>
      <c r="AS107" s="383"/>
      <c r="AT107" s="383"/>
      <c r="AU107" s="383"/>
      <c r="AV107" s="383"/>
      <c r="AW107" s="383"/>
      <c r="AX107" s="383"/>
      <c r="AY107" s="393"/>
      <c r="AZ107" s="393"/>
      <c r="BA107" s="393"/>
      <c r="BB107" s="393"/>
      <c r="BC107" s="393"/>
      <c r="BD107" s="393"/>
      <c r="BE107" s="393"/>
      <c r="BF107" s="393"/>
      <c r="BG107" s="393"/>
      <c r="BH107" s="393"/>
      <c r="BI107" s="393"/>
      <c r="BJ107" s="393"/>
      <c r="BK107" s="393"/>
      <c r="BL107" s="393"/>
      <c r="BM107" s="393"/>
      <c r="BN107" s="393"/>
      <c r="BO107" s="393"/>
      <c r="BP107" s="393"/>
      <c r="BQ107" s="393"/>
      <c r="BR107" s="393"/>
      <c r="BS107" s="393"/>
    </row>
    <row r="108" spans="1:71" ht="11.25" customHeight="1" x14ac:dyDescent="0.3">
      <c r="A108" s="383"/>
      <c r="B108" s="383"/>
      <c r="C108" s="383"/>
      <c r="D108" s="383"/>
      <c r="E108" s="383"/>
      <c r="F108" s="383"/>
      <c r="G108" s="383"/>
      <c r="H108" s="383"/>
      <c r="I108" s="383"/>
      <c r="J108" s="383"/>
      <c r="K108" s="383"/>
      <c r="L108" s="383"/>
      <c r="M108" s="383"/>
      <c r="N108" s="383"/>
      <c r="O108" s="383"/>
      <c r="P108" s="383"/>
      <c r="Q108" s="383"/>
      <c r="R108" s="383"/>
      <c r="S108" s="383"/>
      <c r="T108" s="383"/>
      <c r="U108" s="383"/>
      <c r="V108" s="383"/>
      <c r="W108" s="383"/>
      <c r="X108" s="383"/>
      <c r="Y108" s="383"/>
      <c r="Z108" s="383"/>
      <c r="AA108" s="383"/>
      <c r="AB108" s="383"/>
      <c r="AC108" s="383"/>
      <c r="AD108" s="383"/>
      <c r="AE108" s="383"/>
      <c r="AF108" s="383"/>
      <c r="AG108" s="383"/>
      <c r="AH108" s="383"/>
      <c r="AI108" s="383"/>
      <c r="AJ108" s="383"/>
      <c r="AK108" s="383"/>
      <c r="AL108" s="383"/>
      <c r="AM108" s="383"/>
      <c r="AN108" s="383"/>
      <c r="AO108" s="383"/>
      <c r="AP108" s="383"/>
      <c r="AQ108" s="383"/>
      <c r="AR108" s="383"/>
      <c r="AS108" s="383"/>
      <c r="AT108" s="383"/>
      <c r="AU108" s="383"/>
      <c r="AV108" s="383"/>
      <c r="AW108" s="383"/>
      <c r="AX108" s="383"/>
      <c r="AY108" s="393"/>
      <c r="AZ108" s="393"/>
      <c r="BA108" s="393"/>
      <c r="BB108" s="393"/>
      <c r="BC108" s="393"/>
      <c r="BD108" s="393"/>
      <c r="BE108" s="393"/>
      <c r="BF108" s="393"/>
      <c r="BG108" s="393"/>
      <c r="BH108" s="393"/>
      <c r="BI108" s="393"/>
      <c r="BJ108" s="393"/>
      <c r="BK108" s="393"/>
      <c r="BL108" s="393"/>
      <c r="BM108" s="393"/>
      <c r="BN108" s="393"/>
      <c r="BO108" s="393"/>
      <c r="BP108" s="393"/>
      <c r="BQ108" s="393"/>
      <c r="BR108" s="393"/>
      <c r="BS108" s="393"/>
    </row>
    <row r="109" spans="1:71" ht="11.25" customHeight="1" x14ac:dyDescent="0.3">
      <c r="A109" s="383"/>
      <c r="B109" s="383"/>
      <c r="C109" s="383"/>
      <c r="D109" s="383"/>
      <c r="E109" s="383"/>
      <c r="F109" s="383"/>
      <c r="G109" s="383"/>
      <c r="H109" s="383"/>
      <c r="I109" s="383"/>
      <c r="J109" s="383"/>
      <c r="K109" s="383"/>
      <c r="L109" s="383"/>
      <c r="M109" s="383"/>
      <c r="N109" s="383"/>
      <c r="O109" s="383"/>
      <c r="P109" s="383"/>
      <c r="Q109" s="383"/>
      <c r="R109" s="383"/>
      <c r="S109" s="383"/>
      <c r="T109" s="383"/>
      <c r="U109" s="383"/>
      <c r="V109" s="383"/>
      <c r="W109" s="383"/>
      <c r="X109" s="383"/>
      <c r="Y109" s="383"/>
      <c r="Z109" s="383"/>
      <c r="AA109" s="383"/>
      <c r="AB109" s="383"/>
      <c r="AC109" s="383"/>
      <c r="AD109" s="383"/>
      <c r="AE109" s="383"/>
      <c r="AF109" s="383"/>
      <c r="AG109" s="383"/>
      <c r="AH109" s="383"/>
      <c r="AI109" s="383"/>
      <c r="AJ109" s="383"/>
      <c r="AK109" s="383"/>
      <c r="AL109" s="383"/>
      <c r="AM109" s="383"/>
      <c r="AN109" s="383"/>
      <c r="AO109" s="383"/>
      <c r="AP109" s="383"/>
      <c r="AQ109" s="383"/>
      <c r="AR109" s="383"/>
      <c r="AS109" s="383"/>
      <c r="AT109" s="383"/>
      <c r="AU109" s="383"/>
      <c r="AV109" s="383"/>
      <c r="AW109" s="383"/>
      <c r="AX109" s="383"/>
      <c r="AY109" s="393"/>
      <c r="AZ109" s="393"/>
      <c r="BA109" s="393"/>
      <c r="BB109" s="393"/>
      <c r="BC109" s="393"/>
      <c r="BD109" s="393"/>
      <c r="BE109" s="393"/>
      <c r="BF109" s="393"/>
      <c r="BG109" s="393"/>
      <c r="BH109" s="393"/>
      <c r="BI109" s="393"/>
      <c r="BJ109" s="393"/>
      <c r="BK109" s="393"/>
      <c r="BL109" s="393"/>
      <c r="BM109" s="393"/>
      <c r="BN109" s="393"/>
      <c r="BO109" s="393"/>
      <c r="BP109" s="393"/>
      <c r="BQ109" s="393"/>
      <c r="BR109" s="393"/>
      <c r="BS109" s="393"/>
    </row>
    <row r="110" spans="1:71" ht="11.25" customHeight="1" x14ac:dyDescent="0.3">
      <c r="A110" s="383"/>
      <c r="B110" s="383"/>
      <c r="C110" s="383"/>
      <c r="D110" s="383"/>
      <c r="E110" s="383"/>
      <c r="F110" s="383"/>
      <c r="G110" s="383"/>
      <c r="H110" s="383"/>
      <c r="I110" s="383"/>
      <c r="J110" s="383"/>
      <c r="K110" s="383"/>
      <c r="L110" s="383"/>
      <c r="M110" s="383"/>
      <c r="N110" s="383"/>
      <c r="O110" s="383"/>
      <c r="P110" s="383"/>
      <c r="Q110" s="383"/>
      <c r="R110" s="383"/>
      <c r="S110" s="383"/>
      <c r="T110" s="383"/>
      <c r="U110" s="383"/>
      <c r="V110" s="383"/>
      <c r="W110" s="383"/>
      <c r="X110" s="383"/>
      <c r="Y110" s="383"/>
      <c r="Z110" s="383"/>
      <c r="AA110" s="383"/>
      <c r="AB110" s="383"/>
      <c r="AC110" s="383"/>
      <c r="AD110" s="383"/>
      <c r="AE110" s="383"/>
      <c r="AF110" s="383"/>
      <c r="AG110" s="383"/>
      <c r="AH110" s="383"/>
      <c r="AI110" s="383"/>
      <c r="AJ110" s="383"/>
      <c r="AK110" s="383"/>
      <c r="AL110" s="383"/>
      <c r="AM110" s="383"/>
      <c r="AN110" s="383"/>
      <c r="AO110" s="383"/>
      <c r="AP110" s="383"/>
      <c r="AQ110" s="383"/>
      <c r="AR110" s="383"/>
      <c r="AS110" s="383"/>
      <c r="AT110" s="383"/>
      <c r="AU110" s="383"/>
      <c r="AV110" s="383"/>
      <c r="AW110" s="383"/>
      <c r="AX110" s="383"/>
      <c r="AY110" s="393"/>
      <c r="AZ110" s="393"/>
      <c r="BA110" s="393"/>
      <c r="BB110" s="393"/>
      <c r="BC110" s="393"/>
      <c r="BD110" s="393"/>
      <c r="BE110" s="393"/>
      <c r="BF110" s="393"/>
      <c r="BG110" s="393"/>
      <c r="BH110" s="393"/>
      <c r="BI110" s="393"/>
      <c r="BJ110" s="393"/>
      <c r="BK110" s="393"/>
      <c r="BL110" s="393"/>
      <c r="BM110" s="393"/>
      <c r="BN110" s="393"/>
      <c r="BO110" s="393"/>
      <c r="BP110" s="393"/>
      <c r="BQ110" s="393"/>
      <c r="BR110" s="393"/>
      <c r="BS110" s="393"/>
    </row>
    <row r="111" spans="1:71" ht="11.25" customHeight="1" x14ac:dyDescent="0.3">
      <c r="A111" s="383"/>
      <c r="B111" s="383"/>
      <c r="C111" s="383"/>
      <c r="D111" s="383"/>
      <c r="E111" s="383"/>
      <c r="F111" s="383"/>
      <c r="G111" s="383"/>
      <c r="H111" s="383"/>
      <c r="I111" s="383"/>
      <c r="J111" s="383"/>
      <c r="K111" s="383"/>
      <c r="L111" s="383"/>
      <c r="M111" s="383"/>
      <c r="N111" s="383"/>
      <c r="O111" s="383"/>
      <c r="P111" s="383"/>
      <c r="Q111" s="383"/>
      <c r="R111" s="383"/>
      <c r="S111" s="383"/>
      <c r="T111" s="383"/>
      <c r="U111" s="383"/>
      <c r="V111" s="383"/>
      <c r="W111" s="383"/>
      <c r="X111" s="383"/>
      <c r="Y111" s="383"/>
      <c r="Z111" s="383"/>
      <c r="AA111" s="383"/>
      <c r="AB111" s="383"/>
      <c r="AC111" s="383"/>
      <c r="AD111" s="383"/>
      <c r="AE111" s="383"/>
      <c r="AF111" s="383"/>
      <c r="AG111" s="383"/>
      <c r="AH111" s="383"/>
      <c r="AI111" s="383"/>
      <c r="AJ111" s="383"/>
      <c r="AK111" s="383"/>
      <c r="AL111" s="383"/>
      <c r="AM111" s="383"/>
      <c r="AN111" s="383"/>
      <c r="AO111" s="383"/>
      <c r="AP111" s="383"/>
      <c r="AQ111" s="383"/>
      <c r="AR111" s="383"/>
      <c r="AS111" s="383"/>
      <c r="AT111" s="383"/>
      <c r="AU111" s="383"/>
      <c r="AV111" s="383"/>
      <c r="AW111" s="383"/>
      <c r="AX111" s="383"/>
      <c r="AY111" s="393"/>
      <c r="AZ111" s="393"/>
      <c r="BA111" s="393"/>
      <c r="BB111" s="393"/>
      <c r="BC111" s="393"/>
      <c r="BD111" s="393"/>
      <c r="BE111" s="393"/>
      <c r="BF111" s="393"/>
      <c r="BG111" s="393"/>
      <c r="BH111" s="393"/>
      <c r="BI111" s="393"/>
      <c r="BJ111" s="393"/>
      <c r="BK111" s="393"/>
      <c r="BL111" s="393"/>
      <c r="BM111" s="393"/>
      <c r="BN111" s="393"/>
      <c r="BO111" s="393"/>
      <c r="BP111" s="393"/>
      <c r="BQ111" s="393"/>
      <c r="BR111" s="393"/>
      <c r="BS111" s="393"/>
    </row>
    <row r="112" spans="1:71" ht="11.25" customHeight="1" x14ac:dyDescent="0.3">
      <c r="A112" s="383"/>
      <c r="B112" s="383"/>
      <c r="C112" s="383"/>
      <c r="D112" s="383"/>
      <c r="E112" s="383"/>
      <c r="F112" s="383"/>
      <c r="G112" s="383"/>
      <c r="H112" s="383"/>
      <c r="I112" s="383"/>
      <c r="J112" s="383"/>
      <c r="K112" s="383"/>
      <c r="L112" s="383"/>
      <c r="M112" s="383"/>
      <c r="N112" s="383"/>
      <c r="O112" s="383"/>
      <c r="P112" s="383"/>
      <c r="Q112" s="383"/>
      <c r="R112" s="383"/>
      <c r="S112" s="383"/>
      <c r="T112" s="383"/>
      <c r="U112" s="383"/>
      <c r="V112" s="383"/>
      <c r="W112" s="383"/>
      <c r="X112" s="383"/>
      <c r="Y112" s="383"/>
      <c r="Z112" s="383"/>
      <c r="AA112" s="383"/>
      <c r="AB112" s="383"/>
      <c r="AC112" s="383"/>
      <c r="AD112" s="383"/>
      <c r="AE112" s="383"/>
      <c r="AF112" s="383"/>
      <c r="AG112" s="383"/>
      <c r="AH112" s="383"/>
      <c r="AI112" s="383"/>
      <c r="AJ112" s="383"/>
      <c r="AK112" s="383"/>
      <c r="AL112" s="383"/>
      <c r="AM112" s="383"/>
      <c r="AN112" s="383"/>
      <c r="AO112" s="383"/>
      <c r="AP112" s="383"/>
      <c r="AQ112" s="383"/>
      <c r="AR112" s="383"/>
      <c r="AS112" s="383"/>
      <c r="AT112" s="383"/>
      <c r="AU112" s="383"/>
      <c r="AV112" s="383"/>
      <c r="AW112" s="383"/>
      <c r="AX112" s="383"/>
      <c r="AY112" s="393"/>
      <c r="AZ112" s="393"/>
      <c r="BA112" s="393"/>
      <c r="BB112" s="393"/>
      <c r="BC112" s="393"/>
      <c r="BD112" s="393"/>
      <c r="BE112" s="393"/>
      <c r="BF112" s="393"/>
      <c r="BG112" s="393"/>
      <c r="BH112" s="393"/>
      <c r="BI112" s="393"/>
      <c r="BJ112" s="393"/>
      <c r="BK112" s="393"/>
      <c r="BL112" s="393"/>
      <c r="BM112" s="393"/>
      <c r="BN112" s="393"/>
      <c r="BO112" s="393"/>
      <c r="BP112" s="393"/>
      <c r="BQ112" s="393"/>
      <c r="BR112" s="393"/>
      <c r="BS112" s="393"/>
    </row>
    <row r="113" spans="1:71" ht="11.25" customHeight="1" x14ac:dyDescent="0.3">
      <c r="A113" s="383"/>
      <c r="B113" s="383"/>
      <c r="C113" s="383"/>
      <c r="D113" s="383"/>
      <c r="E113" s="383"/>
      <c r="F113" s="383"/>
      <c r="G113" s="383"/>
      <c r="H113" s="383"/>
      <c r="I113" s="383"/>
      <c r="J113" s="383"/>
      <c r="K113" s="383"/>
      <c r="L113" s="383"/>
      <c r="M113" s="383"/>
      <c r="N113" s="383"/>
      <c r="O113" s="383"/>
      <c r="P113" s="383"/>
      <c r="Q113" s="383"/>
      <c r="R113" s="383"/>
      <c r="S113" s="383"/>
      <c r="T113" s="383"/>
      <c r="U113" s="383"/>
      <c r="V113" s="383"/>
      <c r="W113" s="383"/>
      <c r="X113" s="383"/>
      <c r="Y113" s="383"/>
      <c r="Z113" s="383"/>
      <c r="AA113" s="383"/>
      <c r="AB113" s="383"/>
      <c r="AC113" s="383"/>
      <c r="AD113" s="383"/>
      <c r="AE113" s="383"/>
      <c r="AF113" s="383"/>
      <c r="AG113" s="383"/>
      <c r="AH113" s="383"/>
      <c r="AI113" s="383"/>
      <c r="AJ113" s="383"/>
      <c r="AK113" s="383"/>
      <c r="AL113" s="383"/>
      <c r="AM113" s="383"/>
      <c r="AN113" s="383"/>
      <c r="AO113" s="383"/>
      <c r="AP113" s="383"/>
      <c r="AQ113" s="383"/>
      <c r="AR113" s="383"/>
      <c r="AS113" s="383"/>
      <c r="AT113" s="383"/>
      <c r="AU113" s="383"/>
      <c r="AV113" s="383"/>
      <c r="AW113" s="383"/>
      <c r="AX113" s="383"/>
      <c r="AY113" s="393"/>
      <c r="AZ113" s="393"/>
      <c r="BA113" s="393"/>
      <c r="BB113" s="393"/>
      <c r="BC113" s="393"/>
      <c r="BD113" s="393"/>
      <c r="BE113" s="393"/>
      <c r="BF113" s="393"/>
      <c r="BG113" s="393"/>
      <c r="BH113" s="393"/>
      <c r="BI113" s="393"/>
      <c r="BJ113" s="393"/>
      <c r="BK113" s="393"/>
      <c r="BL113" s="393"/>
      <c r="BM113" s="393"/>
      <c r="BN113" s="393"/>
      <c r="BO113" s="393"/>
      <c r="BP113" s="393"/>
      <c r="BQ113" s="393"/>
      <c r="BR113" s="393"/>
      <c r="BS113" s="393"/>
    </row>
    <row r="114" spans="1:71" ht="11.25" customHeight="1" x14ac:dyDescent="0.3">
      <c r="A114" s="383"/>
      <c r="B114" s="383"/>
      <c r="C114" s="383"/>
      <c r="D114" s="383"/>
      <c r="E114" s="383"/>
      <c r="F114" s="383"/>
      <c r="G114" s="383"/>
      <c r="H114" s="383"/>
      <c r="I114" s="383"/>
      <c r="J114" s="383"/>
      <c r="K114" s="383"/>
      <c r="L114" s="383"/>
      <c r="M114" s="383"/>
      <c r="N114" s="383"/>
      <c r="O114" s="383"/>
      <c r="P114" s="383"/>
      <c r="Q114" s="383"/>
      <c r="R114" s="383"/>
      <c r="S114" s="383"/>
      <c r="T114" s="383"/>
      <c r="U114" s="383"/>
      <c r="V114" s="383"/>
      <c r="W114" s="383"/>
      <c r="X114" s="383"/>
      <c r="Y114" s="383"/>
      <c r="Z114" s="383"/>
      <c r="AA114" s="383"/>
      <c r="AB114" s="383"/>
      <c r="AC114" s="383"/>
      <c r="AD114" s="383"/>
      <c r="AE114" s="383"/>
      <c r="AF114" s="383"/>
      <c r="AG114" s="383"/>
      <c r="AH114" s="383"/>
      <c r="AI114" s="383"/>
      <c r="AJ114" s="383"/>
      <c r="AK114" s="383"/>
      <c r="AL114" s="383"/>
      <c r="AM114" s="383"/>
      <c r="AN114" s="383"/>
      <c r="AO114" s="383"/>
      <c r="AP114" s="383"/>
      <c r="AQ114" s="383"/>
      <c r="AR114" s="383"/>
      <c r="AS114" s="383"/>
      <c r="AT114" s="383"/>
      <c r="AU114" s="383"/>
      <c r="AV114" s="383"/>
      <c r="AW114" s="383"/>
      <c r="AX114" s="383"/>
      <c r="AY114" s="393"/>
      <c r="AZ114" s="393"/>
      <c r="BA114" s="393"/>
      <c r="BB114" s="393"/>
      <c r="BC114" s="393"/>
      <c r="BD114" s="393"/>
      <c r="BE114" s="393"/>
      <c r="BF114" s="393"/>
      <c r="BG114" s="393"/>
      <c r="BH114" s="393"/>
      <c r="BI114" s="393"/>
      <c r="BJ114" s="393"/>
      <c r="BK114" s="393"/>
      <c r="BL114" s="393"/>
      <c r="BM114" s="393"/>
      <c r="BN114" s="393"/>
      <c r="BO114" s="393"/>
      <c r="BP114" s="393"/>
      <c r="BQ114" s="393"/>
      <c r="BR114" s="393"/>
      <c r="BS114" s="393"/>
    </row>
    <row r="115" spans="1:71" ht="11.25" customHeight="1" x14ac:dyDescent="0.3">
      <c r="A115" s="383"/>
      <c r="B115" s="383"/>
      <c r="C115" s="383"/>
      <c r="D115" s="383"/>
      <c r="E115" s="383"/>
      <c r="F115" s="383"/>
      <c r="G115" s="383"/>
      <c r="H115" s="383"/>
      <c r="I115" s="383"/>
      <c r="J115" s="383"/>
      <c r="K115" s="383"/>
      <c r="L115" s="383"/>
      <c r="M115" s="383"/>
      <c r="N115" s="383"/>
      <c r="O115" s="383"/>
      <c r="P115" s="383"/>
      <c r="Q115" s="383"/>
      <c r="R115" s="383"/>
      <c r="S115" s="383"/>
      <c r="T115" s="383"/>
      <c r="U115" s="383"/>
      <c r="V115" s="383"/>
      <c r="W115" s="383"/>
      <c r="X115" s="383"/>
      <c r="Y115" s="383"/>
      <c r="Z115" s="383"/>
      <c r="AA115" s="383"/>
      <c r="AB115" s="383"/>
      <c r="AC115" s="383"/>
      <c r="AD115" s="383"/>
      <c r="AE115" s="383"/>
      <c r="AF115" s="383"/>
      <c r="AG115" s="383"/>
      <c r="AH115" s="383"/>
      <c r="AI115" s="383"/>
      <c r="AJ115" s="383"/>
      <c r="AK115" s="383"/>
      <c r="AL115" s="383"/>
      <c r="AM115" s="383"/>
      <c r="AN115" s="383"/>
      <c r="AO115" s="383"/>
      <c r="AP115" s="383"/>
      <c r="AQ115" s="383"/>
      <c r="AR115" s="383"/>
      <c r="AS115" s="383"/>
      <c r="AT115" s="383"/>
      <c r="AU115" s="383"/>
      <c r="AV115" s="383"/>
      <c r="AW115" s="383"/>
      <c r="AX115" s="383"/>
      <c r="AY115" s="393"/>
      <c r="AZ115" s="393"/>
      <c r="BA115" s="393"/>
      <c r="BB115" s="393"/>
      <c r="BC115" s="393"/>
      <c r="BD115" s="393"/>
      <c r="BE115" s="393"/>
      <c r="BF115" s="393"/>
      <c r="BG115" s="393"/>
      <c r="BH115" s="393"/>
      <c r="BI115" s="393"/>
      <c r="BJ115" s="393"/>
      <c r="BK115" s="393"/>
      <c r="BL115" s="393"/>
      <c r="BM115" s="393"/>
      <c r="BN115" s="393"/>
      <c r="BO115" s="393"/>
      <c r="BP115" s="393"/>
      <c r="BQ115" s="393"/>
      <c r="BR115" s="393"/>
      <c r="BS115" s="393"/>
    </row>
    <row r="116" spans="1:71" ht="11.25" customHeight="1" x14ac:dyDescent="0.3">
      <c r="A116" s="383"/>
      <c r="B116" s="383"/>
      <c r="C116" s="383"/>
      <c r="D116" s="383"/>
      <c r="E116" s="383"/>
      <c r="F116" s="383"/>
      <c r="G116" s="383"/>
      <c r="H116" s="383"/>
      <c r="I116" s="383"/>
      <c r="J116" s="383"/>
      <c r="K116" s="383"/>
      <c r="L116" s="383"/>
      <c r="M116" s="383"/>
      <c r="N116" s="383"/>
      <c r="O116" s="383"/>
      <c r="P116" s="383"/>
      <c r="Q116" s="383"/>
      <c r="R116" s="383"/>
      <c r="S116" s="383"/>
      <c r="T116" s="383"/>
      <c r="U116" s="383"/>
      <c r="V116" s="383"/>
      <c r="W116" s="383"/>
      <c r="X116" s="383"/>
      <c r="Y116" s="383"/>
      <c r="Z116" s="383"/>
      <c r="AA116" s="383"/>
      <c r="AB116" s="383"/>
      <c r="AC116" s="383"/>
      <c r="AD116" s="383"/>
      <c r="AE116" s="383"/>
      <c r="AF116" s="383"/>
      <c r="AG116" s="383"/>
      <c r="AH116" s="383"/>
      <c r="AI116" s="383"/>
      <c r="AJ116" s="383"/>
      <c r="AK116" s="383"/>
      <c r="AL116" s="383"/>
      <c r="AM116" s="383"/>
      <c r="AN116" s="383"/>
      <c r="AO116" s="383"/>
      <c r="AP116" s="383"/>
      <c r="AQ116" s="383"/>
      <c r="AR116" s="383"/>
      <c r="AS116" s="383"/>
      <c r="AT116" s="383"/>
      <c r="AU116" s="383"/>
      <c r="AV116" s="383"/>
      <c r="AW116" s="383"/>
      <c r="AX116" s="383"/>
      <c r="AY116" s="393"/>
      <c r="AZ116" s="393"/>
      <c r="BA116" s="393"/>
      <c r="BB116" s="393"/>
      <c r="BC116" s="393"/>
      <c r="BD116" s="393"/>
      <c r="BE116" s="393"/>
      <c r="BF116" s="393"/>
      <c r="BG116" s="393"/>
      <c r="BH116" s="393"/>
      <c r="BI116" s="393"/>
      <c r="BJ116" s="393"/>
      <c r="BK116" s="393"/>
      <c r="BL116" s="393"/>
      <c r="BM116" s="393"/>
      <c r="BN116" s="393"/>
      <c r="BO116" s="393"/>
      <c r="BP116" s="393"/>
      <c r="BQ116" s="393"/>
      <c r="BR116" s="393"/>
      <c r="BS116" s="393"/>
    </row>
    <row r="117" spans="1:71" ht="11.25" customHeight="1" x14ac:dyDescent="0.3">
      <c r="A117" s="383"/>
      <c r="B117" s="383"/>
      <c r="C117" s="383"/>
      <c r="D117" s="383"/>
      <c r="E117" s="383"/>
      <c r="F117" s="383"/>
      <c r="G117" s="383"/>
      <c r="H117" s="383"/>
      <c r="I117" s="383"/>
      <c r="J117" s="383"/>
      <c r="K117" s="383"/>
      <c r="L117" s="383"/>
      <c r="M117" s="383"/>
      <c r="N117" s="383"/>
      <c r="O117" s="383"/>
      <c r="P117" s="383"/>
      <c r="Q117" s="383"/>
      <c r="R117" s="383"/>
      <c r="S117" s="383"/>
      <c r="T117" s="383"/>
      <c r="U117" s="383"/>
      <c r="V117" s="383"/>
      <c r="W117" s="383"/>
      <c r="X117" s="383"/>
      <c r="Y117" s="383"/>
      <c r="Z117" s="383"/>
      <c r="AA117" s="383"/>
      <c r="AB117" s="383"/>
      <c r="AC117" s="383"/>
      <c r="AD117" s="383"/>
      <c r="AE117" s="383"/>
      <c r="AF117" s="383"/>
      <c r="AG117" s="383"/>
      <c r="AH117" s="383"/>
      <c r="AI117" s="383"/>
      <c r="AJ117" s="383"/>
      <c r="AK117" s="383"/>
      <c r="AL117" s="383"/>
      <c r="AM117" s="383"/>
      <c r="AN117" s="383"/>
      <c r="AO117" s="383"/>
      <c r="AP117" s="383"/>
      <c r="AQ117" s="383"/>
      <c r="AR117" s="383"/>
      <c r="AS117" s="383"/>
      <c r="AT117" s="383"/>
      <c r="AU117" s="383"/>
      <c r="AV117" s="383"/>
      <c r="AW117" s="383"/>
      <c r="AX117" s="383"/>
      <c r="AY117" s="393"/>
      <c r="AZ117" s="393"/>
      <c r="BA117" s="393"/>
      <c r="BB117" s="393"/>
      <c r="BC117" s="393"/>
      <c r="BD117" s="393"/>
      <c r="BE117" s="393"/>
      <c r="BF117" s="393"/>
      <c r="BG117" s="393"/>
      <c r="BH117" s="393"/>
      <c r="BI117" s="393"/>
      <c r="BJ117" s="393"/>
      <c r="BK117" s="393"/>
      <c r="BL117" s="393"/>
      <c r="BM117" s="393"/>
      <c r="BN117" s="393"/>
      <c r="BO117" s="393"/>
      <c r="BP117" s="393"/>
      <c r="BQ117" s="393"/>
      <c r="BR117" s="393"/>
      <c r="BS117" s="393"/>
    </row>
    <row r="118" spans="1:71" ht="11.25" customHeight="1" x14ac:dyDescent="0.3">
      <c r="A118" s="383"/>
      <c r="B118" s="383"/>
      <c r="C118" s="383"/>
      <c r="D118" s="383"/>
      <c r="E118" s="383"/>
      <c r="F118" s="383"/>
      <c r="G118" s="383"/>
      <c r="H118" s="383"/>
      <c r="I118" s="383"/>
      <c r="J118" s="383"/>
      <c r="K118" s="383"/>
      <c r="L118" s="383"/>
      <c r="M118" s="383"/>
      <c r="N118" s="383"/>
      <c r="O118" s="383"/>
      <c r="P118" s="383"/>
      <c r="Q118" s="383"/>
      <c r="R118" s="383"/>
      <c r="S118" s="383"/>
      <c r="T118" s="383"/>
      <c r="U118" s="383"/>
      <c r="V118" s="383"/>
      <c r="W118" s="383"/>
      <c r="X118" s="383"/>
      <c r="Y118" s="383"/>
      <c r="Z118" s="383"/>
      <c r="AA118" s="383"/>
      <c r="AB118" s="383"/>
      <c r="AC118" s="383"/>
      <c r="AD118" s="383"/>
      <c r="AE118" s="383"/>
      <c r="AF118" s="383"/>
      <c r="AG118" s="383"/>
      <c r="AH118" s="383"/>
      <c r="AI118" s="383"/>
      <c r="AJ118" s="383"/>
      <c r="AK118" s="383"/>
      <c r="AL118" s="383"/>
      <c r="AM118" s="383"/>
      <c r="AN118" s="383"/>
      <c r="AO118" s="383"/>
      <c r="AP118" s="383"/>
      <c r="AQ118" s="383"/>
      <c r="AR118" s="383"/>
      <c r="AS118" s="383"/>
      <c r="AT118" s="383"/>
      <c r="AU118" s="383"/>
      <c r="AV118" s="383"/>
      <c r="AW118" s="383"/>
      <c r="AX118" s="383"/>
      <c r="AY118" s="393"/>
      <c r="AZ118" s="393"/>
      <c r="BA118" s="393"/>
      <c r="BB118" s="393"/>
      <c r="BC118" s="393"/>
      <c r="BD118" s="393"/>
      <c r="BE118" s="393"/>
      <c r="BF118" s="393"/>
      <c r="BG118" s="393"/>
      <c r="BH118" s="393"/>
      <c r="BI118" s="393"/>
      <c r="BJ118" s="393"/>
      <c r="BK118" s="393"/>
      <c r="BL118" s="393"/>
      <c r="BM118" s="393"/>
      <c r="BN118" s="393"/>
      <c r="BO118" s="393"/>
      <c r="BP118" s="393"/>
      <c r="BQ118" s="393"/>
      <c r="BR118" s="393"/>
      <c r="BS118" s="393"/>
    </row>
    <row r="119" spans="1:71" ht="11.25" customHeight="1" x14ac:dyDescent="0.3">
      <c r="A119" s="383"/>
      <c r="B119" s="383"/>
      <c r="C119" s="383"/>
      <c r="D119" s="383"/>
      <c r="E119" s="383"/>
      <c r="F119" s="383"/>
      <c r="G119" s="383"/>
      <c r="H119" s="383"/>
      <c r="I119" s="383"/>
      <c r="J119" s="383"/>
      <c r="K119" s="383"/>
      <c r="L119" s="383"/>
      <c r="M119" s="383"/>
      <c r="N119" s="383"/>
      <c r="O119" s="383"/>
      <c r="P119" s="383"/>
      <c r="Q119" s="383"/>
      <c r="R119" s="383"/>
      <c r="S119" s="383"/>
      <c r="T119" s="383"/>
      <c r="U119" s="383"/>
      <c r="V119" s="383"/>
      <c r="W119" s="383"/>
      <c r="X119" s="383"/>
      <c r="Y119" s="383"/>
      <c r="Z119" s="383"/>
      <c r="AA119" s="383"/>
      <c r="AB119" s="383"/>
      <c r="AC119" s="383"/>
      <c r="AD119" s="383"/>
      <c r="AE119" s="383"/>
      <c r="AF119" s="383"/>
      <c r="AG119" s="383"/>
      <c r="AH119" s="383"/>
      <c r="AI119" s="383"/>
      <c r="AJ119" s="383"/>
      <c r="AK119" s="383"/>
      <c r="AL119" s="383"/>
      <c r="AM119" s="383"/>
      <c r="AN119" s="383"/>
      <c r="AO119" s="383"/>
      <c r="AP119" s="383"/>
      <c r="AQ119" s="383"/>
      <c r="AR119" s="383"/>
      <c r="AS119" s="383"/>
      <c r="AT119" s="383"/>
      <c r="AU119" s="383"/>
      <c r="AV119" s="383"/>
      <c r="AW119" s="383"/>
      <c r="AX119" s="383"/>
      <c r="AY119" s="393"/>
      <c r="AZ119" s="393"/>
      <c r="BA119" s="393"/>
      <c r="BB119" s="393"/>
      <c r="BC119" s="393"/>
      <c r="BD119" s="393"/>
      <c r="BE119" s="393"/>
      <c r="BF119" s="393"/>
      <c r="BG119" s="393"/>
      <c r="BH119" s="393"/>
      <c r="BI119" s="393"/>
      <c r="BJ119" s="393"/>
      <c r="BK119" s="393"/>
      <c r="BL119" s="393"/>
      <c r="BM119" s="393"/>
      <c r="BN119" s="393"/>
      <c r="BO119" s="393"/>
      <c r="BP119" s="393"/>
      <c r="BQ119" s="393"/>
      <c r="BR119" s="393"/>
      <c r="BS119" s="393"/>
    </row>
    <row r="120" spans="1:71" ht="11.25" customHeight="1" x14ac:dyDescent="0.3">
      <c r="A120" s="383"/>
      <c r="B120" s="383"/>
      <c r="C120" s="383"/>
      <c r="D120" s="383"/>
      <c r="E120" s="383"/>
      <c r="F120" s="383"/>
      <c r="G120" s="383"/>
      <c r="H120" s="383"/>
      <c r="I120" s="383"/>
      <c r="J120" s="383"/>
      <c r="K120" s="383"/>
      <c r="L120" s="383"/>
      <c r="M120" s="383"/>
      <c r="N120" s="383"/>
      <c r="O120" s="383"/>
      <c r="P120" s="383"/>
      <c r="Q120" s="383"/>
      <c r="R120" s="383"/>
      <c r="S120" s="383"/>
      <c r="T120" s="383"/>
      <c r="U120" s="383"/>
      <c r="V120" s="383"/>
      <c r="W120" s="383"/>
      <c r="X120" s="383"/>
      <c r="Y120" s="383"/>
      <c r="Z120" s="383"/>
      <c r="AA120" s="383"/>
      <c r="AB120" s="383"/>
      <c r="AC120" s="383"/>
      <c r="AD120" s="383"/>
      <c r="AE120" s="383"/>
      <c r="AF120" s="383"/>
      <c r="AG120" s="383"/>
      <c r="AH120" s="383"/>
      <c r="AI120" s="383"/>
      <c r="AJ120" s="383"/>
      <c r="AK120" s="383"/>
      <c r="AL120" s="383"/>
      <c r="AM120" s="383"/>
      <c r="AN120" s="383"/>
      <c r="AO120" s="383"/>
      <c r="AP120" s="383"/>
      <c r="AQ120" s="383"/>
      <c r="AR120" s="383"/>
      <c r="AS120" s="383"/>
      <c r="AT120" s="383"/>
      <c r="AU120" s="383"/>
      <c r="AV120" s="383"/>
      <c r="AW120" s="383"/>
      <c r="AX120" s="383"/>
      <c r="AY120" s="393"/>
      <c r="AZ120" s="393"/>
      <c r="BA120" s="393"/>
      <c r="BB120" s="393"/>
      <c r="BC120" s="393"/>
      <c r="BD120" s="393"/>
      <c r="BE120" s="393"/>
      <c r="BF120" s="393"/>
      <c r="BG120" s="393"/>
      <c r="BH120" s="393"/>
      <c r="BI120" s="393"/>
      <c r="BJ120" s="393"/>
      <c r="BK120" s="393"/>
      <c r="BL120" s="393"/>
      <c r="BM120" s="393"/>
      <c r="BN120" s="393"/>
      <c r="BO120" s="393"/>
      <c r="BP120" s="393"/>
      <c r="BQ120" s="393"/>
      <c r="BR120" s="393"/>
      <c r="BS120" s="393"/>
    </row>
    <row r="121" spans="1:71" ht="11.25" customHeight="1" x14ac:dyDescent="0.3">
      <c r="A121" s="383"/>
      <c r="B121" s="383"/>
      <c r="C121" s="383"/>
      <c r="D121" s="383"/>
      <c r="E121" s="383"/>
      <c r="F121" s="383"/>
      <c r="G121" s="383"/>
      <c r="H121" s="383"/>
      <c r="I121" s="383"/>
      <c r="J121" s="383"/>
      <c r="K121" s="383"/>
      <c r="L121" s="383"/>
      <c r="M121" s="383"/>
      <c r="N121" s="383"/>
      <c r="O121" s="383"/>
      <c r="P121" s="383"/>
      <c r="Q121" s="383"/>
      <c r="R121" s="383"/>
      <c r="S121" s="383"/>
      <c r="T121" s="383"/>
      <c r="U121" s="383"/>
      <c r="V121" s="383"/>
      <c r="W121" s="383"/>
      <c r="X121" s="383"/>
      <c r="Y121" s="383"/>
      <c r="Z121" s="383"/>
      <c r="AA121" s="383"/>
      <c r="AB121" s="383"/>
      <c r="AC121" s="383"/>
      <c r="AD121" s="383"/>
      <c r="AE121" s="383"/>
      <c r="AF121" s="383"/>
      <c r="AG121" s="383"/>
      <c r="AH121" s="383"/>
      <c r="AI121" s="383"/>
      <c r="AJ121" s="383"/>
      <c r="AK121" s="383"/>
      <c r="AL121" s="383"/>
      <c r="AM121" s="383"/>
      <c r="AN121" s="383"/>
      <c r="AO121" s="383"/>
      <c r="AP121" s="383"/>
      <c r="AQ121" s="383"/>
      <c r="AR121" s="383"/>
      <c r="AS121" s="383"/>
      <c r="AT121" s="383"/>
      <c r="AU121" s="383"/>
      <c r="AV121" s="383"/>
      <c r="AW121" s="383"/>
      <c r="AX121" s="383"/>
      <c r="AY121" s="393"/>
      <c r="AZ121" s="393"/>
      <c r="BA121" s="393"/>
      <c r="BB121" s="393"/>
      <c r="BC121" s="393"/>
      <c r="BD121" s="393"/>
      <c r="BE121" s="393"/>
      <c r="BF121" s="393"/>
      <c r="BG121" s="393"/>
      <c r="BH121" s="393"/>
      <c r="BI121" s="393"/>
      <c r="BJ121" s="393"/>
      <c r="BK121" s="393"/>
      <c r="BL121" s="393"/>
      <c r="BM121" s="393"/>
      <c r="BN121" s="393"/>
      <c r="BO121" s="393"/>
      <c r="BP121" s="393"/>
      <c r="BQ121" s="393"/>
      <c r="BR121" s="393"/>
      <c r="BS121" s="393"/>
    </row>
    <row r="122" spans="1:71" ht="11.25" customHeight="1" x14ac:dyDescent="0.3">
      <c r="A122" s="383"/>
      <c r="B122" s="383"/>
      <c r="C122" s="383"/>
      <c r="D122" s="383"/>
      <c r="E122" s="383"/>
      <c r="F122" s="383"/>
      <c r="G122" s="383"/>
      <c r="H122" s="383"/>
      <c r="I122" s="383"/>
      <c r="J122" s="383"/>
      <c r="K122" s="383"/>
      <c r="L122" s="383"/>
      <c r="M122" s="383"/>
      <c r="N122" s="383"/>
      <c r="O122" s="383"/>
      <c r="P122" s="383"/>
      <c r="Q122" s="383"/>
      <c r="R122" s="383"/>
      <c r="S122" s="383"/>
      <c r="T122" s="383"/>
      <c r="U122" s="383"/>
      <c r="V122" s="383"/>
      <c r="W122" s="383"/>
      <c r="X122" s="383"/>
      <c r="Y122" s="383"/>
      <c r="Z122" s="383"/>
      <c r="AA122" s="383"/>
      <c r="AB122" s="383"/>
      <c r="AC122" s="383"/>
      <c r="AD122" s="383"/>
      <c r="AE122" s="383"/>
      <c r="AF122" s="383"/>
      <c r="AG122" s="383"/>
      <c r="AH122" s="383"/>
      <c r="AI122" s="383"/>
      <c r="AJ122" s="383"/>
      <c r="AK122" s="383"/>
      <c r="AL122" s="383"/>
      <c r="AM122" s="383"/>
      <c r="AN122" s="383"/>
      <c r="AO122" s="383"/>
      <c r="AP122" s="383"/>
      <c r="AQ122" s="383"/>
      <c r="AR122" s="383"/>
      <c r="AS122" s="383"/>
      <c r="AT122" s="383"/>
      <c r="AU122" s="383"/>
      <c r="AV122" s="383"/>
      <c r="AW122" s="383"/>
      <c r="AX122" s="383"/>
      <c r="AY122" s="393"/>
      <c r="AZ122" s="393"/>
      <c r="BA122" s="393"/>
      <c r="BB122" s="393"/>
      <c r="BC122" s="393"/>
      <c r="BD122" s="393"/>
      <c r="BE122" s="393"/>
      <c r="BF122" s="393"/>
      <c r="BG122" s="393"/>
      <c r="BH122" s="393"/>
      <c r="BI122" s="393"/>
      <c r="BJ122" s="393"/>
      <c r="BK122" s="393"/>
      <c r="BL122" s="393"/>
      <c r="BM122" s="393"/>
      <c r="BN122" s="393"/>
      <c r="BO122" s="393"/>
      <c r="BP122" s="393"/>
      <c r="BQ122" s="393"/>
      <c r="BR122" s="393"/>
      <c r="BS122" s="393"/>
    </row>
    <row r="123" spans="1:71" ht="11.25" customHeight="1" x14ac:dyDescent="0.3">
      <c r="A123" s="383"/>
      <c r="B123" s="383"/>
      <c r="C123" s="383"/>
      <c r="D123" s="383"/>
      <c r="E123" s="383"/>
      <c r="F123" s="383"/>
      <c r="G123" s="383"/>
      <c r="H123" s="383"/>
      <c r="I123" s="383"/>
      <c r="J123" s="383"/>
      <c r="K123" s="383"/>
      <c r="L123" s="383"/>
      <c r="M123" s="383"/>
      <c r="N123" s="383"/>
      <c r="O123" s="383"/>
      <c r="P123" s="383"/>
      <c r="Q123" s="383"/>
      <c r="R123" s="383"/>
      <c r="S123" s="383"/>
      <c r="T123" s="383"/>
      <c r="U123" s="383"/>
      <c r="V123" s="383"/>
      <c r="W123" s="383"/>
      <c r="X123" s="383"/>
      <c r="Y123" s="383"/>
      <c r="Z123" s="383"/>
      <c r="AA123" s="383"/>
      <c r="AB123" s="383"/>
      <c r="AC123" s="383"/>
      <c r="AD123" s="383"/>
      <c r="AE123" s="383"/>
      <c r="AF123" s="383"/>
      <c r="AG123" s="383"/>
      <c r="AH123" s="383"/>
      <c r="AI123" s="383"/>
      <c r="AJ123" s="383"/>
      <c r="AK123" s="383"/>
      <c r="AL123" s="383"/>
      <c r="AM123" s="383"/>
      <c r="AN123" s="383"/>
      <c r="AO123" s="383"/>
      <c r="AP123" s="383"/>
      <c r="AQ123" s="383"/>
      <c r="AR123" s="383"/>
      <c r="AS123" s="383"/>
      <c r="AT123" s="383"/>
      <c r="AU123" s="383"/>
      <c r="AV123" s="383"/>
      <c r="AW123" s="383"/>
      <c r="AX123" s="383"/>
      <c r="AY123" s="393"/>
      <c r="AZ123" s="393"/>
      <c r="BA123" s="393"/>
      <c r="BB123" s="393"/>
      <c r="BC123" s="393"/>
      <c r="BD123" s="393"/>
      <c r="BE123" s="393"/>
      <c r="BF123" s="393"/>
      <c r="BG123" s="393"/>
      <c r="BH123" s="393"/>
      <c r="BI123" s="393"/>
      <c r="BJ123" s="393"/>
      <c r="BK123" s="393"/>
      <c r="BL123" s="393"/>
      <c r="BM123" s="393"/>
      <c r="BN123" s="393"/>
      <c r="BO123" s="393"/>
      <c r="BP123" s="393"/>
      <c r="BQ123" s="393"/>
      <c r="BR123" s="393"/>
      <c r="BS123" s="393"/>
    </row>
    <row r="124" spans="1:71" ht="11.25" customHeight="1" x14ac:dyDescent="0.3">
      <c r="A124" s="383"/>
      <c r="B124" s="383"/>
      <c r="C124" s="383"/>
      <c r="D124" s="383"/>
      <c r="E124" s="383"/>
      <c r="F124" s="383"/>
      <c r="G124" s="383"/>
      <c r="H124" s="383"/>
      <c r="I124" s="383"/>
      <c r="J124" s="383"/>
      <c r="K124" s="383"/>
      <c r="L124" s="383"/>
      <c r="M124" s="383"/>
      <c r="N124" s="383"/>
      <c r="O124" s="383"/>
      <c r="P124" s="383"/>
      <c r="Q124" s="383"/>
      <c r="R124" s="383"/>
      <c r="S124" s="383"/>
      <c r="T124" s="383"/>
      <c r="U124" s="383"/>
      <c r="V124" s="383"/>
      <c r="W124" s="383"/>
      <c r="X124" s="383"/>
      <c r="Y124" s="383"/>
      <c r="Z124" s="383"/>
      <c r="AA124" s="383"/>
      <c r="AB124" s="383"/>
      <c r="AC124" s="383"/>
      <c r="AD124" s="383"/>
      <c r="AE124" s="383"/>
      <c r="AF124" s="383"/>
      <c r="AG124" s="383"/>
      <c r="AH124" s="383"/>
      <c r="AI124" s="383"/>
      <c r="AJ124" s="383"/>
      <c r="AK124" s="383"/>
      <c r="AL124" s="383"/>
      <c r="AM124" s="383"/>
      <c r="AN124" s="383"/>
      <c r="AO124" s="383"/>
      <c r="AP124" s="383"/>
      <c r="AQ124" s="383"/>
      <c r="AR124" s="383"/>
      <c r="AS124" s="383"/>
      <c r="AT124" s="383"/>
      <c r="AU124" s="383"/>
      <c r="AV124" s="383"/>
      <c r="AW124" s="383"/>
      <c r="AX124" s="383"/>
      <c r="AY124" s="393"/>
      <c r="AZ124" s="393"/>
      <c r="BA124" s="393"/>
      <c r="BB124" s="393"/>
      <c r="BC124" s="393"/>
      <c r="BD124" s="393"/>
      <c r="BE124" s="393"/>
      <c r="BF124" s="393"/>
      <c r="BG124" s="393"/>
      <c r="BH124" s="393"/>
      <c r="BI124" s="393"/>
      <c r="BJ124" s="393"/>
      <c r="BK124" s="393"/>
      <c r="BL124" s="393"/>
      <c r="BM124" s="393"/>
      <c r="BN124" s="393"/>
      <c r="BO124" s="393"/>
      <c r="BP124" s="393"/>
      <c r="BQ124" s="393"/>
      <c r="BR124" s="393"/>
      <c r="BS124" s="393"/>
    </row>
    <row r="125" spans="1:71" ht="11.25" customHeight="1" x14ac:dyDescent="0.3">
      <c r="A125" s="383"/>
      <c r="B125" s="383"/>
      <c r="C125" s="383"/>
      <c r="D125" s="383"/>
      <c r="E125" s="383"/>
      <c r="F125" s="383"/>
      <c r="G125" s="383"/>
      <c r="H125" s="383"/>
      <c r="I125" s="383"/>
      <c r="J125" s="383"/>
      <c r="K125" s="383"/>
      <c r="L125" s="383"/>
      <c r="M125" s="383"/>
      <c r="N125" s="383"/>
      <c r="O125" s="383"/>
      <c r="P125" s="383"/>
      <c r="Q125" s="383"/>
      <c r="R125" s="383"/>
      <c r="S125" s="383"/>
      <c r="T125" s="383"/>
      <c r="U125" s="383"/>
      <c r="V125" s="383"/>
      <c r="W125" s="383"/>
      <c r="X125" s="383"/>
      <c r="Y125" s="383"/>
      <c r="Z125" s="383"/>
      <c r="AA125" s="383"/>
      <c r="AB125" s="383"/>
      <c r="AC125" s="383"/>
      <c r="AD125" s="383"/>
      <c r="AE125" s="383"/>
      <c r="AF125" s="383"/>
      <c r="AG125" s="383"/>
      <c r="AH125" s="383"/>
      <c r="AI125" s="383"/>
      <c r="AJ125" s="383"/>
      <c r="AK125" s="383"/>
      <c r="AL125" s="383"/>
      <c r="AM125" s="383"/>
      <c r="AN125" s="383"/>
      <c r="AO125" s="383"/>
      <c r="AP125" s="383"/>
      <c r="AQ125" s="383"/>
      <c r="AR125" s="383"/>
      <c r="AS125" s="383"/>
      <c r="AT125" s="383"/>
      <c r="AU125" s="383"/>
      <c r="AV125" s="383"/>
      <c r="AW125" s="383"/>
      <c r="AX125" s="383"/>
      <c r="AY125" s="393"/>
      <c r="AZ125" s="393"/>
      <c r="BA125" s="393"/>
      <c r="BB125" s="393"/>
      <c r="BC125" s="393"/>
      <c r="BD125" s="393"/>
      <c r="BE125" s="393"/>
      <c r="BF125" s="393"/>
      <c r="BG125" s="393"/>
      <c r="BH125" s="393"/>
      <c r="BI125" s="393"/>
      <c r="BJ125" s="393"/>
      <c r="BK125" s="393"/>
      <c r="BL125" s="393"/>
      <c r="BM125" s="393"/>
      <c r="BN125" s="393"/>
      <c r="BO125" s="393"/>
      <c r="BP125" s="393"/>
      <c r="BQ125" s="393"/>
      <c r="BR125" s="393"/>
      <c r="BS125" s="393"/>
    </row>
    <row r="126" spans="1:71" ht="11.25" customHeight="1" x14ac:dyDescent="0.3">
      <c r="A126" s="383"/>
      <c r="B126" s="383"/>
      <c r="C126" s="383"/>
      <c r="D126" s="383"/>
      <c r="E126" s="383"/>
      <c r="F126" s="383"/>
      <c r="G126" s="383"/>
      <c r="H126" s="383"/>
      <c r="I126" s="383"/>
      <c r="J126" s="383"/>
      <c r="K126" s="383"/>
      <c r="L126" s="383"/>
      <c r="M126" s="383"/>
      <c r="N126" s="383"/>
      <c r="O126" s="383"/>
      <c r="P126" s="383"/>
      <c r="Q126" s="383"/>
      <c r="R126" s="383"/>
      <c r="S126" s="383"/>
      <c r="T126" s="383"/>
      <c r="U126" s="383"/>
      <c r="V126" s="383"/>
      <c r="W126" s="383"/>
      <c r="X126" s="383"/>
      <c r="Y126" s="383"/>
      <c r="Z126" s="383"/>
      <c r="AA126" s="383"/>
      <c r="AB126" s="383"/>
      <c r="AC126" s="383"/>
      <c r="AD126" s="383"/>
      <c r="AE126" s="383"/>
      <c r="AF126" s="383"/>
      <c r="AG126" s="383"/>
      <c r="AH126" s="383"/>
      <c r="AI126" s="383"/>
      <c r="AJ126" s="383"/>
      <c r="AK126" s="383"/>
      <c r="AL126" s="383"/>
      <c r="AM126" s="383"/>
      <c r="AN126" s="383"/>
      <c r="AO126" s="383"/>
      <c r="AP126" s="383"/>
      <c r="AQ126" s="383"/>
      <c r="AR126" s="383"/>
      <c r="AS126" s="383"/>
      <c r="AT126" s="383"/>
      <c r="AU126" s="383"/>
      <c r="AV126" s="383"/>
      <c r="AW126" s="383"/>
      <c r="AX126" s="383"/>
      <c r="AY126" s="393"/>
      <c r="AZ126" s="393"/>
      <c r="BA126" s="393"/>
      <c r="BB126" s="393"/>
      <c r="BC126" s="393"/>
      <c r="BD126" s="393"/>
      <c r="BE126" s="393"/>
      <c r="BF126" s="393"/>
      <c r="BG126" s="393"/>
      <c r="BH126" s="393"/>
      <c r="BI126" s="393"/>
      <c r="BJ126" s="393"/>
      <c r="BK126" s="393"/>
      <c r="BL126" s="393"/>
      <c r="BM126" s="393"/>
      <c r="BN126" s="393"/>
      <c r="BO126" s="393"/>
      <c r="BP126" s="393"/>
      <c r="BQ126" s="393"/>
      <c r="BR126" s="393"/>
      <c r="BS126" s="393"/>
    </row>
    <row r="127" spans="1:71" ht="11.25" customHeight="1" x14ac:dyDescent="0.3">
      <c r="A127" s="383"/>
      <c r="B127" s="383"/>
      <c r="C127" s="383"/>
      <c r="D127" s="383"/>
      <c r="E127" s="383"/>
      <c r="F127" s="383"/>
      <c r="G127" s="383"/>
      <c r="H127" s="383"/>
      <c r="I127" s="383"/>
      <c r="J127" s="383"/>
      <c r="K127" s="383"/>
      <c r="L127" s="383"/>
      <c r="M127" s="383"/>
      <c r="N127" s="383"/>
      <c r="O127" s="383"/>
      <c r="P127" s="383"/>
      <c r="Q127" s="383"/>
      <c r="R127" s="383"/>
      <c r="S127" s="383"/>
      <c r="T127" s="383"/>
      <c r="U127" s="383"/>
      <c r="V127" s="383"/>
      <c r="W127" s="383"/>
      <c r="X127" s="383"/>
      <c r="Y127" s="383"/>
      <c r="Z127" s="383"/>
      <c r="AA127" s="383"/>
      <c r="AB127" s="383"/>
      <c r="AC127" s="383"/>
      <c r="AD127" s="383"/>
      <c r="AE127" s="383"/>
      <c r="AF127" s="383"/>
      <c r="AG127" s="383"/>
      <c r="AH127" s="383"/>
      <c r="AI127" s="383"/>
      <c r="AJ127" s="383"/>
      <c r="AK127" s="383"/>
      <c r="AL127" s="383"/>
      <c r="AM127" s="383"/>
      <c r="AN127" s="383"/>
      <c r="AO127" s="383"/>
      <c r="AP127" s="383"/>
      <c r="AQ127" s="383"/>
      <c r="AR127" s="383"/>
      <c r="AS127" s="383"/>
      <c r="AT127" s="383"/>
      <c r="AU127" s="383"/>
      <c r="AV127" s="383"/>
      <c r="AW127" s="383"/>
      <c r="AX127" s="383"/>
      <c r="AY127" s="393"/>
      <c r="AZ127" s="393"/>
      <c r="BA127" s="393"/>
      <c r="BB127" s="393"/>
      <c r="BC127" s="393"/>
      <c r="BD127" s="393"/>
      <c r="BE127" s="393"/>
      <c r="BF127" s="393"/>
      <c r="BG127" s="393"/>
      <c r="BH127" s="393"/>
      <c r="BI127" s="393"/>
      <c r="BJ127" s="393"/>
      <c r="BK127" s="393"/>
      <c r="BL127" s="393"/>
      <c r="BM127" s="393"/>
      <c r="BN127" s="393"/>
      <c r="BO127" s="393"/>
      <c r="BP127" s="393"/>
      <c r="BQ127" s="393"/>
      <c r="BR127" s="393"/>
      <c r="BS127" s="393"/>
    </row>
    <row r="128" spans="1:71" ht="11.25" customHeight="1" x14ac:dyDescent="0.3">
      <c r="A128" s="383"/>
      <c r="B128" s="383"/>
      <c r="C128" s="383"/>
      <c r="D128" s="383"/>
      <c r="E128" s="383"/>
      <c r="F128" s="383"/>
      <c r="G128" s="383"/>
      <c r="H128" s="383"/>
      <c r="I128" s="383"/>
      <c r="J128" s="383"/>
      <c r="K128" s="383"/>
      <c r="L128" s="383"/>
      <c r="M128" s="383"/>
      <c r="N128" s="383"/>
      <c r="O128" s="383"/>
      <c r="P128" s="383"/>
      <c r="Q128" s="383"/>
      <c r="R128" s="383"/>
      <c r="S128" s="383"/>
      <c r="T128" s="383"/>
      <c r="U128" s="383"/>
      <c r="V128" s="383"/>
      <c r="W128" s="383"/>
      <c r="X128" s="383"/>
      <c r="Y128" s="383"/>
      <c r="Z128" s="383"/>
      <c r="AA128" s="383"/>
      <c r="AB128" s="383"/>
      <c r="AC128" s="383"/>
      <c r="AD128" s="383"/>
      <c r="AE128" s="383"/>
      <c r="AF128" s="383"/>
      <c r="AG128" s="383"/>
      <c r="AH128" s="383"/>
      <c r="AI128" s="383"/>
      <c r="AJ128" s="383"/>
      <c r="AK128" s="383"/>
      <c r="AL128" s="383"/>
      <c r="AM128" s="383"/>
      <c r="AN128" s="383"/>
      <c r="AO128" s="383"/>
      <c r="AP128" s="383"/>
      <c r="AQ128" s="383"/>
      <c r="AR128" s="383"/>
      <c r="AS128" s="383"/>
      <c r="AT128" s="383"/>
      <c r="AU128" s="383"/>
      <c r="AV128" s="383"/>
      <c r="AW128" s="383"/>
      <c r="AX128" s="383"/>
      <c r="AY128" s="393"/>
      <c r="AZ128" s="393"/>
      <c r="BA128" s="393"/>
      <c r="BB128" s="393"/>
      <c r="BC128" s="393"/>
      <c r="BD128" s="393"/>
      <c r="BE128" s="393"/>
      <c r="BF128" s="393"/>
      <c r="BG128" s="393"/>
      <c r="BH128" s="393"/>
      <c r="BI128" s="393"/>
      <c r="BJ128" s="393"/>
      <c r="BK128" s="393"/>
      <c r="BL128" s="393"/>
      <c r="BM128" s="393"/>
      <c r="BN128" s="393"/>
      <c r="BO128" s="393"/>
      <c r="BP128" s="393"/>
      <c r="BQ128" s="393"/>
      <c r="BR128" s="393"/>
      <c r="BS128" s="393"/>
    </row>
    <row r="129" spans="1:71" ht="11.25" customHeight="1" x14ac:dyDescent="0.3">
      <c r="A129" s="383"/>
      <c r="B129" s="383"/>
      <c r="C129" s="383"/>
      <c r="D129" s="383"/>
      <c r="E129" s="383"/>
      <c r="F129" s="383"/>
      <c r="G129" s="383"/>
      <c r="H129" s="383"/>
      <c r="I129" s="383"/>
      <c r="J129" s="383"/>
      <c r="K129" s="383"/>
      <c r="L129" s="383"/>
      <c r="M129" s="383"/>
      <c r="N129" s="383"/>
      <c r="O129" s="383"/>
      <c r="P129" s="383"/>
      <c r="Q129" s="383"/>
      <c r="R129" s="383"/>
      <c r="S129" s="383"/>
      <c r="T129" s="383"/>
      <c r="U129" s="383"/>
      <c r="V129" s="383"/>
      <c r="W129" s="383"/>
      <c r="X129" s="383"/>
      <c r="Y129" s="383"/>
      <c r="Z129" s="383"/>
      <c r="AA129" s="383"/>
      <c r="AB129" s="383"/>
      <c r="AC129" s="383"/>
      <c r="AD129" s="383"/>
      <c r="AE129" s="383"/>
      <c r="AF129" s="383"/>
      <c r="AG129" s="383"/>
      <c r="AH129" s="383"/>
      <c r="AI129" s="383"/>
      <c r="AJ129" s="383"/>
      <c r="AK129" s="383"/>
      <c r="AL129" s="383"/>
      <c r="AM129" s="383"/>
      <c r="AN129" s="383"/>
      <c r="AO129" s="383"/>
      <c r="AP129" s="383"/>
      <c r="AQ129" s="383"/>
      <c r="AR129" s="383"/>
      <c r="AS129" s="383"/>
      <c r="AT129" s="383"/>
      <c r="AU129" s="383"/>
      <c r="AV129" s="383"/>
      <c r="AW129" s="383"/>
      <c r="AX129" s="383"/>
      <c r="AY129" s="393"/>
      <c r="AZ129" s="393"/>
      <c r="BA129" s="393"/>
      <c r="BB129" s="393"/>
      <c r="BC129" s="393"/>
      <c r="BD129" s="393"/>
      <c r="BE129" s="393"/>
      <c r="BF129" s="393"/>
      <c r="BG129" s="393"/>
      <c r="BH129" s="393"/>
      <c r="BI129" s="393"/>
      <c r="BJ129" s="393"/>
      <c r="BK129" s="393"/>
      <c r="BL129" s="393"/>
      <c r="BM129" s="393"/>
      <c r="BN129" s="393"/>
      <c r="BO129" s="393"/>
      <c r="BP129" s="393"/>
      <c r="BQ129" s="393"/>
      <c r="BR129" s="393"/>
      <c r="BS129" s="393"/>
    </row>
    <row r="130" spans="1:71" ht="11.25" customHeight="1" x14ac:dyDescent="0.3">
      <c r="A130" s="383"/>
      <c r="B130" s="383"/>
      <c r="C130" s="383"/>
      <c r="D130" s="383"/>
      <c r="E130" s="383"/>
      <c r="F130" s="383"/>
      <c r="G130" s="383"/>
      <c r="H130" s="383"/>
      <c r="I130" s="383"/>
      <c r="J130" s="383"/>
      <c r="K130" s="383"/>
      <c r="L130" s="383"/>
      <c r="M130" s="383"/>
      <c r="N130" s="383"/>
      <c r="O130" s="383"/>
      <c r="P130" s="383"/>
      <c r="Q130" s="383"/>
      <c r="R130" s="383"/>
      <c r="S130" s="383"/>
      <c r="T130" s="383"/>
      <c r="U130" s="383"/>
      <c r="V130" s="383"/>
      <c r="W130" s="383"/>
      <c r="X130" s="383"/>
      <c r="Y130" s="383"/>
      <c r="Z130" s="383"/>
      <c r="AA130" s="383"/>
      <c r="AB130" s="383"/>
      <c r="AC130" s="383"/>
      <c r="AD130" s="383"/>
      <c r="AE130" s="383"/>
      <c r="AF130" s="383"/>
      <c r="AG130" s="383"/>
      <c r="AH130" s="383"/>
      <c r="AI130" s="383"/>
      <c r="AJ130" s="383"/>
      <c r="AK130" s="383"/>
      <c r="AL130" s="383"/>
      <c r="AM130" s="383"/>
      <c r="AN130" s="383"/>
      <c r="AO130" s="383"/>
      <c r="AP130" s="383"/>
      <c r="AQ130" s="383"/>
      <c r="AR130" s="383"/>
      <c r="AS130" s="383"/>
      <c r="AT130" s="383"/>
      <c r="AU130" s="383"/>
      <c r="AV130" s="383"/>
      <c r="AW130" s="383"/>
      <c r="AX130" s="383"/>
      <c r="AY130" s="393"/>
      <c r="AZ130" s="393"/>
      <c r="BA130" s="393"/>
      <c r="BB130" s="393"/>
      <c r="BC130" s="393"/>
      <c r="BD130" s="393"/>
      <c r="BE130" s="393"/>
      <c r="BF130" s="393"/>
      <c r="BG130" s="393"/>
      <c r="BH130" s="393"/>
      <c r="BI130" s="393"/>
      <c r="BJ130" s="393"/>
      <c r="BK130" s="393"/>
      <c r="BL130" s="393"/>
      <c r="BM130" s="393"/>
      <c r="BN130" s="393"/>
      <c r="BO130" s="393"/>
      <c r="BP130" s="393"/>
      <c r="BQ130" s="393"/>
      <c r="BR130" s="393"/>
      <c r="BS130" s="393"/>
    </row>
    <row r="131" spans="1:71" ht="11.25" customHeight="1" x14ac:dyDescent="0.3">
      <c r="A131" s="383"/>
      <c r="B131" s="383"/>
      <c r="C131" s="383"/>
      <c r="D131" s="383"/>
      <c r="E131" s="383"/>
      <c r="F131" s="383"/>
      <c r="G131" s="383"/>
      <c r="H131" s="383"/>
      <c r="I131" s="383"/>
      <c r="J131" s="383"/>
      <c r="K131" s="383"/>
      <c r="L131" s="383"/>
      <c r="M131" s="383"/>
      <c r="N131" s="383"/>
      <c r="O131" s="383"/>
      <c r="P131" s="383"/>
      <c r="Q131" s="383"/>
      <c r="R131" s="383"/>
      <c r="S131" s="383"/>
      <c r="T131" s="383"/>
      <c r="U131" s="383"/>
      <c r="V131" s="383"/>
      <c r="W131" s="383"/>
      <c r="X131" s="383"/>
      <c r="Y131" s="383"/>
      <c r="Z131" s="383"/>
      <c r="AA131" s="383"/>
      <c r="AB131" s="383"/>
      <c r="AC131" s="383"/>
      <c r="AD131" s="383"/>
      <c r="AE131" s="383"/>
      <c r="AF131" s="383"/>
      <c r="AG131" s="383"/>
      <c r="AH131" s="383"/>
      <c r="AI131" s="383"/>
      <c r="AJ131" s="383"/>
      <c r="AK131" s="383"/>
      <c r="AL131" s="383"/>
      <c r="AM131" s="383"/>
      <c r="AN131" s="383"/>
      <c r="AO131" s="383"/>
      <c r="AP131" s="383"/>
      <c r="AQ131" s="383"/>
      <c r="AR131" s="383"/>
      <c r="AS131" s="383"/>
      <c r="AT131" s="383"/>
      <c r="AU131" s="383"/>
      <c r="AV131" s="383"/>
      <c r="AW131" s="383"/>
      <c r="AX131" s="383"/>
      <c r="AY131" s="393"/>
      <c r="AZ131" s="393"/>
      <c r="BA131" s="393"/>
      <c r="BB131" s="393"/>
      <c r="BC131" s="393"/>
      <c r="BD131" s="393"/>
      <c r="BE131" s="393"/>
      <c r="BF131" s="393"/>
      <c r="BG131" s="393"/>
      <c r="BH131" s="393"/>
      <c r="BI131" s="393"/>
      <c r="BJ131" s="393"/>
      <c r="BK131" s="393"/>
      <c r="BL131" s="393"/>
      <c r="BM131" s="393"/>
      <c r="BN131" s="393"/>
      <c r="BO131" s="393"/>
      <c r="BP131" s="393"/>
      <c r="BQ131" s="393"/>
      <c r="BR131" s="393"/>
      <c r="BS131" s="393"/>
    </row>
    <row r="132" spans="1:71" ht="11.25" customHeight="1" x14ac:dyDescent="0.3">
      <c r="A132" s="383"/>
      <c r="B132" s="383"/>
      <c r="C132" s="383"/>
      <c r="D132" s="383"/>
      <c r="E132" s="383"/>
      <c r="F132" s="383"/>
      <c r="G132" s="383"/>
      <c r="H132" s="383"/>
      <c r="I132" s="383"/>
      <c r="J132" s="383"/>
      <c r="K132" s="383"/>
      <c r="L132" s="383"/>
      <c r="M132" s="383"/>
      <c r="N132" s="383"/>
      <c r="O132" s="383"/>
      <c r="P132" s="383"/>
      <c r="Q132" s="383"/>
      <c r="R132" s="383"/>
      <c r="S132" s="383"/>
      <c r="T132" s="383"/>
      <c r="U132" s="383"/>
      <c r="V132" s="383"/>
      <c r="W132" s="383"/>
      <c r="X132" s="383"/>
      <c r="Y132" s="383"/>
      <c r="Z132" s="383"/>
      <c r="AA132" s="383"/>
      <c r="AB132" s="383"/>
      <c r="AC132" s="383"/>
      <c r="AD132" s="383"/>
      <c r="AE132" s="383"/>
      <c r="AF132" s="383"/>
      <c r="AG132" s="383"/>
      <c r="AH132" s="383"/>
      <c r="AI132" s="383"/>
      <c r="AJ132" s="383"/>
      <c r="AK132" s="383"/>
      <c r="AL132" s="383"/>
      <c r="AM132" s="383"/>
      <c r="AN132" s="383"/>
      <c r="AO132" s="383"/>
      <c r="AP132" s="383"/>
      <c r="AQ132" s="383"/>
      <c r="AR132" s="383"/>
      <c r="AS132" s="383"/>
      <c r="AT132" s="383"/>
      <c r="AU132" s="383"/>
      <c r="AV132" s="383"/>
      <c r="AW132" s="383"/>
      <c r="AX132" s="383"/>
      <c r="AY132" s="393"/>
      <c r="AZ132" s="393"/>
      <c r="BA132" s="393"/>
      <c r="BB132" s="393"/>
      <c r="BC132" s="393"/>
      <c r="BD132" s="393"/>
      <c r="BE132" s="393"/>
      <c r="BF132" s="393"/>
      <c r="BG132" s="393"/>
      <c r="BH132" s="393"/>
      <c r="BI132" s="393"/>
      <c r="BJ132" s="393"/>
      <c r="BK132" s="393"/>
      <c r="BL132" s="393"/>
      <c r="BM132" s="393"/>
      <c r="BN132" s="393"/>
      <c r="BO132" s="393"/>
      <c r="BP132" s="393"/>
      <c r="BQ132" s="393"/>
      <c r="BR132" s="393"/>
      <c r="BS132" s="393"/>
    </row>
    <row r="133" spans="1:71" ht="11.25" customHeight="1" x14ac:dyDescent="0.3">
      <c r="A133" s="383"/>
      <c r="B133" s="383"/>
      <c r="C133" s="383"/>
      <c r="D133" s="383"/>
      <c r="E133" s="383"/>
      <c r="F133" s="383"/>
      <c r="G133" s="383"/>
      <c r="H133" s="383"/>
      <c r="I133" s="383"/>
      <c r="J133" s="383"/>
      <c r="K133" s="383"/>
      <c r="L133" s="383"/>
      <c r="M133" s="383"/>
      <c r="N133" s="383"/>
      <c r="O133" s="383"/>
      <c r="P133" s="383"/>
      <c r="Q133" s="383"/>
      <c r="R133" s="383"/>
      <c r="S133" s="383"/>
      <c r="T133" s="383"/>
      <c r="U133" s="383"/>
      <c r="V133" s="383"/>
      <c r="W133" s="383"/>
      <c r="X133" s="383"/>
      <c r="Y133" s="383"/>
      <c r="Z133" s="383"/>
      <c r="AA133" s="383"/>
      <c r="AB133" s="383"/>
      <c r="AC133" s="383"/>
      <c r="AD133" s="383"/>
      <c r="AE133" s="383"/>
      <c r="AF133" s="383"/>
      <c r="AG133" s="383"/>
      <c r="AH133" s="383"/>
      <c r="AI133" s="383"/>
      <c r="AJ133" s="383"/>
      <c r="AK133" s="383"/>
      <c r="AL133" s="383"/>
      <c r="AM133" s="383"/>
      <c r="AN133" s="383"/>
      <c r="AO133" s="383"/>
      <c r="AP133" s="383"/>
      <c r="AQ133" s="383"/>
      <c r="AR133" s="383"/>
      <c r="AS133" s="383"/>
      <c r="AT133" s="383"/>
      <c r="AU133" s="383"/>
      <c r="AV133" s="383"/>
      <c r="AW133" s="383"/>
      <c r="AX133" s="383"/>
      <c r="AY133" s="393"/>
      <c r="AZ133" s="393"/>
      <c r="BA133" s="393"/>
      <c r="BB133" s="393"/>
      <c r="BC133" s="393"/>
      <c r="BD133" s="393"/>
      <c r="BE133" s="393"/>
      <c r="BF133" s="393"/>
      <c r="BG133" s="393"/>
      <c r="BH133" s="393"/>
      <c r="BI133" s="393"/>
      <c r="BJ133" s="393"/>
      <c r="BK133" s="393"/>
      <c r="BL133" s="393"/>
      <c r="BM133" s="393"/>
      <c r="BN133" s="393"/>
      <c r="BO133" s="393"/>
      <c r="BP133" s="393"/>
      <c r="BQ133" s="393"/>
      <c r="BR133" s="393"/>
      <c r="BS133" s="393"/>
    </row>
    <row r="134" spans="1:71" ht="11.25" customHeight="1" x14ac:dyDescent="0.3">
      <c r="A134" s="383"/>
      <c r="B134" s="383"/>
      <c r="C134" s="383"/>
      <c r="D134" s="383"/>
      <c r="E134" s="383"/>
      <c r="F134" s="383"/>
      <c r="G134" s="383"/>
      <c r="H134" s="383"/>
      <c r="I134" s="383"/>
      <c r="J134" s="383"/>
      <c r="K134" s="383"/>
      <c r="L134" s="383"/>
      <c r="M134" s="383"/>
      <c r="N134" s="383"/>
      <c r="O134" s="383"/>
      <c r="P134" s="383"/>
      <c r="Q134" s="383"/>
      <c r="R134" s="383"/>
      <c r="S134" s="383"/>
      <c r="T134" s="383"/>
      <c r="U134" s="383"/>
      <c r="V134" s="383"/>
      <c r="W134" s="383"/>
      <c r="X134" s="383"/>
      <c r="Y134" s="383"/>
      <c r="Z134" s="383"/>
      <c r="AA134" s="383"/>
      <c r="AB134" s="383"/>
      <c r="AC134" s="383"/>
      <c r="AD134" s="383"/>
      <c r="AE134" s="383"/>
      <c r="AF134" s="383"/>
      <c r="AG134" s="383"/>
      <c r="AH134" s="383"/>
      <c r="AI134" s="383"/>
      <c r="AJ134" s="383"/>
      <c r="AK134" s="383"/>
      <c r="AL134" s="383"/>
      <c r="AM134" s="383"/>
      <c r="AN134" s="383"/>
      <c r="AO134" s="383"/>
      <c r="AP134" s="383"/>
      <c r="AQ134" s="383"/>
      <c r="AR134" s="383"/>
      <c r="AS134" s="383"/>
      <c r="AT134" s="383"/>
      <c r="AU134" s="383"/>
      <c r="AV134" s="383"/>
      <c r="AW134" s="383"/>
      <c r="AX134" s="383"/>
      <c r="AY134" s="393"/>
      <c r="AZ134" s="393"/>
      <c r="BA134" s="393"/>
      <c r="BB134" s="393"/>
      <c r="BC134" s="393"/>
      <c r="BD134" s="393"/>
      <c r="BE134" s="393"/>
      <c r="BF134" s="393"/>
      <c r="BG134" s="393"/>
      <c r="BH134" s="393"/>
      <c r="BI134" s="393"/>
      <c r="BJ134" s="393"/>
      <c r="BK134" s="393"/>
      <c r="BL134" s="393"/>
      <c r="BM134" s="393"/>
      <c r="BN134" s="393"/>
      <c r="BO134" s="393"/>
      <c r="BP134" s="393"/>
      <c r="BQ134" s="393"/>
      <c r="BR134" s="393"/>
      <c r="BS134" s="393"/>
    </row>
    <row r="135" spans="1:71" ht="11.25" customHeight="1" x14ac:dyDescent="0.3">
      <c r="A135" s="383"/>
      <c r="B135" s="383"/>
      <c r="C135" s="383"/>
      <c r="D135" s="383"/>
      <c r="E135" s="383"/>
      <c r="F135" s="383"/>
      <c r="G135" s="383"/>
      <c r="H135" s="383"/>
      <c r="I135" s="383"/>
      <c r="J135" s="383"/>
      <c r="K135" s="383"/>
      <c r="L135" s="383"/>
      <c r="M135" s="383"/>
      <c r="N135" s="383"/>
      <c r="O135" s="383"/>
      <c r="P135" s="383"/>
      <c r="Q135" s="383"/>
      <c r="R135" s="383"/>
      <c r="S135" s="383"/>
      <c r="T135" s="383"/>
      <c r="U135" s="383"/>
      <c r="V135" s="383"/>
      <c r="W135" s="383"/>
      <c r="X135" s="383"/>
      <c r="Y135" s="383"/>
      <c r="Z135" s="383"/>
      <c r="AA135" s="383"/>
      <c r="AB135" s="383"/>
      <c r="AC135" s="383"/>
      <c r="AD135" s="383"/>
      <c r="AE135" s="383"/>
      <c r="AF135" s="383"/>
      <c r="AG135" s="383"/>
      <c r="AH135" s="383"/>
      <c r="AI135" s="383"/>
      <c r="AJ135" s="383"/>
      <c r="AK135" s="383"/>
      <c r="AL135" s="383"/>
      <c r="AM135" s="383"/>
      <c r="AN135" s="383"/>
      <c r="AO135" s="383"/>
      <c r="AP135" s="383"/>
      <c r="AQ135" s="383"/>
      <c r="AR135" s="383"/>
      <c r="AS135" s="383"/>
      <c r="AT135" s="383"/>
      <c r="AU135" s="383"/>
      <c r="AV135" s="383"/>
      <c r="AW135" s="383"/>
      <c r="AX135" s="383"/>
      <c r="AY135" s="393"/>
      <c r="AZ135" s="393"/>
      <c r="BA135" s="393"/>
      <c r="BB135" s="393"/>
      <c r="BC135" s="393"/>
      <c r="BD135" s="393"/>
      <c r="BE135" s="393"/>
      <c r="BF135" s="393"/>
      <c r="BG135" s="393"/>
      <c r="BH135" s="393"/>
      <c r="BI135" s="393"/>
      <c r="BJ135" s="393"/>
      <c r="BK135" s="393"/>
      <c r="BL135" s="393"/>
      <c r="BM135" s="393"/>
      <c r="BN135" s="393"/>
      <c r="BO135" s="393"/>
      <c r="BP135" s="393"/>
      <c r="BQ135" s="393"/>
      <c r="BR135" s="393"/>
      <c r="BS135" s="393"/>
    </row>
    <row r="136" spans="1:71" ht="11.25" customHeight="1" x14ac:dyDescent="0.3">
      <c r="A136" s="383"/>
      <c r="B136" s="383"/>
      <c r="C136" s="383"/>
      <c r="D136" s="383"/>
      <c r="E136" s="383"/>
      <c r="F136" s="383"/>
      <c r="G136" s="383"/>
      <c r="H136" s="383"/>
      <c r="I136" s="383"/>
      <c r="J136" s="383"/>
      <c r="K136" s="383"/>
      <c r="L136" s="383"/>
      <c r="M136" s="383"/>
      <c r="N136" s="383"/>
      <c r="O136" s="383"/>
      <c r="P136" s="383"/>
      <c r="Q136" s="383"/>
      <c r="R136" s="383"/>
      <c r="S136" s="383"/>
      <c r="T136" s="383"/>
      <c r="U136" s="383"/>
      <c r="V136" s="383"/>
      <c r="W136" s="383"/>
      <c r="X136" s="383"/>
      <c r="Y136" s="383"/>
      <c r="Z136" s="383"/>
      <c r="AA136" s="383"/>
      <c r="AB136" s="383"/>
      <c r="AC136" s="383"/>
      <c r="AD136" s="383"/>
      <c r="AE136" s="383"/>
      <c r="AF136" s="383"/>
      <c r="AG136" s="383"/>
      <c r="AH136" s="383"/>
      <c r="AI136" s="383"/>
      <c r="AJ136" s="383"/>
      <c r="AK136" s="383"/>
      <c r="AL136" s="383"/>
      <c r="AM136" s="383"/>
      <c r="AN136" s="383"/>
      <c r="AO136" s="383"/>
      <c r="AP136" s="383"/>
      <c r="AQ136" s="383"/>
      <c r="AR136" s="383"/>
      <c r="AS136" s="383"/>
      <c r="AT136" s="383"/>
      <c r="AU136" s="383"/>
      <c r="AV136" s="383"/>
      <c r="AW136" s="383"/>
      <c r="AX136" s="383"/>
      <c r="AY136" s="393"/>
      <c r="AZ136" s="393"/>
      <c r="BA136" s="393"/>
      <c r="BB136" s="393"/>
      <c r="BC136" s="393"/>
      <c r="BD136" s="393"/>
      <c r="BE136" s="393"/>
      <c r="BF136" s="393"/>
      <c r="BG136" s="393"/>
      <c r="BH136" s="393"/>
      <c r="BI136" s="393"/>
      <c r="BJ136" s="393"/>
      <c r="BK136" s="393"/>
      <c r="BL136" s="393"/>
      <c r="BM136" s="393"/>
      <c r="BN136" s="393"/>
      <c r="BO136" s="393"/>
      <c r="BP136" s="393"/>
      <c r="BQ136" s="393"/>
      <c r="BR136" s="393"/>
      <c r="BS136" s="393"/>
    </row>
    <row r="137" spans="1:71" ht="11.25" customHeight="1" x14ac:dyDescent="0.3">
      <c r="A137" s="383"/>
      <c r="B137" s="383"/>
      <c r="C137" s="383"/>
      <c r="D137" s="383"/>
      <c r="E137" s="383"/>
      <c r="F137" s="383"/>
      <c r="G137" s="383"/>
      <c r="H137" s="383"/>
      <c r="I137" s="383"/>
      <c r="J137" s="383"/>
      <c r="K137" s="383"/>
      <c r="L137" s="383"/>
      <c r="M137" s="383"/>
      <c r="N137" s="383"/>
      <c r="O137" s="383"/>
      <c r="P137" s="383"/>
      <c r="Q137" s="383"/>
      <c r="R137" s="383"/>
      <c r="S137" s="383"/>
      <c r="T137" s="383"/>
      <c r="U137" s="383"/>
      <c r="V137" s="383"/>
      <c r="W137" s="383"/>
      <c r="X137" s="383"/>
      <c r="Y137" s="383"/>
      <c r="Z137" s="383"/>
      <c r="AA137" s="383"/>
      <c r="AB137" s="383"/>
      <c r="AC137" s="383"/>
      <c r="AD137" s="383"/>
      <c r="AE137" s="383"/>
      <c r="AF137" s="383"/>
      <c r="AG137" s="383"/>
      <c r="AH137" s="383"/>
      <c r="AI137" s="383"/>
      <c r="AJ137" s="383"/>
      <c r="AK137" s="383"/>
      <c r="AL137" s="383"/>
      <c r="AM137" s="383"/>
      <c r="AN137" s="383"/>
      <c r="AO137" s="383"/>
      <c r="AP137" s="383"/>
      <c r="AQ137" s="383"/>
      <c r="AR137" s="383"/>
      <c r="AS137" s="383"/>
      <c r="AT137" s="383"/>
      <c r="AU137" s="383"/>
      <c r="AV137" s="383"/>
      <c r="AW137" s="383"/>
      <c r="AX137" s="383"/>
      <c r="AY137" s="393"/>
      <c r="AZ137" s="393"/>
      <c r="BA137" s="393"/>
      <c r="BB137" s="393"/>
      <c r="BC137" s="393"/>
      <c r="BD137" s="393"/>
      <c r="BE137" s="393"/>
      <c r="BF137" s="393"/>
      <c r="BG137" s="393"/>
      <c r="BH137" s="393"/>
      <c r="BI137" s="393"/>
      <c r="BJ137" s="393"/>
      <c r="BK137" s="393"/>
      <c r="BL137" s="393"/>
      <c r="BM137" s="393"/>
      <c r="BN137" s="393"/>
      <c r="BO137" s="393"/>
      <c r="BP137" s="393"/>
      <c r="BQ137" s="393"/>
      <c r="BR137" s="393"/>
      <c r="BS137" s="393"/>
    </row>
    <row r="138" spans="1:71" ht="11.25" customHeight="1" x14ac:dyDescent="0.3">
      <c r="A138" s="383"/>
      <c r="B138" s="383"/>
      <c r="C138" s="383"/>
      <c r="D138" s="383"/>
      <c r="E138" s="383"/>
      <c r="F138" s="383"/>
      <c r="G138" s="383"/>
      <c r="H138" s="383"/>
      <c r="I138" s="383"/>
      <c r="J138" s="383"/>
      <c r="K138" s="383"/>
      <c r="L138" s="383"/>
      <c r="M138" s="383"/>
      <c r="N138" s="383"/>
      <c r="O138" s="383"/>
      <c r="P138" s="383"/>
      <c r="Q138" s="383"/>
      <c r="R138" s="383"/>
      <c r="S138" s="383"/>
      <c r="T138" s="383"/>
      <c r="U138" s="383"/>
      <c r="V138" s="383"/>
      <c r="W138" s="383"/>
      <c r="X138" s="383"/>
      <c r="Y138" s="383"/>
      <c r="Z138" s="383"/>
      <c r="AA138" s="383"/>
      <c r="AB138" s="383"/>
      <c r="AC138" s="383"/>
      <c r="AD138" s="383"/>
      <c r="AE138" s="383"/>
      <c r="AF138" s="383"/>
      <c r="AG138" s="383"/>
      <c r="AH138" s="383"/>
      <c r="AI138" s="383"/>
      <c r="AJ138" s="383"/>
      <c r="AK138" s="383"/>
      <c r="AL138" s="383"/>
      <c r="AM138" s="383"/>
      <c r="AN138" s="383"/>
      <c r="AO138" s="383"/>
      <c r="AP138" s="383"/>
      <c r="AQ138" s="383"/>
      <c r="AR138" s="383"/>
      <c r="AS138" s="383"/>
      <c r="AT138" s="383"/>
      <c r="AU138" s="383"/>
      <c r="AV138" s="383"/>
      <c r="AW138" s="383"/>
      <c r="AX138" s="383"/>
      <c r="AY138" s="393"/>
      <c r="AZ138" s="393"/>
      <c r="BA138" s="393"/>
      <c r="BB138" s="393"/>
      <c r="BC138" s="393"/>
      <c r="BD138" s="393"/>
      <c r="BE138" s="393"/>
      <c r="BF138" s="393"/>
      <c r="BG138" s="393"/>
      <c r="BH138" s="393"/>
      <c r="BI138" s="393"/>
      <c r="BJ138" s="393"/>
      <c r="BK138" s="393"/>
      <c r="BL138" s="393"/>
      <c r="BM138" s="393"/>
      <c r="BN138" s="393"/>
      <c r="BO138" s="393"/>
      <c r="BP138" s="393"/>
      <c r="BQ138" s="393"/>
      <c r="BR138" s="393"/>
      <c r="BS138" s="393"/>
    </row>
    <row r="139" spans="1:71" ht="11.25" customHeight="1" x14ac:dyDescent="0.3">
      <c r="A139" s="383"/>
      <c r="B139" s="383"/>
      <c r="C139" s="383"/>
      <c r="D139" s="383"/>
      <c r="E139" s="383"/>
      <c r="F139" s="383"/>
      <c r="G139" s="383"/>
      <c r="H139" s="383"/>
      <c r="I139" s="383"/>
      <c r="J139" s="383"/>
      <c r="K139" s="383"/>
      <c r="L139" s="383"/>
      <c r="M139" s="383"/>
      <c r="N139" s="383"/>
      <c r="O139" s="383"/>
      <c r="P139" s="383"/>
      <c r="Q139" s="383"/>
      <c r="R139" s="383"/>
      <c r="S139" s="383"/>
      <c r="T139" s="383"/>
      <c r="U139" s="383"/>
      <c r="V139" s="383"/>
      <c r="W139" s="383"/>
      <c r="X139" s="383"/>
      <c r="Y139" s="383"/>
      <c r="Z139" s="383"/>
      <c r="AA139" s="383"/>
      <c r="AB139" s="383"/>
      <c r="AC139" s="383"/>
      <c r="AD139" s="383"/>
      <c r="AE139" s="383"/>
      <c r="AF139" s="383"/>
      <c r="AG139" s="383"/>
      <c r="AH139" s="383"/>
      <c r="AI139" s="383"/>
      <c r="AJ139" s="383"/>
      <c r="AK139" s="383"/>
      <c r="AL139" s="383"/>
      <c r="AM139" s="383"/>
      <c r="AN139" s="383"/>
      <c r="AO139" s="383"/>
      <c r="AP139" s="383"/>
      <c r="AQ139" s="383"/>
      <c r="AR139" s="383"/>
      <c r="AS139" s="383"/>
      <c r="AT139" s="383"/>
      <c r="AU139" s="383"/>
      <c r="AV139" s="383"/>
      <c r="AW139" s="383"/>
      <c r="AX139" s="383"/>
      <c r="AY139" s="393"/>
      <c r="AZ139" s="393"/>
      <c r="BA139" s="393"/>
      <c r="BB139" s="393"/>
      <c r="BC139" s="393"/>
      <c r="BD139" s="393"/>
      <c r="BE139" s="393"/>
      <c r="BF139" s="393"/>
      <c r="BG139" s="393"/>
      <c r="BH139" s="393"/>
      <c r="BI139" s="393"/>
      <c r="BJ139" s="393"/>
      <c r="BK139" s="393"/>
      <c r="BL139" s="393"/>
      <c r="BM139" s="393"/>
      <c r="BN139" s="393"/>
      <c r="BO139" s="393"/>
      <c r="BP139" s="393"/>
      <c r="BQ139" s="393"/>
      <c r="BR139" s="393"/>
      <c r="BS139" s="393"/>
    </row>
    <row r="140" spans="1:71" ht="11.25" customHeight="1" x14ac:dyDescent="0.3">
      <c r="A140" s="383"/>
      <c r="B140" s="383"/>
      <c r="C140" s="383"/>
      <c r="D140" s="383"/>
      <c r="E140" s="383"/>
      <c r="F140" s="383"/>
      <c r="G140" s="383"/>
      <c r="H140" s="383"/>
      <c r="I140" s="383"/>
      <c r="J140" s="383"/>
      <c r="K140" s="383"/>
      <c r="L140" s="383"/>
      <c r="M140" s="383"/>
      <c r="N140" s="383"/>
      <c r="O140" s="383"/>
      <c r="P140" s="383"/>
      <c r="Q140" s="383"/>
      <c r="R140" s="383"/>
      <c r="S140" s="383"/>
      <c r="T140" s="383"/>
      <c r="U140" s="383"/>
      <c r="V140" s="383"/>
      <c r="W140" s="383"/>
      <c r="X140" s="383"/>
      <c r="Y140" s="383"/>
      <c r="Z140" s="383"/>
      <c r="AA140" s="383"/>
      <c r="AB140" s="383"/>
      <c r="AC140" s="383"/>
      <c r="AD140" s="383"/>
      <c r="AE140" s="383"/>
      <c r="AF140" s="383"/>
      <c r="AG140" s="383"/>
      <c r="AH140" s="383"/>
      <c r="AI140" s="383"/>
      <c r="AJ140" s="383"/>
      <c r="AK140" s="383"/>
      <c r="AL140" s="383"/>
      <c r="AM140" s="383"/>
      <c r="AN140" s="383"/>
      <c r="AO140" s="383"/>
      <c r="AP140" s="383"/>
      <c r="AQ140" s="383"/>
      <c r="AR140" s="383"/>
      <c r="AS140" s="383"/>
      <c r="AT140" s="383"/>
      <c r="AU140" s="383"/>
      <c r="AV140" s="383"/>
      <c r="AW140" s="383"/>
      <c r="AX140" s="383"/>
      <c r="AY140" s="393"/>
      <c r="AZ140" s="393"/>
      <c r="BA140" s="393"/>
      <c r="BB140" s="393"/>
      <c r="BC140" s="393"/>
      <c r="BD140" s="393"/>
      <c r="BE140" s="393"/>
      <c r="BF140" s="393"/>
      <c r="BG140" s="393"/>
      <c r="BH140" s="393"/>
      <c r="BI140" s="393"/>
      <c r="BJ140" s="393"/>
      <c r="BK140" s="393"/>
      <c r="BL140" s="393"/>
      <c r="BM140" s="393"/>
      <c r="BN140" s="393"/>
      <c r="BO140" s="393"/>
      <c r="BP140" s="393"/>
      <c r="BQ140" s="393"/>
      <c r="BR140" s="393"/>
      <c r="BS140" s="393"/>
    </row>
    <row r="141" spans="1:71" ht="11.25" customHeight="1" x14ac:dyDescent="0.3">
      <c r="A141" s="383"/>
      <c r="B141" s="383"/>
      <c r="C141" s="383"/>
      <c r="D141" s="383"/>
      <c r="E141" s="383"/>
      <c r="F141" s="383"/>
      <c r="G141" s="383"/>
      <c r="H141" s="383"/>
      <c r="I141" s="383"/>
      <c r="J141" s="383"/>
      <c r="K141" s="383"/>
      <c r="L141" s="383"/>
      <c r="M141" s="383"/>
      <c r="N141" s="383"/>
      <c r="O141" s="383"/>
      <c r="P141" s="383"/>
      <c r="Q141" s="383"/>
      <c r="R141" s="383"/>
      <c r="S141" s="383"/>
      <c r="T141" s="383"/>
      <c r="U141" s="383"/>
      <c r="V141" s="383"/>
      <c r="W141" s="383"/>
      <c r="X141" s="383"/>
      <c r="Y141" s="383"/>
      <c r="Z141" s="383"/>
      <c r="AA141" s="383"/>
      <c r="AB141" s="383"/>
      <c r="AC141" s="383"/>
      <c r="AD141" s="383"/>
      <c r="AE141" s="383"/>
      <c r="AF141" s="383"/>
      <c r="AG141" s="383"/>
      <c r="AH141" s="383"/>
      <c r="AI141" s="383"/>
      <c r="AJ141" s="383"/>
      <c r="AK141" s="383"/>
      <c r="AL141" s="383"/>
      <c r="AM141" s="383"/>
      <c r="AN141" s="383"/>
      <c r="AO141" s="383"/>
      <c r="AP141" s="383"/>
      <c r="AQ141" s="383"/>
      <c r="AR141" s="383"/>
      <c r="AS141" s="383"/>
      <c r="AT141" s="383"/>
      <c r="AU141" s="383"/>
      <c r="AV141" s="383"/>
      <c r="AW141" s="383"/>
      <c r="AX141" s="383"/>
      <c r="AY141" s="393"/>
      <c r="AZ141" s="393"/>
      <c r="BA141" s="393"/>
      <c r="BB141" s="393"/>
      <c r="BC141" s="393"/>
      <c r="BD141" s="393"/>
      <c r="BE141" s="393"/>
      <c r="BF141" s="393"/>
      <c r="BG141" s="393"/>
      <c r="BH141" s="393"/>
      <c r="BI141" s="393"/>
      <c r="BJ141" s="393"/>
      <c r="BK141" s="393"/>
      <c r="BL141" s="393"/>
      <c r="BM141" s="393"/>
      <c r="BN141" s="393"/>
      <c r="BO141" s="393"/>
      <c r="BP141" s="393"/>
      <c r="BQ141" s="393"/>
      <c r="BR141" s="393"/>
      <c r="BS141" s="393"/>
    </row>
    <row r="142" spans="1:71" ht="11.25" customHeight="1" x14ac:dyDescent="0.3">
      <c r="A142" s="383"/>
      <c r="B142" s="383"/>
      <c r="C142" s="383"/>
      <c r="D142" s="383"/>
      <c r="E142" s="383"/>
      <c r="F142" s="383"/>
      <c r="G142" s="383"/>
      <c r="H142" s="383"/>
      <c r="I142" s="383"/>
      <c r="J142" s="383"/>
      <c r="K142" s="383"/>
      <c r="L142" s="383"/>
      <c r="M142" s="383"/>
      <c r="N142" s="383"/>
      <c r="O142" s="383"/>
      <c r="P142" s="383"/>
      <c r="Q142" s="383"/>
      <c r="R142" s="383"/>
      <c r="S142" s="383"/>
      <c r="T142" s="383"/>
      <c r="U142" s="383"/>
      <c r="V142" s="383"/>
      <c r="W142" s="383"/>
      <c r="X142" s="383"/>
      <c r="Y142" s="383"/>
      <c r="Z142" s="383"/>
      <c r="AA142" s="383"/>
      <c r="AB142" s="383"/>
      <c r="AC142" s="383"/>
      <c r="AD142" s="383"/>
      <c r="AE142" s="383"/>
      <c r="AF142" s="383"/>
      <c r="AG142" s="383"/>
      <c r="AH142" s="383"/>
      <c r="AI142" s="383"/>
      <c r="AJ142" s="383"/>
      <c r="AK142" s="383"/>
      <c r="AL142" s="383"/>
      <c r="AM142" s="383"/>
      <c r="AN142" s="383"/>
      <c r="AO142" s="383"/>
      <c r="AP142" s="383"/>
      <c r="AQ142" s="383"/>
      <c r="AR142" s="383"/>
      <c r="AS142" s="383"/>
      <c r="AT142" s="383"/>
      <c r="AU142" s="383"/>
      <c r="AV142" s="383"/>
      <c r="AW142" s="383"/>
      <c r="AX142" s="383"/>
      <c r="AY142" s="393"/>
      <c r="AZ142" s="393"/>
      <c r="BA142" s="393"/>
      <c r="BB142" s="393"/>
      <c r="BC142" s="393"/>
      <c r="BD142" s="393"/>
      <c r="BE142" s="393"/>
      <c r="BF142" s="393"/>
      <c r="BG142" s="393"/>
      <c r="BH142" s="393"/>
      <c r="BI142" s="393"/>
      <c r="BJ142" s="393"/>
      <c r="BK142" s="393"/>
      <c r="BL142" s="393"/>
      <c r="BM142" s="393"/>
      <c r="BN142" s="393"/>
      <c r="BO142" s="393"/>
      <c r="BP142" s="393"/>
      <c r="BQ142" s="393"/>
      <c r="BR142" s="393"/>
      <c r="BS142" s="393"/>
    </row>
    <row r="143" spans="1:71" ht="11.25" customHeight="1" x14ac:dyDescent="0.3">
      <c r="A143" s="383"/>
      <c r="B143" s="383"/>
      <c r="C143" s="383"/>
      <c r="D143" s="383"/>
      <c r="E143" s="383"/>
      <c r="F143" s="383"/>
      <c r="G143" s="383"/>
      <c r="H143" s="383"/>
      <c r="I143" s="383"/>
      <c r="J143" s="383"/>
      <c r="K143" s="383"/>
      <c r="L143" s="383"/>
      <c r="M143" s="383"/>
      <c r="N143" s="383"/>
      <c r="O143" s="383"/>
      <c r="P143" s="383"/>
      <c r="Q143" s="383"/>
      <c r="R143" s="383"/>
      <c r="S143" s="383"/>
      <c r="T143" s="383"/>
      <c r="U143" s="383"/>
      <c r="V143" s="383"/>
      <c r="W143" s="383"/>
      <c r="X143" s="383"/>
      <c r="Y143" s="383"/>
      <c r="Z143" s="383"/>
      <c r="AA143" s="383"/>
      <c r="AB143" s="383"/>
      <c r="AC143" s="383"/>
      <c r="AD143" s="383"/>
      <c r="AE143" s="383"/>
      <c r="AF143" s="383"/>
      <c r="AG143" s="383"/>
      <c r="AH143" s="383"/>
      <c r="AI143" s="383"/>
      <c r="AJ143" s="383"/>
      <c r="AK143" s="383"/>
      <c r="AL143" s="383"/>
      <c r="AM143" s="383"/>
      <c r="AN143" s="383"/>
      <c r="AO143" s="383"/>
      <c r="AP143" s="383"/>
      <c r="AQ143" s="383"/>
      <c r="AR143" s="383"/>
      <c r="AS143" s="383"/>
      <c r="AT143" s="383"/>
      <c r="AU143" s="383"/>
      <c r="AV143" s="383"/>
      <c r="AW143" s="383"/>
      <c r="AX143" s="383"/>
      <c r="AY143" s="393"/>
      <c r="AZ143" s="393"/>
      <c r="BA143" s="393"/>
      <c r="BB143" s="393"/>
      <c r="BC143" s="393"/>
      <c r="BD143" s="393"/>
      <c r="BE143" s="393"/>
      <c r="BF143" s="393"/>
      <c r="BG143" s="393"/>
      <c r="BH143" s="393"/>
      <c r="BI143" s="393"/>
      <c r="BJ143" s="393"/>
      <c r="BK143" s="393"/>
      <c r="BL143" s="393"/>
      <c r="BM143" s="393"/>
      <c r="BN143" s="393"/>
      <c r="BO143" s="393"/>
      <c r="BP143" s="393"/>
      <c r="BQ143" s="393"/>
      <c r="BR143" s="393"/>
      <c r="BS143" s="393"/>
    </row>
    <row r="144" spans="1:71" ht="11.25" customHeight="1" x14ac:dyDescent="0.3">
      <c r="A144" s="383"/>
      <c r="B144" s="383"/>
      <c r="C144" s="383"/>
      <c r="D144" s="383"/>
      <c r="E144" s="383"/>
      <c r="F144" s="383"/>
      <c r="G144" s="383"/>
      <c r="H144" s="383"/>
      <c r="I144" s="383"/>
      <c r="J144" s="383"/>
      <c r="K144" s="383"/>
      <c r="L144" s="383"/>
      <c r="M144" s="383"/>
      <c r="N144" s="383"/>
      <c r="O144" s="383"/>
      <c r="P144" s="383"/>
      <c r="Q144" s="383"/>
      <c r="R144" s="383"/>
      <c r="S144" s="383"/>
      <c r="T144" s="383"/>
      <c r="U144" s="383"/>
      <c r="V144" s="383"/>
      <c r="W144" s="383"/>
      <c r="X144" s="383"/>
      <c r="Y144" s="383"/>
      <c r="Z144" s="383"/>
      <c r="AA144" s="383"/>
      <c r="AB144" s="383"/>
      <c r="AC144" s="383"/>
      <c r="AD144" s="383"/>
      <c r="AE144" s="383"/>
      <c r="AF144" s="383"/>
      <c r="AG144" s="383"/>
      <c r="AH144" s="383"/>
      <c r="AI144" s="383"/>
      <c r="AJ144" s="383"/>
      <c r="AK144" s="383"/>
      <c r="AL144" s="383"/>
      <c r="AM144" s="383"/>
      <c r="AN144" s="383"/>
      <c r="AO144" s="383"/>
      <c r="AP144" s="383"/>
      <c r="AQ144" s="383"/>
      <c r="AR144" s="383"/>
      <c r="AS144" s="383"/>
      <c r="AT144" s="383"/>
      <c r="AU144" s="383"/>
      <c r="AV144" s="383"/>
      <c r="AW144" s="383"/>
      <c r="AX144" s="383"/>
      <c r="AY144" s="393"/>
      <c r="AZ144" s="393"/>
      <c r="BA144" s="393"/>
      <c r="BB144" s="393"/>
      <c r="BC144" s="393"/>
      <c r="BD144" s="393"/>
      <c r="BE144" s="393"/>
      <c r="BF144" s="393"/>
      <c r="BG144" s="393"/>
      <c r="BH144" s="393"/>
      <c r="BI144" s="393"/>
      <c r="BJ144" s="393"/>
      <c r="BK144" s="393"/>
      <c r="BL144" s="393"/>
      <c r="BM144" s="393"/>
      <c r="BN144" s="393"/>
      <c r="BO144" s="393"/>
      <c r="BP144" s="393"/>
      <c r="BQ144" s="393"/>
      <c r="BR144" s="393"/>
      <c r="BS144" s="393"/>
    </row>
    <row r="145" spans="1:71" ht="11.25" customHeight="1" x14ac:dyDescent="0.3">
      <c r="A145" s="383"/>
      <c r="B145" s="383"/>
      <c r="C145" s="383"/>
      <c r="D145" s="383"/>
      <c r="E145" s="383"/>
      <c r="F145" s="383"/>
      <c r="G145" s="383"/>
      <c r="H145" s="383"/>
      <c r="I145" s="383"/>
      <c r="J145" s="383"/>
      <c r="K145" s="383"/>
      <c r="L145" s="383"/>
      <c r="M145" s="383"/>
      <c r="N145" s="383"/>
      <c r="O145" s="383"/>
      <c r="P145" s="383"/>
      <c r="Q145" s="383"/>
      <c r="R145" s="383"/>
      <c r="S145" s="383"/>
      <c r="T145" s="383"/>
      <c r="U145" s="383"/>
      <c r="V145" s="383"/>
      <c r="W145" s="383"/>
      <c r="X145" s="383"/>
      <c r="Y145" s="383"/>
      <c r="Z145" s="383"/>
      <c r="AA145" s="383"/>
      <c r="AB145" s="383"/>
      <c r="AC145" s="383"/>
      <c r="AD145" s="383"/>
      <c r="AE145" s="383"/>
      <c r="AF145" s="383"/>
      <c r="AG145" s="383"/>
      <c r="AH145" s="383"/>
      <c r="AI145" s="383"/>
      <c r="AJ145" s="383"/>
      <c r="AK145" s="383"/>
      <c r="AL145" s="383"/>
      <c r="AM145" s="383"/>
      <c r="AN145" s="383"/>
      <c r="AO145" s="383"/>
      <c r="AP145" s="383"/>
      <c r="AQ145" s="383"/>
      <c r="AR145" s="383"/>
      <c r="AS145" s="383"/>
      <c r="AT145" s="383"/>
      <c r="AU145" s="383"/>
      <c r="AV145" s="383"/>
      <c r="AW145" s="383"/>
      <c r="AX145" s="383"/>
      <c r="AY145" s="393"/>
      <c r="AZ145" s="393"/>
      <c r="BA145" s="393"/>
      <c r="BB145" s="393"/>
      <c r="BC145" s="393"/>
      <c r="BD145" s="393"/>
      <c r="BE145" s="393"/>
      <c r="BF145" s="393"/>
      <c r="BG145" s="393"/>
      <c r="BH145" s="393"/>
      <c r="BI145" s="393"/>
      <c r="BJ145" s="393"/>
      <c r="BK145" s="393"/>
      <c r="BL145" s="393"/>
      <c r="BM145" s="393"/>
      <c r="BN145" s="393"/>
      <c r="BO145" s="393"/>
      <c r="BP145" s="393"/>
      <c r="BQ145" s="393"/>
      <c r="BR145" s="393"/>
      <c r="BS145" s="393"/>
    </row>
    <row r="146" spans="1:71" ht="11.25" customHeight="1" x14ac:dyDescent="0.3">
      <c r="A146" s="383"/>
      <c r="B146" s="383"/>
      <c r="C146" s="383"/>
      <c r="D146" s="383"/>
      <c r="E146" s="383"/>
      <c r="F146" s="383"/>
      <c r="G146" s="383"/>
      <c r="H146" s="383"/>
      <c r="I146" s="383"/>
      <c r="J146" s="383"/>
      <c r="K146" s="383"/>
      <c r="L146" s="383"/>
      <c r="M146" s="383"/>
      <c r="N146" s="383"/>
      <c r="O146" s="383"/>
      <c r="P146" s="383"/>
      <c r="Q146" s="383"/>
      <c r="R146" s="383"/>
      <c r="S146" s="383"/>
      <c r="T146" s="383"/>
      <c r="U146" s="383"/>
      <c r="V146" s="383"/>
      <c r="W146" s="383"/>
      <c r="X146" s="383"/>
      <c r="Y146" s="383"/>
      <c r="Z146" s="383"/>
      <c r="AA146" s="383"/>
      <c r="AB146" s="383"/>
      <c r="AC146" s="383"/>
      <c r="AD146" s="383"/>
      <c r="AE146" s="383"/>
      <c r="AF146" s="383"/>
      <c r="AG146" s="383"/>
      <c r="AH146" s="383"/>
      <c r="AI146" s="383"/>
      <c r="AJ146" s="383"/>
      <c r="AK146" s="383"/>
      <c r="AL146" s="383"/>
      <c r="AM146" s="383"/>
      <c r="AN146" s="383"/>
      <c r="AO146" s="383"/>
      <c r="AP146" s="383"/>
      <c r="AQ146" s="383"/>
      <c r="AR146" s="383"/>
      <c r="AS146" s="383"/>
      <c r="AT146" s="383"/>
      <c r="AU146" s="383"/>
      <c r="AV146" s="383"/>
      <c r="AW146" s="383"/>
      <c r="AX146" s="383"/>
      <c r="AY146" s="393"/>
      <c r="AZ146" s="393"/>
      <c r="BA146" s="393"/>
      <c r="BB146" s="393"/>
      <c r="BC146" s="393"/>
      <c r="BD146" s="393"/>
      <c r="BE146" s="393"/>
      <c r="BF146" s="393"/>
      <c r="BG146" s="393"/>
      <c r="BH146" s="393"/>
      <c r="BI146" s="393"/>
      <c r="BJ146" s="393"/>
      <c r="BK146" s="393"/>
      <c r="BL146" s="393"/>
      <c r="BM146" s="393"/>
      <c r="BN146" s="393"/>
      <c r="BO146" s="393"/>
      <c r="BP146" s="393"/>
      <c r="BQ146" s="393"/>
      <c r="BR146" s="393"/>
      <c r="BS146" s="393"/>
    </row>
    <row r="147" spans="1:71" ht="11.25" customHeight="1" x14ac:dyDescent="0.3">
      <c r="A147" s="383"/>
      <c r="B147" s="383"/>
      <c r="C147" s="383"/>
      <c r="D147" s="383"/>
      <c r="E147" s="383"/>
      <c r="F147" s="383"/>
      <c r="G147" s="383"/>
      <c r="H147" s="383"/>
      <c r="I147" s="383"/>
      <c r="J147" s="383"/>
      <c r="K147" s="383"/>
      <c r="L147" s="383"/>
      <c r="M147" s="383"/>
      <c r="N147" s="383"/>
      <c r="O147" s="383"/>
      <c r="P147" s="383"/>
      <c r="Q147" s="383"/>
      <c r="R147" s="383"/>
      <c r="S147" s="383"/>
      <c r="T147" s="383"/>
      <c r="U147" s="383"/>
      <c r="V147" s="383"/>
      <c r="W147" s="383"/>
      <c r="X147" s="383"/>
      <c r="Y147" s="383"/>
      <c r="Z147" s="383"/>
      <c r="AA147" s="383"/>
      <c r="AB147" s="383"/>
      <c r="AC147" s="383"/>
      <c r="AD147" s="383"/>
      <c r="AE147" s="383"/>
      <c r="AF147" s="383"/>
      <c r="AG147" s="383"/>
      <c r="AH147" s="383"/>
      <c r="AI147" s="383"/>
      <c r="AJ147" s="383"/>
      <c r="AK147" s="383"/>
      <c r="AL147" s="383"/>
      <c r="AM147" s="383"/>
      <c r="AN147" s="383"/>
      <c r="AO147" s="383"/>
      <c r="AP147" s="383"/>
      <c r="AQ147" s="383"/>
      <c r="AR147" s="383"/>
      <c r="AS147" s="383"/>
      <c r="AT147" s="383"/>
      <c r="AU147" s="383"/>
      <c r="AV147" s="383"/>
      <c r="AW147" s="383"/>
      <c r="AX147" s="383"/>
      <c r="AY147" s="393"/>
      <c r="AZ147" s="393"/>
      <c r="BA147" s="393"/>
      <c r="BB147" s="393"/>
      <c r="BC147" s="393"/>
      <c r="BD147" s="393"/>
      <c r="BE147" s="393"/>
      <c r="BF147" s="393"/>
      <c r="BG147" s="393"/>
      <c r="BH147" s="393"/>
      <c r="BI147" s="393"/>
      <c r="BJ147" s="393"/>
      <c r="BK147" s="393"/>
      <c r="BL147" s="393"/>
      <c r="BM147" s="393"/>
      <c r="BN147" s="393"/>
      <c r="BO147" s="393"/>
      <c r="BP147" s="393"/>
      <c r="BQ147" s="393"/>
      <c r="BR147" s="393"/>
      <c r="BS147" s="393"/>
    </row>
    <row r="148" spans="1:71" ht="11.25" customHeight="1" x14ac:dyDescent="0.3">
      <c r="A148" s="383"/>
      <c r="B148" s="383"/>
      <c r="C148" s="383"/>
      <c r="D148" s="383"/>
      <c r="E148" s="383"/>
      <c r="F148" s="383"/>
      <c r="G148" s="383"/>
      <c r="H148" s="383"/>
      <c r="I148" s="383"/>
      <c r="J148" s="383"/>
      <c r="K148" s="383"/>
      <c r="L148" s="383"/>
      <c r="M148" s="383"/>
      <c r="N148" s="383"/>
      <c r="O148" s="383"/>
      <c r="P148" s="383"/>
      <c r="Q148" s="383"/>
      <c r="R148" s="383"/>
      <c r="S148" s="383"/>
      <c r="T148" s="383"/>
      <c r="U148" s="383"/>
      <c r="V148" s="383"/>
      <c r="W148" s="383"/>
      <c r="X148" s="383"/>
      <c r="Y148" s="383"/>
      <c r="Z148" s="383"/>
      <c r="AA148" s="383"/>
      <c r="AB148" s="383"/>
      <c r="AC148" s="383"/>
      <c r="AD148" s="383"/>
      <c r="AE148" s="383"/>
      <c r="AF148" s="383"/>
      <c r="AG148" s="383"/>
      <c r="AH148" s="383"/>
      <c r="AI148" s="383"/>
      <c r="AJ148" s="383"/>
      <c r="AK148" s="383"/>
      <c r="AL148" s="383"/>
      <c r="AM148" s="383"/>
      <c r="AN148" s="383"/>
      <c r="AO148" s="383"/>
      <c r="AP148" s="383"/>
      <c r="AQ148" s="383"/>
      <c r="AR148" s="383"/>
      <c r="AS148" s="383"/>
      <c r="AT148" s="383"/>
      <c r="AU148" s="383"/>
      <c r="AV148" s="383"/>
      <c r="AW148" s="383"/>
      <c r="AX148" s="383"/>
      <c r="AY148" s="393"/>
      <c r="AZ148" s="393"/>
      <c r="BA148" s="393"/>
      <c r="BB148" s="393"/>
      <c r="BC148" s="393"/>
      <c r="BD148" s="393"/>
      <c r="BE148" s="393"/>
      <c r="BF148" s="393"/>
      <c r="BG148" s="393"/>
      <c r="BH148" s="393"/>
      <c r="BI148" s="393"/>
      <c r="BJ148" s="393"/>
      <c r="BK148" s="393"/>
      <c r="BL148" s="393"/>
      <c r="BM148" s="393"/>
      <c r="BN148" s="393"/>
      <c r="BO148" s="393"/>
      <c r="BP148" s="393"/>
      <c r="BQ148" s="393"/>
      <c r="BR148" s="393"/>
      <c r="BS148" s="393"/>
    </row>
    <row r="149" spans="1:71" ht="11.25" customHeight="1" x14ac:dyDescent="0.3">
      <c r="A149" s="383"/>
      <c r="B149" s="383"/>
      <c r="C149" s="383"/>
      <c r="D149" s="383"/>
      <c r="E149" s="383"/>
      <c r="F149" s="383"/>
      <c r="G149" s="383"/>
      <c r="H149" s="383"/>
      <c r="I149" s="383"/>
      <c r="J149" s="383"/>
      <c r="K149" s="383"/>
      <c r="L149" s="383"/>
      <c r="M149" s="383"/>
      <c r="N149" s="383"/>
      <c r="O149" s="383"/>
      <c r="P149" s="383"/>
      <c r="Q149" s="383"/>
      <c r="R149" s="383"/>
      <c r="S149" s="383"/>
      <c r="T149" s="383"/>
      <c r="U149" s="383"/>
      <c r="V149" s="383"/>
      <c r="W149" s="383"/>
      <c r="X149" s="383"/>
      <c r="Y149" s="383"/>
      <c r="Z149" s="383"/>
      <c r="AA149" s="383"/>
      <c r="AB149" s="383"/>
      <c r="AC149" s="383"/>
      <c r="AD149" s="383"/>
      <c r="AE149" s="383"/>
      <c r="AF149" s="383"/>
      <c r="AG149" s="383"/>
      <c r="AH149" s="383"/>
      <c r="AI149" s="383"/>
      <c r="AJ149" s="383"/>
      <c r="AK149" s="383"/>
      <c r="AL149" s="383"/>
      <c r="AM149" s="383"/>
      <c r="AN149" s="383"/>
      <c r="AO149" s="383"/>
      <c r="AP149" s="383"/>
      <c r="AQ149" s="383"/>
      <c r="AR149" s="383"/>
      <c r="AS149" s="383"/>
      <c r="AT149" s="383"/>
      <c r="AU149" s="383"/>
      <c r="AV149" s="383"/>
      <c r="AW149" s="383"/>
      <c r="AX149" s="383"/>
      <c r="AY149" s="393"/>
      <c r="AZ149" s="393"/>
      <c r="BA149" s="393"/>
      <c r="BB149" s="393"/>
      <c r="BC149" s="393"/>
      <c r="BD149" s="393"/>
      <c r="BE149" s="393"/>
      <c r="BF149" s="393"/>
      <c r="BG149" s="393"/>
      <c r="BH149" s="393"/>
      <c r="BI149" s="393"/>
      <c r="BJ149" s="393"/>
      <c r="BK149" s="393"/>
      <c r="BL149" s="393"/>
      <c r="BM149" s="393"/>
      <c r="BN149" s="393"/>
      <c r="BO149" s="393"/>
      <c r="BP149" s="393"/>
      <c r="BQ149" s="393"/>
      <c r="BR149" s="393"/>
      <c r="BS149" s="393"/>
    </row>
    <row r="150" spans="1:71" ht="11.25" customHeight="1" x14ac:dyDescent="0.3">
      <c r="A150" s="383"/>
      <c r="B150" s="383"/>
      <c r="C150" s="383"/>
      <c r="D150" s="383"/>
      <c r="E150" s="383"/>
      <c r="F150" s="383"/>
      <c r="G150" s="383"/>
      <c r="H150" s="383"/>
      <c r="I150" s="383"/>
      <c r="J150" s="383"/>
      <c r="K150" s="383"/>
      <c r="L150" s="383"/>
      <c r="M150" s="383"/>
      <c r="N150" s="383"/>
      <c r="O150" s="383"/>
      <c r="P150" s="383"/>
      <c r="Q150" s="383"/>
      <c r="R150" s="383"/>
      <c r="S150" s="383"/>
      <c r="T150" s="383"/>
      <c r="U150" s="383"/>
      <c r="V150" s="383"/>
      <c r="W150" s="383"/>
      <c r="X150" s="383"/>
      <c r="Y150" s="383"/>
      <c r="Z150" s="383"/>
      <c r="AA150" s="383"/>
      <c r="AB150" s="383"/>
      <c r="AC150" s="383"/>
      <c r="AD150" s="383"/>
      <c r="AE150" s="383"/>
      <c r="AF150" s="383"/>
      <c r="AG150" s="383"/>
      <c r="AH150" s="383"/>
      <c r="AI150" s="383"/>
      <c r="AJ150" s="383"/>
      <c r="AK150" s="383"/>
      <c r="AL150" s="383"/>
      <c r="AM150" s="383"/>
      <c r="AN150" s="383"/>
      <c r="AO150" s="383"/>
      <c r="AP150" s="383"/>
      <c r="AQ150" s="383"/>
      <c r="AR150" s="383"/>
      <c r="AS150" s="383"/>
      <c r="AT150" s="383"/>
      <c r="AU150" s="383"/>
      <c r="AV150" s="383"/>
      <c r="AW150" s="383"/>
      <c r="AX150" s="383"/>
      <c r="AY150" s="393"/>
      <c r="AZ150" s="393"/>
      <c r="BA150" s="393"/>
      <c r="BB150" s="393"/>
      <c r="BC150" s="393"/>
      <c r="BD150" s="393"/>
      <c r="BE150" s="393"/>
      <c r="BF150" s="393"/>
      <c r="BG150" s="393"/>
      <c r="BH150" s="393"/>
      <c r="BI150" s="393"/>
      <c r="BJ150" s="393"/>
      <c r="BK150" s="393"/>
      <c r="BL150" s="393"/>
      <c r="BM150" s="393"/>
      <c r="BN150" s="393"/>
      <c r="BO150" s="393"/>
      <c r="BP150" s="393"/>
      <c r="BQ150" s="393"/>
      <c r="BR150" s="393"/>
      <c r="BS150" s="393"/>
    </row>
    <row r="151" spans="1:71" ht="11.25" customHeight="1" x14ac:dyDescent="0.3">
      <c r="A151" s="383"/>
      <c r="B151" s="383"/>
      <c r="C151" s="383"/>
      <c r="D151" s="383"/>
      <c r="E151" s="383"/>
      <c r="F151" s="383"/>
      <c r="G151" s="383"/>
      <c r="H151" s="383"/>
      <c r="I151" s="383"/>
      <c r="J151" s="383"/>
      <c r="K151" s="383"/>
      <c r="L151" s="383"/>
      <c r="M151" s="383"/>
      <c r="N151" s="383"/>
      <c r="O151" s="383"/>
      <c r="P151" s="383"/>
      <c r="Q151" s="383"/>
      <c r="R151" s="383"/>
      <c r="S151" s="383"/>
      <c r="T151" s="383"/>
      <c r="U151" s="383"/>
      <c r="V151" s="383"/>
      <c r="W151" s="383"/>
      <c r="X151" s="383"/>
      <c r="Y151" s="383"/>
      <c r="Z151" s="383"/>
      <c r="AA151" s="383"/>
      <c r="AB151" s="383"/>
      <c r="AC151" s="383"/>
      <c r="AD151" s="383"/>
      <c r="AE151" s="383"/>
      <c r="AF151" s="383"/>
      <c r="AG151" s="383"/>
      <c r="AH151" s="383"/>
      <c r="AI151" s="383"/>
      <c r="AJ151" s="383"/>
      <c r="AK151" s="383"/>
      <c r="AL151" s="383"/>
      <c r="AM151" s="383"/>
      <c r="AN151" s="383"/>
      <c r="AO151" s="383"/>
      <c r="AP151" s="383"/>
      <c r="AQ151" s="383"/>
      <c r="AR151" s="383"/>
      <c r="AS151" s="383"/>
      <c r="AT151" s="383"/>
      <c r="AU151" s="383"/>
      <c r="AV151" s="383"/>
      <c r="AW151" s="383"/>
      <c r="AX151" s="383"/>
      <c r="AY151" s="393"/>
      <c r="AZ151" s="393"/>
      <c r="BA151" s="393"/>
      <c r="BB151" s="393"/>
      <c r="BC151" s="393"/>
      <c r="BD151" s="393"/>
      <c r="BE151" s="393"/>
      <c r="BF151" s="393"/>
      <c r="BG151" s="393"/>
      <c r="BH151" s="393"/>
      <c r="BI151" s="393"/>
      <c r="BJ151" s="393"/>
      <c r="BK151" s="393"/>
      <c r="BL151" s="393"/>
      <c r="BM151" s="393"/>
      <c r="BN151" s="393"/>
      <c r="BO151" s="393"/>
      <c r="BP151" s="393"/>
      <c r="BQ151" s="393"/>
      <c r="BR151" s="393"/>
      <c r="BS151" s="393"/>
    </row>
    <row r="152" spans="1:71" ht="11.25" customHeight="1" x14ac:dyDescent="0.3">
      <c r="A152" s="383"/>
      <c r="B152" s="383"/>
      <c r="C152" s="383"/>
      <c r="D152" s="383"/>
      <c r="E152" s="383"/>
      <c r="F152" s="383"/>
      <c r="G152" s="383"/>
      <c r="H152" s="383"/>
      <c r="I152" s="383"/>
      <c r="J152" s="383"/>
      <c r="K152" s="383"/>
      <c r="L152" s="383"/>
      <c r="M152" s="383"/>
      <c r="N152" s="383"/>
      <c r="O152" s="383"/>
      <c r="P152" s="383"/>
      <c r="Q152" s="383"/>
      <c r="R152" s="383"/>
      <c r="S152" s="383"/>
      <c r="T152" s="383"/>
      <c r="U152" s="383"/>
      <c r="V152" s="383"/>
      <c r="W152" s="383"/>
      <c r="X152" s="383"/>
      <c r="Y152" s="383"/>
      <c r="Z152" s="383"/>
      <c r="AA152" s="383"/>
      <c r="AB152" s="383"/>
      <c r="AC152" s="383"/>
      <c r="AD152" s="383"/>
      <c r="AE152" s="383"/>
      <c r="AF152" s="383"/>
      <c r="AG152" s="383"/>
      <c r="AH152" s="383"/>
      <c r="AI152" s="383"/>
      <c r="AJ152" s="383"/>
      <c r="AK152" s="383"/>
      <c r="AL152" s="383"/>
      <c r="AM152" s="383"/>
      <c r="AN152" s="383"/>
      <c r="AO152" s="383"/>
      <c r="AP152" s="383"/>
      <c r="AQ152" s="383"/>
      <c r="AR152" s="383"/>
      <c r="AS152" s="383"/>
      <c r="AT152" s="383"/>
      <c r="AU152" s="383"/>
      <c r="AV152" s="383"/>
      <c r="AW152" s="383"/>
      <c r="AX152" s="383"/>
      <c r="AY152" s="393"/>
      <c r="AZ152" s="393"/>
      <c r="BA152" s="393"/>
      <c r="BB152" s="393"/>
      <c r="BC152" s="393"/>
      <c r="BD152" s="393"/>
      <c r="BE152" s="393"/>
      <c r="BF152" s="393"/>
      <c r="BG152" s="393"/>
      <c r="BH152" s="393"/>
      <c r="BI152" s="393"/>
      <c r="BJ152" s="393"/>
      <c r="BK152" s="393"/>
      <c r="BL152" s="393"/>
      <c r="BM152" s="393"/>
      <c r="BN152" s="393"/>
      <c r="BO152" s="393"/>
      <c r="BP152" s="393"/>
      <c r="BQ152" s="393"/>
      <c r="BR152" s="393"/>
      <c r="BS152" s="393"/>
    </row>
    <row r="153" spans="1:71" ht="11.25" customHeight="1" x14ac:dyDescent="0.3">
      <c r="A153" s="383"/>
      <c r="B153" s="383"/>
      <c r="C153" s="383"/>
      <c r="D153" s="383"/>
      <c r="E153" s="383"/>
      <c r="F153" s="383"/>
      <c r="G153" s="383"/>
      <c r="H153" s="383"/>
      <c r="I153" s="383"/>
      <c r="J153" s="383"/>
      <c r="K153" s="383"/>
      <c r="L153" s="383"/>
      <c r="M153" s="383"/>
      <c r="N153" s="383"/>
      <c r="O153" s="383"/>
      <c r="P153" s="383"/>
      <c r="Q153" s="383"/>
      <c r="R153" s="383"/>
      <c r="S153" s="383"/>
      <c r="T153" s="383"/>
      <c r="U153" s="383"/>
      <c r="V153" s="383"/>
      <c r="W153" s="383"/>
      <c r="X153" s="383"/>
      <c r="Y153" s="383"/>
      <c r="Z153" s="383"/>
      <c r="AA153" s="383"/>
      <c r="AB153" s="383"/>
      <c r="AC153" s="383"/>
      <c r="AD153" s="383"/>
      <c r="AE153" s="383"/>
      <c r="AF153" s="383"/>
      <c r="AG153" s="383"/>
      <c r="AH153" s="383"/>
      <c r="AI153" s="383"/>
      <c r="AJ153" s="383"/>
      <c r="AK153" s="383"/>
      <c r="AL153" s="383"/>
      <c r="AM153" s="383"/>
      <c r="AN153" s="383"/>
      <c r="AO153" s="383"/>
      <c r="AP153" s="383"/>
      <c r="AQ153" s="383"/>
      <c r="AR153" s="383"/>
      <c r="AS153" s="383"/>
      <c r="AT153" s="383"/>
      <c r="AU153" s="383"/>
      <c r="AV153" s="383"/>
      <c r="AW153" s="383"/>
      <c r="AX153" s="383"/>
      <c r="AY153" s="393"/>
      <c r="AZ153" s="393"/>
      <c r="BA153" s="393"/>
      <c r="BB153" s="393"/>
      <c r="BC153" s="393"/>
      <c r="BD153" s="393"/>
      <c r="BE153" s="393"/>
      <c r="BF153" s="393"/>
      <c r="BG153" s="393"/>
      <c r="BH153" s="393"/>
      <c r="BI153" s="393"/>
      <c r="BJ153" s="393"/>
      <c r="BK153" s="393"/>
      <c r="BL153" s="393"/>
      <c r="BM153" s="393"/>
      <c r="BN153" s="393"/>
      <c r="BO153" s="393"/>
      <c r="BP153" s="393"/>
      <c r="BQ153" s="393"/>
      <c r="BR153" s="393"/>
      <c r="BS153" s="393"/>
    </row>
    <row r="154" spans="1:71" ht="11.25" customHeight="1" x14ac:dyDescent="0.3">
      <c r="A154" s="383"/>
      <c r="B154" s="383"/>
      <c r="C154" s="383"/>
      <c r="D154" s="383"/>
      <c r="E154" s="383"/>
      <c r="F154" s="383"/>
      <c r="G154" s="383"/>
      <c r="H154" s="383"/>
      <c r="I154" s="383"/>
      <c r="J154" s="383"/>
      <c r="K154" s="383"/>
      <c r="L154" s="383"/>
      <c r="M154" s="383"/>
      <c r="N154" s="383"/>
      <c r="O154" s="383"/>
      <c r="P154" s="383"/>
      <c r="Q154" s="383"/>
      <c r="R154" s="383"/>
      <c r="S154" s="383"/>
      <c r="T154" s="383"/>
      <c r="U154" s="383"/>
      <c r="V154" s="383"/>
      <c r="W154" s="383"/>
      <c r="X154" s="383"/>
      <c r="Y154" s="383"/>
      <c r="Z154" s="383"/>
      <c r="AA154" s="383"/>
      <c r="AB154" s="383"/>
      <c r="AC154" s="383"/>
      <c r="AD154" s="383"/>
      <c r="AE154" s="383"/>
      <c r="AF154" s="383"/>
      <c r="AG154" s="383"/>
      <c r="AH154" s="383"/>
      <c r="AI154" s="383"/>
      <c r="AJ154" s="383"/>
      <c r="AK154" s="383"/>
      <c r="AL154" s="383"/>
      <c r="AM154" s="383"/>
      <c r="AN154" s="383"/>
      <c r="AO154" s="383"/>
      <c r="AP154" s="383"/>
      <c r="AQ154" s="383"/>
      <c r="AR154" s="383"/>
      <c r="AS154" s="383"/>
      <c r="AT154" s="383"/>
      <c r="AU154" s="383"/>
      <c r="AV154" s="383"/>
      <c r="AW154" s="383"/>
      <c r="AX154" s="383"/>
      <c r="AY154" s="393"/>
      <c r="AZ154" s="393"/>
      <c r="BA154" s="393"/>
      <c r="BB154" s="393"/>
      <c r="BC154" s="393"/>
      <c r="BD154" s="393"/>
      <c r="BE154" s="393"/>
      <c r="BF154" s="393"/>
      <c r="BG154" s="393"/>
      <c r="BH154" s="393"/>
      <c r="BI154" s="393"/>
      <c r="BJ154" s="393"/>
      <c r="BK154" s="393"/>
      <c r="BL154" s="393"/>
      <c r="BM154" s="393"/>
      <c r="BN154" s="393"/>
      <c r="BO154" s="393"/>
      <c r="BP154" s="393"/>
      <c r="BQ154" s="393"/>
      <c r="BR154" s="393"/>
      <c r="BS154" s="393"/>
    </row>
    <row r="155" spans="1:71" ht="11.25" customHeight="1" x14ac:dyDescent="0.3">
      <c r="A155" s="383"/>
      <c r="B155" s="383"/>
      <c r="C155" s="383"/>
      <c r="D155" s="383"/>
      <c r="E155" s="383"/>
      <c r="F155" s="383"/>
      <c r="G155" s="383"/>
      <c r="H155" s="383"/>
      <c r="I155" s="383"/>
      <c r="J155" s="383"/>
      <c r="K155" s="383"/>
      <c r="L155" s="383"/>
      <c r="M155" s="383"/>
      <c r="N155" s="383"/>
      <c r="O155" s="383"/>
      <c r="P155" s="383"/>
      <c r="Q155" s="383"/>
      <c r="R155" s="383"/>
      <c r="S155" s="383"/>
      <c r="T155" s="383"/>
      <c r="U155" s="383"/>
      <c r="V155" s="383"/>
      <c r="W155" s="383"/>
      <c r="X155" s="383"/>
      <c r="Y155" s="383"/>
      <c r="Z155" s="383"/>
      <c r="AA155" s="383"/>
      <c r="AB155" s="383"/>
      <c r="AC155" s="383"/>
      <c r="AD155" s="383"/>
      <c r="AE155" s="383"/>
      <c r="AF155" s="383"/>
      <c r="AG155" s="383"/>
      <c r="AH155" s="383"/>
      <c r="AI155" s="383"/>
      <c r="AJ155" s="383"/>
      <c r="AK155" s="383"/>
      <c r="AL155" s="383"/>
      <c r="AM155" s="383"/>
      <c r="AN155" s="383"/>
      <c r="AO155" s="383"/>
      <c r="AP155" s="383"/>
      <c r="AQ155" s="383"/>
      <c r="AR155" s="383"/>
      <c r="AS155" s="383"/>
      <c r="AT155" s="383"/>
      <c r="AU155" s="383"/>
      <c r="AV155" s="383"/>
      <c r="AW155" s="383"/>
      <c r="AX155" s="383"/>
      <c r="AY155" s="393"/>
      <c r="AZ155" s="393"/>
      <c r="BA155" s="393"/>
      <c r="BB155" s="393"/>
      <c r="BC155" s="393"/>
      <c r="BD155" s="393"/>
      <c r="BE155" s="393"/>
      <c r="BF155" s="393"/>
      <c r="BG155" s="393"/>
      <c r="BH155" s="393"/>
      <c r="BI155" s="393"/>
      <c r="BJ155" s="393"/>
      <c r="BK155" s="393"/>
      <c r="BL155" s="393"/>
      <c r="BM155" s="393"/>
      <c r="BN155" s="393"/>
      <c r="BO155" s="393"/>
      <c r="BP155" s="393"/>
      <c r="BQ155" s="393"/>
      <c r="BR155" s="393"/>
      <c r="BS155" s="393"/>
    </row>
    <row r="156" spans="1:71" ht="11.25" customHeight="1" x14ac:dyDescent="0.3">
      <c r="A156" s="383"/>
      <c r="B156" s="383"/>
      <c r="C156" s="383"/>
      <c r="D156" s="383"/>
      <c r="E156" s="383"/>
      <c r="F156" s="383"/>
      <c r="G156" s="383"/>
      <c r="H156" s="383"/>
      <c r="I156" s="383"/>
      <c r="J156" s="383"/>
      <c r="K156" s="383"/>
      <c r="L156" s="383"/>
      <c r="M156" s="383"/>
      <c r="N156" s="383"/>
      <c r="O156" s="383"/>
      <c r="P156" s="383"/>
      <c r="Q156" s="383"/>
      <c r="R156" s="383"/>
      <c r="S156" s="383"/>
      <c r="T156" s="383"/>
      <c r="U156" s="383"/>
      <c r="V156" s="383"/>
      <c r="W156" s="383"/>
      <c r="X156" s="383"/>
      <c r="Y156" s="383"/>
      <c r="Z156" s="383"/>
      <c r="AA156" s="383"/>
      <c r="AB156" s="383"/>
      <c r="AC156" s="383"/>
      <c r="AD156" s="383"/>
      <c r="AE156" s="383"/>
      <c r="AF156" s="383"/>
      <c r="AG156" s="383"/>
      <c r="AH156" s="383"/>
      <c r="AI156" s="383"/>
      <c r="AJ156" s="383"/>
      <c r="AK156" s="383"/>
      <c r="AL156" s="383"/>
      <c r="AM156" s="383"/>
      <c r="AN156" s="383"/>
      <c r="AO156" s="383"/>
      <c r="AP156" s="383"/>
      <c r="AQ156" s="383"/>
      <c r="AR156" s="383"/>
      <c r="AS156" s="383"/>
      <c r="AT156" s="383"/>
      <c r="AU156" s="383"/>
      <c r="AV156" s="383"/>
      <c r="AW156" s="383"/>
      <c r="AX156" s="383"/>
      <c r="AY156" s="393"/>
      <c r="AZ156" s="393"/>
      <c r="BA156" s="393"/>
      <c r="BB156" s="393"/>
      <c r="BC156" s="393"/>
      <c r="BD156" s="393"/>
      <c r="BE156" s="393"/>
      <c r="BF156" s="393"/>
      <c r="BG156" s="393"/>
      <c r="BH156" s="393"/>
      <c r="BI156" s="393"/>
      <c r="BJ156" s="393"/>
      <c r="BK156" s="393"/>
      <c r="BL156" s="393"/>
      <c r="BM156" s="393"/>
      <c r="BN156" s="393"/>
      <c r="BO156" s="393"/>
      <c r="BP156" s="393"/>
      <c r="BQ156" s="393"/>
      <c r="BR156" s="393"/>
      <c r="BS156" s="393"/>
    </row>
    <row r="157" spans="1:71" ht="11.25" customHeight="1" x14ac:dyDescent="0.3">
      <c r="A157" s="383"/>
      <c r="B157" s="383"/>
      <c r="C157" s="383"/>
      <c r="D157" s="383"/>
      <c r="E157" s="383"/>
      <c r="F157" s="383"/>
      <c r="G157" s="383"/>
      <c r="H157" s="383"/>
      <c r="I157" s="383"/>
      <c r="J157" s="383"/>
      <c r="K157" s="383"/>
      <c r="L157" s="383"/>
      <c r="M157" s="383"/>
      <c r="N157" s="383"/>
      <c r="O157" s="383"/>
      <c r="P157" s="383"/>
      <c r="Q157" s="383"/>
      <c r="R157" s="383"/>
      <c r="S157" s="383"/>
      <c r="T157" s="383"/>
      <c r="U157" s="383"/>
      <c r="V157" s="383"/>
      <c r="W157" s="383"/>
      <c r="X157" s="383"/>
      <c r="Y157" s="383"/>
      <c r="Z157" s="383"/>
      <c r="AA157" s="383"/>
      <c r="AB157" s="383"/>
      <c r="AC157" s="383"/>
      <c r="AD157" s="383"/>
      <c r="AE157" s="383"/>
      <c r="AF157" s="383"/>
      <c r="AG157" s="383"/>
      <c r="AH157" s="383"/>
      <c r="AI157" s="383"/>
      <c r="AJ157" s="383"/>
      <c r="AK157" s="383"/>
      <c r="AL157" s="383"/>
      <c r="AM157" s="383"/>
      <c r="AN157" s="383"/>
      <c r="AO157" s="383"/>
      <c r="AP157" s="383"/>
      <c r="AQ157" s="383"/>
      <c r="AR157" s="383"/>
      <c r="AS157" s="383"/>
      <c r="AT157" s="383"/>
      <c r="AU157" s="383"/>
      <c r="AV157" s="383"/>
      <c r="AW157" s="383"/>
      <c r="AX157" s="383"/>
      <c r="AY157" s="393"/>
      <c r="AZ157" s="393"/>
      <c r="BA157" s="393"/>
      <c r="BB157" s="393"/>
      <c r="BC157" s="393"/>
      <c r="BD157" s="393"/>
      <c r="BE157" s="393"/>
      <c r="BF157" s="393"/>
      <c r="BG157" s="393"/>
      <c r="BH157" s="393"/>
      <c r="BI157" s="393"/>
      <c r="BJ157" s="393"/>
      <c r="BK157" s="393"/>
      <c r="BL157" s="393"/>
      <c r="BM157" s="393"/>
      <c r="BN157" s="393"/>
      <c r="BO157" s="393"/>
      <c r="BP157" s="393"/>
      <c r="BQ157" s="393"/>
      <c r="BR157" s="393"/>
      <c r="BS157" s="393"/>
    </row>
    <row r="158" spans="1:71" ht="11.25" customHeight="1" x14ac:dyDescent="0.3">
      <c r="A158" s="383"/>
      <c r="B158" s="383"/>
      <c r="C158" s="383"/>
      <c r="D158" s="383"/>
      <c r="E158" s="383"/>
      <c r="F158" s="383"/>
      <c r="G158" s="383"/>
      <c r="H158" s="383"/>
      <c r="I158" s="383"/>
      <c r="J158" s="383"/>
      <c r="K158" s="383"/>
      <c r="L158" s="383"/>
      <c r="M158" s="383"/>
      <c r="N158" s="383"/>
      <c r="O158" s="383"/>
      <c r="P158" s="383"/>
      <c r="Q158" s="383"/>
      <c r="R158" s="383"/>
      <c r="S158" s="383"/>
      <c r="T158" s="383"/>
      <c r="U158" s="383"/>
      <c r="V158" s="383"/>
      <c r="W158" s="383"/>
      <c r="X158" s="383"/>
      <c r="Y158" s="383"/>
      <c r="Z158" s="383"/>
      <c r="AA158" s="383"/>
      <c r="AB158" s="383"/>
      <c r="AC158" s="383"/>
      <c r="AD158" s="383"/>
      <c r="AE158" s="383"/>
      <c r="AF158" s="383"/>
      <c r="AG158" s="383"/>
      <c r="AH158" s="383"/>
      <c r="AI158" s="383"/>
      <c r="AJ158" s="383"/>
      <c r="AK158" s="383"/>
      <c r="AL158" s="383"/>
      <c r="AM158" s="383"/>
      <c r="AN158" s="383"/>
      <c r="AO158" s="383"/>
      <c r="AP158" s="383"/>
      <c r="AQ158" s="383"/>
      <c r="AR158" s="383"/>
      <c r="AS158" s="383"/>
      <c r="AT158" s="383"/>
      <c r="AU158" s="383"/>
      <c r="AV158" s="383"/>
      <c r="AW158" s="383"/>
      <c r="AX158" s="383"/>
      <c r="AY158" s="393"/>
      <c r="AZ158" s="393"/>
      <c r="BA158" s="393"/>
      <c r="BB158" s="393"/>
      <c r="BC158" s="393"/>
      <c r="BD158" s="393"/>
      <c r="BE158" s="393"/>
      <c r="BF158" s="393"/>
      <c r="BG158" s="393"/>
      <c r="BH158" s="393"/>
      <c r="BI158" s="393"/>
      <c r="BJ158" s="393"/>
      <c r="BK158" s="393"/>
      <c r="BL158" s="393"/>
      <c r="BM158" s="393"/>
      <c r="BN158" s="393"/>
      <c r="BO158" s="393"/>
      <c r="BP158" s="393"/>
      <c r="BQ158" s="393"/>
      <c r="BR158" s="393"/>
      <c r="BS158" s="393"/>
    </row>
    <row r="159" spans="1:71" ht="11.25" customHeight="1" x14ac:dyDescent="0.3">
      <c r="A159" s="383"/>
      <c r="B159" s="383"/>
      <c r="C159" s="383"/>
      <c r="D159" s="383"/>
      <c r="E159" s="383"/>
      <c r="F159" s="383"/>
      <c r="G159" s="383"/>
      <c r="H159" s="383"/>
      <c r="I159" s="383"/>
      <c r="J159" s="383"/>
      <c r="K159" s="383"/>
      <c r="L159" s="383"/>
      <c r="M159" s="383"/>
      <c r="N159" s="383"/>
      <c r="O159" s="383"/>
      <c r="P159" s="383"/>
      <c r="Q159" s="383"/>
      <c r="R159" s="383"/>
      <c r="S159" s="383"/>
      <c r="T159" s="383"/>
      <c r="U159" s="383"/>
      <c r="V159" s="383"/>
      <c r="W159" s="383"/>
      <c r="X159" s="383"/>
      <c r="Y159" s="383"/>
      <c r="Z159" s="383"/>
      <c r="AA159" s="383"/>
      <c r="AB159" s="383"/>
      <c r="AC159" s="383"/>
      <c r="AD159" s="383"/>
      <c r="AE159" s="383"/>
      <c r="AF159" s="383"/>
      <c r="AG159" s="383"/>
      <c r="AH159" s="383"/>
      <c r="AI159" s="383"/>
      <c r="AJ159" s="383"/>
      <c r="AK159" s="383"/>
      <c r="AL159" s="383"/>
      <c r="AM159" s="383"/>
      <c r="AN159" s="383"/>
      <c r="AO159" s="383"/>
      <c r="AP159" s="383"/>
      <c r="AQ159" s="383"/>
      <c r="AR159" s="383"/>
      <c r="AS159" s="383"/>
      <c r="AT159" s="383"/>
      <c r="AU159" s="383"/>
      <c r="AV159" s="383"/>
      <c r="AW159" s="383"/>
      <c r="AX159" s="383"/>
      <c r="AY159" s="393"/>
      <c r="AZ159" s="393"/>
      <c r="BA159" s="393"/>
      <c r="BB159" s="393"/>
      <c r="BC159" s="393"/>
      <c r="BD159" s="393"/>
      <c r="BE159" s="393"/>
      <c r="BF159" s="393"/>
      <c r="BG159" s="393"/>
      <c r="BH159" s="393"/>
      <c r="BI159" s="393"/>
      <c r="BJ159" s="393"/>
      <c r="BK159" s="393"/>
      <c r="BL159" s="393"/>
      <c r="BM159" s="393"/>
      <c r="BN159" s="393"/>
      <c r="BO159" s="393"/>
      <c r="BP159" s="393"/>
      <c r="BQ159" s="393"/>
      <c r="BR159" s="393"/>
      <c r="BS159" s="393"/>
    </row>
    <row r="160" spans="1:71" ht="11.25" customHeight="1" x14ac:dyDescent="0.3">
      <c r="A160" s="383"/>
      <c r="B160" s="383"/>
      <c r="C160" s="383"/>
      <c r="D160" s="383"/>
      <c r="E160" s="383"/>
      <c r="F160" s="383"/>
      <c r="G160" s="383"/>
      <c r="H160" s="383"/>
      <c r="I160" s="383"/>
      <c r="J160" s="383"/>
      <c r="K160" s="383"/>
      <c r="L160" s="383"/>
      <c r="M160" s="383"/>
      <c r="N160" s="383"/>
      <c r="O160" s="383"/>
      <c r="P160" s="383"/>
      <c r="Q160" s="383"/>
      <c r="R160" s="383"/>
      <c r="S160" s="383"/>
      <c r="T160" s="383"/>
      <c r="U160" s="383"/>
      <c r="V160" s="383"/>
      <c r="W160" s="383"/>
      <c r="X160" s="383"/>
      <c r="Y160" s="383"/>
      <c r="Z160" s="383"/>
      <c r="AA160" s="383"/>
      <c r="AB160" s="383"/>
      <c r="AC160" s="383"/>
      <c r="AD160" s="383"/>
      <c r="AE160" s="383"/>
      <c r="AF160" s="383"/>
      <c r="AG160" s="383"/>
      <c r="AH160" s="383"/>
      <c r="AI160" s="383"/>
      <c r="AJ160" s="383"/>
      <c r="AK160" s="383"/>
      <c r="AL160" s="383"/>
      <c r="AM160" s="383"/>
      <c r="AN160" s="383"/>
      <c r="AO160" s="383"/>
      <c r="AP160" s="383"/>
      <c r="AQ160" s="383"/>
      <c r="AR160" s="383"/>
      <c r="AS160" s="383"/>
      <c r="AT160" s="383"/>
      <c r="AU160" s="383"/>
      <c r="AV160" s="383"/>
      <c r="AW160" s="383"/>
      <c r="AX160" s="383"/>
      <c r="AY160" s="393"/>
      <c r="AZ160" s="393"/>
      <c r="BA160" s="393"/>
      <c r="BB160" s="393"/>
      <c r="BC160" s="393"/>
      <c r="BD160" s="393"/>
      <c r="BE160" s="393"/>
      <c r="BF160" s="393"/>
      <c r="BG160" s="393"/>
      <c r="BH160" s="393"/>
      <c r="BI160" s="393"/>
      <c r="BJ160" s="393"/>
      <c r="BK160" s="393"/>
      <c r="BL160" s="393"/>
      <c r="BM160" s="393"/>
      <c r="BN160" s="393"/>
      <c r="BO160" s="393"/>
      <c r="BP160" s="393"/>
      <c r="BQ160" s="393"/>
      <c r="BR160" s="393"/>
      <c r="BS160" s="393"/>
    </row>
    <row r="161" spans="1:71" ht="11.25" customHeight="1" x14ac:dyDescent="0.3">
      <c r="A161" s="383"/>
      <c r="B161" s="383"/>
      <c r="C161" s="383"/>
      <c r="D161" s="383"/>
      <c r="E161" s="383"/>
      <c r="F161" s="383"/>
      <c r="G161" s="383"/>
      <c r="H161" s="383"/>
      <c r="I161" s="383"/>
      <c r="J161" s="383"/>
      <c r="K161" s="383"/>
      <c r="L161" s="383"/>
      <c r="M161" s="383"/>
      <c r="N161" s="383"/>
      <c r="O161" s="383"/>
      <c r="P161" s="383"/>
      <c r="Q161" s="383"/>
      <c r="R161" s="383"/>
      <c r="S161" s="383"/>
      <c r="T161" s="383"/>
      <c r="U161" s="383"/>
      <c r="V161" s="383"/>
      <c r="W161" s="383"/>
      <c r="X161" s="383"/>
      <c r="Y161" s="383"/>
      <c r="Z161" s="383"/>
      <c r="AA161" s="383"/>
      <c r="AB161" s="383"/>
      <c r="AC161" s="383"/>
      <c r="AD161" s="383"/>
      <c r="AE161" s="383"/>
      <c r="AF161" s="383"/>
      <c r="AG161" s="383"/>
      <c r="AH161" s="383"/>
      <c r="AI161" s="383"/>
      <c r="AJ161" s="383"/>
      <c r="AK161" s="383"/>
      <c r="AL161" s="383"/>
      <c r="AM161" s="383"/>
      <c r="AN161" s="383"/>
      <c r="AO161" s="383"/>
      <c r="AP161" s="383"/>
      <c r="AQ161" s="383"/>
      <c r="AR161" s="383"/>
      <c r="AS161" s="383"/>
      <c r="AT161" s="383"/>
      <c r="AU161" s="383"/>
      <c r="AV161" s="383"/>
      <c r="AW161" s="383"/>
      <c r="AX161" s="383"/>
      <c r="AY161" s="393"/>
      <c r="AZ161" s="393"/>
      <c r="BA161" s="393"/>
      <c r="BB161" s="393"/>
      <c r="BC161" s="393"/>
      <c r="BD161" s="393"/>
      <c r="BE161" s="393"/>
      <c r="BF161" s="393"/>
      <c r="BG161" s="393"/>
      <c r="BH161" s="393"/>
      <c r="BI161" s="393"/>
      <c r="BJ161" s="393"/>
      <c r="BK161" s="393"/>
      <c r="BL161" s="393"/>
      <c r="BM161" s="393"/>
      <c r="BN161" s="393"/>
      <c r="BO161" s="393"/>
      <c r="BP161" s="393"/>
      <c r="BQ161" s="393"/>
      <c r="BR161" s="393"/>
      <c r="BS161" s="393"/>
    </row>
    <row r="162" spans="1:71" ht="11.25" customHeight="1" x14ac:dyDescent="0.3">
      <c r="A162" s="383"/>
      <c r="B162" s="383"/>
      <c r="C162" s="383"/>
      <c r="D162" s="383"/>
      <c r="E162" s="383"/>
      <c r="F162" s="383"/>
      <c r="G162" s="383"/>
      <c r="H162" s="383"/>
      <c r="I162" s="383"/>
      <c r="J162" s="383"/>
      <c r="K162" s="383"/>
      <c r="L162" s="383"/>
      <c r="M162" s="383"/>
      <c r="N162" s="383"/>
      <c r="O162" s="383"/>
      <c r="P162" s="383"/>
      <c r="Q162" s="383"/>
      <c r="R162" s="383"/>
      <c r="S162" s="383"/>
      <c r="T162" s="383"/>
      <c r="U162" s="383"/>
      <c r="V162" s="383"/>
      <c r="W162" s="383"/>
      <c r="X162" s="383"/>
      <c r="Y162" s="383"/>
      <c r="Z162" s="383"/>
      <c r="AA162" s="383"/>
      <c r="AB162" s="383"/>
      <c r="AC162" s="383"/>
      <c r="AD162" s="383"/>
      <c r="AE162" s="383"/>
      <c r="AF162" s="383"/>
      <c r="AG162" s="383"/>
      <c r="AH162" s="383"/>
      <c r="AI162" s="383"/>
      <c r="AJ162" s="383"/>
      <c r="AK162" s="383"/>
      <c r="AL162" s="383"/>
      <c r="AM162" s="383"/>
      <c r="AN162" s="383"/>
      <c r="AO162" s="383"/>
      <c r="AP162" s="383"/>
      <c r="AQ162" s="383"/>
      <c r="AR162" s="383"/>
      <c r="AS162" s="383"/>
      <c r="AT162" s="383"/>
      <c r="AU162" s="383"/>
      <c r="AV162" s="383"/>
      <c r="AW162" s="383"/>
      <c r="AX162" s="383"/>
      <c r="AY162" s="393"/>
      <c r="AZ162" s="393"/>
      <c r="BA162" s="393"/>
      <c r="BB162" s="393"/>
      <c r="BC162" s="393"/>
      <c r="BD162" s="393"/>
      <c r="BE162" s="393"/>
      <c r="BF162" s="393"/>
      <c r="BG162" s="393"/>
      <c r="BH162" s="393"/>
      <c r="BI162" s="393"/>
      <c r="BJ162" s="393"/>
      <c r="BK162" s="393"/>
      <c r="BL162" s="393"/>
      <c r="BM162" s="393"/>
      <c r="BN162" s="393"/>
      <c r="BO162" s="393"/>
      <c r="BP162" s="393"/>
      <c r="BQ162" s="393"/>
      <c r="BR162" s="393"/>
      <c r="BS162" s="393"/>
    </row>
    <row r="163" spans="1:71" ht="11.25" customHeight="1" x14ac:dyDescent="0.3">
      <c r="A163" s="383"/>
      <c r="B163" s="383"/>
      <c r="C163" s="383"/>
      <c r="D163" s="383"/>
      <c r="E163" s="383"/>
      <c r="F163" s="383"/>
      <c r="G163" s="383"/>
      <c r="H163" s="383"/>
      <c r="I163" s="383"/>
      <c r="J163" s="383"/>
      <c r="K163" s="383"/>
      <c r="L163" s="383"/>
      <c r="M163" s="383"/>
      <c r="N163" s="383"/>
      <c r="O163" s="383"/>
      <c r="P163" s="383"/>
      <c r="Q163" s="383"/>
      <c r="R163" s="383"/>
      <c r="S163" s="383"/>
      <c r="T163" s="383"/>
      <c r="U163" s="383"/>
      <c r="V163" s="383"/>
      <c r="W163" s="383"/>
      <c r="X163" s="383"/>
      <c r="Y163" s="383"/>
      <c r="Z163" s="383"/>
      <c r="AA163" s="383"/>
      <c r="AB163" s="383"/>
      <c r="AC163" s="383"/>
      <c r="AD163" s="383"/>
      <c r="AE163" s="383"/>
      <c r="AF163" s="383"/>
      <c r="AG163" s="383"/>
      <c r="AH163" s="383"/>
      <c r="AI163" s="383"/>
      <c r="AJ163" s="383"/>
      <c r="AK163" s="383"/>
      <c r="AL163" s="383"/>
      <c r="AM163" s="383"/>
      <c r="AN163" s="383"/>
      <c r="AO163" s="383"/>
      <c r="AP163" s="383"/>
      <c r="AQ163" s="383"/>
      <c r="AR163" s="383"/>
      <c r="AS163" s="383"/>
      <c r="AT163" s="383"/>
      <c r="AU163" s="383"/>
      <c r="AV163" s="383"/>
      <c r="AW163" s="383"/>
      <c r="AX163" s="383"/>
      <c r="AY163" s="393"/>
      <c r="AZ163" s="393"/>
      <c r="BA163" s="393"/>
      <c r="BB163" s="393"/>
      <c r="BC163" s="393"/>
      <c r="BD163" s="393"/>
      <c r="BE163" s="393"/>
      <c r="BF163" s="393"/>
      <c r="BG163" s="393"/>
      <c r="BH163" s="393"/>
      <c r="BI163" s="393"/>
      <c r="BJ163" s="393"/>
      <c r="BK163" s="393"/>
      <c r="BL163" s="393"/>
      <c r="BM163" s="393"/>
      <c r="BN163" s="393"/>
      <c r="BO163" s="393"/>
      <c r="BP163" s="393"/>
      <c r="BQ163" s="393"/>
      <c r="BR163" s="393"/>
      <c r="BS163" s="393"/>
    </row>
    <row r="164" spans="1:71" ht="11.25" customHeight="1" x14ac:dyDescent="0.3">
      <c r="A164" s="383"/>
      <c r="B164" s="383"/>
      <c r="C164" s="383"/>
      <c r="D164" s="383"/>
      <c r="E164" s="383"/>
      <c r="F164" s="383"/>
      <c r="G164" s="383"/>
      <c r="H164" s="383"/>
      <c r="I164" s="383"/>
      <c r="J164" s="383"/>
      <c r="K164" s="383"/>
      <c r="L164" s="383"/>
      <c r="M164" s="383"/>
      <c r="N164" s="383"/>
      <c r="O164" s="383"/>
      <c r="P164" s="383"/>
      <c r="Q164" s="383"/>
      <c r="R164" s="383"/>
      <c r="S164" s="383"/>
      <c r="T164" s="383"/>
      <c r="U164" s="383"/>
      <c r="V164" s="383"/>
      <c r="W164" s="383"/>
      <c r="X164" s="383"/>
      <c r="Y164" s="383"/>
      <c r="Z164" s="383"/>
      <c r="AA164" s="383"/>
      <c r="AB164" s="383"/>
      <c r="AC164" s="383"/>
      <c r="AD164" s="383"/>
      <c r="AE164" s="383"/>
      <c r="AF164" s="383"/>
      <c r="AG164" s="383"/>
      <c r="AH164" s="383"/>
      <c r="AI164" s="383"/>
      <c r="AJ164" s="383"/>
      <c r="AK164" s="383"/>
      <c r="AL164" s="383"/>
      <c r="AM164" s="383"/>
      <c r="AN164" s="383"/>
      <c r="AO164" s="383"/>
      <c r="AP164" s="383"/>
      <c r="AQ164" s="383"/>
      <c r="AR164" s="383"/>
      <c r="AS164" s="383"/>
      <c r="AT164" s="383"/>
      <c r="AU164" s="383"/>
      <c r="AV164" s="383"/>
      <c r="AW164" s="383"/>
      <c r="AX164" s="383"/>
      <c r="AY164" s="393"/>
      <c r="AZ164" s="393"/>
      <c r="BA164" s="393"/>
      <c r="BB164" s="393"/>
      <c r="BC164" s="393"/>
      <c r="BD164" s="393"/>
      <c r="BE164" s="393"/>
      <c r="BF164" s="393"/>
      <c r="BG164" s="393"/>
      <c r="BH164" s="393"/>
      <c r="BI164" s="393"/>
      <c r="BJ164" s="393"/>
      <c r="BK164" s="393"/>
      <c r="BL164" s="393"/>
      <c r="BM164" s="393"/>
      <c r="BN164" s="393"/>
      <c r="BO164" s="393"/>
      <c r="BP164" s="393"/>
      <c r="BQ164" s="393"/>
      <c r="BR164" s="393"/>
      <c r="BS164" s="393"/>
    </row>
    <row r="165" spans="1:71" ht="11.25" customHeight="1" x14ac:dyDescent="0.3">
      <c r="A165" s="383"/>
      <c r="B165" s="383"/>
      <c r="C165" s="383"/>
      <c r="D165" s="383"/>
      <c r="E165" s="383"/>
      <c r="F165" s="383"/>
      <c r="G165" s="383"/>
      <c r="H165" s="383"/>
      <c r="I165" s="383"/>
      <c r="J165" s="383"/>
      <c r="K165" s="383"/>
      <c r="L165" s="383"/>
      <c r="M165" s="383"/>
      <c r="N165" s="383"/>
      <c r="O165" s="383"/>
      <c r="P165" s="383"/>
      <c r="Q165" s="383"/>
      <c r="R165" s="383"/>
      <c r="S165" s="383"/>
      <c r="T165" s="383"/>
      <c r="U165" s="383"/>
      <c r="V165" s="383"/>
      <c r="W165" s="383"/>
      <c r="X165" s="383"/>
      <c r="Y165" s="383"/>
      <c r="Z165" s="383"/>
      <c r="AA165" s="383"/>
      <c r="AB165" s="383"/>
      <c r="AC165" s="383"/>
      <c r="AD165" s="383"/>
      <c r="AE165" s="383"/>
      <c r="AF165" s="383"/>
      <c r="AG165" s="383"/>
      <c r="AH165" s="383"/>
      <c r="AI165" s="383"/>
      <c r="AJ165" s="383"/>
      <c r="AK165" s="383"/>
      <c r="AL165" s="383"/>
      <c r="AM165" s="383"/>
      <c r="AN165" s="383"/>
      <c r="AO165" s="383"/>
      <c r="AP165" s="383"/>
      <c r="AQ165" s="383"/>
      <c r="AR165" s="383"/>
      <c r="AS165" s="383"/>
      <c r="AT165" s="383"/>
      <c r="AU165" s="383"/>
      <c r="AV165" s="383"/>
      <c r="AW165" s="383"/>
      <c r="AX165" s="383"/>
      <c r="AY165" s="393"/>
      <c r="AZ165" s="393"/>
      <c r="BA165" s="393"/>
      <c r="BB165" s="393"/>
      <c r="BC165" s="393"/>
      <c r="BD165" s="393"/>
      <c r="BE165" s="393"/>
      <c r="BF165" s="393"/>
      <c r="BG165" s="393"/>
      <c r="BH165" s="393"/>
      <c r="BI165" s="393"/>
      <c r="BJ165" s="393"/>
      <c r="BK165" s="393"/>
      <c r="BL165" s="393"/>
      <c r="BM165" s="393"/>
      <c r="BN165" s="393"/>
      <c r="BO165" s="393"/>
      <c r="BP165" s="393"/>
      <c r="BQ165" s="393"/>
      <c r="BR165" s="393"/>
      <c r="BS165" s="393"/>
    </row>
    <row r="166" spans="1:71" ht="11.25" customHeight="1" x14ac:dyDescent="0.3">
      <c r="A166" s="383"/>
      <c r="B166" s="383"/>
      <c r="C166" s="383"/>
      <c r="D166" s="383"/>
      <c r="E166" s="383"/>
      <c r="F166" s="383"/>
      <c r="G166" s="383"/>
      <c r="H166" s="383"/>
      <c r="I166" s="383"/>
      <c r="J166" s="383"/>
      <c r="K166" s="383"/>
      <c r="L166" s="383"/>
      <c r="M166" s="383"/>
      <c r="N166" s="383"/>
      <c r="O166" s="383"/>
      <c r="P166" s="383"/>
      <c r="Q166" s="383"/>
      <c r="R166" s="383"/>
      <c r="S166" s="383"/>
      <c r="T166" s="383"/>
      <c r="U166" s="383"/>
      <c r="V166" s="383"/>
      <c r="W166" s="383"/>
      <c r="X166" s="383"/>
      <c r="Y166" s="383"/>
      <c r="Z166" s="383"/>
      <c r="AA166" s="383"/>
      <c r="AB166" s="383"/>
      <c r="AC166" s="383"/>
      <c r="AD166" s="383"/>
      <c r="AE166" s="383"/>
      <c r="AF166" s="383"/>
      <c r="AG166" s="383"/>
      <c r="AH166" s="383"/>
      <c r="AI166" s="383"/>
      <c r="AJ166" s="383"/>
      <c r="AK166" s="383"/>
      <c r="AL166" s="383"/>
      <c r="AM166" s="383"/>
      <c r="AN166" s="383"/>
      <c r="AO166" s="383"/>
      <c r="AP166" s="383"/>
      <c r="AQ166" s="383"/>
      <c r="AR166" s="383"/>
      <c r="AS166" s="383"/>
      <c r="AT166" s="383"/>
      <c r="AU166" s="383"/>
      <c r="AV166" s="383"/>
      <c r="AW166" s="383"/>
      <c r="AX166" s="383"/>
      <c r="AY166" s="393"/>
      <c r="AZ166" s="393"/>
      <c r="BA166" s="393"/>
      <c r="BB166" s="393"/>
      <c r="BC166" s="393"/>
      <c r="BD166" s="393"/>
      <c r="BE166" s="393"/>
      <c r="BF166" s="393"/>
      <c r="BG166" s="393"/>
      <c r="BH166" s="393"/>
      <c r="BI166" s="393"/>
      <c r="BJ166" s="393"/>
      <c r="BK166" s="393"/>
      <c r="BL166" s="393"/>
      <c r="BM166" s="393"/>
      <c r="BN166" s="393"/>
      <c r="BO166" s="393"/>
      <c r="BP166" s="393"/>
      <c r="BQ166" s="393"/>
      <c r="BR166" s="393"/>
      <c r="BS166" s="393"/>
    </row>
    <row r="167" spans="1:71" ht="11.25" customHeight="1" x14ac:dyDescent="0.3">
      <c r="A167" s="383"/>
      <c r="B167" s="383"/>
      <c r="C167" s="383"/>
      <c r="D167" s="383"/>
      <c r="E167" s="383"/>
      <c r="F167" s="383"/>
      <c r="G167" s="383"/>
      <c r="H167" s="383"/>
      <c r="I167" s="383"/>
      <c r="J167" s="383"/>
      <c r="K167" s="383"/>
      <c r="L167" s="383"/>
      <c r="M167" s="383"/>
      <c r="N167" s="383"/>
      <c r="O167" s="383"/>
      <c r="P167" s="383"/>
      <c r="Q167" s="383"/>
      <c r="R167" s="383"/>
      <c r="S167" s="383"/>
      <c r="T167" s="383"/>
      <c r="U167" s="383"/>
      <c r="V167" s="383"/>
      <c r="W167" s="383"/>
      <c r="X167" s="383"/>
      <c r="Y167" s="383"/>
      <c r="Z167" s="383"/>
      <c r="AA167" s="383"/>
      <c r="AB167" s="383"/>
      <c r="AC167" s="383"/>
      <c r="AD167" s="383"/>
      <c r="AE167" s="383"/>
      <c r="AF167" s="383"/>
      <c r="AG167" s="383"/>
      <c r="AH167" s="383"/>
      <c r="AI167" s="383"/>
      <c r="AJ167" s="383"/>
      <c r="AK167" s="383"/>
      <c r="AL167" s="383"/>
      <c r="AM167" s="383"/>
      <c r="AN167" s="383"/>
      <c r="AO167" s="383"/>
      <c r="AP167" s="383"/>
      <c r="AQ167" s="383"/>
      <c r="AR167" s="383"/>
      <c r="AS167" s="383"/>
      <c r="AT167" s="383"/>
      <c r="AU167" s="383"/>
      <c r="AV167" s="383"/>
      <c r="AW167" s="383"/>
      <c r="AX167" s="383"/>
      <c r="AY167" s="393"/>
      <c r="AZ167" s="393"/>
      <c r="BA167" s="393"/>
      <c r="BB167" s="393"/>
      <c r="BC167" s="393"/>
      <c r="BD167" s="393"/>
      <c r="BE167" s="393"/>
      <c r="BF167" s="393"/>
      <c r="BG167" s="393"/>
      <c r="BH167" s="393"/>
      <c r="BI167" s="393"/>
      <c r="BJ167" s="393"/>
      <c r="BK167" s="393"/>
      <c r="BL167" s="393"/>
      <c r="BM167" s="393"/>
      <c r="BN167" s="393"/>
      <c r="BO167" s="393"/>
      <c r="BP167" s="393"/>
      <c r="BQ167" s="393"/>
      <c r="BR167" s="393"/>
      <c r="BS167" s="393"/>
    </row>
    <row r="168" spans="1:71" ht="11.25" customHeight="1" x14ac:dyDescent="0.3">
      <c r="A168" s="383"/>
      <c r="B168" s="383"/>
      <c r="C168" s="383"/>
      <c r="D168" s="383"/>
      <c r="E168" s="383"/>
      <c r="F168" s="383"/>
      <c r="G168" s="383"/>
      <c r="H168" s="383"/>
      <c r="I168" s="383"/>
      <c r="J168" s="383"/>
      <c r="K168" s="383"/>
      <c r="L168" s="383"/>
      <c r="M168" s="383"/>
      <c r="N168" s="383"/>
      <c r="O168" s="383"/>
      <c r="P168" s="383"/>
      <c r="Q168" s="383"/>
      <c r="R168" s="383"/>
      <c r="S168" s="383"/>
      <c r="T168" s="383"/>
      <c r="U168" s="383"/>
      <c r="V168" s="383"/>
      <c r="W168" s="383"/>
      <c r="X168" s="383"/>
      <c r="Y168" s="383"/>
      <c r="Z168" s="383"/>
      <c r="AA168" s="383"/>
      <c r="AB168" s="383"/>
      <c r="AC168" s="383"/>
      <c r="AD168" s="383"/>
      <c r="AE168" s="383"/>
      <c r="AF168" s="383"/>
      <c r="AG168" s="383"/>
      <c r="AH168" s="383"/>
      <c r="AI168" s="383"/>
      <c r="AJ168" s="383"/>
      <c r="AK168" s="383"/>
      <c r="AL168" s="383"/>
      <c r="AM168" s="383"/>
      <c r="AN168" s="383"/>
      <c r="AO168" s="383"/>
      <c r="AP168" s="383"/>
      <c r="AQ168" s="383"/>
      <c r="AR168" s="383"/>
      <c r="AS168" s="383"/>
      <c r="AT168" s="383"/>
      <c r="AU168" s="383"/>
      <c r="AV168" s="383"/>
      <c r="AW168" s="383"/>
      <c r="AX168" s="383"/>
      <c r="AY168" s="393"/>
      <c r="AZ168" s="393"/>
      <c r="BA168" s="393"/>
      <c r="BB168" s="393"/>
      <c r="BC168" s="393"/>
      <c r="BD168" s="393"/>
      <c r="BE168" s="393"/>
      <c r="BF168" s="393"/>
      <c r="BG168" s="393"/>
      <c r="BH168" s="393"/>
      <c r="BI168" s="393"/>
      <c r="BJ168" s="393"/>
      <c r="BK168" s="393"/>
      <c r="BL168" s="393"/>
      <c r="BM168" s="393"/>
      <c r="BN168" s="393"/>
      <c r="BO168" s="393"/>
      <c r="BP168" s="393"/>
      <c r="BQ168" s="393"/>
      <c r="BR168" s="393"/>
      <c r="BS168" s="393"/>
    </row>
    <row r="169" spans="1:71" ht="11.25" customHeight="1" x14ac:dyDescent="0.3">
      <c r="A169" s="383"/>
      <c r="B169" s="383"/>
      <c r="C169" s="383"/>
      <c r="D169" s="383"/>
      <c r="E169" s="383"/>
      <c r="F169" s="383"/>
      <c r="G169" s="383"/>
      <c r="H169" s="383"/>
      <c r="I169" s="383"/>
      <c r="J169" s="383"/>
      <c r="K169" s="383"/>
      <c r="L169" s="383"/>
      <c r="M169" s="383"/>
      <c r="N169" s="383"/>
      <c r="O169" s="383"/>
      <c r="P169" s="383"/>
      <c r="Q169" s="383"/>
      <c r="R169" s="383"/>
      <c r="S169" s="383"/>
      <c r="T169" s="383"/>
      <c r="U169" s="383"/>
      <c r="V169" s="383"/>
      <c r="W169" s="383"/>
      <c r="X169" s="383"/>
      <c r="Y169" s="383"/>
      <c r="Z169" s="383"/>
      <c r="AA169" s="383"/>
      <c r="AB169" s="383"/>
      <c r="AC169" s="383"/>
      <c r="AD169" s="383"/>
      <c r="AE169" s="383"/>
      <c r="AF169" s="383"/>
      <c r="AG169" s="383"/>
      <c r="AH169" s="383"/>
      <c r="AI169" s="383"/>
      <c r="AJ169" s="383"/>
      <c r="AK169" s="383"/>
      <c r="AL169" s="383"/>
      <c r="AM169" s="383"/>
      <c r="AN169" s="383"/>
      <c r="AO169" s="383"/>
      <c r="AP169" s="383"/>
      <c r="AQ169" s="383"/>
      <c r="AR169" s="383"/>
      <c r="AS169" s="383"/>
      <c r="AT169" s="383"/>
      <c r="AU169" s="383"/>
      <c r="AV169" s="383"/>
      <c r="AW169" s="383"/>
      <c r="AX169" s="383"/>
      <c r="AY169" s="393"/>
      <c r="AZ169" s="393"/>
      <c r="BA169" s="393"/>
      <c r="BB169" s="393"/>
      <c r="BC169" s="393"/>
      <c r="BD169" s="393"/>
      <c r="BE169" s="393"/>
      <c r="BF169" s="393"/>
      <c r="BG169" s="393"/>
      <c r="BH169" s="393"/>
      <c r="BI169" s="393"/>
      <c r="BJ169" s="393"/>
      <c r="BK169" s="393"/>
      <c r="BL169" s="393"/>
      <c r="BM169" s="393"/>
      <c r="BN169" s="393"/>
      <c r="BO169" s="393"/>
      <c r="BP169" s="393"/>
      <c r="BQ169" s="393"/>
      <c r="BR169" s="393"/>
      <c r="BS169" s="393"/>
    </row>
    <row r="170" spans="1:71" ht="11.25" customHeight="1" x14ac:dyDescent="0.3">
      <c r="A170" s="383"/>
      <c r="B170" s="383"/>
      <c r="C170" s="383"/>
      <c r="D170" s="383"/>
      <c r="E170" s="383"/>
      <c r="F170" s="383"/>
      <c r="G170" s="383"/>
      <c r="H170" s="383"/>
      <c r="I170" s="383"/>
      <c r="J170" s="383"/>
      <c r="K170" s="383"/>
      <c r="L170" s="383"/>
      <c r="M170" s="383"/>
      <c r="N170" s="383"/>
      <c r="O170" s="383"/>
      <c r="P170" s="383"/>
      <c r="Q170" s="383"/>
      <c r="R170" s="383"/>
      <c r="S170" s="383"/>
      <c r="T170" s="383"/>
      <c r="U170" s="383"/>
      <c r="V170" s="383"/>
      <c r="W170" s="383"/>
      <c r="X170" s="383"/>
      <c r="Y170" s="383"/>
      <c r="Z170" s="383"/>
      <c r="AA170" s="383"/>
      <c r="AB170" s="383"/>
      <c r="AC170" s="383"/>
      <c r="AD170" s="383"/>
      <c r="AE170" s="383"/>
      <c r="AF170" s="383"/>
      <c r="AG170" s="383"/>
      <c r="AH170" s="383"/>
      <c r="AI170" s="383"/>
      <c r="AJ170" s="383"/>
      <c r="AK170" s="383"/>
      <c r="AL170" s="383"/>
      <c r="AM170" s="383"/>
      <c r="AN170" s="383"/>
      <c r="AO170" s="383"/>
      <c r="AP170" s="383"/>
      <c r="AQ170" s="383"/>
      <c r="AR170" s="383"/>
      <c r="AS170" s="383"/>
      <c r="AT170" s="383"/>
      <c r="AU170" s="383"/>
      <c r="AV170" s="383"/>
      <c r="AW170" s="383"/>
      <c r="AX170" s="383"/>
      <c r="AY170" s="393"/>
      <c r="AZ170" s="393"/>
      <c r="BA170" s="393"/>
      <c r="BB170" s="393"/>
      <c r="BC170" s="393"/>
      <c r="BD170" s="393"/>
      <c r="BE170" s="393"/>
      <c r="BF170" s="393"/>
      <c r="BG170" s="393"/>
      <c r="BH170" s="393"/>
      <c r="BI170" s="393"/>
      <c r="BJ170" s="393"/>
      <c r="BK170" s="393"/>
      <c r="BL170" s="393"/>
      <c r="BM170" s="393"/>
      <c r="BN170" s="393"/>
      <c r="BO170" s="393"/>
      <c r="BP170" s="393"/>
      <c r="BQ170" s="393"/>
      <c r="BR170" s="393"/>
      <c r="BS170" s="393"/>
    </row>
    <row r="171" spans="1:71" ht="11.25" customHeight="1" x14ac:dyDescent="0.3">
      <c r="A171" s="383"/>
      <c r="B171" s="383"/>
      <c r="C171" s="383"/>
      <c r="D171" s="383"/>
      <c r="E171" s="383"/>
      <c r="F171" s="383"/>
      <c r="G171" s="383"/>
      <c r="H171" s="383"/>
      <c r="I171" s="383"/>
      <c r="J171" s="383"/>
      <c r="K171" s="383"/>
      <c r="L171" s="383"/>
      <c r="M171" s="383"/>
      <c r="N171" s="383"/>
      <c r="O171" s="383"/>
      <c r="P171" s="383"/>
      <c r="Q171" s="383"/>
      <c r="R171" s="383"/>
      <c r="S171" s="383"/>
      <c r="T171" s="383"/>
      <c r="U171" s="383"/>
      <c r="V171" s="383"/>
      <c r="W171" s="383"/>
      <c r="X171" s="383"/>
      <c r="Y171" s="383"/>
      <c r="Z171" s="383"/>
      <c r="AA171" s="383"/>
      <c r="AB171" s="383"/>
      <c r="AC171" s="383"/>
      <c r="AD171" s="383"/>
      <c r="AE171" s="383"/>
      <c r="AF171" s="383"/>
      <c r="AG171" s="383"/>
      <c r="AH171" s="383"/>
      <c r="AI171" s="383"/>
      <c r="AJ171" s="383"/>
      <c r="AK171" s="383"/>
      <c r="AL171" s="383"/>
      <c r="AM171" s="383"/>
      <c r="AN171" s="383"/>
      <c r="AO171" s="383"/>
      <c r="AP171" s="383"/>
      <c r="AQ171" s="383"/>
      <c r="AR171" s="383"/>
      <c r="AS171" s="383"/>
      <c r="AT171" s="383"/>
      <c r="AU171" s="383"/>
      <c r="AV171" s="383"/>
      <c r="AW171" s="383"/>
      <c r="AX171" s="383"/>
      <c r="AY171" s="393"/>
      <c r="AZ171" s="393"/>
      <c r="BA171" s="393"/>
      <c r="BB171" s="393"/>
      <c r="BC171" s="393"/>
      <c r="BD171" s="393"/>
      <c r="BE171" s="393"/>
      <c r="BF171" s="393"/>
      <c r="BG171" s="393"/>
      <c r="BH171" s="393"/>
      <c r="BI171" s="393"/>
      <c r="BJ171" s="393"/>
      <c r="BK171" s="393"/>
      <c r="BL171" s="393"/>
      <c r="BM171" s="393"/>
      <c r="BN171" s="393"/>
      <c r="BO171" s="393"/>
      <c r="BP171" s="393"/>
      <c r="BQ171" s="393"/>
      <c r="BR171" s="393"/>
      <c r="BS171" s="393"/>
    </row>
    <row r="172" spans="1:71" ht="11.25" customHeight="1" x14ac:dyDescent="0.3">
      <c r="A172" s="383"/>
      <c r="B172" s="383"/>
      <c r="C172" s="383"/>
      <c r="D172" s="383"/>
      <c r="E172" s="383"/>
      <c r="F172" s="383"/>
      <c r="G172" s="383"/>
      <c r="H172" s="383"/>
      <c r="I172" s="383"/>
      <c r="J172" s="383"/>
      <c r="K172" s="383"/>
      <c r="L172" s="383"/>
      <c r="M172" s="383"/>
      <c r="N172" s="383"/>
      <c r="O172" s="383"/>
      <c r="P172" s="383"/>
      <c r="Q172" s="383"/>
      <c r="R172" s="383"/>
      <c r="S172" s="383"/>
      <c r="T172" s="383"/>
      <c r="U172" s="383"/>
      <c r="V172" s="383"/>
      <c r="W172" s="383"/>
      <c r="X172" s="383"/>
      <c r="Y172" s="383"/>
      <c r="Z172" s="383"/>
      <c r="AA172" s="383"/>
      <c r="AB172" s="383"/>
      <c r="AC172" s="383"/>
      <c r="AD172" s="383"/>
      <c r="AE172" s="383"/>
      <c r="AF172" s="383"/>
      <c r="AG172" s="383"/>
      <c r="AH172" s="383"/>
      <c r="AI172" s="383"/>
      <c r="AJ172" s="383"/>
      <c r="AK172" s="383"/>
      <c r="AL172" s="383"/>
      <c r="AM172" s="383"/>
      <c r="AN172" s="383"/>
      <c r="AO172" s="383"/>
      <c r="AP172" s="383"/>
      <c r="AQ172" s="383"/>
      <c r="AR172" s="383"/>
      <c r="AS172" s="383"/>
      <c r="AT172" s="383"/>
      <c r="AU172" s="383"/>
      <c r="AV172" s="383"/>
      <c r="AW172" s="383"/>
      <c r="AX172" s="383"/>
      <c r="AY172" s="393"/>
      <c r="AZ172" s="393"/>
      <c r="BA172" s="393"/>
      <c r="BB172" s="393"/>
      <c r="BC172" s="393"/>
      <c r="BD172" s="393"/>
      <c r="BE172" s="393"/>
      <c r="BF172" s="393"/>
      <c r="BG172" s="393"/>
      <c r="BH172" s="393"/>
      <c r="BI172" s="393"/>
      <c r="BJ172" s="393"/>
      <c r="BK172" s="393"/>
      <c r="BL172" s="393"/>
      <c r="BM172" s="393"/>
      <c r="BN172" s="393"/>
      <c r="BO172" s="393"/>
      <c r="BP172" s="393"/>
      <c r="BQ172" s="393"/>
      <c r="BR172" s="393"/>
      <c r="BS172" s="393"/>
    </row>
    <row r="173" spans="1:71" ht="11.25" customHeight="1" x14ac:dyDescent="0.3">
      <c r="A173" s="383"/>
      <c r="B173" s="383"/>
      <c r="C173" s="383"/>
      <c r="D173" s="383"/>
      <c r="E173" s="383"/>
      <c r="F173" s="383"/>
      <c r="G173" s="383"/>
      <c r="H173" s="383"/>
      <c r="I173" s="383"/>
      <c r="J173" s="383"/>
      <c r="K173" s="383"/>
      <c r="L173" s="383"/>
      <c r="M173" s="383"/>
      <c r="N173" s="383"/>
      <c r="O173" s="383"/>
      <c r="P173" s="383"/>
      <c r="Q173" s="383"/>
      <c r="R173" s="383"/>
      <c r="S173" s="383"/>
      <c r="T173" s="383"/>
      <c r="U173" s="383"/>
      <c r="V173" s="383"/>
      <c r="W173" s="383"/>
      <c r="X173" s="383"/>
      <c r="Y173" s="383"/>
      <c r="Z173" s="383"/>
      <c r="AA173" s="383"/>
      <c r="AB173" s="383"/>
      <c r="AC173" s="383"/>
      <c r="AD173" s="383"/>
      <c r="AE173" s="383"/>
      <c r="AF173" s="383"/>
      <c r="AG173" s="383"/>
      <c r="AH173" s="383"/>
      <c r="AI173" s="383"/>
      <c r="AJ173" s="383"/>
      <c r="AK173" s="383"/>
      <c r="AL173" s="383"/>
      <c r="AM173" s="383"/>
      <c r="AN173" s="383"/>
      <c r="AO173" s="383"/>
      <c r="AP173" s="383"/>
      <c r="AQ173" s="383"/>
      <c r="AR173" s="383"/>
      <c r="AS173" s="383"/>
      <c r="AT173" s="383"/>
      <c r="AU173" s="383"/>
      <c r="AV173" s="383"/>
      <c r="AW173" s="383"/>
      <c r="AX173" s="383"/>
      <c r="AY173" s="393"/>
      <c r="AZ173" s="393"/>
      <c r="BA173" s="393"/>
      <c r="BB173" s="393"/>
      <c r="BC173" s="393"/>
      <c r="BD173" s="393"/>
      <c r="BE173" s="393"/>
      <c r="BF173" s="393"/>
      <c r="BG173" s="393"/>
      <c r="BH173" s="393"/>
      <c r="BI173" s="393"/>
      <c r="BJ173" s="393"/>
      <c r="BK173" s="393"/>
      <c r="BL173" s="393"/>
      <c r="BM173" s="393"/>
      <c r="BN173" s="393"/>
      <c r="BO173" s="393"/>
      <c r="BP173" s="393"/>
      <c r="BQ173" s="393"/>
      <c r="BR173" s="393"/>
      <c r="BS173" s="393"/>
    </row>
    <row r="174" spans="1:71" ht="11.25" customHeight="1" x14ac:dyDescent="0.3">
      <c r="A174" s="383"/>
      <c r="B174" s="383"/>
      <c r="C174" s="383"/>
      <c r="D174" s="383"/>
      <c r="E174" s="383"/>
      <c r="F174" s="383"/>
      <c r="G174" s="383"/>
      <c r="H174" s="383"/>
      <c r="I174" s="383"/>
      <c r="J174" s="383"/>
      <c r="K174" s="383"/>
      <c r="L174" s="383"/>
      <c r="M174" s="383"/>
      <c r="N174" s="383"/>
      <c r="O174" s="383"/>
      <c r="P174" s="383"/>
      <c r="Q174" s="383"/>
      <c r="R174" s="383"/>
      <c r="S174" s="383"/>
      <c r="T174" s="383"/>
      <c r="U174" s="383"/>
      <c r="V174" s="383"/>
      <c r="W174" s="383"/>
      <c r="X174" s="383"/>
      <c r="Y174" s="383"/>
      <c r="Z174" s="383"/>
      <c r="AA174" s="383"/>
      <c r="AB174" s="383"/>
      <c r="AC174" s="383"/>
      <c r="AD174" s="383"/>
      <c r="AE174" s="383"/>
      <c r="AF174" s="383"/>
      <c r="AG174" s="383"/>
      <c r="AH174" s="383"/>
      <c r="AI174" s="383"/>
      <c r="AJ174" s="383"/>
      <c r="AK174" s="383"/>
      <c r="AL174" s="383"/>
      <c r="AM174" s="383"/>
      <c r="AN174" s="383"/>
      <c r="AO174" s="383"/>
      <c r="AP174" s="383"/>
      <c r="AQ174" s="383"/>
      <c r="AR174" s="383"/>
      <c r="AS174" s="383"/>
      <c r="AT174" s="383"/>
      <c r="AU174" s="383"/>
      <c r="AV174" s="383"/>
      <c r="AW174" s="383"/>
      <c r="AX174" s="383"/>
      <c r="AY174" s="393"/>
      <c r="AZ174" s="393"/>
      <c r="BA174" s="393"/>
      <c r="BB174" s="393"/>
      <c r="BC174" s="393"/>
      <c r="BD174" s="393"/>
      <c r="BE174" s="393"/>
      <c r="BF174" s="393"/>
      <c r="BG174" s="393"/>
      <c r="BH174" s="393"/>
      <c r="BI174" s="393"/>
      <c r="BJ174" s="393"/>
      <c r="BK174" s="393"/>
      <c r="BL174" s="393"/>
      <c r="BM174" s="393"/>
      <c r="BN174" s="393"/>
      <c r="BO174" s="393"/>
      <c r="BP174" s="393"/>
      <c r="BQ174" s="393"/>
      <c r="BR174" s="393"/>
      <c r="BS174" s="393"/>
    </row>
    <row r="175" spans="1:71" ht="11.25" customHeight="1" x14ac:dyDescent="0.3">
      <c r="A175" s="383"/>
      <c r="B175" s="383"/>
      <c r="C175" s="383"/>
      <c r="D175" s="383"/>
      <c r="E175" s="383"/>
      <c r="F175" s="383"/>
      <c r="G175" s="383"/>
      <c r="H175" s="383"/>
      <c r="I175" s="383"/>
      <c r="J175" s="383"/>
      <c r="K175" s="383"/>
      <c r="L175" s="383"/>
      <c r="M175" s="383"/>
      <c r="N175" s="383"/>
      <c r="O175" s="383"/>
      <c r="P175" s="383"/>
      <c r="Q175" s="383"/>
      <c r="R175" s="383"/>
      <c r="S175" s="383"/>
      <c r="T175" s="383"/>
      <c r="U175" s="383"/>
      <c r="V175" s="383"/>
      <c r="W175" s="383"/>
      <c r="X175" s="383"/>
      <c r="Y175" s="383"/>
      <c r="Z175" s="383"/>
      <c r="AA175" s="383"/>
      <c r="AB175" s="383"/>
      <c r="AC175" s="383"/>
      <c r="AD175" s="383"/>
      <c r="AE175" s="383"/>
      <c r="AF175" s="383"/>
      <c r="AG175" s="383"/>
      <c r="AH175" s="383"/>
      <c r="AI175" s="383"/>
      <c r="AJ175" s="383"/>
      <c r="AK175" s="383"/>
      <c r="AL175" s="383"/>
      <c r="AM175" s="383"/>
      <c r="AN175" s="383"/>
      <c r="AO175" s="383"/>
      <c r="AP175" s="383"/>
      <c r="AQ175" s="383"/>
      <c r="AR175" s="383"/>
      <c r="AS175" s="383"/>
      <c r="AT175" s="383"/>
      <c r="AU175" s="383"/>
      <c r="AV175" s="383"/>
      <c r="AW175" s="383"/>
      <c r="AX175" s="383"/>
      <c r="AY175" s="393"/>
      <c r="AZ175" s="393"/>
      <c r="BA175" s="393"/>
      <c r="BB175" s="393"/>
      <c r="BC175" s="393"/>
      <c r="BD175" s="393"/>
      <c r="BE175" s="393"/>
      <c r="BF175" s="393"/>
      <c r="BG175" s="393"/>
      <c r="BH175" s="393"/>
      <c r="BI175" s="393"/>
      <c r="BJ175" s="393"/>
      <c r="BK175" s="393"/>
      <c r="BL175" s="393"/>
      <c r="BM175" s="393"/>
      <c r="BN175" s="393"/>
      <c r="BO175" s="393"/>
      <c r="BP175" s="393"/>
      <c r="BQ175" s="393"/>
      <c r="BR175" s="393"/>
      <c r="BS175" s="393"/>
    </row>
    <row r="176" spans="1:71" ht="11.25" customHeight="1" x14ac:dyDescent="0.3">
      <c r="A176" s="383"/>
      <c r="B176" s="383"/>
      <c r="C176" s="383"/>
      <c r="D176" s="383"/>
      <c r="E176" s="383"/>
      <c r="F176" s="383"/>
      <c r="G176" s="383"/>
      <c r="H176" s="383"/>
      <c r="I176" s="383"/>
      <c r="J176" s="383"/>
      <c r="K176" s="383"/>
      <c r="L176" s="383"/>
      <c r="M176" s="383"/>
      <c r="N176" s="383"/>
      <c r="O176" s="383"/>
      <c r="P176" s="383"/>
      <c r="Q176" s="383"/>
      <c r="R176" s="383"/>
      <c r="S176" s="383"/>
      <c r="T176" s="383"/>
      <c r="U176" s="383"/>
      <c r="V176" s="383"/>
      <c r="W176" s="383"/>
      <c r="X176" s="383"/>
      <c r="Y176" s="383"/>
      <c r="Z176" s="383"/>
      <c r="AA176" s="383"/>
      <c r="AB176" s="383"/>
      <c r="AC176" s="383"/>
      <c r="AD176" s="383"/>
      <c r="AE176" s="383"/>
      <c r="AF176" s="383"/>
      <c r="AG176" s="383"/>
      <c r="AH176" s="383"/>
      <c r="AI176" s="383"/>
      <c r="AJ176" s="383"/>
      <c r="AK176" s="383"/>
      <c r="AL176" s="383"/>
      <c r="AM176" s="383"/>
      <c r="AN176" s="383"/>
      <c r="AO176" s="383"/>
      <c r="AP176" s="383"/>
      <c r="AQ176" s="383"/>
      <c r="AR176" s="383"/>
      <c r="AS176" s="383"/>
      <c r="AT176" s="383"/>
      <c r="AU176" s="383"/>
      <c r="AV176" s="383"/>
      <c r="AW176" s="383"/>
      <c r="AX176" s="383"/>
      <c r="AY176" s="393"/>
      <c r="AZ176" s="393"/>
      <c r="BA176" s="393"/>
      <c r="BB176" s="393"/>
      <c r="BC176" s="393"/>
      <c r="BD176" s="393"/>
      <c r="BE176" s="393"/>
      <c r="BF176" s="393"/>
      <c r="BG176" s="393"/>
      <c r="BH176" s="393"/>
      <c r="BI176" s="393"/>
      <c r="BJ176" s="393"/>
      <c r="BK176" s="393"/>
      <c r="BL176" s="393"/>
      <c r="BM176" s="393"/>
      <c r="BN176" s="393"/>
      <c r="BO176" s="393"/>
      <c r="BP176" s="393"/>
      <c r="BQ176" s="393"/>
      <c r="BR176" s="393"/>
      <c r="BS176" s="393"/>
    </row>
    <row r="177" spans="1:71" ht="11.25" customHeight="1" x14ac:dyDescent="0.3">
      <c r="A177" s="383"/>
      <c r="B177" s="383"/>
      <c r="C177" s="383"/>
      <c r="D177" s="383"/>
      <c r="E177" s="383"/>
      <c r="F177" s="383"/>
      <c r="G177" s="383"/>
      <c r="H177" s="383"/>
      <c r="I177" s="383"/>
      <c r="J177" s="383"/>
      <c r="K177" s="383"/>
      <c r="L177" s="383"/>
      <c r="M177" s="383"/>
      <c r="N177" s="383"/>
      <c r="O177" s="383"/>
      <c r="P177" s="383"/>
      <c r="Q177" s="383"/>
      <c r="R177" s="383"/>
      <c r="S177" s="383"/>
      <c r="T177" s="383"/>
      <c r="U177" s="383"/>
      <c r="V177" s="383"/>
      <c r="W177" s="383"/>
      <c r="X177" s="383"/>
      <c r="Y177" s="383"/>
      <c r="Z177" s="383"/>
      <c r="AA177" s="383"/>
      <c r="AB177" s="383"/>
      <c r="AC177" s="383"/>
      <c r="AD177" s="383"/>
      <c r="AE177" s="383"/>
      <c r="AF177" s="383"/>
      <c r="AG177" s="383"/>
      <c r="AH177" s="383"/>
      <c r="AI177" s="383"/>
      <c r="AJ177" s="383"/>
      <c r="AK177" s="383"/>
      <c r="AL177" s="383"/>
      <c r="AM177" s="383"/>
      <c r="AN177" s="383"/>
      <c r="AO177" s="383"/>
      <c r="AP177" s="383"/>
      <c r="AQ177" s="383"/>
      <c r="AR177" s="383"/>
      <c r="AS177" s="383"/>
      <c r="AT177" s="383"/>
      <c r="AU177" s="383"/>
      <c r="AV177" s="383"/>
      <c r="AW177" s="383"/>
      <c r="AX177" s="383"/>
      <c r="AY177" s="393"/>
      <c r="AZ177" s="393"/>
      <c r="BA177" s="393"/>
      <c r="BB177" s="393"/>
      <c r="BC177" s="393"/>
      <c r="BD177" s="393"/>
      <c r="BE177" s="393"/>
      <c r="BF177" s="393"/>
      <c r="BG177" s="393"/>
      <c r="BH177" s="393"/>
      <c r="BI177" s="393"/>
      <c r="BJ177" s="393"/>
      <c r="BK177" s="393"/>
      <c r="BL177" s="393"/>
      <c r="BM177" s="393"/>
      <c r="BN177" s="393"/>
      <c r="BO177" s="393"/>
      <c r="BP177" s="393"/>
      <c r="BQ177" s="393"/>
      <c r="BR177" s="393"/>
      <c r="BS177" s="393"/>
    </row>
    <row r="178" spans="1:71" ht="11.25" customHeight="1" x14ac:dyDescent="0.3">
      <c r="A178" s="383"/>
      <c r="B178" s="383"/>
      <c r="C178" s="383"/>
      <c r="D178" s="383"/>
      <c r="E178" s="383"/>
      <c r="F178" s="383"/>
      <c r="G178" s="383"/>
      <c r="H178" s="383"/>
      <c r="I178" s="383"/>
      <c r="J178" s="383"/>
      <c r="K178" s="383"/>
      <c r="L178" s="383"/>
      <c r="M178" s="383"/>
      <c r="N178" s="383"/>
      <c r="O178" s="383"/>
      <c r="P178" s="383"/>
      <c r="Q178" s="383"/>
      <c r="R178" s="383"/>
      <c r="S178" s="383"/>
      <c r="T178" s="383"/>
      <c r="U178" s="383"/>
      <c r="V178" s="383"/>
      <c r="W178" s="383"/>
      <c r="X178" s="383"/>
      <c r="Y178" s="383"/>
      <c r="Z178" s="383"/>
      <c r="AA178" s="383"/>
      <c r="AB178" s="383"/>
      <c r="AC178" s="383"/>
      <c r="AD178" s="383"/>
      <c r="AE178" s="383"/>
      <c r="AF178" s="383"/>
      <c r="AG178" s="383"/>
      <c r="AH178" s="383"/>
      <c r="AI178" s="383"/>
      <c r="AJ178" s="383"/>
      <c r="AK178" s="383"/>
      <c r="AL178" s="383"/>
      <c r="AM178" s="383"/>
      <c r="AN178" s="383"/>
      <c r="AO178" s="383"/>
      <c r="AP178" s="383"/>
      <c r="AQ178" s="383"/>
      <c r="AR178" s="383"/>
      <c r="AS178" s="383"/>
      <c r="AT178" s="383"/>
      <c r="AU178" s="383"/>
      <c r="AV178" s="383"/>
      <c r="AW178" s="383"/>
      <c r="AX178" s="383"/>
      <c r="AY178" s="393"/>
      <c r="AZ178" s="393"/>
      <c r="BA178" s="393"/>
      <c r="BB178" s="393"/>
      <c r="BC178" s="393"/>
      <c r="BD178" s="393"/>
      <c r="BE178" s="393"/>
      <c r="BF178" s="393"/>
      <c r="BG178" s="393"/>
      <c r="BH178" s="393"/>
      <c r="BI178" s="393"/>
      <c r="BJ178" s="393"/>
      <c r="BK178" s="393"/>
      <c r="BL178" s="393"/>
      <c r="BM178" s="393"/>
      <c r="BN178" s="393"/>
      <c r="BO178" s="393"/>
      <c r="BP178" s="393"/>
      <c r="BQ178" s="393"/>
      <c r="BR178" s="393"/>
      <c r="BS178" s="393"/>
    </row>
    <row r="179" spans="1:71" ht="11.25" customHeight="1" x14ac:dyDescent="0.3">
      <c r="A179" s="383"/>
      <c r="B179" s="383"/>
      <c r="C179" s="383"/>
      <c r="D179" s="383"/>
      <c r="E179" s="383"/>
      <c r="F179" s="383"/>
      <c r="G179" s="383"/>
      <c r="H179" s="383"/>
      <c r="I179" s="383"/>
      <c r="J179" s="383"/>
      <c r="K179" s="383"/>
      <c r="L179" s="383"/>
      <c r="M179" s="383"/>
      <c r="N179" s="383"/>
      <c r="O179" s="383"/>
      <c r="P179" s="383"/>
      <c r="Q179" s="383"/>
      <c r="R179" s="383"/>
      <c r="S179" s="383"/>
      <c r="T179" s="383"/>
      <c r="U179" s="383"/>
      <c r="V179" s="383"/>
      <c r="W179" s="383"/>
      <c r="X179" s="383"/>
      <c r="Y179" s="383"/>
      <c r="Z179" s="383"/>
      <c r="AA179" s="383"/>
      <c r="AB179" s="383"/>
      <c r="AC179" s="383"/>
      <c r="AD179" s="383"/>
      <c r="AE179" s="383"/>
      <c r="AF179" s="383"/>
      <c r="AG179" s="383"/>
      <c r="AH179" s="383"/>
      <c r="AI179" s="383"/>
      <c r="AJ179" s="383"/>
      <c r="AK179" s="383"/>
      <c r="AL179" s="383"/>
      <c r="AM179" s="383"/>
      <c r="AN179" s="383"/>
      <c r="AO179" s="383"/>
      <c r="AP179" s="383"/>
      <c r="AQ179" s="383"/>
      <c r="AR179" s="383"/>
      <c r="AS179" s="383"/>
      <c r="AT179" s="383"/>
      <c r="AU179" s="383"/>
      <c r="AV179" s="383"/>
      <c r="AW179" s="383"/>
      <c r="AX179" s="383"/>
      <c r="AY179" s="393"/>
      <c r="AZ179" s="393"/>
      <c r="BA179" s="393"/>
      <c r="BB179" s="393"/>
      <c r="BC179" s="393"/>
      <c r="BD179" s="393"/>
      <c r="BE179" s="393"/>
      <c r="BF179" s="393"/>
      <c r="BG179" s="393"/>
      <c r="BH179" s="393"/>
      <c r="BI179" s="393"/>
      <c r="BJ179" s="393"/>
      <c r="BK179" s="393"/>
      <c r="BL179" s="393"/>
      <c r="BM179" s="393"/>
      <c r="BN179" s="393"/>
      <c r="BO179" s="393"/>
      <c r="BP179" s="393"/>
      <c r="BQ179" s="393"/>
      <c r="BR179" s="393"/>
      <c r="BS179" s="393"/>
    </row>
    <row r="180" spans="1:71" ht="11.25" customHeight="1" x14ac:dyDescent="0.3">
      <c r="A180" s="383"/>
      <c r="B180" s="383"/>
      <c r="C180" s="383"/>
      <c r="D180" s="383"/>
      <c r="E180" s="383"/>
      <c r="F180" s="383"/>
      <c r="G180" s="383"/>
      <c r="H180" s="383"/>
      <c r="I180" s="383"/>
      <c r="J180" s="383"/>
      <c r="K180" s="383"/>
      <c r="L180" s="383"/>
      <c r="M180" s="383"/>
      <c r="N180" s="383"/>
      <c r="O180" s="383"/>
      <c r="P180" s="383"/>
      <c r="Q180" s="383"/>
      <c r="R180" s="383"/>
      <c r="S180" s="383"/>
      <c r="T180" s="383"/>
      <c r="U180" s="383"/>
      <c r="V180" s="383"/>
      <c r="W180" s="383"/>
      <c r="X180" s="383"/>
      <c r="Y180" s="383"/>
      <c r="Z180" s="383"/>
      <c r="AA180" s="383"/>
      <c r="AB180" s="383"/>
      <c r="AC180" s="383"/>
      <c r="AD180" s="383"/>
      <c r="AE180" s="383"/>
      <c r="AF180" s="383"/>
      <c r="AG180" s="383"/>
      <c r="AH180" s="383"/>
      <c r="AI180" s="383"/>
      <c r="AJ180" s="383"/>
      <c r="AK180" s="383"/>
      <c r="AL180" s="383"/>
      <c r="AM180" s="383"/>
      <c r="AN180" s="383"/>
      <c r="AO180" s="383"/>
      <c r="AP180" s="383"/>
      <c r="AQ180" s="383"/>
      <c r="AR180" s="383"/>
      <c r="AS180" s="383"/>
      <c r="AT180" s="383"/>
      <c r="AU180" s="383"/>
      <c r="AV180" s="383"/>
      <c r="AW180" s="383"/>
      <c r="AX180" s="383"/>
      <c r="AY180" s="393"/>
      <c r="AZ180" s="393"/>
      <c r="BA180" s="393"/>
      <c r="BB180" s="393"/>
      <c r="BC180" s="393"/>
      <c r="BD180" s="393"/>
      <c r="BE180" s="393"/>
      <c r="BF180" s="393"/>
      <c r="BG180" s="393"/>
      <c r="BH180" s="393"/>
      <c r="BI180" s="393"/>
      <c r="BJ180" s="393"/>
      <c r="BK180" s="393"/>
      <c r="BL180" s="393"/>
      <c r="BM180" s="393"/>
      <c r="BN180" s="393"/>
      <c r="BO180" s="393"/>
      <c r="BP180" s="393"/>
      <c r="BQ180" s="393"/>
      <c r="BR180" s="393"/>
      <c r="BS180" s="393"/>
    </row>
    <row r="181" spans="1:71" ht="11.25" customHeight="1" x14ac:dyDescent="0.3">
      <c r="A181" s="383"/>
      <c r="B181" s="383"/>
      <c r="C181" s="383"/>
      <c r="D181" s="383"/>
      <c r="E181" s="383"/>
      <c r="F181" s="383"/>
      <c r="G181" s="383"/>
      <c r="H181" s="383"/>
      <c r="I181" s="383"/>
      <c r="J181" s="383"/>
      <c r="K181" s="383"/>
      <c r="L181" s="383"/>
      <c r="M181" s="383"/>
      <c r="N181" s="383"/>
      <c r="O181" s="383"/>
      <c r="P181" s="383"/>
      <c r="Q181" s="383"/>
      <c r="R181" s="383"/>
      <c r="S181" s="383"/>
      <c r="T181" s="383"/>
      <c r="U181" s="383"/>
      <c r="V181" s="383"/>
      <c r="W181" s="383"/>
      <c r="X181" s="383"/>
      <c r="Y181" s="383"/>
      <c r="Z181" s="383"/>
      <c r="AA181" s="383"/>
      <c r="AB181" s="383"/>
      <c r="AC181" s="383"/>
      <c r="AD181" s="383"/>
      <c r="AE181" s="383"/>
      <c r="AF181" s="383"/>
      <c r="AG181" s="383"/>
      <c r="AH181" s="383"/>
      <c r="AI181" s="383"/>
      <c r="AJ181" s="383"/>
      <c r="AK181" s="383"/>
      <c r="AL181" s="383"/>
      <c r="AM181" s="383"/>
      <c r="AN181" s="383"/>
      <c r="AO181" s="383"/>
      <c r="AP181" s="383"/>
      <c r="AQ181" s="383"/>
      <c r="AR181" s="383"/>
      <c r="AS181" s="383"/>
      <c r="AT181" s="383"/>
      <c r="AU181" s="383"/>
      <c r="AV181" s="383"/>
      <c r="AW181" s="383"/>
      <c r="AX181" s="383"/>
      <c r="AY181" s="393"/>
      <c r="AZ181" s="393"/>
      <c r="BA181" s="393"/>
      <c r="BB181" s="393"/>
      <c r="BC181" s="393"/>
      <c r="BD181" s="393"/>
      <c r="BE181" s="393"/>
      <c r="BF181" s="393"/>
      <c r="BG181" s="393"/>
      <c r="BH181" s="393"/>
      <c r="BI181" s="393"/>
      <c r="BJ181" s="393"/>
      <c r="BK181" s="393"/>
      <c r="BL181" s="393"/>
      <c r="BM181" s="393"/>
      <c r="BN181" s="393"/>
      <c r="BO181" s="393"/>
      <c r="BP181" s="393"/>
      <c r="BQ181" s="393"/>
      <c r="BR181" s="393"/>
      <c r="BS181" s="393"/>
    </row>
    <row r="182" spans="1:71" ht="11.25" customHeight="1" x14ac:dyDescent="0.3">
      <c r="A182" s="383"/>
      <c r="B182" s="383"/>
      <c r="C182" s="383"/>
      <c r="D182" s="383"/>
      <c r="E182" s="383"/>
      <c r="F182" s="383"/>
      <c r="G182" s="383"/>
      <c r="H182" s="383"/>
      <c r="I182" s="383"/>
      <c r="J182" s="383"/>
      <c r="K182" s="383"/>
      <c r="L182" s="383"/>
      <c r="M182" s="383"/>
      <c r="N182" s="383"/>
      <c r="O182" s="383"/>
      <c r="P182" s="383"/>
      <c r="Q182" s="383"/>
      <c r="R182" s="383"/>
      <c r="S182" s="383"/>
      <c r="T182" s="383"/>
      <c r="U182" s="383"/>
      <c r="V182" s="383"/>
      <c r="W182" s="383"/>
      <c r="X182" s="383"/>
      <c r="Y182" s="383"/>
      <c r="Z182" s="383"/>
      <c r="AA182" s="383"/>
      <c r="AB182" s="383"/>
      <c r="AC182" s="383"/>
      <c r="AD182" s="383"/>
      <c r="AE182" s="383"/>
      <c r="AF182" s="383"/>
      <c r="AG182" s="383"/>
      <c r="AH182" s="383"/>
      <c r="AI182" s="383"/>
      <c r="AJ182" s="383"/>
      <c r="AK182" s="383"/>
      <c r="AL182" s="383"/>
      <c r="AM182" s="383"/>
      <c r="AN182" s="383"/>
      <c r="AO182" s="383"/>
      <c r="AP182" s="383"/>
      <c r="AQ182" s="383"/>
      <c r="AR182" s="383"/>
      <c r="AS182" s="383"/>
      <c r="AT182" s="383"/>
      <c r="AU182" s="383"/>
      <c r="AV182" s="383"/>
      <c r="AW182" s="383"/>
      <c r="AX182" s="383"/>
      <c r="AY182" s="393"/>
      <c r="AZ182" s="393"/>
      <c r="BA182" s="393"/>
      <c r="BB182" s="393"/>
      <c r="BC182" s="393"/>
      <c r="BD182" s="393"/>
      <c r="BE182" s="393"/>
      <c r="BF182" s="393"/>
      <c r="BG182" s="393"/>
      <c r="BH182" s="393"/>
      <c r="BI182" s="393"/>
      <c r="BJ182" s="393"/>
      <c r="BK182" s="393"/>
      <c r="BL182" s="393"/>
      <c r="BM182" s="393"/>
      <c r="BN182" s="393"/>
      <c r="BO182" s="393"/>
      <c r="BP182" s="393"/>
      <c r="BQ182" s="393"/>
      <c r="BR182" s="393"/>
      <c r="BS182" s="393"/>
    </row>
    <row r="183" spans="1:71" ht="11.25" customHeight="1" x14ac:dyDescent="0.3">
      <c r="A183" s="383"/>
      <c r="B183" s="383"/>
      <c r="C183" s="383"/>
      <c r="D183" s="383"/>
      <c r="E183" s="383"/>
      <c r="F183" s="383"/>
      <c r="G183" s="383"/>
      <c r="H183" s="383"/>
      <c r="I183" s="383"/>
      <c r="J183" s="383"/>
      <c r="K183" s="383"/>
      <c r="L183" s="383"/>
      <c r="M183" s="383"/>
      <c r="N183" s="383"/>
      <c r="O183" s="383"/>
      <c r="P183" s="383"/>
      <c r="Q183" s="383"/>
      <c r="R183" s="383"/>
      <c r="S183" s="383"/>
      <c r="T183" s="383"/>
      <c r="U183" s="383"/>
      <c r="V183" s="383"/>
      <c r="W183" s="383"/>
      <c r="X183" s="383"/>
      <c r="Y183" s="383"/>
      <c r="Z183" s="383"/>
      <c r="AA183" s="383"/>
      <c r="AB183" s="383"/>
      <c r="AC183" s="383"/>
      <c r="AD183" s="383"/>
      <c r="AE183" s="383"/>
      <c r="AF183" s="383"/>
      <c r="AG183" s="383"/>
      <c r="AH183" s="383"/>
      <c r="AI183" s="383"/>
      <c r="AJ183" s="383"/>
      <c r="AK183" s="383"/>
      <c r="AL183" s="383"/>
      <c r="AM183" s="383"/>
      <c r="AN183" s="383"/>
      <c r="AO183" s="383"/>
      <c r="AP183" s="383"/>
      <c r="AQ183" s="383"/>
      <c r="AR183" s="383"/>
      <c r="AS183" s="383"/>
      <c r="AT183" s="383"/>
      <c r="AU183" s="383"/>
      <c r="AV183" s="383"/>
      <c r="AW183" s="383"/>
      <c r="AX183" s="383"/>
      <c r="AY183" s="393"/>
      <c r="AZ183" s="393"/>
      <c r="BA183" s="393"/>
      <c r="BB183" s="393"/>
      <c r="BC183" s="393"/>
      <c r="BD183" s="393"/>
      <c r="BE183" s="393"/>
      <c r="BF183" s="393"/>
      <c r="BG183" s="393"/>
      <c r="BH183" s="393"/>
      <c r="BI183" s="393"/>
      <c r="BJ183" s="393"/>
      <c r="BK183" s="393"/>
      <c r="BL183" s="393"/>
      <c r="BM183" s="393"/>
      <c r="BN183" s="393"/>
      <c r="BO183" s="393"/>
      <c r="BP183" s="393"/>
      <c r="BQ183" s="393"/>
      <c r="BR183" s="393"/>
      <c r="BS183" s="393"/>
    </row>
    <row r="184" spans="1:71" ht="11.25" customHeight="1" x14ac:dyDescent="0.3">
      <c r="A184" s="383"/>
      <c r="B184" s="383"/>
      <c r="C184" s="383"/>
      <c r="D184" s="383"/>
      <c r="E184" s="383"/>
      <c r="F184" s="383"/>
      <c r="G184" s="383"/>
      <c r="H184" s="383"/>
      <c r="I184" s="383"/>
      <c r="J184" s="383"/>
      <c r="K184" s="383"/>
      <c r="L184" s="383"/>
      <c r="M184" s="383"/>
      <c r="N184" s="383"/>
      <c r="O184" s="383"/>
      <c r="P184" s="383"/>
      <c r="Q184" s="383"/>
      <c r="R184" s="383"/>
      <c r="S184" s="383"/>
      <c r="T184" s="383"/>
      <c r="U184" s="383"/>
      <c r="V184" s="383"/>
      <c r="W184" s="383"/>
      <c r="X184" s="383"/>
      <c r="Y184" s="383"/>
      <c r="Z184" s="383"/>
      <c r="AA184" s="383"/>
      <c r="AB184" s="383"/>
      <c r="AC184" s="383"/>
      <c r="AD184" s="383"/>
      <c r="AE184" s="383"/>
      <c r="AF184" s="383"/>
      <c r="AG184" s="383"/>
      <c r="AH184" s="383"/>
      <c r="AI184" s="383"/>
      <c r="AJ184" s="383"/>
      <c r="AK184" s="383"/>
      <c r="AL184" s="383"/>
      <c r="AM184" s="383"/>
      <c r="AN184" s="383"/>
      <c r="AO184" s="383"/>
      <c r="AP184" s="383"/>
      <c r="AQ184" s="383"/>
      <c r="AR184" s="383"/>
      <c r="AS184" s="383"/>
      <c r="AT184" s="383"/>
      <c r="AU184" s="383"/>
      <c r="AV184" s="383"/>
      <c r="AW184" s="383"/>
      <c r="AX184" s="383"/>
      <c r="AY184" s="393"/>
      <c r="AZ184" s="393"/>
      <c r="BA184" s="393"/>
      <c r="BB184" s="393"/>
      <c r="BC184" s="393"/>
      <c r="BD184" s="393"/>
      <c r="BE184" s="393"/>
      <c r="BF184" s="393"/>
      <c r="BG184" s="393"/>
      <c r="BH184" s="393"/>
      <c r="BI184" s="393"/>
      <c r="BJ184" s="393"/>
      <c r="BK184" s="393"/>
      <c r="BL184" s="393"/>
      <c r="BM184" s="393"/>
      <c r="BN184" s="393"/>
      <c r="BO184" s="393"/>
      <c r="BP184" s="393"/>
      <c r="BQ184" s="393"/>
      <c r="BR184" s="393"/>
      <c r="BS184" s="393"/>
    </row>
    <row r="185" spans="1:71" ht="11.25" customHeight="1" x14ac:dyDescent="0.3">
      <c r="A185" s="383"/>
      <c r="B185" s="383"/>
      <c r="C185" s="383"/>
      <c r="D185" s="383"/>
      <c r="E185" s="383"/>
      <c r="F185" s="383"/>
      <c r="G185" s="383"/>
      <c r="H185" s="383"/>
      <c r="I185" s="383"/>
      <c r="J185" s="383"/>
      <c r="K185" s="383"/>
      <c r="L185" s="383"/>
      <c r="M185" s="383"/>
      <c r="N185" s="383"/>
      <c r="O185" s="383"/>
      <c r="P185" s="383"/>
      <c r="Q185" s="383"/>
      <c r="R185" s="383"/>
      <c r="S185" s="383"/>
      <c r="T185" s="383"/>
      <c r="U185" s="383"/>
      <c r="V185" s="383"/>
      <c r="W185" s="383"/>
      <c r="X185" s="383"/>
      <c r="Y185" s="383"/>
      <c r="Z185" s="383"/>
      <c r="AA185" s="383"/>
      <c r="AB185" s="383"/>
      <c r="AC185" s="383"/>
      <c r="AD185" s="383"/>
      <c r="AE185" s="383"/>
      <c r="AF185" s="383"/>
      <c r="AG185" s="383"/>
      <c r="AH185" s="383"/>
      <c r="AI185" s="383"/>
      <c r="AJ185" s="383"/>
      <c r="AK185" s="383"/>
      <c r="AL185" s="383"/>
      <c r="AM185" s="383"/>
      <c r="AN185" s="383"/>
      <c r="AO185" s="383"/>
      <c r="AP185" s="383"/>
      <c r="AQ185" s="383"/>
      <c r="AR185" s="383"/>
      <c r="AS185" s="383"/>
      <c r="AT185" s="383"/>
      <c r="AU185" s="383"/>
      <c r="AV185" s="383"/>
      <c r="AW185" s="383"/>
      <c r="AX185" s="383"/>
      <c r="AY185" s="393"/>
      <c r="AZ185" s="393"/>
      <c r="BA185" s="393"/>
      <c r="BB185" s="393"/>
      <c r="BC185" s="393"/>
      <c r="BD185" s="393"/>
      <c r="BE185" s="393"/>
      <c r="BF185" s="393"/>
      <c r="BG185" s="393"/>
      <c r="BH185" s="393"/>
      <c r="BI185" s="393"/>
      <c r="BJ185" s="393"/>
      <c r="BK185" s="393"/>
      <c r="BL185" s="393"/>
      <c r="BM185" s="393"/>
      <c r="BN185" s="393"/>
      <c r="BO185" s="393"/>
      <c r="BP185" s="393"/>
      <c r="BQ185" s="393"/>
      <c r="BR185" s="393"/>
      <c r="BS185" s="393"/>
    </row>
    <row r="186" spans="1:71" ht="11.25" customHeight="1" x14ac:dyDescent="0.3">
      <c r="A186" s="383"/>
      <c r="B186" s="383"/>
      <c r="C186" s="383"/>
      <c r="D186" s="383"/>
      <c r="E186" s="383"/>
      <c r="F186" s="383"/>
      <c r="G186" s="383"/>
      <c r="H186" s="383"/>
      <c r="I186" s="383"/>
      <c r="J186" s="383"/>
      <c r="K186" s="383"/>
      <c r="L186" s="383"/>
      <c r="M186" s="383"/>
      <c r="N186" s="383"/>
      <c r="O186" s="383"/>
      <c r="P186" s="383"/>
      <c r="Q186" s="383"/>
      <c r="R186" s="383"/>
      <c r="S186" s="383"/>
      <c r="T186" s="383"/>
      <c r="U186" s="383"/>
      <c r="V186" s="383"/>
      <c r="W186" s="383"/>
      <c r="X186" s="383"/>
      <c r="Y186" s="383"/>
      <c r="Z186" s="383"/>
      <c r="AA186" s="383"/>
      <c r="AB186" s="383"/>
      <c r="AC186" s="383"/>
      <c r="AD186" s="383"/>
      <c r="AE186" s="383"/>
      <c r="AF186" s="383"/>
      <c r="AG186" s="383"/>
      <c r="AH186" s="383"/>
      <c r="AI186" s="383"/>
      <c r="AJ186" s="383"/>
      <c r="AK186" s="383"/>
      <c r="AL186" s="383"/>
      <c r="AM186" s="383"/>
      <c r="AN186" s="383"/>
      <c r="AO186" s="383"/>
      <c r="AP186" s="383"/>
      <c r="AQ186" s="383"/>
      <c r="AR186" s="383"/>
      <c r="AS186" s="383"/>
      <c r="AT186" s="383"/>
      <c r="AU186" s="383"/>
      <c r="AV186" s="383"/>
      <c r="AW186" s="383"/>
      <c r="AX186" s="383"/>
      <c r="AY186" s="393"/>
      <c r="AZ186" s="393"/>
      <c r="BA186" s="393"/>
      <c r="BB186" s="393"/>
      <c r="BC186" s="393"/>
      <c r="BD186" s="393"/>
      <c r="BE186" s="393"/>
      <c r="BF186" s="393"/>
      <c r="BG186" s="393"/>
      <c r="BH186" s="393"/>
      <c r="BI186" s="393"/>
      <c r="BJ186" s="393"/>
      <c r="BK186" s="393"/>
      <c r="BL186" s="393"/>
      <c r="BM186" s="393"/>
      <c r="BN186" s="393"/>
      <c r="BO186" s="393"/>
      <c r="BP186" s="393"/>
      <c r="BQ186" s="393"/>
      <c r="BR186" s="393"/>
      <c r="BS186" s="393"/>
    </row>
    <row r="187" spans="1:71" ht="11.25" customHeight="1" x14ac:dyDescent="0.3">
      <c r="A187" s="383"/>
      <c r="B187" s="383"/>
      <c r="C187" s="383"/>
      <c r="D187" s="383"/>
      <c r="E187" s="383"/>
      <c r="F187" s="383"/>
      <c r="G187" s="383"/>
      <c r="H187" s="383"/>
      <c r="I187" s="383"/>
      <c r="J187" s="383"/>
      <c r="K187" s="383"/>
      <c r="L187" s="383"/>
      <c r="M187" s="383"/>
      <c r="N187" s="383"/>
      <c r="O187" s="383"/>
      <c r="P187" s="383"/>
      <c r="Q187" s="383"/>
      <c r="R187" s="383"/>
      <c r="S187" s="383"/>
      <c r="T187" s="383"/>
      <c r="U187" s="383"/>
      <c r="V187" s="383"/>
      <c r="W187" s="383"/>
      <c r="X187" s="383"/>
      <c r="Y187" s="383"/>
      <c r="Z187" s="383"/>
      <c r="AA187" s="383"/>
      <c r="AB187" s="383"/>
      <c r="AC187" s="383"/>
      <c r="AD187" s="383"/>
      <c r="AE187" s="383"/>
      <c r="AF187" s="383"/>
      <c r="AG187" s="383"/>
      <c r="AH187" s="383"/>
      <c r="AI187" s="383"/>
      <c r="AJ187" s="383"/>
      <c r="AK187" s="383"/>
      <c r="AL187" s="383"/>
      <c r="AM187" s="383"/>
      <c r="AN187" s="383"/>
      <c r="AO187" s="383"/>
      <c r="AP187" s="383"/>
      <c r="AQ187" s="383"/>
      <c r="AR187" s="383"/>
      <c r="AS187" s="383"/>
      <c r="AT187" s="383"/>
      <c r="AU187" s="383"/>
      <c r="AV187" s="383"/>
      <c r="AW187" s="383"/>
      <c r="AX187" s="383"/>
      <c r="AY187" s="393"/>
      <c r="AZ187" s="393"/>
      <c r="BA187" s="393"/>
      <c r="BB187" s="393"/>
      <c r="BC187" s="393"/>
      <c r="BD187" s="393"/>
      <c r="BE187" s="393"/>
      <c r="BF187" s="393"/>
      <c r="BG187" s="393"/>
      <c r="BH187" s="393"/>
      <c r="BI187" s="393"/>
      <c r="BJ187" s="393"/>
      <c r="BK187" s="393"/>
      <c r="BL187" s="393"/>
      <c r="BM187" s="393"/>
      <c r="BN187" s="393"/>
      <c r="BO187" s="393"/>
      <c r="BP187" s="393"/>
      <c r="BQ187" s="393"/>
      <c r="BR187" s="393"/>
      <c r="BS187" s="393"/>
    </row>
    <row r="188" spans="1:71" ht="11.25" customHeight="1" x14ac:dyDescent="0.3">
      <c r="A188" s="383"/>
      <c r="B188" s="383"/>
      <c r="C188" s="383"/>
      <c r="D188" s="383"/>
      <c r="E188" s="383"/>
      <c r="F188" s="383"/>
      <c r="G188" s="383"/>
      <c r="H188" s="383"/>
      <c r="I188" s="383"/>
      <c r="J188" s="383"/>
      <c r="K188" s="383"/>
      <c r="L188" s="383"/>
      <c r="M188" s="383"/>
      <c r="N188" s="383"/>
      <c r="O188" s="383"/>
      <c r="P188" s="383"/>
      <c r="Q188" s="383"/>
      <c r="R188" s="383"/>
      <c r="S188" s="383"/>
      <c r="T188" s="383"/>
      <c r="U188" s="383"/>
      <c r="V188" s="383"/>
      <c r="W188" s="383"/>
      <c r="X188" s="383"/>
      <c r="Y188" s="383"/>
      <c r="Z188" s="383"/>
      <c r="AA188" s="383"/>
      <c r="AB188" s="383"/>
      <c r="AC188" s="383"/>
      <c r="AD188" s="383"/>
      <c r="AE188" s="383"/>
      <c r="AF188" s="383"/>
      <c r="AG188" s="383"/>
      <c r="AH188" s="383"/>
      <c r="AI188" s="383"/>
      <c r="AJ188" s="383"/>
      <c r="AK188" s="383"/>
      <c r="AL188" s="383"/>
      <c r="AM188" s="383"/>
      <c r="AN188" s="383"/>
      <c r="AO188" s="383"/>
      <c r="AP188" s="383"/>
      <c r="AQ188" s="383"/>
      <c r="AR188" s="383"/>
      <c r="AS188" s="383"/>
      <c r="AT188" s="383"/>
      <c r="AU188" s="383"/>
      <c r="AV188" s="383"/>
      <c r="AW188" s="383"/>
      <c r="AX188" s="383"/>
      <c r="AY188" s="393"/>
      <c r="AZ188" s="393"/>
      <c r="BA188" s="393"/>
      <c r="BB188" s="393"/>
      <c r="BC188" s="393"/>
      <c r="BD188" s="393"/>
      <c r="BE188" s="393"/>
      <c r="BF188" s="393"/>
      <c r="BG188" s="393"/>
      <c r="BH188" s="393"/>
      <c r="BI188" s="393"/>
      <c r="BJ188" s="393"/>
      <c r="BK188" s="393"/>
      <c r="BL188" s="393"/>
      <c r="BM188" s="393"/>
      <c r="BN188" s="393"/>
      <c r="BO188" s="393"/>
      <c r="BP188" s="393"/>
      <c r="BQ188" s="393"/>
      <c r="BR188" s="393"/>
      <c r="BS188" s="393"/>
    </row>
    <row r="189" spans="1:71" ht="11.25" customHeight="1" x14ac:dyDescent="0.3">
      <c r="A189" s="383"/>
      <c r="B189" s="383"/>
      <c r="C189" s="383"/>
      <c r="D189" s="383"/>
      <c r="E189" s="383"/>
      <c r="F189" s="383"/>
      <c r="G189" s="383"/>
      <c r="H189" s="383"/>
      <c r="I189" s="383"/>
      <c r="J189" s="383"/>
      <c r="K189" s="383"/>
      <c r="L189" s="383"/>
      <c r="M189" s="383"/>
      <c r="N189" s="383"/>
      <c r="O189" s="383"/>
      <c r="P189" s="383"/>
      <c r="Q189" s="383"/>
      <c r="R189" s="383"/>
      <c r="S189" s="383"/>
      <c r="T189" s="383"/>
      <c r="U189" s="383"/>
      <c r="V189" s="383"/>
      <c r="W189" s="383"/>
      <c r="X189" s="383"/>
      <c r="Y189" s="383"/>
      <c r="Z189" s="383"/>
      <c r="AA189" s="383"/>
      <c r="AB189" s="383"/>
      <c r="AC189" s="383"/>
      <c r="AD189" s="383"/>
      <c r="AE189" s="383"/>
      <c r="AF189" s="383"/>
      <c r="AG189" s="383"/>
      <c r="AH189" s="383"/>
      <c r="AI189" s="383"/>
      <c r="AJ189" s="383"/>
      <c r="AK189" s="383"/>
      <c r="AL189" s="383"/>
      <c r="AM189" s="383"/>
      <c r="AN189" s="383"/>
      <c r="AO189" s="383"/>
      <c r="AP189" s="383"/>
      <c r="AQ189" s="383"/>
      <c r="AR189" s="383"/>
      <c r="AS189" s="383"/>
      <c r="AT189" s="383"/>
      <c r="AU189" s="383"/>
      <c r="AV189" s="383"/>
      <c r="AW189" s="383"/>
      <c r="AX189" s="383"/>
      <c r="AY189" s="393"/>
      <c r="AZ189" s="393"/>
      <c r="BA189" s="393"/>
      <c r="BB189" s="393"/>
      <c r="BC189" s="393"/>
      <c r="BD189" s="393"/>
      <c r="BE189" s="393"/>
      <c r="BF189" s="393"/>
      <c r="BG189" s="393"/>
      <c r="BH189" s="393"/>
      <c r="BI189" s="393"/>
      <c r="BJ189" s="393"/>
      <c r="BK189" s="393"/>
      <c r="BL189" s="393"/>
      <c r="BM189" s="393"/>
      <c r="BN189" s="393"/>
      <c r="BO189" s="393"/>
      <c r="BP189" s="393"/>
      <c r="BQ189" s="393"/>
      <c r="BR189" s="393"/>
      <c r="BS189" s="393"/>
    </row>
    <row r="190" spans="1:71" ht="11.25" customHeight="1" x14ac:dyDescent="0.3">
      <c r="A190" s="383"/>
      <c r="B190" s="383"/>
      <c r="C190" s="383"/>
      <c r="D190" s="383"/>
      <c r="E190" s="383"/>
      <c r="F190" s="383"/>
      <c r="G190" s="383"/>
      <c r="H190" s="383"/>
      <c r="I190" s="383"/>
      <c r="J190" s="383"/>
      <c r="K190" s="383"/>
      <c r="L190" s="383"/>
      <c r="M190" s="383"/>
      <c r="N190" s="383"/>
      <c r="O190" s="383"/>
      <c r="P190" s="383"/>
      <c r="Q190" s="383"/>
      <c r="R190" s="383"/>
      <c r="S190" s="383"/>
      <c r="T190" s="383"/>
      <c r="U190" s="383"/>
      <c r="V190" s="383"/>
      <c r="W190" s="383"/>
      <c r="X190" s="383"/>
      <c r="Y190" s="383"/>
      <c r="Z190" s="383"/>
      <c r="AA190" s="383"/>
      <c r="AB190" s="383"/>
      <c r="AC190" s="383"/>
      <c r="AD190" s="383"/>
      <c r="AE190" s="383"/>
      <c r="AF190" s="383"/>
      <c r="AG190" s="383"/>
      <c r="AH190" s="383"/>
      <c r="AI190" s="383"/>
      <c r="AJ190" s="383"/>
      <c r="AK190" s="383"/>
      <c r="AL190" s="383"/>
      <c r="AM190" s="383"/>
      <c r="AN190" s="383"/>
      <c r="AO190" s="383"/>
      <c r="AP190" s="383"/>
      <c r="AQ190" s="383"/>
      <c r="AR190" s="383"/>
      <c r="AS190" s="383"/>
      <c r="AT190" s="383"/>
      <c r="AU190" s="383"/>
      <c r="AV190" s="383"/>
      <c r="AW190" s="383"/>
      <c r="AX190" s="383"/>
      <c r="AY190" s="393"/>
      <c r="AZ190" s="393"/>
      <c r="BA190" s="393"/>
      <c r="BB190" s="393"/>
      <c r="BC190" s="393"/>
      <c r="BD190" s="393"/>
      <c r="BE190" s="393"/>
      <c r="BF190" s="393"/>
      <c r="BG190" s="393"/>
      <c r="BH190" s="393"/>
      <c r="BI190" s="393"/>
      <c r="BJ190" s="393"/>
      <c r="BK190" s="393"/>
      <c r="BL190" s="393"/>
      <c r="BM190" s="393"/>
      <c r="BN190" s="393"/>
      <c r="BO190" s="393"/>
      <c r="BP190" s="393"/>
      <c r="BQ190" s="393"/>
      <c r="BR190" s="393"/>
      <c r="BS190" s="393"/>
    </row>
    <row r="191" spans="1:71" ht="11.25" customHeight="1" x14ac:dyDescent="0.3">
      <c r="A191" s="383"/>
      <c r="B191" s="383"/>
      <c r="C191" s="383"/>
      <c r="D191" s="383"/>
      <c r="E191" s="383"/>
      <c r="F191" s="383"/>
      <c r="G191" s="383"/>
      <c r="H191" s="383"/>
      <c r="I191" s="383"/>
      <c r="J191" s="383"/>
      <c r="K191" s="383"/>
      <c r="L191" s="383"/>
      <c r="M191" s="383"/>
      <c r="N191" s="383"/>
      <c r="O191" s="383"/>
      <c r="P191" s="383"/>
      <c r="Q191" s="383"/>
      <c r="R191" s="383"/>
      <c r="S191" s="383"/>
      <c r="T191" s="383"/>
      <c r="U191" s="383"/>
      <c r="V191" s="383"/>
      <c r="W191" s="383"/>
      <c r="X191" s="383"/>
      <c r="Y191" s="383"/>
      <c r="Z191" s="383"/>
      <c r="AA191" s="383"/>
      <c r="AB191" s="383"/>
      <c r="AC191" s="383"/>
      <c r="AD191" s="383"/>
      <c r="AE191" s="383"/>
      <c r="AF191" s="383"/>
      <c r="AG191" s="383"/>
      <c r="AH191" s="383"/>
      <c r="AI191" s="383"/>
      <c r="AJ191" s="383"/>
      <c r="AK191" s="383"/>
      <c r="AL191" s="383"/>
      <c r="AM191" s="383"/>
      <c r="AN191" s="383"/>
      <c r="AO191" s="383"/>
      <c r="AP191" s="383"/>
      <c r="AQ191" s="383"/>
      <c r="AR191" s="383"/>
      <c r="AS191" s="383"/>
      <c r="AT191" s="383"/>
      <c r="AU191" s="383"/>
      <c r="AV191" s="383"/>
      <c r="AW191" s="383"/>
      <c r="AX191" s="383"/>
      <c r="AY191" s="393"/>
      <c r="AZ191" s="393"/>
      <c r="BA191" s="393"/>
      <c r="BB191" s="393"/>
      <c r="BC191" s="393"/>
      <c r="BD191" s="393"/>
      <c r="BE191" s="393"/>
      <c r="BF191" s="393"/>
      <c r="BG191" s="393"/>
      <c r="BH191" s="393"/>
      <c r="BI191" s="393"/>
      <c r="BJ191" s="393"/>
      <c r="BK191" s="393"/>
      <c r="BL191" s="393"/>
      <c r="BM191" s="393"/>
      <c r="BN191" s="393"/>
      <c r="BO191" s="393"/>
      <c r="BP191" s="393"/>
      <c r="BQ191" s="393"/>
      <c r="BR191" s="393"/>
      <c r="BS191" s="393"/>
    </row>
    <row r="192" spans="1:71" ht="11.25" customHeight="1" x14ac:dyDescent="0.3">
      <c r="A192" s="383"/>
      <c r="B192" s="383"/>
      <c r="C192" s="383"/>
      <c r="D192" s="383"/>
      <c r="E192" s="383"/>
      <c r="F192" s="383"/>
      <c r="G192" s="383"/>
      <c r="H192" s="383"/>
      <c r="I192" s="383"/>
      <c r="J192" s="383"/>
      <c r="K192" s="383"/>
      <c r="L192" s="383"/>
      <c r="M192" s="383"/>
      <c r="N192" s="383"/>
      <c r="O192" s="383"/>
      <c r="P192" s="383"/>
      <c r="Q192" s="383"/>
      <c r="R192" s="383"/>
      <c r="S192" s="383"/>
      <c r="T192" s="383"/>
      <c r="U192" s="383"/>
      <c r="V192" s="383"/>
      <c r="W192" s="383"/>
      <c r="X192" s="383"/>
      <c r="Y192" s="383"/>
      <c r="Z192" s="383"/>
      <c r="AA192" s="383"/>
      <c r="AB192" s="383"/>
      <c r="AC192" s="383"/>
      <c r="AD192" s="383"/>
      <c r="AE192" s="383"/>
      <c r="AF192" s="383"/>
      <c r="AG192" s="383"/>
      <c r="AH192" s="383"/>
      <c r="AI192" s="383"/>
      <c r="AJ192" s="383"/>
      <c r="AK192" s="383"/>
      <c r="AL192" s="383"/>
      <c r="AM192" s="383"/>
      <c r="AN192" s="383"/>
      <c r="AO192" s="383"/>
      <c r="AP192" s="383"/>
      <c r="AQ192" s="383"/>
      <c r="AR192" s="383"/>
      <c r="AS192" s="383"/>
      <c r="AT192" s="383"/>
      <c r="AU192" s="383"/>
      <c r="AV192" s="383"/>
      <c r="AW192" s="383"/>
      <c r="AX192" s="383"/>
      <c r="AY192" s="393"/>
      <c r="AZ192" s="393"/>
      <c r="BA192" s="393"/>
      <c r="BB192" s="393"/>
      <c r="BC192" s="393"/>
      <c r="BD192" s="393"/>
      <c r="BE192" s="393"/>
      <c r="BF192" s="393"/>
      <c r="BG192" s="393"/>
      <c r="BH192" s="393"/>
      <c r="BI192" s="393"/>
      <c r="BJ192" s="393"/>
      <c r="BK192" s="393"/>
      <c r="BL192" s="393"/>
      <c r="BM192" s="393"/>
      <c r="BN192" s="393"/>
      <c r="BO192" s="393"/>
      <c r="BP192" s="393"/>
      <c r="BQ192" s="393"/>
      <c r="BR192" s="393"/>
      <c r="BS192" s="393"/>
    </row>
    <row r="193" spans="1:71" ht="11.25" customHeight="1" x14ac:dyDescent="0.3">
      <c r="A193" s="383"/>
      <c r="B193" s="383"/>
      <c r="C193" s="383"/>
      <c r="D193" s="383"/>
      <c r="E193" s="383"/>
      <c r="F193" s="383"/>
      <c r="G193" s="383"/>
      <c r="H193" s="383"/>
      <c r="I193" s="383"/>
      <c r="J193" s="383"/>
      <c r="K193" s="383"/>
      <c r="L193" s="383"/>
      <c r="M193" s="383"/>
      <c r="N193" s="383"/>
      <c r="O193" s="383"/>
      <c r="P193" s="383"/>
      <c r="Q193" s="383"/>
      <c r="R193" s="383"/>
      <c r="S193" s="383"/>
      <c r="T193" s="383"/>
      <c r="U193" s="383"/>
      <c r="V193" s="383"/>
      <c r="W193" s="383"/>
      <c r="X193" s="383"/>
      <c r="Y193" s="383"/>
      <c r="Z193" s="383"/>
      <c r="AA193" s="383"/>
      <c r="AB193" s="383"/>
      <c r="AC193" s="383"/>
      <c r="AD193" s="383"/>
      <c r="AE193" s="383"/>
      <c r="AF193" s="383"/>
      <c r="AG193" s="383"/>
      <c r="AH193" s="383"/>
      <c r="AI193" s="383"/>
      <c r="AJ193" s="383"/>
      <c r="AK193" s="383"/>
      <c r="AL193" s="383"/>
      <c r="AM193" s="383"/>
      <c r="AN193" s="383"/>
      <c r="AO193" s="383"/>
      <c r="AP193" s="383"/>
      <c r="AQ193" s="383"/>
      <c r="AR193" s="383"/>
      <c r="AS193" s="383"/>
      <c r="AT193" s="383"/>
      <c r="AU193" s="383"/>
      <c r="AV193" s="383"/>
      <c r="AW193" s="383"/>
      <c r="AX193" s="383"/>
      <c r="AY193" s="393"/>
      <c r="AZ193" s="393"/>
      <c r="BA193" s="393"/>
      <c r="BB193" s="393"/>
      <c r="BC193" s="393"/>
      <c r="BD193" s="393"/>
      <c r="BE193" s="393"/>
      <c r="BF193" s="393"/>
      <c r="BG193" s="393"/>
      <c r="BH193" s="393"/>
      <c r="BI193" s="393"/>
      <c r="BJ193" s="393"/>
      <c r="BK193" s="393"/>
      <c r="BL193" s="393"/>
      <c r="BM193" s="393"/>
      <c r="BN193" s="393"/>
      <c r="BO193" s="393"/>
      <c r="BP193" s="393"/>
      <c r="BQ193" s="393"/>
      <c r="BR193" s="393"/>
      <c r="BS193" s="393"/>
    </row>
    <row r="194" spans="1:71" ht="11.25" customHeight="1" x14ac:dyDescent="0.3">
      <c r="A194" s="383"/>
      <c r="B194" s="383"/>
      <c r="C194" s="383"/>
      <c r="D194" s="383"/>
      <c r="E194" s="383"/>
      <c r="F194" s="383"/>
      <c r="G194" s="383"/>
      <c r="H194" s="383"/>
      <c r="I194" s="383"/>
      <c r="J194" s="383"/>
      <c r="K194" s="383"/>
      <c r="L194" s="383"/>
      <c r="M194" s="383"/>
      <c r="N194" s="383"/>
      <c r="O194" s="383"/>
      <c r="P194" s="383"/>
      <c r="Q194" s="383"/>
      <c r="R194" s="383"/>
      <c r="S194" s="383"/>
      <c r="T194" s="383"/>
      <c r="U194" s="383"/>
      <c r="V194" s="383"/>
      <c r="W194" s="383"/>
      <c r="X194" s="383"/>
      <c r="Y194" s="383"/>
      <c r="Z194" s="383"/>
      <c r="AA194" s="383"/>
      <c r="AB194" s="383"/>
      <c r="AC194" s="383"/>
      <c r="AD194" s="383"/>
      <c r="AE194" s="383"/>
      <c r="AF194" s="383"/>
      <c r="AG194" s="383"/>
      <c r="AH194" s="383"/>
      <c r="AI194" s="383"/>
      <c r="AJ194" s="383"/>
      <c r="AK194" s="383"/>
      <c r="AL194" s="383"/>
      <c r="AM194" s="383"/>
      <c r="AN194" s="383"/>
      <c r="AO194" s="383"/>
      <c r="AP194" s="383"/>
      <c r="AQ194" s="383"/>
      <c r="AR194" s="383"/>
      <c r="AS194" s="383"/>
      <c r="AT194" s="383"/>
      <c r="AU194" s="383"/>
      <c r="AV194" s="383"/>
      <c r="AW194" s="383"/>
      <c r="AX194" s="383"/>
      <c r="AY194" s="393"/>
      <c r="AZ194" s="393"/>
      <c r="BA194" s="393"/>
      <c r="BB194" s="393"/>
      <c r="BC194" s="393"/>
      <c r="BD194" s="393"/>
      <c r="BE194" s="393"/>
      <c r="BF194" s="393"/>
      <c r="BG194" s="393"/>
      <c r="BH194" s="393"/>
      <c r="BI194" s="393"/>
      <c r="BJ194" s="393"/>
      <c r="BK194" s="393"/>
      <c r="BL194" s="393"/>
      <c r="BM194" s="393"/>
      <c r="BN194" s="393"/>
      <c r="BO194" s="393"/>
      <c r="BP194" s="393"/>
      <c r="BQ194" s="393"/>
      <c r="BR194" s="393"/>
      <c r="BS194" s="393"/>
    </row>
    <row r="195" spans="1:71" ht="11.25" customHeight="1" x14ac:dyDescent="0.3">
      <c r="A195" s="383"/>
      <c r="B195" s="383"/>
      <c r="C195" s="383"/>
      <c r="D195" s="383"/>
      <c r="E195" s="383"/>
      <c r="F195" s="383"/>
      <c r="G195" s="383"/>
      <c r="H195" s="383"/>
      <c r="I195" s="383"/>
      <c r="J195" s="383"/>
      <c r="K195" s="383"/>
      <c r="L195" s="383"/>
      <c r="M195" s="383"/>
      <c r="N195" s="383"/>
      <c r="O195" s="383"/>
      <c r="P195" s="383"/>
      <c r="Q195" s="383"/>
      <c r="R195" s="383"/>
      <c r="S195" s="383"/>
      <c r="T195" s="383"/>
      <c r="U195" s="383"/>
      <c r="V195" s="383"/>
      <c r="W195" s="383"/>
      <c r="X195" s="383"/>
      <c r="Y195" s="383"/>
      <c r="Z195" s="383"/>
      <c r="AA195" s="383"/>
      <c r="AB195" s="383"/>
      <c r="AC195" s="383"/>
      <c r="AD195" s="383"/>
      <c r="AE195" s="383"/>
      <c r="AF195" s="383"/>
      <c r="AG195" s="383"/>
      <c r="AH195" s="383"/>
      <c r="AI195" s="383"/>
      <c r="AJ195" s="383"/>
      <c r="AK195" s="383"/>
      <c r="AL195" s="383"/>
      <c r="AM195" s="383"/>
      <c r="AN195" s="383"/>
      <c r="AO195" s="383"/>
      <c r="AP195" s="383"/>
      <c r="AQ195" s="383"/>
      <c r="AR195" s="383"/>
      <c r="AS195" s="383"/>
      <c r="AT195" s="383"/>
      <c r="AU195" s="383"/>
      <c r="AV195" s="383"/>
      <c r="AW195" s="383"/>
      <c r="AX195" s="383"/>
      <c r="AY195" s="393"/>
      <c r="AZ195" s="393"/>
      <c r="BA195" s="393"/>
      <c r="BB195" s="393"/>
      <c r="BC195" s="393"/>
      <c r="BD195" s="393"/>
      <c r="BE195" s="393"/>
      <c r="BF195" s="393"/>
      <c r="BG195" s="393"/>
      <c r="BH195" s="393"/>
      <c r="BI195" s="393"/>
      <c r="BJ195" s="393"/>
      <c r="BK195" s="393"/>
      <c r="BL195" s="393"/>
      <c r="BM195" s="393"/>
      <c r="BN195" s="393"/>
      <c r="BO195" s="393"/>
      <c r="BP195" s="393"/>
      <c r="BQ195" s="393"/>
      <c r="BR195" s="393"/>
      <c r="BS195" s="393"/>
    </row>
    <row r="196" spans="1:71" ht="11.25" customHeight="1" x14ac:dyDescent="0.3">
      <c r="A196" s="383"/>
      <c r="B196" s="383"/>
      <c r="C196" s="383"/>
      <c r="D196" s="383"/>
      <c r="E196" s="383"/>
      <c r="F196" s="383"/>
      <c r="G196" s="383"/>
      <c r="H196" s="383"/>
      <c r="I196" s="383"/>
      <c r="J196" s="383"/>
      <c r="K196" s="383"/>
      <c r="L196" s="383"/>
      <c r="M196" s="383"/>
      <c r="N196" s="383"/>
      <c r="O196" s="383"/>
      <c r="P196" s="383"/>
      <c r="Q196" s="383"/>
      <c r="R196" s="383"/>
      <c r="S196" s="383"/>
      <c r="T196" s="383"/>
      <c r="U196" s="383"/>
      <c r="V196" s="383"/>
      <c r="W196" s="383"/>
      <c r="X196" s="383"/>
      <c r="Y196" s="383"/>
      <c r="Z196" s="383"/>
      <c r="AA196" s="383"/>
      <c r="AB196" s="383"/>
      <c r="AC196" s="383"/>
      <c r="AD196" s="383"/>
      <c r="AE196" s="383"/>
      <c r="AF196" s="383"/>
      <c r="AG196" s="383"/>
      <c r="AH196" s="383"/>
      <c r="AI196" s="383"/>
      <c r="AJ196" s="383"/>
      <c r="AK196" s="383"/>
      <c r="AL196" s="383"/>
      <c r="AM196" s="383"/>
      <c r="AN196" s="383"/>
      <c r="AO196" s="383"/>
      <c r="AP196" s="383"/>
      <c r="AQ196" s="383"/>
      <c r="AR196" s="383"/>
      <c r="AS196" s="383"/>
      <c r="AT196" s="383"/>
      <c r="AU196" s="383"/>
      <c r="AV196" s="383"/>
      <c r="AW196" s="383"/>
      <c r="AX196" s="383"/>
      <c r="AY196" s="393"/>
      <c r="AZ196" s="393"/>
      <c r="BA196" s="393"/>
      <c r="BB196" s="393"/>
      <c r="BC196" s="393"/>
      <c r="BD196" s="393"/>
      <c r="BE196" s="393"/>
      <c r="BF196" s="393"/>
      <c r="BG196" s="393"/>
      <c r="BH196" s="393"/>
      <c r="BI196" s="393"/>
      <c r="BJ196" s="393"/>
      <c r="BK196" s="393"/>
      <c r="BL196" s="393"/>
      <c r="BM196" s="393"/>
      <c r="BN196" s="393"/>
      <c r="BO196" s="393"/>
      <c r="BP196" s="393"/>
      <c r="BQ196" s="393"/>
      <c r="BR196" s="393"/>
      <c r="BS196" s="393"/>
    </row>
    <row r="197" spans="1:71" ht="11.25" customHeight="1" x14ac:dyDescent="0.3">
      <c r="A197" s="383"/>
      <c r="B197" s="383"/>
      <c r="C197" s="383"/>
      <c r="D197" s="383"/>
      <c r="E197" s="383"/>
      <c r="F197" s="383"/>
      <c r="G197" s="383"/>
      <c r="H197" s="383"/>
      <c r="I197" s="383"/>
      <c r="J197" s="383"/>
      <c r="K197" s="383"/>
      <c r="L197" s="383"/>
      <c r="M197" s="383"/>
      <c r="N197" s="383"/>
      <c r="O197" s="383"/>
      <c r="P197" s="383"/>
      <c r="Q197" s="383"/>
      <c r="R197" s="383"/>
      <c r="S197" s="383"/>
      <c r="T197" s="383"/>
      <c r="U197" s="383"/>
      <c r="V197" s="383"/>
      <c r="W197" s="383"/>
      <c r="X197" s="383"/>
      <c r="Y197" s="383"/>
      <c r="Z197" s="383"/>
      <c r="AA197" s="383"/>
      <c r="AB197" s="383"/>
      <c r="AC197" s="383"/>
      <c r="AD197" s="383"/>
      <c r="AE197" s="383"/>
      <c r="AF197" s="383"/>
      <c r="AG197" s="383"/>
      <c r="AH197" s="383"/>
      <c r="AI197" s="383"/>
      <c r="AJ197" s="383"/>
      <c r="AK197" s="383"/>
      <c r="AL197" s="383"/>
      <c r="AM197" s="383"/>
      <c r="AN197" s="383"/>
      <c r="AO197" s="383"/>
      <c r="AP197" s="383"/>
      <c r="AQ197" s="383"/>
      <c r="AR197" s="383"/>
      <c r="AS197" s="383"/>
      <c r="AT197" s="383"/>
      <c r="AU197" s="383"/>
      <c r="AV197" s="383"/>
      <c r="AW197" s="383"/>
      <c r="AX197" s="383"/>
      <c r="AY197" s="393"/>
      <c r="AZ197" s="393"/>
      <c r="BA197" s="393"/>
      <c r="BB197" s="393"/>
      <c r="BC197" s="393"/>
      <c r="BD197" s="393"/>
      <c r="BE197" s="393"/>
      <c r="BF197" s="393"/>
      <c r="BG197" s="393"/>
      <c r="BH197" s="393"/>
      <c r="BI197" s="393"/>
      <c r="BJ197" s="393"/>
      <c r="BK197" s="393"/>
      <c r="BL197" s="393"/>
      <c r="BM197" s="393"/>
      <c r="BN197" s="393"/>
      <c r="BO197" s="393"/>
      <c r="BP197" s="393"/>
      <c r="BQ197" s="393"/>
      <c r="BR197" s="393"/>
      <c r="BS197" s="393"/>
    </row>
    <row r="198" spans="1:71" ht="11.25" customHeight="1" x14ac:dyDescent="0.3">
      <c r="A198" s="383"/>
      <c r="B198" s="383"/>
      <c r="C198" s="383"/>
      <c r="D198" s="383"/>
      <c r="E198" s="383"/>
      <c r="F198" s="383"/>
      <c r="G198" s="383"/>
      <c r="H198" s="383"/>
      <c r="I198" s="383"/>
      <c r="J198" s="383"/>
      <c r="K198" s="383"/>
      <c r="L198" s="383"/>
      <c r="M198" s="383"/>
      <c r="N198" s="383"/>
      <c r="O198" s="383"/>
      <c r="P198" s="383"/>
      <c r="Q198" s="383"/>
      <c r="R198" s="383"/>
      <c r="S198" s="383"/>
      <c r="T198" s="383"/>
      <c r="U198" s="383"/>
      <c r="V198" s="383"/>
      <c r="W198" s="383"/>
      <c r="X198" s="383"/>
      <c r="Y198" s="383"/>
      <c r="Z198" s="383"/>
      <c r="AA198" s="383"/>
      <c r="AB198" s="383"/>
      <c r="AC198" s="383"/>
      <c r="AD198" s="383"/>
      <c r="AE198" s="383"/>
      <c r="AF198" s="383"/>
      <c r="AG198" s="383"/>
      <c r="AH198" s="383"/>
      <c r="AI198" s="383"/>
      <c r="AJ198" s="383"/>
      <c r="AK198" s="383"/>
      <c r="AL198" s="383"/>
      <c r="AM198" s="383"/>
      <c r="AN198" s="383"/>
      <c r="AO198" s="383"/>
      <c r="AP198" s="383"/>
      <c r="AQ198" s="383"/>
      <c r="AR198" s="383"/>
      <c r="AS198" s="383"/>
      <c r="AT198" s="383"/>
      <c r="AU198" s="383"/>
      <c r="AV198" s="383"/>
      <c r="AW198" s="383"/>
      <c r="AX198" s="383"/>
      <c r="AY198" s="393"/>
      <c r="AZ198" s="393"/>
      <c r="BA198" s="393"/>
      <c r="BB198" s="393"/>
      <c r="BC198" s="393"/>
      <c r="BD198" s="393"/>
      <c r="BE198" s="393"/>
      <c r="BF198" s="393"/>
      <c r="BG198" s="393"/>
      <c r="BH198" s="393"/>
      <c r="BI198" s="393"/>
      <c r="BJ198" s="393"/>
      <c r="BK198" s="393"/>
      <c r="BL198" s="393"/>
      <c r="BM198" s="393"/>
      <c r="BN198" s="393"/>
      <c r="BO198" s="393"/>
      <c r="BP198" s="393"/>
      <c r="BQ198" s="393"/>
      <c r="BR198" s="393"/>
      <c r="BS198" s="393"/>
    </row>
    <row r="199" spans="1:71" ht="11.25" customHeight="1" x14ac:dyDescent="0.3">
      <c r="A199" s="383"/>
      <c r="B199" s="383"/>
      <c r="C199" s="383"/>
      <c r="D199" s="383"/>
      <c r="E199" s="383"/>
      <c r="F199" s="383"/>
      <c r="G199" s="383"/>
      <c r="H199" s="383"/>
      <c r="I199" s="383"/>
      <c r="J199" s="383"/>
      <c r="K199" s="383"/>
      <c r="L199" s="383"/>
      <c r="M199" s="383"/>
      <c r="N199" s="383"/>
      <c r="O199" s="383"/>
      <c r="P199" s="383"/>
      <c r="Q199" s="383"/>
      <c r="R199" s="383"/>
      <c r="S199" s="383"/>
      <c r="T199" s="383"/>
      <c r="U199" s="383"/>
      <c r="V199" s="383"/>
      <c r="W199" s="383"/>
      <c r="X199" s="383"/>
      <c r="Y199" s="383"/>
      <c r="Z199" s="383"/>
      <c r="AA199" s="383"/>
      <c r="AB199" s="383"/>
      <c r="AC199" s="383"/>
      <c r="AD199" s="383"/>
      <c r="AE199" s="383"/>
      <c r="AF199" s="383"/>
      <c r="AG199" s="383"/>
      <c r="AH199" s="383"/>
      <c r="AI199" s="383"/>
      <c r="AJ199" s="383"/>
      <c r="AK199" s="383"/>
      <c r="AL199" s="383"/>
      <c r="AM199" s="383"/>
      <c r="AN199" s="383"/>
      <c r="AO199" s="383"/>
      <c r="AP199" s="383"/>
      <c r="AQ199" s="383"/>
      <c r="AR199" s="383"/>
      <c r="AS199" s="383"/>
      <c r="AT199" s="383"/>
      <c r="AU199" s="383"/>
      <c r="AV199" s="383"/>
      <c r="AW199" s="383"/>
      <c r="AX199" s="383"/>
      <c r="AY199" s="393"/>
      <c r="AZ199" s="393"/>
      <c r="BA199" s="393"/>
      <c r="BB199" s="393"/>
      <c r="BC199" s="393"/>
      <c r="BD199" s="393"/>
      <c r="BE199" s="393"/>
      <c r="BF199" s="393"/>
      <c r="BG199" s="393"/>
      <c r="BH199" s="393"/>
      <c r="BI199" s="393"/>
      <c r="BJ199" s="393"/>
      <c r="BK199" s="393"/>
      <c r="BL199" s="393"/>
      <c r="BM199" s="393"/>
      <c r="BN199" s="393"/>
      <c r="BO199" s="393"/>
      <c r="BP199" s="393"/>
      <c r="BQ199" s="393"/>
      <c r="BR199" s="393"/>
      <c r="BS199" s="393"/>
    </row>
    <row r="200" spans="1:71" ht="11.25" customHeight="1" x14ac:dyDescent="0.3">
      <c r="A200" s="383"/>
      <c r="B200" s="383"/>
      <c r="C200" s="383"/>
      <c r="D200" s="383"/>
      <c r="E200" s="383"/>
      <c r="F200" s="383"/>
      <c r="G200" s="383"/>
      <c r="H200" s="383"/>
      <c r="I200" s="383"/>
      <c r="J200" s="383"/>
      <c r="K200" s="383"/>
      <c r="L200" s="383"/>
      <c r="M200" s="383"/>
      <c r="N200" s="383"/>
      <c r="O200" s="383"/>
      <c r="P200" s="383"/>
      <c r="Q200" s="383"/>
      <c r="R200" s="383"/>
      <c r="S200" s="383"/>
      <c r="T200" s="383"/>
      <c r="U200" s="383"/>
      <c r="V200" s="383"/>
      <c r="W200" s="383"/>
      <c r="X200" s="383"/>
      <c r="Y200" s="383"/>
      <c r="Z200" s="383"/>
      <c r="AA200" s="383"/>
      <c r="AB200" s="383"/>
      <c r="AC200" s="383"/>
      <c r="AD200" s="383"/>
      <c r="AE200" s="383"/>
      <c r="AF200" s="383"/>
      <c r="AG200" s="383"/>
      <c r="AH200" s="383"/>
      <c r="AI200" s="383"/>
      <c r="AJ200" s="383"/>
      <c r="AK200" s="383"/>
      <c r="AL200" s="383"/>
      <c r="AM200" s="383"/>
      <c r="AN200" s="383"/>
      <c r="AO200" s="383"/>
      <c r="AP200" s="383"/>
      <c r="AQ200" s="383"/>
      <c r="AR200" s="383"/>
      <c r="AS200" s="383"/>
      <c r="AT200" s="383"/>
      <c r="AU200" s="383"/>
      <c r="AV200" s="383"/>
      <c r="AW200" s="383"/>
      <c r="AX200" s="383"/>
      <c r="AY200" s="393"/>
      <c r="AZ200" s="393"/>
      <c r="BA200" s="393"/>
      <c r="BB200" s="393"/>
      <c r="BC200" s="393"/>
      <c r="BD200" s="393"/>
      <c r="BE200" s="393"/>
      <c r="BF200" s="393"/>
      <c r="BG200" s="393"/>
      <c r="BH200" s="393"/>
      <c r="BI200" s="393"/>
      <c r="BJ200" s="393"/>
      <c r="BK200" s="393"/>
      <c r="BL200" s="393"/>
      <c r="BM200" s="393"/>
      <c r="BN200" s="393"/>
      <c r="BO200" s="393"/>
      <c r="BP200" s="393"/>
      <c r="BQ200" s="393"/>
      <c r="BR200" s="393"/>
      <c r="BS200" s="393"/>
    </row>
    <row r="201" spans="1:71" ht="11.25" customHeight="1" x14ac:dyDescent="0.3">
      <c r="A201" s="383"/>
      <c r="B201" s="383"/>
      <c r="C201" s="383"/>
      <c r="D201" s="383"/>
      <c r="E201" s="383"/>
      <c r="F201" s="383"/>
      <c r="G201" s="383"/>
      <c r="H201" s="383"/>
      <c r="I201" s="383"/>
      <c r="J201" s="383"/>
      <c r="K201" s="383"/>
      <c r="L201" s="383"/>
      <c r="M201" s="383"/>
      <c r="N201" s="383"/>
      <c r="O201" s="383"/>
      <c r="P201" s="383"/>
      <c r="Q201" s="383"/>
      <c r="R201" s="383"/>
      <c r="S201" s="383"/>
      <c r="T201" s="383"/>
      <c r="U201" s="383"/>
      <c r="V201" s="383"/>
      <c r="W201" s="383"/>
      <c r="X201" s="383"/>
      <c r="Y201" s="383"/>
      <c r="Z201" s="383"/>
      <c r="AA201" s="383"/>
      <c r="AB201" s="383"/>
      <c r="AC201" s="383"/>
      <c r="AD201" s="383"/>
      <c r="AE201" s="383"/>
      <c r="AF201" s="383"/>
      <c r="AG201" s="383"/>
      <c r="AH201" s="383"/>
      <c r="AI201" s="383"/>
      <c r="AJ201" s="383"/>
      <c r="AK201" s="383"/>
      <c r="AL201" s="383"/>
      <c r="AM201" s="383"/>
      <c r="AN201" s="383"/>
      <c r="AO201" s="383"/>
      <c r="AP201" s="383"/>
      <c r="AQ201" s="383"/>
      <c r="AR201" s="383"/>
      <c r="AS201" s="383"/>
      <c r="AT201" s="383"/>
      <c r="AU201" s="383"/>
      <c r="AV201" s="383"/>
      <c r="AW201" s="383"/>
      <c r="AX201" s="383"/>
      <c r="AY201" s="393"/>
      <c r="AZ201" s="393"/>
      <c r="BA201" s="393"/>
      <c r="BB201" s="393"/>
      <c r="BC201" s="393"/>
      <c r="BD201" s="393"/>
      <c r="BE201" s="393"/>
      <c r="BF201" s="393"/>
      <c r="BG201" s="393"/>
      <c r="BH201" s="393"/>
      <c r="BI201" s="393"/>
      <c r="BJ201" s="393"/>
      <c r="BK201" s="393"/>
      <c r="BL201" s="393"/>
      <c r="BM201" s="393"/>
      <c r="BN201" s="393"/>
      <c r="BO201" s="393"/>
      <c r="BP201" s="393"/>
      <c r="BQ201" s="393"/>
      <c r="BR201" s="393"/>
      <c r="BS201" s="393"/>
    </row>
    <row r="202" spans="1:71" ht="11.25" customHeight="1" x14ac:dyDescent="0.3">
      <c r="A202" s="383"/>
      <c r="B202" s="383"/>
      <c r="C202" s="383"/>
      <c r="D202" s="383"/>
      <c r="E202" s="383"/>
      <c r="F202" s="383"/>
      <c r="G202" s="383"/>
      <c r="H202" s="383"/>
      <c r="I202" s="383"/>
      <c r="J202" s="383"/>
      <c r="K202" s="383"/>
      <c r="L202" s="383"/>
      <c r="M202" s="383"/>
      <c r="N202" s="383"/>
      <c r="O202" s="383"/>
      <c r="P202" s="383"/>
      <c r="Q202" s="383"/>
      <c r="R202" s="383"/>
      <c r="S202" s="383"/>
      <c r="T202" s="383"/>
      <c r="U202" s="383"/>
      <c r="V202" s="383"/>
      <c r="W202" s="383"/>
      <c r="X202" s="383"/>
      <c r="Y202" s="383"/>
      <c r="Z202" s="383"/>
      <c r="AA202" s="383"/>
      <c r="AB202" s="383"/>
      <c r="AC202" s="383"/>
      <c r="AD202" s="383"/>
      <c r="AE202" s="383"/>
      <c r="AF202" s="383"/>
      <c r="AG202" s="383"/>
      <c r="AH202" s="383"/>
      <c r="AI202" s="383"/>
      <c r="AJ202" s="383"/>
      <c r="AK202" s="383"/>
      <c r="AL202" s="383"/>
      <c r="AM202" s="383"/>
      <c r="AN202" s="383"/>
      <c r="AO202" s="383"/>
      <c r="AP202" s="383"/>
      <c r="AQ202" s="383"/>
      <c r="AR202" s="383"/>
      <c r="AS202" s="383"/>
      <c r="AT202" s="383"/>
      <c r="AU202" s="383"/>
      <c r="AV202" s="383"/>
      <c r="AW202" s="383"/>
      <c r="AX202" s="383"/>
      <c r="AY202" s="393"/>
      <c r="AZ202" s="393"/>
      <c r="BA202" s="393"/>
      <c r="BB202" s="393"/>
      <c r="BC202" s="393"/>
      <c r="BD202" s="393"/>
      <c r="BE202" s="393"/>
      <c r="BF202" s="393"/>
      <c r="BG202" s="393"/>
      <c r="BH202" s="393"/>
      <c r="BI202" s="393"/>
      <c r="BJ202" s="393"/>
      <c r="BK202" s="393"/>
      <c r="BL202" s="393"/>
      <c r="BM202" s="393"/>
      <c r="BN202" s="393"/>
      <c r="BO202" s="393"/>
      <c r="BP202" s="393"/>
      <c r="BQ202" s="393"/>
      <c r="BR202" s="393"/>
      <c r="BS202" s="393"/>
    </row>
    <row r="203" spans="1:71" ht="11.25" customHeight="1" x14ac:dyDescent="0.3">
      <c r="A203" s="383"/>
      <c r="B203" s="383"/>
      <c r="C203" s="383"/>
      <c r="D203" s="383"/>
      <c r="E203" s="383"/>
      <c r="F203" s="383"/>
      <c r="G203" s="383"/>
      <c r="H203" s="383"/>
      <c r="I203" s="383"/>
      <c r="J203" s="383"/>
      <c r="K203" s="383"/>
      <c r="L203" s="383"/>
      <c r="M203" s="383"/>
      <c r="N203" s="383"/>
      <c r="O203" s="383"/>
      <c r="P203" s="383"/>
      <c r="Q203" s="383"/>
      <c r="R203" s="383"/>
      <c r="S203" s="383"/>
      <c r="T203" s="383"/>
      <c r="U203" s="383"/>
      <c r="V203" s="383"/>
      <c r="W203" s="383"/>
      <c r="X203" s="383"/>
      <c r="Y203" s="383"/>
      <c r="Z203" s="383"/>
      <c r="AA203" s="383"/>
      <c r="AB203" s="383"/>
      <c r="AC203" s="383"/>
      <c r="AD203" s="383"/>
      <c r="AE203" s="383"/>
      <c r="AF203" s="383"/>
      <c r="AG203" s="383"/>
      <c r="AH203" s="383"/>
      <c r="AI203" s="383"/>
      <c r="AJ203" s="383"/>
      <c r="AK203" s="383"/>
      <c r="AL203" s="383"/>
      <c r="AM203" s="383"/>
      <c r="AN203" s="383"/>
      <c r="AO203" s="383"/>
      <c r="AP203" s="383"/>
      <c r="AQ203" s="383"/>
      <c r="AR203" s="383"/>
      <c r="AS203" s="383"/>
      <c r="AT203" s="383"/>
      <c r="AU203" s="383"/>
      <c r="AV203" s="383"/>
      <c r="AW203" s="383"/>
      <c r="AX203" s="383"/>
      <c r="AY203" s="393"/>
      <c r="AZ203" s="393"/>
      <c r="BA203" s="393"/>
      <c r="BB203" s="393"/>
      <c r="BC203" s="393"/>
      <c r="BD203" s="393"/>
      <c r="BE203" s="393"/>
      <c r="BF203" s="393"/>
      <c r="BG203" s="393"/>
      <c r="BH203" s="393"/>
      <c r="BI203" s="393"/>
      <c r="BJ203" s="393"/>
      <c r="BK203" s="393"/>
      <c r="BL203" s="393"/>
      <c r="BM203" s="393"/>
      <c r="BN203" s="393"/>
      <c r="BO203" s="393"/>
      <c r="BP203" s="393"/>
      <c r="BQ203" s="393"/>
      <c r="BR203" s="393"/>
      <c r="BS203" s="393"/>
    </row>
    <row r="204" spans="1:71" ht="11.25" customHeight="1" x14ac:dyDescent="0.3">
      <c r="A204" s="383"/>
      <c r="B204" s="383"/>
      <c r="C204" s="383"/>
      <c r="D204" s="383"/>
      <c r="E204" s="383"/>
      <c r="F204" s="383"/>
      <c r="G204" s="383"/>
      <c r="H204" s="383"/>
      <c r="I204" s="383"/>
      <c r="J204" s="383"/>
      <c r="K204" s="383"/>
      <c r="L204" s="383"/>
      <c r="M204" s="383"/>
      <c r="N204" s="383"/>
      <c r="O204" s="383"/>
      <c r="P204" s="383"/>
      <c r="Q204" s="383"/>
      <c r="R204" s="383"/>
      <c r="S204" s="383"/>
      <c r="T204" s="383"/>
      <c r="U204" s="383"/>
      <c r="V204" s="383"/>
      <c r="W204" s="383"/>
      <c r="X204" s="383"/>
      <c r="Y204" s="383"/>
      <c r="Z204" s="383"/>
      <c r="AA204" s="383"/>
      <c r="AB204" s="383"/>
      <c r="AC204" s="383"/>
      <c r="AD204" s="383"/>
      <c r="AE204" s="383"/>
      <c r="AF204" s="383"/>
      <c r="AG204" s="383"/>
      <c r="AH204" s="383"/>
      <c r="AI204" s="383"/>
      <c r="AJ204" s="383"/>
      <c r="AK204" s="383"/>
      <c r="AL204" s="383"/>
      <c r="AM204" s="383"/>
      <c r="AN204" s="383"/>
      <c r="AO204" s="383"/>
      <c r="AP204" s="383"/>
      <c r="AQ204" s="383"/>
      <c r="AR204" s="383"/>
      <c r="AS204" s="383"/>
      <c r="AT204" s="383"/>
      <c r="AU204" s="383"/>
      <c r="AV204" s="383"/>
      <c r="AW204" s="383"/>
      <c r="AX204" s="383"/>
      <c r="AY204" s="393"/>
      <c r="AZ204" s="393"/>
      <c r="BA204" s="393"/>
      <c r="BB204" s="393"/>
      <c r="BC204" s="393"/>
      <c r="BD204" s="393"/>
      <c r="BE204" s="393"/>
      <c r="BF204" s="393"/>
      <c r="BG204" s="393"/>
      <c r="BH204" s="393"/>
      <c r="BI204" s="393"/>
      <c r="BJ204" s="393"/>
      <c r="BK204" s="393"/>
      <c r="BL204" s="393"/>
      <c r="BM204" s="393"/>
      <c r="BN204" s="393"/>
      <c r="BO204" s="393"/>
      <c r="BP204" s="393"/>
      <c r="BQ204" s="393"/>
      <c r="BR204" s="393"/>
      <c r="BS204" s="393"/>
    </row>
    <row r="205" spans="1:71" ht="11.25" customHeight="1" x14ac:dyDescent="0.3">
      <c r="A205" s="383"/>
      <c r="B205" s="383"/>
      <c r="C205" s="383"/>
      <c r="D205" s="383"/>
      <c r="E205" s="383"/>
      <c r="F205" s="383"/>
      <c r="G205" s="383"/>
      <c r="H205" s="383"/>
      <c r="I205" s="383"/>
      <c r="J205" s="383"/>
      <c r="K205" s="383"/>
      <c r="L205" s="383"/>
      <c r="M205" s="383"/>
      <c r="N205" s="383"/>
      <c r="O205" s="383"/>
      <c r="P205" s="383"/>
      <c r="Q205" s="383"/>
      <c r="R205" s="383"/>
      <c r="S205" s="383"/>
      <c r="T205" s="383"/>
      <c r="U205" s="383"/>
      <c r="V205" s="383"/>
      <c r="W205" s="383"/>
      <c r="X205" s="383"/>
      <c r="Y205" s="383"/>
      <c r="Z205" s="383"/>
      <c r="AA205" s="383"/>
      <c r="AB205" s="383"/>
      <c r="AC205" s="383"/>
      <c r="AD205" s="383"/>
      <c r="AE205" s="383"/>
      <c r="AF205" s="383"/>
      <c r="AG205" s="383"/>
      <c r="AH205" s="383"/>
      <c r="AI205" s="383"/>
      <c r="AJ205" s="383"/>
      <c r="AK205" s="383"/>
      <c r="AL205" s="383"/>
      <c r="AM205" s="383"/>
      <c r="AN205" s="383"/>
      <c r="AO205" s="383"/>
      <c r="AP205" s="383"/>
      <c r="AQ205" s="383"/>
      <c r="AR205" s="383"/>
      <c r="AS205" s="383"/>
      <c r="AT205" s="383"/>
      <c r="AU205" s="383"/>
      <c r="AV205" s="383"/>
      <c r="AW205" s="383"/>
      <c r="AX205" s="383"/>
      <c r="AY205" s="393"/>
      <c r="AZ205" s="393"/>
      <c r="BA205" s="393"/>
      <c r="BB205" s="393"/>
      <c r="BC205" s="393"/>
      <c r="BD205" s="393"/>
      <c r="BE205" s="393"/>
      <c r="BF205" s="393"/>
      <c r="BG205" s="393"/>
      <c r="BH205" s="393"/>
      <c r="BI205" s="393"/>
      <c r="BJ205" s="393"/>
      <c r="BK205" s="393"/>
      <c r="BL205" s="393"/>
      <c r="BM205" s="393"/>
      <c r="BN205" s="393"/>
      <c r="BO205" s="393"/>
      <c r="BP205" s="393"/>
      <c r="BQ205" s="393"/>
      <c r="BR205" s="393"/>
      <c r="BS205" s="393"/>
    </row>
    <row r="206" spans="1:71" ht="11.25" customHeight="1" x14ac:dyDescent="0.3">
      <c r="A206" s="383"/>
      <c r="B206" s="383"/>
      <c r="C206" s="383"/>
      <c r="D206" s="383"/>
      <c r="E206" s="383"/>
      <c r="F206" s="383"/>
      <c r="G206" s="383"/>
      <c r="H206" s="383"/>
      <c r="I206" s="383"/>
      <c r="J206" s="383"/>
      <c r="K206" s="383"/>
      <c r="L206" s="383"/>
      <c r="M206" s="383"/>
      <c r="N206" s="383"/>
      <c r="O206" s="383"/>
      <c r="P206" s="383"/>
      <c r="Q206" s="383"/>
      <c r="R206" s="383"/>
      <c r="S206" s="383"/>
      <c r="T206" s="383"/>
      <c r="U206" s="383"/>
      <c r="V206" s="383"/>
      <c r="W206" s="383"/>
      <c r="X206" s="383"/>
      <c r="Y206" s="383"/>
      <c r="Z206" s="383"/>
      <c r="AA206" s="383"/>
      <c r="AB206" s="383"/>
      <c r="AC206" s="383"/>
      <c r="AD206" s="383"/>
      <c r="AE206" s="383"/>
      <c r="AF206" s="383"/>
      <c r="AG206" s="383"/>
      <c r="AH206" s="383"/>
      <c r="AI206" s="383"/>
      <c r="AJ206" s="383"/>
      <c r="AK206" s="383"/>
      <c r="AL206" s="383"/>
      <c r="AM206" s="383"/>
      <c r="AN206" s="383"/>
      <c r="AO206" s="383"/>
      <c r="AP206" s="383"/>
      <c r="AQ206" s="383"/>
      <c r="AR206" s="383"/>
      <c r="AS206" s="383"/>
      <c r="AT206" s="383"/>
      <c r="AU206" s="383"/>
      <c r="AV206" s="383"/>
      <c r="AW206" s="383"/>
      <c r="AX206" s="383"/>
      <c r="AY206" s="393"/>
      <c r="AZ206" s="393"/>
      <c r="BA206" s="393"/>
      <c r="BB206" s="393"/>
      <c r="BC206" s="393"/>
      <c r="BD206" s="393"/>
      <c r="BE206" s="393"/>
      <c r="BF206" s="393"/>
      <c r="BG206" s="393"/>
      <c r="BH206" s="393"/>
      <c r="BI206" s="393"/>
      <c r="BJ206" s="393"/>
      <c r="BK206" s="393"/>
      <c r="BL206" s="393"/>
      <c r="BM206" s="393"/>
      <c r="BN206" s="393"/>
      <c r="BO206" s="393"/>
      <c r="BP206" s="393"/>
      <c r="BQ206" s="393"/>
      <c r="BR206" s="393"/>
      <c r="BS206" s="393"/>
    </row>
    <row r="207" spans="1:71" ht="11.25" customHeight="1" x14ac:dyDescent="0.3">
      <c r="A207" s="383"/>
      <c r="B207" s="383"/>
      <c r="C207" s="383"/>
      <c r="D207" s="383"/>
      <c r="E207" s="383"/>
      <c r="F207" s="383"/>
      <c r="G207" s="383"/>
      <c r="H207" s="383"/>
      <c r="I207" s="383"/>
      <c r="J207" s="383"/>
      <c r="K207" s="383"/>
      <c r="L207" s="383"/>
      <c r="M207" s="383"/>
      <c r="N207" s="383"/>
      <c r="O207" s="383"/>
      <c r="P207" s="383"/>
      <c r="Q207" s="383"/>
      <c r="R207" s="383"/>
      <c r="S207" s="383"/>
      <c r="T207" s="383"/>
      <c r="U207" s="383"/>
      <c r="V207" s="383"/>
      <c r="W207" s="383"/>
      <c r="X207" s="383"/>
      <c r="Y207" s="383"/>
      <c r="Z207" s="383"/>
      <c r="AA207" s="383"/>
      <c r="AB207" s="383"/>
      <c r="AC207" s="383"/>
      <c r="AD207" s="383"/>
      <c r="AE207" s="383"/>
      <c r="AF207" s="383"/>
      <c r="AG207" s="383"/>
      <c r="AH207" s="383"/>
      <c r="AI207" s="383"/>
      <c r="AJ207" s="383"/>
      <c r="AK207" s="383"/>
      <c r="AL207" s="383"/>
      <c r="AM207" s="383"/>
      <c r="AN207" s="383"/>
      <c r="AO207" s="383"/>
      <c r="AP207" s="383"/>
      <c r="AQ207" s="383"/>
      <c r="AR207" s="383"/>
      <c r="AS207" s="383"/>
      <c r="AT207" s="383"/>
      <c r="AU207" s="383"/>
      <c r="AV207" s="383"/>
      <c r="AW207" s="383"/>
      <c r="AX207" s="383"/>
      <c r="AY207" s="393"/>
      <c r="AZ207" s="393"/>
      <c r="BA207" s="393"/>
      <c r="BB207" s="393"/>
      <c r="BC207" s="393"/>
      <c r="BD207" s="393"/>
      <c r="BE207" s="393"/>
      <c r="BF207" s="393"/>
      <c r="BG207" s="393"/>
      <c r="BH207" s="393"/>
      <c r="BI207" s="393"/>
      <c r="BJ207" s="393"/>
      <c r="BK207" s="393"/>
      <c r="BL207" s="393"/>
      <c r="BM207" s="393"/>
      <c r="BN207" s="393"/>
      <c r="BO207" s="393"/>
      <c r="BP207" s="393"/>
      <c r="BQ207" s="393"/>
      <c r="BR207" s="393"/>
      <c r="BS207" s="393"/>
    </row>
    <row r="208" spans="1:71" ht="11.25" customHeight="1" x14ac:dyDescent="0.3">
      <c r="A208" s="383"/>
      <c r="B208" s="383"/>
      <c r="C208" s="383"/>
      <c r="D208" s="383"/>
      <c r="E208" s="383"/>
      <c r="F208" s="383"/>
      <c r="G208" s="383"/>
      <c r="H208" s="383"/>
      <c r="I208" s="383"/>
      <c r="J208" s="383"/>
      <c r="K208" s="383"/>
      <c r="L208" s="383"/>
      <c r="M208" s="383"/>
      <c r="N208" s="383"/>
      <c r="O208" s="383"/>
      <c r="P208" s="383"/>
      <c r="Q208" s="383"/>
      <c r="R208" s="383"/>
      <c r="S208" s="383"/>
      <c r="T208" s="383"/>
      <c r="U208" s="383"/>
      <c r="V208" s="383"/>
      <c r="W208" s="383"/>
      <c r="X208" s="383"/>
      <c r="Y208" s="383"/>
      <c r="Z208" s="383"/>
      <c r="AA208" s="383"/>
      <c r="AB208" s="383"/>
      <c r="AC208" s="383"/>
      <c r="AD208" s="383"/>
      <c r="AE208" s="383"/>
      <c r="AF208" s="383"/>
      <c r="AG208" s="383"/>
      <c r="AH208" s="383"/>
      <c r="AI208" s="383"/>
      <c r="AJ208" s="383"/>
      <c r="AK208" s="383"/>
      <c r="AL208" s="383"/>
      <c r="AM208" s="383"/>
      <c r="AN208" s="383"/>
      <c r="AO208" s="383"/>
      <c r="AP208" s="383"/>
      <c r="AQ208" s="383"/>
      <c r="AR208" s="383"/>
      <c r="AS208" s="383"/>
      <c r="AT208" s="383"/>
      <c r="AU208" s="383"/>
      <c r="AV208" s="383"/>
      <c r="AW208" s="383"/>
      <c r="AX208" s="383"/>
      <c r="AY208" s="393"/>
      <c r="AZ208" s="393"/>
      <c r="BA208" s="393"/>
      <c r="BB208" s="393"/>
      <c r="BC208" s="393"/>
      <c r="BD208" s="393"/>
      <c r="BE208" s="393"/>
      <c r="BF208" s="393"/>
      <c r="BG208" s="393"/>
      <c r="BH208" s="393"/>
      <c r="BI208" s="393"/>
      <c r="BJ208" s="393"/>
      <c r="BK208" s="393"/>
      <c r="BL208" s="393"/>
      <c r="BM208" s="393"/>
      <c r="BN208" s="393"/>
      <c r="BO208" s="393"/>
      <c r="BP208" s="393"/>
      <c r="BQ208" s="393"/>
      <c r="BR208" s="393"/>
      <c r="BS208" s="393"/>
    </row>
    <row r="209" spans="1:71" ht="11.25" customHeight="1" x14ac:dyDescent="0.3">
      <c r="A209" s="383"/>
      <c r="B209" s="383"/>
      <c r="C209" s="383"/>
      <c r="D209" s="383"/>
      <c r="E209" s="383"/>
      <c r="F209" s="383"/>
      <c r="G209" s="383"/>
      <c r="H209" s="383"/>
      <c r="I209" s="383"/>
      <c r="J209" s="383"/>
      <c r="K209" s="383"/>
      <c r="L209" s="383"/>
      <c r="M209" s="383"/>
      <c r="N209" s="383"/>
      <c r="O209" s="383"/>
      <c r="P209" s="383"/>
      <c r="Q209" s="383"/>
      <c r="R209" s="383"/>
      <c r="S209" s="383"/>
      <c r="T209" s="383"/>
      <c r="U209" s="383"/>
      <c r="V209" s="383"/>
      <c r="W209" s="383"/>
      <c r="X209" s="383"/>
      <c r="Y209" s="383"/>
      <c r="Z209" s="383"/>
      <c r="AA209" s="383"/>
      <c r="AB209" s="383"/>
      <c r="AC209" s="383"/>
      <c r="AD209" s="383"/>
      <c r="AE209" s="383"/>
      <c r="AF209" s="383"/>
      <c r="AG209" s="383"/>
      <c r="AH209" s="383"/>
      <c r="AI209" s="383"/>
      <c r="AJ209" s="383"/>
      <c r="AK209" s="383"/>
      <c r="AL209" s="383"/>
      <c r="AM209" s="383"/>
      <c r="AN209" s="383"/>
      <c r="AO209" s="383"/>
      <c r="AP209" s="383"/>
      <c r="AQ209" s="383"/>
      <c r="AR209" s="383"/>
      <c r="AS209" s="383"/>
      <c r="AT209" s="383"/>
      <c r="AU209" s="383"/>
      <c r="AV209" s="383"/>
      <c r="AW209" s="383"/>
      <c r="AX209" s="383"/>
      <c r="AY209" s="393"/>
      <c r="AZ209" s="393"/>
      <c r="BA209" s="393"/>
      <c r="BB209" s="393"/>
      <c r="BC209" s="393"/>
      <c r="BD209" s="393"/>
      <c r="BE209" s="393"/>
      <c r="BF209" s="393"/>
      <c r="BG209" s="393"/>
      <c r="BH209" s="393"/>
      <c r="BI209" s="393"/>
      <c r="BJ209" s="393"/>
      <c r="BK209" s="393"/>
      <c r="BL209" s="393"/>
      <c r="BM209" s="393"/>
      <c r="BN209" s="393"/>
      <c r="BO209" s="393"/>
      <c r="BP209" s="393"/>
      <c r="BQ209" s="393"/>
      <c r="BR209" s="393"/>
      <c r="BS209" s="393"/>
    </row>
    <row r="210" spans="1:71" ht="11.25" customHeight="1" x14ac:dyDescent="0.3">
      <c r="A210" s="383"/>
      <c r="B210" s="383"/>
      <c r="C210" s="383"/>
      <c r="D210" s="383"/>
      <c r="E210" s="383"/>
      <c r="F210" s="383"/>
      <c r="G210" s="383"/>
      <c r="H210" s="383"/>
      <c r="I210" s="383"/>
      <c r="J210" s="383"/>
      <c r="K210" s="383"/>
      <c r="L210" s="383"/>
      <c r="M210" s="383"/>
      <c r="N210" s="383"/>
      <c r="O210" s="383"/>
      <c r="P210" s="383"/>
      <c r="Q210" s="383"/>
      <c r="R210" s="383"/>
      <c r="S210" s="383"/>
      <c r="T210" s="383"/>
      <c r="U210" s="383"/>
      <c r="V210" s="383"/>
      <c r="W210" s="383"/>
      <c r="X210" s="383"/>
      <c r="Y210" s="383"/>
      <c r="Z210" s="383"/>
      <c r="AA210" s="383"/>
      <c r="AB210" s="383"/>
      <c r="AC210" s="383"/>
      <c r="AD210" s="383"/>
      <c r="AE210" s="383"/>
      <c r="AF210" s="383"/>
      <c r="AG210" s="383"/>
      <c r="AH210" s="383"/>
      <c r="AI210" s="383"/>
      <c r="AJ210" s="383"/>
      <c r="AK210" s="383"/>
      <c r="AL210" s="383"/>
      <c r="AM210" s="383"/>
      <c r="AN210" s="383"/>
      <c r="AO210" s="383"/>
      <c r="AP210" s="383"/>
      <c r="AQ210" s="383"/>
      <c r="AR210" s="383"/>
      <c r="AS210" s="383"/>
      <c r="AT210" s="383"/>
      <c r="AU210" s="383"/>
      <c r="AV210" s="383"/>
      <c r="AW210" s="383"/>
      <c r="AX210" s="383"/>
      <c r="AY210" s="393"/>
      <c r="AZ210" s="393"/>
      <c r="BA210" s="393"/>
      <c r="BB210" s="393"/>
      <c r="BC210" s="393"/>
      <c r="BD210" s="393"/>
      <c r="BE210" s="393"/>
      <c r="BF210" s="393"/>
      <c r="BG210" s="393"/>
      <c r="BH210" s="393"/>
      <c r="BI210" s="393"/>
      <c r="BJ210" s="393"/>
      <c r="BK210" s="393"/>
      <c r="BL210" s="393"/>
      <c r="BM210" s="393"/>
      <c r="BN210" s="393"/>
      <c r="BO210" s="393"/>
      <c r="BP210" s="393"/>
      <c r="BQ210" s="393"/>
      <c r="BR210" s="393"/>
      <c r="BS210" s="393"/>
    </row>
    <row r="211" spans="1:71" ht="11.25" customHeight="1" x14ac:dyDescent="0.3">
      <c r="A211" s="383"/>
      <c r="B211" s="383"/>
      <c r="C211" s="383"/>
      <c r="D211" s="383"/>
      <c r="E211" s="383"/>
      <c r="F211" s="383"/>
      <c r="G211" s="383"/>
      <c r="H211" s="383"/>
      <c r="I211" s="383"/>
      <c r="J211" s="383"/>
      <c r="K211" s="383"/>
      <c r="L211" s="383"/>
      <c r="M211" s="383"/>
      <c r="N211" s="383"/>
      <c r="O211" s="383"/>
      <c r="P211" s="383"/>
      <c r="Q211" s="383"/>
      <c r="R211" s="383"/>
      <c r="S211" s="383"/>
      <c r="T211" s="383"/>
      <c r="U211" s="383"/>
      <c r="V211" s="383"/>
      <c r="W211" s="383"/>
      <c r="X211" s="383"/>
      <c r="Y211" s="383"/>
      <c r="Z211" s="383"/>
      <c r="AA211" s="383"/>
      <c r="AB211" s="383"/>
      <c r="AC211" s="383"/>
      <c r="AD211" s="383"/>
      <c r="AE211" s="383"/>
      <c r="AF211" s="383"/>
      <c r="AG211" s="383"/>
      <c r="AH211" s="383"/>
      <c r="AI211" s="383"/>
      <c r="AJ211" s="383"/>
      <c r="AK211" s="383"/>
      <c r="AL211" s="383"/>
      <c r="AM211" s="383"/>
      <c r="AN211" s="383"/>
      <c r="AO211" s="383"/>
      <c r="AP211" s="383"/>
      <c r="AQ211" s="383"/>
      <c r="AR211" s="383"/>
      <c r="AS211" s="383"/>
      <c r="AT211" s="383"/>
      <c r="AU211" s="383"/>
      <c r="AV211" s="383"/>
      <c r="AW211" s="383"/>
      <c r="AX211" s="383"/>
      <c r="AY211" s="393"/>
      <c r="AZ211" s="393"/>
      <c r="BA211" s="393"/>
      <c r="BB211" s="393"/>
      <c r="BC211" s="393"/>
      <c r="BD211" s="393"/>
      <c r="BE211" s="393"/>
      <c r="BF211" s="393"/>
      <c r="BG211" s="393"/>
      <c r="BH211" s="393"/>
      <c r="BI211" s="393"/>
      <c r="BJ211" s="393"/>
      <c r="BK211" s="393"/>
      <c r="BL211" s="393"/>
      <c r="BM211" s="393"/>
      <c r="BN211" s="393"/>
      <c r="BO211" s="393"/>
      <c r="BP211" s="393"/>
      <c r="BQ211" s="393"/>
      <c r="BR211" s="393"/>
      <c r="BS211" s="393"/>
    </row>
    <row r="212" spans="1:71" ht="11.25" customHeight="1" x14ac:dyDescent="0.3">
      <c r="A212" s="383"/>
      <c r="B212" s="383"/>
      <c r="C212" s="383"/>
      <c r="D212" s="383"/>
      <c r="E212" s="383"/>
      <c r="F212" s="383"/>
      <c r="G212" s="383"/>
      <c r="H212" s="383"/>
      <c r="I212" s="383"/>
      <c r="J212" s="383"/>
      <c r="K212" s="383"/>
      <c r="L212" s="383"/>
      <c r="M212" s="383"/>
      <c r="N212" s="383"/>
      <c r="O212" s="383"/>
      <c r="P212" s="383"/>
      <c r="Q212" s="383"/>
      <c r="R212" s="383"/>
      <c r="S212" s="383"/>
      <c r="T212" s="383"/>
      <c r="U212" s="383"/>
      <c r="V212" s="383"/>
      <c r="W212" s="383"/>
      <c r="X212" s="383"/>
      <c r="Y212" s="383"/>
      <c r="Z212" s="383"/>
      <c r="AA212" s="383"/>
      <c r="AB212" s="383"/>
      <c r="AC212" s="383"/>
      <c r="AD212" s="383"/>
      <c r="AE212" s="383"/>
      <c r="AF212" s="383"/>
      <c r="AG212" s="383"/>
      <c r="AH212" s="383"/>
      <c r="AI212" s="383"/>
      <c r="AJ212" s="383"/>
      <c r="AK212" s="383"/>
      <c r="AL212" s="383"/>
      <c r="AM212" s="383"/>
      <c r="AN212" s="383"/>
      <c r="AO212" s="383"/>
      <c r="AP212" s="383"/>
      <c r="AQ212" s="383"/>
      <c r="AR212" s="383"/>
      <c r="AS212" s="383"/>
      <c r="AT212" s="383"/>
      <c r="AU212" s="383"/>
      <c r="AV212" s="383"/>
      <c r="AW212" s="383"/>
      <c r="AX212" s="383"/>
      <c r="AY212" s="393"/>
      <c r="AZ212" s="393"/>
      <c r="BA212" s="393"/>
      <c r="BB212" s="393"/>
      <c r="BC212" s="393"/>
      <c r="BD212" s="393"/>
      <c r="BE212" s="393"/>
      <c r="BF212" s="393"/>
      <c r="BG212" s="393"/>
      <c r="BH212" s="393"/>
      <c r="BI212" s="393"/>
      <c r="BJ212" s="393"/>
      <c r="BK212" s="393"/>
      <c r="BL212" s="393"/>
      <c r="BM212" s="393"/>
      <c r="BN212" s="393"/>
      <c r="BO212" s="393"/>
      <c r="BP212" s="393"/>
      <c r="BQ212" s="393"/>
      <c r="BR212" s="393"/>
      <c r="BS212" s="393"/>
    </row>
    <row r="213" spans="1:71" ht="11.25" customHeight="1" x14ac:dyDescent="0.3">
      <c r="A213" s="383"/>
      <c r="B213" s="383"/>
      <c r="C213" s="383"/>
      <c r="D213" s="383"/>
      <c r="E213" s="383"/>
      <c r="F213" s="383"/>
      <c r="G213" s="383"/>
      <c r="H213" s="383"/>
      <c r="I213" s="383"/>
      <c r="J213" s="383"/>
      <c r="K213" s="383"/>
      <c r="L213" s="383"/>
      <c r="M213" s="383"/>
      <c r="N213" s="383"/>
      <c r="O213" s="383"/>
      <c r="P213" s="383"/>
      <c r="Q213" s="383"/>
      <c r="R213" s="383"/>
      <c r="S213" s="383"/>
      <c r="T213" s="383"/>
      <c r="U213" s="383"/>
      <c r="V213" s="383"/>
      <c r="W213" s="383"/>
      <c r="X213" s="383"/>
      <c r="Y213" s="383"/>
      <c r="Z213" s="383"/>
      <c r="AA213" s="383"/>
      <c r="AB213" s="383"/>
      <c r="AC213" s="383"/>
      <c r="AD213" s="383"/>
      <c r="AE213" s="383"/>
      <c r="AF213" s="383"/>
      <c r="AG213" s="383"/>
      <c r="AH213" s="383"/>
      <c r="AI213" s="383"/>
      <c r="AJ213" s="383"/>
      <c r="AK213" s="383"/>
      <c r="AL213" s="383"/>
      <c r="AM213" s="383"/>
      <c r="AN213" s="383"/>
      <c r="AO213" s="383"/>
      <c r="AP213" s="383"/>
      <c r="AQ213" s="383"/>
      <c r="AR213" s="383"/>
      <c r="AS213" s="383"/>
      <c r="AT213" s="383"/>
      <c r="AU213" s="383"/>
      <c r="AV213" s="383"/>
      <c r="AW213" s="383"/>
      <c r="AX213" s="383"/>
      <c r="AY213" s="393"/>
      <c r="AZ213" s="393"/>
      <c r="BA213" s="393"/>
      <c r="BB213" s="393"/>
      <c r="BC213" s="393"/>
      <c r="BD213" s="393"/>
      <c r="BE213" s="393"/>
      <c r="BF213" s="393"/>
      <c r="BG213" s="393"/>
      <c r="BH213" s="393"/>
      <c r="BI213" s="393"/>
      <c r="BJ213" s="393"/>
      <c r="BK213" s="393"/>
      <c r="BL213" s="393"/>
      <c r="BM213" s="393"/>
      <c r="BN213" s="393"/>
      <c r="BO213" s="393"/>
      <c r="BP213" s="393"/>
      <c r="BQ213" s="393"/>
      <c r="BR213" s="393"/>
      <c r="BS213" s="393"/>
    </row>
    <row r="214" spans="1:71" ht="11.25" customHeight="1" x14ac:dyDescent="0.3">
      <c r="A214" s="383"/>
      <c r="B214" s="383"/>
      <c r="C214" s="383"/>
      <c r="D214" s="383"/>
      <c r="E214" s="383"/>
      <c r="F214" s="383"/>
      <c r="G214" s="383"/>
      <c r="H214" s="383"/>
      <c r="I214" s="383"/>
      <c r="J214" s="383"/>
      <c r="K214" s="383"/>
      <c r="L214" s="383"/>
      <c r="M214" s="383"/>
      <c r="N214" s="383"/>
      <c r="O214" s="383"/>
      <c r="P214" s="383"/>
      <c r="Q214" s="383"/>
      <c r="R214" s="383"/>
      <c r="S214" s="383"/>
      <c r="T214" s="383"/>
      <c r="U214" s="383"/>
      <c r="V214" s="383"/>
      <c r="W214" s="383"/>
      <c r="X214" s="383"/>
      <c r="Y214" s="383"/>
      <c r="Z214" s="383"/>
      <c r="AA214" s="383"/>
      <c r="AB214" s="383"/>
      <c r="AC214" s="383"/>
      <c r="AD214" s="383"/>
      <c r="AE214" s="383"/>
      <c r="AF214" s="383"/>
      <c r="AG214" s="383"/>
      <c r="AH214" s="383"/>
      <c r="AI214" s="383"/>
      <c r="AJ214" s="383"/>
      <c r="AK214" s="383"/>
      <c r="AL214" s="383"/>
      <c r="AM214" s="383"/>
      <c r="AN214" s="383"/>
      <c r="AO214" s="383"/>
      <c r="AP214" s="383"/>
      <c r="AQ214" s="383"/>
      <c r="AR214" s="383"/>
      <c r="AS214" s="383"/>
      <c r="AT214" s="383"/>
      <c r="AU214" s="383"/>
      <c r="AV214" s="383"/>
      <c r="AW214" s="383"/>
      <c r="AX214" s="383"/>
      <c r="AY214" s="393"/>
      <c r="AZ214" s="393"/>
      <c r="BA214" s="393"/>
      <c r="BB214" s="393"/>
      <c r="BC214" s="393"/>
      <c r="BD214" s="393"/>
      <c r="BE214" s="393"/>
      <c r="BF214" s="393"/>
      <c r="BG214" s="393"/>
      <c r="BH214" s="393"/>
      <c r="BI214" s="393"/>
      <c r="BJ214" s="393"/>
      <c r="BK214" s="393"/>
      <c r="BL214" s="393"/>
      <c r="BM214" s="393"/>
      <c r="BN214" s="393"/>
      <c r="BO214" s="393"/>
      <c r="BP214" s="393"/>
      <c r="BQ214" s="393"/>
      <c r="BR214" s="393"/>
      <c r="BS214" s="393"/>
    </row>
    <row r="215" spans="1:71" ht="11.25" customHeight="1" x14ac:dyDescent="0.3">
      <c r="A215" s="383"/>
      <c r="B215" s="383"/>
      <c r="C215" s="383"/>
      <c r="D215" s="383"/>
      <c r="E215" s="383"/>
      <c r="F215" s="383"/>
      <c r="G215" s="383"/>
      <c r="H215" s="383"/>
      <c r="I215" s="383"/>
      <c r="J215" s="383"/>
      <c r="K215" s="383"/>
      <c r="L215" s="383"/>
      <c r="M215" s="383"/>
      <c r="N215" s="383"/>
      <c r="O215" s="383"/>
      <c r="P215" s="383"/>
      <c r="Q215" s="383"/>
      <c r="R215" s="383"/>
      <c r="S215" s="383"/>
      <c r="T215" s="383"/>
      <c r="U215" s="383"/>
      <c r="V215" s="383"/>
      <c r="W215" s="383"/>
      <c r="X215" s="383"/>
      <c r="Y215" s="383"/>
      <c r="Z215" s="383"/>
      <c r="AA215" s="383"/>
      <c r="AB215" s="383"/>
      <c r="AC215" s="383"/>
      <c r="AD215" s="383"/>
      <c r="AE215" s="383"/>
      <c r="AF215" s="383"/>
      <c r="AG215" s="383"/>
      <c r="AH215" s="383"/>
      <c r="AI215" s="383"/>
      <c r="AJ215" s="383"/>
      <c r="AK215" s="383"/>
      <c r="AL215" s="383"/>
      <c r="AM215" s="383"/>
      <c r="AN215" s="383"/>
      <c r="AO215" s="383"/>
      <c r="AP215" s="383"/>
      <c r="AQ215" s="383"/>
      <c r="AR215" s="383"/>
      <c r="AS215" s="383"/>
      <c r="AT215" s="383"/>
      <c r="AU215" s="383"/>
      <c r="AV215" s="383"/>
      <c r="AW215" s="383"/>
      <c r="AX215" s="383"/>
      <c r="AY215" s="393"/>
      <c r="AZ215" s="393"/>
      <c r="BA215" s="393"/>
      <c r="BB215" s="393"/>
      <c r="BC215" s="393"/>
      <c r="BD215" s="393"/>
      <c r="BE215" s="393"/>
      <c r="BF215" s="393"/>
      <c r="BG215" s="393"/>
      <c r="BH215" s="393"/>
      <c r="BI215" s="393"/>
      <c r="BJ215" s="393"/>
      <c r="BK215" s="393"/>
      <c r="BL215" s="393"/>
      <c r="BM215" s="393"/>
      <c r="BN215" s="393"/>
      <c r="BO215" s="393"/>
      <c r="BP215" s="393"/>
      <c r="BQ215" s="393"/>
      <c r="BR215" s="393"/>
      <c r="BS215" s="393"/>
    </row>
    <row r="216" spans="1:71" ht="11.25" customHeight="1" x14ac:dyDescent="0.3">
      <c r="A216" s="383"/>
      <c r="B216" s="383"/>
      <c r="C216" s="383"/>
      <c r="D216" s="383"/>
      <c r="E216" s="383"/>
      <c r="F216" s="383"/>
      <c r="G216" s="383"/>
      <c r="H216" s="383"/>
      <c r="I216" s="383"/>
      <c r="J216" s="383"/>
      <c r="K216" s="383"/>
      <c r="L216" s="383"/>
      <c r="M216" s="383"/>
      <c r="N216" s="383"/>
      <c r="O216" s="383"/>
      <c r="P216" s="383"/>
      <c r="Q216" s="383"/>
      <c r="R216" s="383"/>
      <c r="S216" s="383"/>
      <c r="T216" s="383"/>
      <c r="U216" s="383"/>
      <c r="V216" s="383"/>
      <c r="W216" s="383"/>
      <c r="X216" s="383"/>
      <c r="Y216" s="383"/>
      <c r="Z216" s="383"/>
      <c r="AA216" s="383"/>
      <c r="AB216" s="383"/>
      <c r="AC216" s="383"/>
      <c r="AD216" s="383"/>
      <c r="AE216" s="383"/>
      <c r="AF216" s="383"/>
      <c r="AG216" s="383"/>
      <c r="AH216" s="383"/>
      <c r="AI216" s="383"/>
      <c r="AJ216" s="383"/>
      <c r="AK216" s="383"/>
      <c r="AL216" s="383"/>
      <c r="AM216" s="383"/>
      <c r="AN216" s="383"/>
      <c r="AO216" s="383"/>
      <c r="AP216" s="383"/>
      <c r="AQ216" s="383"/>
      <c r="AR216" s="383"/>
      <c r="AS216" s="383"/>
      <c r="AT216" s="383"/>
      <c r="AU216" s="383"/>
      <c r="AV216" s="383"/>
      <c r="AW216" s="383"/>
      <c r="AX216" s="383"/>
      <c r="AY216" s="393"/>
      <c r="AZ216" s="393"/>
      <c r="BA216" s="393"/>
      <c r="BB216" s="393"/>
      <c r="BC216" s="393"/>
      <c r="BD216" s="393"/>
      <c r="BE216" s="393"/>
      <c r="BF216" s="393"/>
      <c r="BG216" s="393"/>
      <c r="BH216" s="393"/>
      <c r="BI216" s="393"/>
      <c r="BJ216" s="393"/>
      <c r="BK216" s="393"/>
      <c r="BL216" s="393"/>
      <c r="BM216" s="393"/>
      <c r="BN216" s="393"/>
      <c r="BO216" s="393"/>
      <c r="BP216" s="393"/>
      <c r="BQ216" s="393"/>
      <c r="BR216" s="393"/>
      <c r="BS216" s="393"/>
    </row>
    <row r="217" spans="1:71" ht="11.25" customHeight="1" x14ac:dyDescent="0.3">
      <c r="A217" s="383"/>
      <c r="B217" s="383"/>
      <c r="C217" s="383"/>
      <c r="D217" s="383"/>
      <c r="E217" s="383"/>
      <c r="F217" s="383"/>
      <c r="G217" s="383"/>
      <c r="H217" s="383"/>
      <c r="I217" s="383"/>
      <c r="J217" s="383"/>
      <c r="K217" s="383"/>
      <c r="L217" s="383"/>
      <c r="M217" s="383"/>
      <c r="N217" s="383"/>
      <c r="O217" s="383"/>
      <c r="P217" s="383"/>
      <c r="Q217" s="383"/>
      <c r="R217" s="383"/>
      <c r="S217" s="383"/>
      <c r="T217" s="383"/>
      <c r="U217" s="383"/>
      <c r="V217" s="383"/>
      <c r="W217" s="383"/>
      <c r="X217" s="383"/>
      <c r="Y217" s="383"/>
      <c r="Z217" s="383"/>
      <c r="AA217" s="383"/>
      <c r="AB217" s="383"/>
      <c r="AC217" s="383"/>
      <c r="AD217" s="383"/>
      <c r="AE217" s="383"/>
      <c r="AF217" s="383"/>
      <c r="AG217" s="383"/>
      <c r="AH217" s="383"/>
      <c r="AI217" s="383"/>
      <c r="AJ217" s="383"/>
      <c r="AK217" s="383"/>
      <c r="AL217" s="383"/>
      <c r="AM217" s="383"/>
      <c r="AN217" s="383"/>
      <c r="AO217" s="383"/>
      <c r="AP217" s="383"/>
      <c r="AQ217" s="383"/>
      <c r="AR217" s="383"/>
      <c r="AS217" s="383"/>
      <c r="AT217" s="383"/>
      <c r="AU217" s="383"/>
      <c r="AV217" s="383"/>
      <c r="AW217" s="383"/>
      <c r="AX217" s="383"/>
      <c r="AY217" s="393"/>
      <c r="AZ217" s="393"/>
      <c r="BA217" s="393"/>
      <c r="BB217" s="393"/>
      <c r="BC217" s="393"/>
      <c r="BD217" s="393"/>
      <c r="BE217" s="393"/>
      <c r="BF217" s="393"/>
      <c r="BG217" s="393"/>
      <c r="BH217" s="393"/>
      <c r="BI217" s="393"/>
      <c r="BJ217" s="393"/>
      <c r="BK217" s="393"/>
      <c r="BL217" s="393"/>
      <c r="BM217" s="393"/>
      <c r="BN217" s="393"/>
      <c r="BO217" s="393"/>
      <c r="BP217" s="393"/>
      <c r="BQ217" s="393"/>
      <c r="BR217" s="393"/>
      <c r="BS217" s="393"/>
    </row>
    <row r="218" spans="1:71" ht="11.25" customHeight="1" x14ac:dyDescent="0.3">
      <c r="A218" s="383"/>
      <c r="B218" s="383"/>
      <c r="C218" s="383"/>
      <c r="D218" s="383"/>
      <c r="E218" s="383"/>
      <c r="F218" s="383"/>
      <c r="G218" s="383"/>
      <c r="H218" s="383"/>
      <c r="I218" s="383"/>
      <c r="J218" s="383"/>
      <c r="K218" s="383"/>
      <c r="L218" s="383"/>
      <c r="M218" s="383"/>
      <c r="N218" s="383"/>
      <c r="O218" s="383"/>
      <c r="P218" s="383"/>
      <c r="Q218" s="383"/>
      <c r="R218" s="383"/>
      <c r="S218" s="383"/>
      <c r="T218" s="383"/>
      <c r="U218" s="383"/>
      <c r="V218" s="383"/>
      <c r="W218" s="383"/>
      <c r="X218" s="383"/>
      <c r="Y218" s="383"/>
      <c r="Z218" s="383"/>
      <c r="AA218" s="383"/>
      <c r="AB218" s="383"/>
      <c r="AC218" s="383"/>
      <c r="AD218" s="383"/>
      <c r="AE218" s="383"/>
      <c r="AF218" s="383"/>
      <c r="AG218" s="383"/>
      <c r="AH218" s="383"/>
      <c r="AI218" s="383"/>
      <c r="AJ218" s="383"/>
      <c r="AK218" s="383"/>
      <c r="AL218" s="383"/>
      <c r="AM218" s="383"/>
      <c r="AN218" s="383"/>
      <c r="AO218" s="383"/>
      <c r="AP218" s="383"/>
      <c r="AQ218" s="383"/>
      <c r="AR218" s="383"/>
      <c r="AS218" s="383"/>
      <c r="AT218" s="383"/>
      <c r="AU218" s="383"/>
      <c r="AV218" s="383"/>
      <c r="AW218" s="383"/>
      <c r="AX218" s="383"/>
      <c r="AY218" s="393"/>
      <c r="AZ218" s="393"/>
      <c r="BA218" s="393"/>
      <c r="BB218" s="393"/>
      <c r="BC218" s="393"/>
      <c r="BD218" s="393"/>
      <c r="BE218" s="393"/>
      <c r="BF218" s="393"/>
      <c r="BG218" s="393"/>
      <c r="BH218" s="393"/>
      <c r="BI218" s="393"/>
      <c r="BJ218" s="393"/>
      <c r="BK218" s="393"/>
      <c r="BL218" s="393"/>
      <c r="BM218" s="393"/>
      <c r="BN218" s="393"/>
      <c r="BO218" s="393"/>
      <c r="BP218" s="393"/>
      <c r="BQ218" s="393"/>
      <c r="BR218" s="393"/>
      <c r="BS218" s="393"/>
    </row>
    <row r="219" spans="1:71" ht="11.25" customHeight="1" x14ac:dyDescent="0.3">
      <c r="A219" s="383"/>
      <c r="B219" s="383"/>
      <c r="C219" s="383"/>
      <c r="D219" s="383"/>
      <c r="E219" s="383"/>
      <c r="F219" s="383"/>
      <c r="G219" s="383"/>
      <c r="H219" s="383"/>
      <c r="I219" s="383"/>
      <c r="J219" s="383"/>
      <c r="K219" s="383"/>
      <c r="L219" s="383"/>
      <c r="M219" s="383"/>
      <c r="N219" s="383"/>
      <c r="O219" s="383"/>
      <c r="P219" s="383"/>
      <c r="Q219" s="383"/>
      <c r="R219" s="383"/>
      <c r="S219" s="383"/>
      <c r="T219" s="383"/>
      <c r="U219" s="383"/>
      <c r="V219" s="383"/>
      <c r="W219" s="383"/>
      <c r="X219" s="383"/>
      <c r="Y219" s="383"/>
      <c r="Z219" s="383"/>
      <c r="AA219" s="383"/>
      <c r="AB219" s="383"/>
      <c r="AC219" s="383"/>
      <c r="AD219" s="383"/>
      <c r="AE219" s="383"/>
      <c r="AF219" s="383"/>
      <c r="AG219" s="383"/>
      <c r="AH219" s="383"/>
      <c r="AI219" s="383"/>
      <c r="AJ219" s="383"/>
      <c r="AK219" s="383"/>
      <c r="AL219" s="383"/>
      <c r="AM219" s="383"/>
      <c r="AN219" s="383"/>
      <c r="AO219" s="383"/>
      <c r="AP219" s="383"/>
      <c r="AQ219" s="383"/>
      <c r="AR219" s="383"/>
      <c r="AS219" s="383"/>
      <c r="AT219" s="383"/>
      <c r="AU219" s="383"/>
      <c r="AV219" s="383"/>
      <c r="AW219" s="383"/>
      <c r="AX219" s="383"/>
      <c r="AY219" s="393"/>
      <c r="AZ219" s="393"/>
      <c r="BA219" s="393"/>
      <c r="BB219" s="393"/>
      <c r="BC219" s="393"/>
      <c r="BD219" s="393"/>
      <c r="BE219" s="393"/>
      <c r="BF219" s="393"/>
      <c r="BG219" s="393"/>
      <c r="BH219" s="393"/>
      <c r="BI219" s="393"/>
      <c r="BJ219" s="393"/>
      <c r="BK219" s="393"/>
      <c r="BL219" s="393"/>
      <c r="BM219" s="393"/>
      <c r="BN219" s="393"/>
      <c r="BO219" s="393"/>
      <c r="BP219" s="393"/>
      <c r="BQ219" s="393"/>
      <c r="BR219" s="393"/>
      <c r="BS219" s="393"/>
    </row>
    <row r="220" spans="1:71" ht="11.25" customHeight="1" x14ac:dyDescent="0.3">
      <c r="A220" s="383"/>
      <c r="B220" s="383"/>
      <c r="C220" s="383"/>
      <c r="D220" s="383"/>
      <c r="E220" s="383"/>
      <c r="F220" s="383"/>
      <c r="G220" s="383"/>
      <c r="H220" s="383"/>
      <c r="I220" s="383"/>
      <c r="J220" s="383"/>
      <c r="K220" s="383"/>
      <c r="L220" s="383"/>
      <c r="M220" s="383"/>
      <c r="N220" s="383"/>
      <c r="O220" s="383"/>
      <c r="P220" s="383"/>
      <c r="Q220" s="383"/>
      <c r="R220" s="383"/>
      <c r="S220" s="383"/>
      <c r="T220" s="383"/>
      <c r="U220" s="383"/>
      <c r="V220" s="383"/>
      <c r="W220" s="383"/>
      <c r="X220" s="383"/>
      <c r="Y220" s="383"/>
      <c r="Z220" s="383"/>
      <c r="AA220" s="383"/>
      <c r="AB220" s="383"/>
      <c r="AC220" s="383"/>
      <c r="AD220" s="383"/>
      <c r="AE220" s="383"/>
      <c r="AF220" s="383"/>
      <c r="AG220" s="383"/>
      <c r="AH220" s="383"/>
      <c r="AI220" s="383"/>
      <c r="AJ220" s="383"/>
      <c r="AK220" s="383"/>
      <c r="AL220" s="383"/>
      <c r="AM220" s="383"/>
      <c r="AN220" s="383"/>
      <c r="AO220" s="383"/>
      <c r="AP220" s="383"/>
      <c r="AQ220" s="383"/>
      <c r="AR220" s="383"/>
      <c r="AS220" s="383"/>
      <c r="AT220" s="383"/>
      <c r="AU220" s="383"/>
      <c r="AV220" s="383"/>
      <c r="AW220" s="383"/>
      <c r="AX220" s="383"/>
      <c r="AY220" s="393"/>
      <c r="AZ220" s="393"/>
      <c r="BA220" s="393"/>
      <c r="BB220" s="393"/>
      <c r="BC220" s="393"/>
      <c r="BD220" s="393"/>
      <c r="BE220" s="393"/>
      <c r="BF220" s="393"/>
      <c r="BG220" s="393"/>
      <c r="BH220" s="393"/>
      <c r="BI220" s="393"/>
      <c r="BJ220" s="393"/>
      <c r="BK220" s="393"/>
      <c r="BL220" s="393"/>
      <c r="BM220" s="393"/>
      <c r="BN220" s="393"/>
      <c r="BO220" s="393"/>
      <c r="BP220" s="393"/>
      <c r="BQ220" s="393"/>
      <c r="BR220" s="393"/>
      <c r="BS220" s="393"/>
    </row>
    <row r="221" spans="1:71" ht="11.25" customHeight="1" x14ac:dyDescent="0.3">
      <c r="A221" s="383"/>
      <c r="B221" s="383"/>
      <c r="C221" s="383"/>
      <c r="D221" s="383"/>
      <c r="E221" s="383"/>
      <c r="F221" s="383"/>
      <c r="G221" s="383"/>
      <c r="H221" s="383"/>
      <c r="I221" s="383"/>
      <c r="J221" s="383"/>
      <c r="K221" s="383"/>
      <c r="L221" s="383"/>
      <c r="M221" s="383"/>
      <c r="N221" s="383"/>
      <c r="O221" s="383"/>
      <c r="P221" s="383"/>
      <c r="Q221" s="383"/>
      <c r="R221" s="383"/>
      <c r="S221" s="383"/>
      <c r="T221" s="383"/>
      <c r="U221" s="383"/>
      <c r="V221" s="383"/>
      <c r="W221" s="383"/>
      <c r="X221" s="383"/>
      <c r="Y221" s="383"/>
      <c r="Z221" s="383"/>
      <c r="AA221" s="383"/>
      <c r="AB221" s="383"/>
      <c r="AC221" s="383"/>
      <c r="AD221" s="383"/>
      <c r="AE221" s="383"/>
      <c r="AF221" s="383"/>
      <c r="AG221" s="383"/>
      <c r="AH221" s="383"/>
      <c r="AI221" s="383"/>
      <c r="AJ221" s="383"/>
      <c r="AK221" s="383"/>
      <c r="AL221" s="383"/>
      <c r="AM221" s="383"/>
      <c r="AN221" s="383"/>
      <c r="AO221" s="383"/>
      <c r="AP221" s="383"/>
      <c r="AQ221" s="383"/>
      <c r="AR221" s="383"/>
      <c r="AS221" s="383"/>
      <c r="AT221" s="383"/>
      <c r="AU221" s="383"/>
      <c r="AV221" s="383"/>
      <c r="AW221" s="383"/>
      <c r="AX221" s="383"/>
      <c r="AY221" s="393"/>
      <c r="AZ221" s="393"/>
      <c r="BA221" s="393"/>
      <c r="BB221" s="393"/>
      <c r="BC221" s="393"/>
      <c r="BD221" s="393"/>
      <c r="BE221" s="393"/>
      <c r="BF221" s="393"/>
      <c r="BG221" s="393"/>
      <c r="BH221" s="393"/>
      <c r="BI221" s="393"/>
      <c r="BJ221" s="393"/>
      <c r="BK221" s="393"/>
      <c r="BL221" s="393"/>
      <c r="BM221" s="393"/>
      <c r="BN221" s="393"/>
      <c r="BO221" s="393"/>
      <c r="BP221" s="393"/>
      <c r="BQ221" s="393"/>
      <c r="BR221" s="393"/>
      <c r="BS221" s="393"/>
    </row>
    <row r="222" spans="1:71" ht="11.25" customHeight="1" x14ac:dyDescent="0.3">
      <c r="A222" s="383"/>
      <c r="B222" s="383"/>
      <c r="C222" s="383"/>
      <c r="D222" s="383"/>
      <c r="E222" s="383"/>
      <c r="F222" s="383"/>
      <c r="G222" s="383"/>
      <c r="H222" s="383"/>
      <c r="I222" s="383"/>
      <c r="J222" s="383"/>
      <c r="K222" s="383"/>
      <c r="L222" s="383"/>
      <c r="M222" s="383"/>
      <c r="N222" s="383"/>
      <c r="O222" s="383"/>
      <c r="P222" s="383"/>
      <c r="Q222" s="383"/>
      <c r="R222" s="383"/>
      <c r="S222" s="383"/>
      <c r="T222" s="383"/>
      <c r="U222" s="383"/>
      <c r="V222" s="383"/>
      <c r="W222" s="383"/>
      <c r="X222" s="383"/>
      <c r="Y222" s="383"/>
      <c r="Z222" s="383"/>
      <c r="AA222" s="383"/>
      <c r="AB222" s="383"/>
      <c r="AC222" s="383"/>
      <c r="AD222" s="383"/>
      <c r="AE222" s="383"/>
      <c r="AF222" s="383"/>
      <c r="AG222" s="383"/>
      <c r="AH222" s="383"/>
      <c r="AI222" s="383"/>
      <c r="AJ222" s="383"/>
      <c r="AK222" s="383"/>
      <c r="AL222" s="383"/>
      <c r="AM222" s="383"/>
      <c r="AN222" s="383"/>
      <c r="AO222" s="383"/>
      <c r="AP222" s="383"/>
      <c r="AQ222" s="383"/>
      <c r="AR222" s="383"/>
      <c r="AS222" s="383"/>
      <c r="AT222" s="383"/>
      <c r="AU222" s="383"/>
      <c r="AV222" s="383"/>
      <c r="AW222" s="383"/>
      <c r="AX222" s="383"/>
      <c r="AY222" s="393"/>
      <c r="AZ222" s="393"/>
      <c r="BA222" s="393"/>
      <c r="BB222" s="393"/>
      <c r="BC222" s="393"/>
      <c r="BD222" s="393"/>
      <c r="BE222" s="393"/>
      <c r="BF222" s="393"/>
      <c r="BG222" s="393"/>
      <c r="BH222" s="393"/>
      <c r="BI222" s="393"/>
      <c r="BJ222" s="393"/>
      <c r="BK222" s="393"/>
      <c r="BL222" s="393"/>
      <c r="BM222" s="393"/>
      <c r="BN222" s="393"/>
      <c r="BO222" s="393"/>
      <c r="BP222" s="393"/>
      <c r="BQ222" s="393"/>
      <c r="BR222" s="393"/>
      <c r="BS222" s="393"/>
    </row>
    <row r="223" spans="1:71" ht="11.25" customHeight="1" x14ac:dyDescent="0.3">
      <c r="A223" s="383"/>
      <c r="B223" s="383"/>
      <c r="C223" s="383"/>
      <c r="D223" s="383"/>
      <c r="E223" s="383"/>
      <c r="F223" s="383"/>
      <c r="G223" s="383"/>
      <c r="H223" s="383"/>
      <c r="I223" s="383"/>
      <c r="J223" s="383"/>
      <c r="K223" s="383"/>
      <c r="L223" s="383"/>
      <c r="M223" s="383"/>
      <c r="N223" s="383"/>
      <c r="O223" s="383"/>
      <c r="P223" s="383"/>
      <c r="Q223" s="383"/>
      <c r="R223" s="383"/>
      <c r="S223" s="383"/>
      <c r="T223" s="383"/>
      <c r="U223" s="383"/>
      <c r="V223" s="383"/>
      <c r="W223" s="383"/>
      <c r="X223" s="383"/>
      <c r="Y223" s="383"/>
      <c r="Z223" s="383"/>
      <c r="AA223" s="383"/>
      <c r="AB223" s="383"/>
      <c r="AC223" s="383"/>
      <c r="AD223" s="383"/>
      <c r="AE223" s="383"/>
      <c r="AF223" s="383"/>
      <c r="AG223" s="383"/>
      <c r="AH223" s="383"/>
      <c r="AI223" s="383"/>
      <c r="AJ223" s="383"/>
      <c r="AK223" s="383"/>
      <c r="AL223" s="383"/>
      <c r="AM223" s="383"/>
      <c r="AN223" s="383"/>
      <c r="AO223" s="383"/>
      <c r="AP223" s="383"/>
      <c r="AQ223" s="383"/>
      <c r="AR223" s="383"/>
      <c r="AS223" s="383"/>
      <c r="AT223" s="383"/>
      <c r="AU223" s="383"/>
      <c r="AV223" s="383"/>
      <c r="AW223" s="383"/>
      <c r="AX223" s="383"/>
      <c r="AY223" s="393"/>
      <c r="AZ223" s="393"/>
      <c r="BA223" s="393"/>
      <c r="BB223" s="393"/>
      <c r="BC223" s="393"/>
      <c r="BD223" s="393"/>
      <c r="BE223" s="393"/>
      <c r="BF223" s="393"/>
      <c r="BG223" s="393"/>
      <c r="BH223" s="393"/>
      <c r="BI223" s="393"/>
      <c r="BJ223" s="393"/>
      <c r="BK223" s="393"/>
      <c r="BL223" s="393"/>
      <c r="BM223" s="393"/>
      <c r="BN223" s="393"/>
      <c r="BO223" s="393"/>
      <c r="BP223" s="393"/>
      <c r="BQ223" s="393"/>
      <c r="BR223" s="393"/>
      <c r="BS223" s="393"/>
    </row>
    <row r="224" spans="1:71" ht="11.25" customHeight="1" x14ac:dyDescent="0.3">
      <c r="A224" s="383"/>
      <c r="B224" s="383"/>
      <c r="C224" s="383"/>
      <c r="D224" s="383"/>
      <c r="E224" s="383"/>
      <c r="F224" s="383"/>
      <c r="G224" s="383"/>
      <c r="H224" s="383"/>
      <c r="I224" s="383"/>
      <c r="J224" s="383"/>
      <c r="K224" s="383"/>
      <c r="L224" s="383"/>
      <c r="M224" s="383"/>
      <c r="N224" s="383"/>
      <c r="O224" s="383"/>
      <c r="P224" s="383"/>
      <c r="Q224" s="383"/>
      <c r="R224" s="383"/>
      <c r="S224" s="383"/>
      <c r="T224" s="383"/>
      <c r="U224" s="383"/>
      <c r="V224" s="383"/>
      <c r="W224" s="383"/>
      <c r="X224" s="383"/>
      <c r="Y224" s="383"/>
      <c r="Z224" s="383"/>
      <c r="AA224" s="383"/>
      <c r="AB224" s="383"/>
      <c r="AC224" s="383"/>
      <c r="AD224" s="383"/>
      <c r="AE224" s="383"/>
      <c r="AF224" s="383"/>
      <c r="AG224" s="383"/>
      <c r="AH224" s="383"/>
      <c r="AI224" s="383"/>
      <c r="AJ224" s="383"/>
      <c r="AK224" s="383"/>
      <c r="AL224" s="383"/>
      <c r="AM224" s="383"/>
      <c r="AN224" s="383"/>
      <c r="AO224" s="383"/>
      <c r="AP224" s="383"/>
      <c r="AQ224" s="383"/>
      <c r="AR224" s="383"/>
      <c r="AS224" s="383"/>
      <c r="AT224" s="383"/>
      <c r="AU224" s="383"/>
      <c r="AV224" s="383"/>
      <c r="AW224" s="383"/>
      <c r="AX224" s="383"/>
      <c r="AY224" s="393"/>
      <c r="AZ224" s="393"/>
      <c r="BA224" s="393"/>
      <c r="BB224" s="393"/>
      <c r="BC224" s="393"/>
      <c r="BD224" s="393"/>
      <c r="BE224" s="393"/>
      <c r="BF224" s="393"/>
      <c r="BG224" s="393"/>
      <c r="BH224" s="393"/>
      <c r="BI224" s="393"/>
      <c r="BJ224" s="393"/>
      <c r="BK224" s="393"/>
      <c r="BL224" s="393"/>
      <c r="BM224" s="393"/>
      <c r="BN224" s="393"/>
      <c r="BO224" s="393"/>
      <c r="BP224" s="393"/>
      <c r="BQ224" s="393"/>
      <c r="BR224" s="393"/>
      <c r="BS224" s="393"/>
    </row>
    <row r="225" spans="1:71" ht="11.25" customHeight="1" x14ac:dyDescent="0.3">
      <c r="A225" s="383"/>
      <c r="B225" s="383"/>
      <c r="C225" s="383"/>
      <c r="D225" s="383"/>
      <c r="E225" s="383"/>
      <c r="F225" s="383"/>
      <c r="G225" s="383"/>
      <c r="H225" s="383"/>
      <c r="I225" s="383"/>
      <c r="J225" s="383"/>
      <c r="K225" s="383"/>
      <c r="L225" s="383"/>
      <c r="M225" s="383"/>
      <c r="N225" s="383"/>
      <c r="O225" s="383"/>
      <c r="P225" s="383"/>
      <c r="Q225" s="383"/>
      <c r="R225" s="383"/>
      <c r="S225" s="383"/>
      <c r="T225" s="383"/>
      <c r="U225" s="383"/>
      <c r="V225" s="383"/>
      <c r="W225" s="383"/>
      <c r="X225" s="383"/>
      <c r="Y225" s="383"/>
      <c r="Z225" s="383"/>
      <c r="AA225" s="383"/>
      <c r="AB225" s="383"/>
      <c r="AC225" s="383"/>
      <c r="AD225" s="383"/>
      <c r="AE225" s="383"/>
      <c r="AF225" s="383"/>
      <c r="AG225" s="383"/>
      <c r="AH225" s="383"/>
      <c r="AI225" s="383"/>
      <c r="AJ225" s="383"/>
      <c r="AK225" s="383"/>
      <c r="AL225" s="383"/>
      <c r="AM225" s="383"/>
      <c r="AN225" s="383"/>
      <c r="AO225" s="383"/>
      <c r="AP225" s="383"/>
      <c r="AQ225" s="383"/>
      <c r="AR225" s="383"/>
      <c r="AS225" s="383"/>
      <c r="AT225" s="383"/>
      <c r="AU225" s="383"/>
      <c r="AV225" s="383"/>
      <c r="AW225" s="383"/>
      <c r="AX225" s="383"/>
      <c r="AY225" s="393"/>
      <c r="AZ225" s="393"/>
      <c r="BA225" s="393"/>
      <c r="BB225" s="393"/>
      <c r="BC225" s="393"/>
      <c r="BD225" s="393"/>
      <c r="BE225" s="393"/>
      <c r="BF225" s="393"/>
      <c r="BG225" s="393"/>
      <c r="BH225" s="393"/>
      <c r="BI225" s="393"/>
      <c r="BJ225" s="393"/>
      <c r="BK225" s="393"/>
      <c r="BL225" s="393"/>
      <c r="BM225" s="393"/>
      <c r="BN225" s="393"/>
      <c r="BO225" s="393"/>
      <c r="BP225" s="393"/>
      <c r="BQ225" s="393"/>
      <c r="BR225" s="393"/>
      <c r="BS225" s="393"/>
    </row>
    <row r="226" spans="1:71" ht="11.25" customHeight="1" x14ac:dyDescent="0.3">
      <c r="A226" s="383"/>
      <c r="B226" s="383"/>
      <c r="C226" s="383"/>
      <c r="D226" s="383"/>
      <c r="E226" s="383"/>
      <c r="F226" s="383"/>
      <c r="G226" s="383"/>
      <c r="H226" s="383"/>
      <c r="I226" s="383"/>
      <c r="J226" s="383"/>
      <c r="K226" s="383"/>
      <c r="L226" s="383"/>
      <c r="M226" s="383"/>
      <c r="N226" s="383"/>
      <c r="O226" s="383"/>
      <c r="P226" s="383"/>
      <c r="Q226" s="383"/>
      <c r="R226" s="383"/>
      <c r="S226" s="383"/>
      <c r="T226" s="383"/>
      <c r="U226" s="383"/>
      <c r="V226" s="383"/>
      <c r="W226" s="383"/>
      <c r="X226" s="383"/>
      <c r="Y226" s="383"/>
      <c r="Z226" s="383"/>
      <c r="AA226" s="383"/>
      <c r="AB226" s="383"/>
      <c r="AC226" s="383"/>
      <c r="AD226" s="383"/>
      <c r="AE226" s="383"/>
      <c r="AF226" s="383"/>
      <c r="AG226" s="383"/>
      <c r="AH226" s="383"/>
      <c r="AI226" s="383"/>
      <c r="AJ226" s="383"/>
      <c r="AK226" s="383"/>
      <c r="AL226" s="383"/>
      <c r="AM226" s="383"/>
      <c r="AN226" s="383"/>
      <c r="AO226" s="383"/>
      <c r="AP226" s="383"/>
      <c r="AQ226" s="383"/>
      <c r="AR226" s="383"/>
      <c r="AS226" s="383"/>
      <c r="AT226" s="383"/>
      <c r="AU226" s="383"/>
      <c r="AV226" s="383"/>
      <c r="AW226" s="383"/>
      <c r="AX226" s="383"/>
      <c r="AY226" s="393"/>
      <c r="AZ226" s="393"/>
      <c r="BA226" s="393"/>
      <c r="BB226" s="393"/>
      <c r="BC226" s="393"/>
      <c r="BD226" s="393"/>
      <c r="BE226" s="393"/>
      <c r="BF226" s="393"/>
      <c r="BG226" s="393"/>
      <c r="BH226" s="393"/>
      <c r="BI226" s="393"/>
      <c r="BJ226" s="393"/>
      <c r="BK226" s="393"/>
      <c r="BL226" s="393"/>
      <c r="BM226" s="393"/>
      <c r="BN226" s="393"/>
      <c r="BO226" s="393"/>
      <c r="BP226" s="393"/>
      <c r="BQ226" s="393"/>
      <c r="BR226" s="393"/>
      <c r="BS226" s="393"/>
    </row>
    <row r="227" spans="1:71" ht="11.25" customHeight="1" x14ac:dyDescent="0.3">
      <c r="A227" s="383"/>
      <c r="B227" s="383"/>
      <c r="C227" s="383"/>
      <c r="D227" s="383"/>
      <c r="E227" s="383"/>
      <c r="F227" s="383"/>
      <c r="G227" s="383"/>
      <c r="H227" s="383"/>
      <c r="I227" s="383"/>
      <c r="J227" s="383"/>
      <c r="K227" s="383"/>
      <c r="L227" s="383"/>
      <c r="M227" s="383"/>
      <c r="N227" s="383"/>
      <c r="O227" s="383"/>
      <c r="P227" s="383"/>
      <c r="Q227" s="383"/>
      <c r="R227" s="383"/>
      <c r="S227" s="383"/>
      <c r="T227" s="383"/>
      <c r="U227" s="383"/>
      <c r="V227" s="383"/>
      <c r="W227" s="383"/>
      <c r="X227" s="383"/>
      <c r="Y227" s="383"/>
      <c r="Z227" s="383"/>
      <c r="AA227" s="383"/>
      <c r="AB227" s="383"/>
      <c r="AC227" s="383"/>
      <c r="AD227" s="383"/>
      <c r="AE227" s="383"/>
      <c r="AF227" s="383"/>
      <c r="AG227" s="383"/>
      <c r="AH227" s="383"/>
      <c r="AI227" s="383"/>
      <c r="AJ227" s="383"/>
      <c r="AK227" s="383"/>
      <c r="AL227" s="383"/>
      <c r="AM227" s="383"/>
      <c r="AN227" s="383"/>
      <c r="AO227" s="383"/>
      <c r="AP227" s="383"/>
      <c r="AQ227" s="383"/>
      <c r="AR227" s="383"/>
      <c r="AS227" s="383"/>
      <c r="AT227" s="383"/>
      <c r="AU227" s="383"/>
      <c r="AV227" s="383"/>
      <c r="AW227" s="383"/>
      <c r="AX227" s="383"/>
      <c r="AY227" s="393"/>
      <c r="AZ227" s="393"/>
      <c r="BA227" s="393"/>
      <c r="BB227" s="393"/>
      <c r="BC227" s="393"/>
      <c r="BD227" s="393"/>
      <c r="BE227" s="393"/>
      <c r="BF227" s="393"/>
      <c r="BG227" s="393"/>
      <c r="BH227" s="393"/>
      <c r="BI227" s="393"/>
      <c r="BJ227" s="393"/>
      <c r="BK227" s="393"/>
      <c r="BL227" s="393"/>
      <c r="BM227" s="393"/>
      <c r="BN227" s="393"/>
      <c r="BO227" s="393"/>
      <c r="BP227" s="393"/>
      <c r="BQ227" s="393"/>
      <c r="BR227" s="393"/>
      <c r="BS227" s="393"/>
    </row>
    <row r="228" spans="1:71" ht="11.25" customHeight="1" x14ac:dyDescent="0.3">
      <c r="A228" s="383"/>
      <c r="B228" s="383"/>
      <c r="C228" s="383"/>
      <c r="D228" s="383"/>
      <c r="E228" s="383"/>
      <c r="F228" s="383"/>
      <c r="G228" s="383"/>
      <c r="H228" s="383"/>
      <c r="I228" s="383"/>
      <c r="J228" s="383"/>
      <c r="K228" s="383"/>
      <c r="L228" s="383"/>
      <c r="M228" s="383"/>
      <c r="N228" s="383"/>
      <c r="O228" s="383"/>
      <c r="P228" s="383"/>
      <c r="Q228" s="383"/>
      <c r="R228" s="383"/>
      <c r="S228" s="383"/>
      <c r="T228" s="383"/>
      <c r="U228" s="383"/>
      <c r="V228" s="383"/>
      <c r="W228" s="383"/>
      <c r="X228" s="383"/>
      <c r="Y228" s="383"/>
      <c r="Z228" s="383"/>
      <c r="AA228" s="383"/>
      <c r="AB228" s="383"/>
      <c r="AC228" s="383"/>
      <c r="AD228" s="383"/>
      <c r="AE228" s="383"/>
      <c r="AF228" s="383"/>
      <c r="AG228" s="383"/>
      <c r="AH228" s="383"/>
      <c r="AI228" s="383"/>
      <c r="AJ228" s="383"/>
      <c r="AK228" s="383"/>
      <c r="AL228" s="383"/>
      <c r="AM228" s="383"/>
      <c r="AN228" s="383"/>
      <c r="AO228" s="383"/>
      <c r="AP228" s="383"/>
      <c r="AQ228" s="383"/>
      <c r="AR228" s="383"/>
      <c r="AS228" s="383"/>
      <c r="AT228" s="383"/>
      <c r="AU228" s="383"/>
      <c r="AV228" s="383"/>
      <c r="AW228" s="383"/>
      <c r="AX228" s="383"/>
      <c r="AY228" s="393"/>
      <c r="AZ228" s="393"/>
      <c r="BA228" s="393"/>
      <c r="BB228" s="393"/>
      <c r="BC228" s="393"/>
      <c r="BD228" s="393"/>
      <c r="BE228" s="393"/>
      <c r="BF228" s="393"/>
      <c r="BG228" s="393"/>
      <c r="BH228" s="393"/>
      <c r="BI228" s="393"/>
      <c r="BJ228" s="393"/>
      <c r="BK228" s="393"/>
      <c r="BL228" s="393"/>
      <c r="BM228" s="393"/>
      <c r="BN228" s="393"/>
      <c r="BO228" s="393"/>
      <c r="BP228" s="393"/>
      <c r="BQ228" s="393"/>
      <c r="BR228" s="393"/>
      <c r="BS228" s="393"/>
    </row>
    <row r="229" spans="1:71" ht="11.25" customHeight="1" x14ac:dyDescent="0.3">
      <c r="A229" s="383"/>
      <c r="B229" s="383"/>
      <c r="C229" s="383"/>
      <c r="D229" s="383"/>
      <c r="E229" s="383"/>
      <c r="F229" s="383"/>
      <c r="G229" s="383"/>
      <c r="H229" s="383"/>
      <c r="I229" s="383"/>
      <c r="J229" s="383"/>
      <c r="K229" s="383"/>
      <c r="L229" s="383"/>
      <c r="M229" s="383"/>
      <c r="N229" s="383"/>
      <c r="O229" s="383"/>
      <c r="P229" s="383"/>
      <c r="Q229" s="383"/>
      <c r="R229" s="383"/>
      <c r="S229" s="383"/>
      <c r="T229" s="383"/>
      <c r="U229" s="383"/>
      <c r="V229" s="383"/>
      <c r="W229" s="383"/>
      <c r="X229" s="383"/>
      <c r="Y229" s="383"/>
      <c r="Z229" s="383"/>
      <c r="AA229" s="383"/>
      <c r="AB229" s="383"/>
      <c r="AC229" s="383"/>
      <c r="AD229" s="383"/>
      <c r="AE229" s="383"/>
      <c r="AF229" s="383"/>
      <c r="AG229" s="383"/>
      <c r="AH229" s="383"/>
      <c r="AI229" s="383"/>
      <c r="AJ229" s="383"/>
      <c r="AK229" s="383"/>
      <c r="AL229" s="383"/>
      <c r="AM229" s="383"/>
      <c r="AN229" s="383"/>
      <c r="AO229" s="383"/>
      <c r="AP229" s="383"/>
      <c r="AQ229" s="383"/>
      <c r="AR229" s="383"/>
      <c r="AS229" s="383"/>
      <c r="AT229" s="383"/>
      <c r="AU229" s="383"/>
      <c r="AV229" s="383"/>
      <c r="AW229" s="383"/>
      <c r="AX229" s="383"/>
      <c r="AY229" s="393"/>
      <c r="AZ229" s="393"/>
      <c r="BA229" s="393"/>
      <c r="BB229" s="393"/>
      <c r="BC229" s="393"/>
      <c r="BD229" s="393"/>
      <c r="BE229" s="393"/>
      <c r="BF229" s="393"/>
      <c r="BG229" s="393"/>
      <c r="BH229" s="393"/>
      <c r="BI229" s="393"/>
      <c r="BJ229" s="393"/>
      <c r="BK229" s="393"/>
      <c r="BL229" s="393"/>
      <c r="BM229" s="393"/>
      <c r="BN229" s="393"/>
      <c r="BO229" s="393"/>
      <c r="BP229" s="393"/>
      <c r="BQ229" s="393"/>
      <c r="BR229" s="393"/>
      <c r="BS229" s="393"/>
    </row>
    <row r="230" spans="1:71" ht="11.25" customHeight="1" x14ac:dyDescent="0.3">
      <c r="A230" s="383"/>
      <c r="B230" s="383"/>
      <c r="C230" s="383"/>
      <c r="D230" s="383"/>
      <c r="E230" s="383"/>
      <c r="F230" s="383"/>
      <c r="G230" s="383"/>
      <c r="H230" s="383"/>
      <c r="I230" s="383"/>
      <c r="J230" s="383"/>
      <c r="K230" s="383"/>
      <c r="L230" s="383"/>
      <c r="M230" s="383"/>
      <c r="N230" s="383"/>
      <c r="O230" s="383"/>
      <c r="P230" s="383"/>
      <c r="Q230" s="383"/>
      <c r="R230" s="383"/>
      <c r="S230" s="383"/>
      <c r="T230" s="383"/>
      <c r="U230" s="383"/>
      <c r="V230" s="383"/>
      <c r="W230" s="383"/>
      <c r="X230" s="383"/>
      <c r="Y230" s="383"/>
      <c r="Z230" s="383"/>
      <c r="AA230" s="383"/>
      <c r="AB230" s="383"/>
      <c r="AC230" s="383"/>
      <c r="AD230" s="383"/>
      <c r="AE230" s="383"/>
      <c r="AF230" s="383"/>
      <c r="AG230" s="383"/>
      <c r="AH230" s="383"/>
      <c r="AI230" s="383"/>
      <c r="AJ230" s="383"/>
      <c r="AK230" s="383"/>
      <c r="AL230" s="383"/>
      <c r="AM230" s="383"/>
      <c r="AN230" s="383"/>
      <c r="AO230" s="383"/>
      <c r="AP230" s="383"/>
      <c r="AQ230" s="383"/>
      <c r="AR230" s="383"/>
      <c r="AS230" s="383"/>
      <c r="AT230" s="383"/>
      <c r="AU230" s="383"/>
      <c r="AV230" s="383"/>
      <c r="AW230" s="383"/>
      <c r="AX230" s="383"/>
      <c r="AY230" s="393"/>
      <c r="AZ230" s="393"/>
      <c r="BA230" s="393"/>
      <c r="BB230" s="393"/>
      <c r="BC230" s="393"/>
      <c r="BD230" s="393"/>
      <c r="BE230" s="393"/>
      <c r="BF230" s="393"/>
      <c r="BG230" s="393"/>
      <c r="BH230" s="393"/>
      <c r="BI230" s="393"/>
      <c r="BJ230" s="393"/>
      <c r="BK230" s="393"/>
      <c r="BL230" s="393"/>
      <c r="BM230" s="393"/>
      <c r="BN230" s="393"/>
      <c r="BO230" s="393"/>
      <c r="BP230" s="393"/>
      <c r="BQ230" s="393"/>
      <c r="BR230" s="393"/>
      <c r="BS230" s="393"/>
    </row>
    <row r="231" spans="1:71" ht="11.25" customHeight="1" x14ac:dyDescent="0.3">
      <c r="A231" s="383"/>
      <c r="B231" s="383"/>
      <c r="C231" s="383"/>
      <c r="D231" s="383"/>
      <c r="E231" s="383"/>
      <c r="F231" s="383"/>
      <c r="G231" s="383"/>
      <c r="H231" s="383"/>
      <c r="I231" s="383"/>
      <c r="J231" s="383"/>
      <c r="K231" s="383"/>
      <c r="L231" s="383"/>
      <c r="M231" s="383"/>
      <c r="N231" s="383"/>
      <c r="O231" s="383"/>
      <c r="P231" s="383"/>
      <c r="Q231" s="383"/>
      <c r="R231" s="383"/>
      <c r="S231" s="383"/>
      <c r="T231" s="383"/>
      <c r="U231" s="383"/>
      <c r="V231" s="383"/>
      <c r="W231" s="383"/>
      <c r="X231" s="383"/>
      <c r="Y231" s="383"/>
      <c r="Z231" s="383"/>
      <c r="AA231" s="383"/>
      <c r="AB231" s="383"/>
      <c r="AC231" s="383"/>
      <c r="AD231" s="383"/>
      <c r="AE231" s="383"/>
      <c r="AF231" s="383"/>
      <c r="AG231" s="383"/>
      <c r="AH231" s="383"/>
      <c r="AI231" s="383"/>
      <c r="AJ231" s="383"/>
      <c r="AK231" s="383"/>
      <c r="AL231" s="383"/>
      <c r="AM231" s="383"/>
      <c r="AN231" s="383"/>
      <c r="AO231" s="383"/>
      <c r="AP231" s="383"/>
      <c r="AQ231" s="383"/>
      <c r="AR231" s="383"/>
      <c r="AS231" s="383"/>
      <c r="AT231" s="383"/>
      <c r="AU231" s="383"/>
      <c r="AV231" s="383"/>
      <c r="AW231" s="383"/>
      <c r="AX231" s="383"/>
      <c r="AY231" s="393"/>
      <c r="AZ231" s="393"/>
      <c r="BA231" s="393"/>
      <c r="BB231" s="393"/>
      <c r="BC231" s="393"/>
      <c r="BD231" s="393"/>
      <c r="BE231" s="393"/>
      <c r="BF231" s="393"/>
      <c r="BG231" s="393"/>
      <c r="BH231" s="393"/>
      <c r="BI231" s="393"/>
      <c r="BJ231" s="393"/>
      <c r="BK231" s="393"/>
      <c r="BL231" s="393"/>
      <c r="BM231" s="393"/>
      <c r="BN231" s="393"/>
      <c r="BO231" s="393"/>
      <c r="BP231" s="393"/>
      <c r="BQ231" s="393"/>
      <c r="BR231" s="393"/>
      <c r="BS231" s="393"/>
    </row>
    <row r="232" spans="1:71" ht="11.25" customHeight="1" x14ac:dyDescent="0.3">
      <c r="A232" s="383"/>
      <c r="B232" s="383"/>
      <c r="C232" s="383"/>
      <c r="D232" s="383"/>
      <c r="E232" s="383"/>
      <c r="F232" s="383"/>
      <c r="G232" s="383"/>
      <c r="H232" s="383"/>
      <c r="I232" s="383"/>
      <c r="J232" s="383"/>
      <c r="K232" s="383"/>
      <c r="L232" s="383"/>
      <c r="M232" s="383"/>
      <c r="N232" s="383"/>
      <c r="O232" s="383"/>
      <c r="P232" s="383"/>
      <c r="Q232" s="383"/>
      <c r="R232" s="383"/>
      <c r="S232" s="383"/>
      <c r="T232" s="383"/>
      <c r="U232" s="383"/>
      <c r="V232" s="383"/>
      <c r="W232" s="383"/>
      <c r="X232" s="383"/>
      <c r="Y232" s="383"/>
      <c r="Z232" s="383"/>
      <c r="AA232" s="383"/>
      <c r="AB232" s="383"/>
      <c r="AC232" s="383"/>
      <c r="AD232" s="383"/>
      <c r="AE232" s="383"/>
      <c r="AF232" s="383"/>
      <c r="AG232" s="383"/>
      <c r="AH232" s="383"/>
      <c r="AI232" s="383"/>
      <c r="AJ232" s="383"/>
      <c r="AK232" s="383"/>
      <c r="AL232" s="383"/>
      <c r="AM232" s="383"/>
      <c r="AN232" s="383"/>
      <c r="AO232" s="383"/>
      <c r="AP232" s="383"/>
      <c r="AQ232" s="383"/>
      <c r="AR232" s="383"/>
      <c r="AS232" s="383"/>
      <c r="AT232" s="383"/>
      <c r="AU232" s="383"/>
      <c r="AV232" s="383"/>
      <c r="AW232" s="383"/>
      <c r="AX232" s="383"/>
      <c r="AY232" s="393"/>
      <c r="AZ232" s="393"/>
      <c r="BA232" s="393"/>
      <c r="BB232" s="393"/>
      <c r="BC232" s="393"/>
      <c r="BD232" s="393"/>
      <c r="BE232" s="393"/>
      <c r="BF232" s="393"/>
      <c r="BG232" s="393"/>
      <c r="BH232" s="393"/>
      <c r="BI232" s="393"/>
      <c r="BJ232" s="393"/>
      <c r="BK232" s="393"/>
      <c r="BL232" s="393"/>
      <c r="BM232" s="393"/>
      <c r="BN232" s="393"/>
      <c r="BO232" s="393"/>
      <c r="BP232" s="393"/>
      <c r="BQ232" s="393"/>
      <c r="BR232" s="393"/>
      <c r="BS232" s="393"/>
    </row>
    <row r="233" spans="1:71" ht="11.25" customHeight="1" x14ac:dyDescent="0.3">
      <c r="A233" s="383"/>
      <c r="B233" s="383"/>
      <c r="C233" s="383"/>
      <c r="D233" s="383"/>
      <c r="E233" s="383"/>
      <c r="F233" s="383"/>
      <c r="G233" s="383"/>
      <c r="H233" s="383"/>
      <c r="I233" s="383"/>
      <c r="J233" s="383"/>
      <c r="K233" s="383"/>
      <c r="L233" s="383"/>
      <c r="M233" s="383"/>
      <c r="N233" s="383"/>
      <c r="O233" s="383"/>
      <c r="P233" s="383"/>
      <c r="Q233" s="383"/>
      <c r="R233" s="383"/>
      <c r="S233" s="383"/>
      <c r="T233" s="383"/>
      <c r="U233" s="383"/>
      <c r="V233" s="383"/>
      <c r="W233" s="383"/>
      <c r="X233" s="383"/>
      <c r="Y233" s="383"/>
      <c r="Z233" s="383"/>
      <c r="AA233" s="383"/>
      <c r="AB233" s="383"/>
      <c r="AC233" s="383"/>
      <c r="AD233" s="383"/>
      <c r="AE233" s="383"/>
      <c r="AF233" s="383"/>
      <c r="AG233" s="383"/>
      <c r="AH233" s="383"/>
      <c r="AI233" s="383"/>
      <c r="AJ233" s="383"/>
      <c r="AK233" s="383"/>
      <c r="AL233" s="383"/>
      <c r="AM233" s="383"/>
      <c r="AN233" s="383"/>
      <c r="AO233" s="383"/>
      <c r="AP233" s="383"/>
      <c r="AQ233" s="383"/>
      <c r="AR233" s="383"/>
      <c r="AS233" s="383"/>
      <c r="AT233" s="383"/>
      <c r="AU233" s="383"/>
      <c r="AV233" s="383"/>
      <c r="AW233" s="383"/>
      <c r="AX233" s="383"/>
      <c r="AY233" s="393"/>
      <c r="AZ233" s="393"/>
      <c r="BA233" s="393"/>
      <c r="BB233" s="393"/>
      <c r="BC233" s="393"/>
      <c r="BD233" s="393"/>
      <c r="BE233" s="393"/>
      <c r="BF233" s="393"/>
      <c r="BG233" s="393"/>
      <c r="BH233" s="393"/>
      <c r="BI233" s="393"/>
      <c r="BJ233" s="393"/>
      <c r="BK233" s="393"/>
      <c r="BL233" s="393"/>
      <c r="BM233" s="393"/>
      <c r="BN233" s="393"/>
      <c r="BO233" s="393"/>
      <c r="BP233" s="393"/>
      <c r="BQ233" s="393"/>
      <c r="BR233" s="393"/>
      <c r="BS233" s="393"/>
    </row>
    <row r="234" spans="1:71" ht="11.25" customHeight="1" x14ac:dyDescent="0.3">
      <c r="A234" s="383"/>
      <c r="B234" s="383"/>
      <c r="C234" s="383"/>
      <c r="D234" s="383"/>
      <c r="E234" s="383"/>
      <c r="F234" s="383"/>
      <c r="G234" s="383"/>
      <c r="H234" s="383"/>
      <c r="I234" s="383"/>
      <c r="J234" s="383"/>
      <c r="K234" s="383"/>
      <c r="L234" s="383"/>
      <c r="M234" s="383"/>
      <c r="N234" s="383"/>
      <c r="O234" s="383"/>
      <c r="P234" s="383"/>
      <c r="Q234" s="383"/>
      <c r="R234" s="383"/>
      <c r="S234" s="383"/>
      <c r="T234" s="383"/>
      <c r="U234" s="383"/>
      <c r="V234" s="383"/>
      <c r="W234" s="383"/>
      <c r="X234" s="383"/>
      <c r="Y234" s="383"/>
      <c r="Z234" s="383"/>
      <c r="AA234" s="383"/>
      <c r="AB234" s="383"/>
      <c r="AC234" s="383"/>
      <c r="AD234" s="383"/>
      <c r="AE234" s="383"/>
      <c r="AF234" s="383"/>
      <c r="AG234" s="383"/>
      <c r="AH234" s="383"/>
      <c r="AI234" s="383"/>
      <c r="AJ234" s="383"/>
      <c r="AK234" s="383"/>
      <c r="AL234" s="383"/>
      <c r="AM234" s="383"/>
      <c r="AN234" s="383"/>
      <c r="AO234" s="383"/>
      <c r="AP234" s="383"/>
      <c r="AQ234" s="383"/>
      <c r="AR234" s="383"/>
      <c r="AS234" s="383"/>
      <c r="AT234" s="383"/>
      <c r="AU234" s="383"/>
      <c r="AV234" s="383"/>
      <c r="AW234" s="383"/>
      <c r="AX234" s="383"/>
      <c r="AY234" s="393"/>
      <c r="AZ234" s="393"/>
      <c r="BA234" s="393"/>
      <c r="BB234" s="393"/>
      <c r="BC234" s="393"/>
      <c r="BD234" s="393"/>
      <c r="BE234" s="393"/>
      <c r="BF234" s="393"/>
      <c r="BG234" s="393"/>
      <c r="BH234" s="393"/>
      <c r="BI234" s="393"/>
      <c r="BJ234" s="393"/>
      <c r="BK234" s="393"/>
      <c r="BL234" s="393"/>
      <c r="BM234" s="393"/>
      <c r="BN234" s="393"/>
      <c r="BO234" s="393"/>
      <c r="BP234" s="393"/>
      <c r="BQ234" s="393"/>
      <c r="BR234" s="393"/>
      <c r="BS234" s="393"/>
    </row>
    <row r="235" spans="1:71" ht="11.25" customHeight="1" x14ac:dyDescent="0.3">
      <c r="A235" s="383"/>
      <c r="B235" s="383"/>
      <c r="C235" s="383"/>
      <c r="D235" s="383"/>
      <c r="E235" s="383"/>
      <c r="F235" s="383"/>
      <c r="G235" s="383"/>
      <c r="H235" s="383"/>
      <c r="I235" s="383"/>
      <c r="J235" s="383"/>
      <c r="K235" s="383"/>
      <c r="L235" s="383"/>
      <c r="M235" s="383"/>
      <c r="N235" s="383"/>
      <c r="O235" s="383"/>
      <c r="P235" s="383"/>
      <c r="Q235" s="383"/>
      <c r="R235" s="383"/>
      <c r="S235" s="383"/>
      <c r="T235" s="383"/>
      <c r="U235" s="383"/>
      <c r="V235" s="383"/>
      <c r="W235" s="383"/>
      <c r="X235" s="383"/>
      <c r="Y235" s="383"/>
      <c r="Z235" s="383"/>
      <c r="AA235" s="383"/>
      <c r="AB235" s="383"/>
      <c r="AC235" s="383"/>
      <c r="AD235" s="383"/>
      <c r="AE235" s="383"/>
      <c r="AF235" s="383"/>
      <c r="AG235" s="383"/>
      <c r="AH235" s="383"/>
      <c r="AI235" s="383"/>
      <c r="AJ235" s="383"/>
      <c r="AK235" s="383"/>
      <c r="AL235" s="383"/>
      <c r="AM235" s="383"/>
      <c r="AN235" s="383"/>
      <c r="AO235" s="383"/>
      <c r="AP235" s="383"/>
      <c r="AQ235" s="383"/>
      <c r="AR235" s="383"/>
      <c r="AS235" s="383"/>
      <c r="AT235" s="383"/>
      <c r="AU235" s="383"/>
      <c r="AV235" s="383"/>
      <c r="AW235" s="383"/>
      <c r="AX235" s="383"/>
      <c r="AY235" s="393"/>
      <c r="AZ235" s="393"/>
      <c r="BA235" s="393"/>
      <c r="BB235" s="393"/>
      <c r="BC235" s="393"/>
      <c r="BD235" s="393"/>
      <c r="BE235" s="393"/>
      <c r="BF235" s="393"/>
      <c r="BG235" s="393"/>
      <c r="BH235" s="393"/>
      <c r="BI235" s="393"/>
      <c r="BJ235" s="393"/>
      <c r="BK235" s="393"/>
      <c r="BL235" s="393"/>
      <c r="BM235" s="393"/>
      <c r="BN235" s="393"/>
      <c r="BO235" s="393"/>
      <c r="BP235" s="393"/>
      <c r="BQ235" s="393"/>
      <c r="BR235" s="393"/>
      <c r="BS235" s="393"/>
    </row>
    <row r="236" spans="1:71" ht="11.25" customHeight="1" x14ac:dyDescent="0.3">
      <c r="A236" s="383"/>
      <c r="B236" s="383"/>
      <c r="C236" s="383"/>
      <c r="D236" s="383"/>
      <c r="E236" s="383"/>
      <c r="F236" s="383"/>
      <c r="G236" s="383"/>
      <c r="H236" s="383"/>
      <c r="I236" s="383"/>
      <c r="J236" s="383"/>
      <c r="K236" s="383"/>
      <c r="L236" s="383"/>
      <c r="M236" s="383"/>
      <c r="N236" s="383"/>
      <c r="O236" s="383"/>
      <c r="P236" s="383"/>
      <c r="Q236" s="383"/>
      <c r="R236" s="383"/>
      <c r="S236" s="383"/>
      <c r="T236" s="383"/>
      <c r="U236" s="383"/>
      <c r="V236" s="383"/>
      <c r="W236" s="383"/>
      <c r="X236" s="383"/>
      <c r="Y236" s="383"/>
      <c r="Z236" s="383"/>
      <c r="AA236" s="383"/>
      <c r="AB236" s="383"/>
      <c r="AC236" s="383"/>
      <c r="AD236" s="383"/>
      <c r="AE236" s="383"/>
      <c r="AF236" s="383"/>
      <c r="AG236" s="383"/>
      <c r="AH236" s="383"/>
      <c r="AI236" s="383"/>
      <c r="AJ236" s="383"/>
      <c r="AK236" s="383"/>
      <c r="AL236" s="383"/>
      <c r="AM236" s="383"/>
      <c r="AN236" s="383"/>
      <c r="AO236" s="383"/>
      <c r="AP236" s="383"/>
      <c r="AQ236" s="383"/>
      <c r="AR236" s="383"/>
      <c r="AS236" s="383"/>
      <c r="AT236" s="383"/>
      <c r="AU236" s="383"/>
      <c r="AV236" s="383"/>
      <c r="AW236" s="383"/>
      <c r="AX236" s="383"/>
      <c r="AY236" s="393"/>
      <c r="AZ236" s="393"/>
      <c r="BA236" s="393"/>
      <c r="BB236" s="393"/>
      <c r="BC236" s="393"/>
      <c r="BD236" s="393"/>
      <c r="BE236" s="393"/>
      <c r="BF236" s="393"/>
      <c r="BG236" s="393"/>
      <c r="BH236" s="393"/>
      <c r="BI236" s="393"/>
      <c r="BJ236" s="393"/>
      <c r="BK236" s="393"/>
      <c r="BL236" s="393"/>
      <c r="BM236" s="393"/>
      <c r="BN236" s="393"/>
      <c r="BO236" s="393"/>
      <c r="BP236" s="393"/>
      <c r="BQ236" s="393"/>
      <c r="BR236" s="393"/>
      <c r="BS236" s="393"/>
    </row>
    <row r="237" spans="1:71" ht="11.25" customHeight="1" x14ac:dyDescent="0.3">
      <c r="A237" s="383"/>
      <c r="B237" s="383"/>
      <c r="C237" s="383"/>
      <c r="D237" s="383"/>
      <c r="E237" s="383"/>
      <c r="F237" s="383"/>
      <c r="G237" s="383"/>
      <c r="H237" s="383"/>
      <c r="I237" s="383"/>
      <c r="J237" s="383"/>
      <c r="K237" s="383"/>
      <c r="L237" s="383"/>
      <c r="M237" s="383"/>
      <c r="N237" s="383"/>
      <c r="O237" s="383"/>
      <c r="P237" s="383"/>
      <c r="Q237" s="383"/>
      <c r="R237" s="383"/>
      <c r="S237" s="383"/>
      <c r="T237" s="383"/>
      <c r="U237" s="383"/>
      <c r="V237" s="383"/>
      <c r="W237" s="383"/>
      <c r="X237" s="383"/>
      <c r="Y237" s="383"/>
      <c r="Z237" s="383"/>
      <c r="AA237" s="383"/>
      <c r="AB237" s="383"/>
      <c r="AC237" s="383"/>
      <c r="AD237" s="383"/>
      <c r="AE237" s="383"/>
      <c r="AF237" s="383"/>
      <c r="AG237" s="383"/>
      <c r="AH237" s="383"/>
      <c r="AI237" s="383"/>
      <c r="AJ237" s="383"/>
      <c r="AK237" s="383"/>
      <c r="AL237" s="383"/>
      <c r="AM237" s="383"/>
      <c r="AN237" s="383"/>
      <c r="AO237" s="383"/>
      <c r="AP237" s="383"/>
      <c r="AQ237" s="383"/>
      <c r="AR237" s="383"/>
      <c r="AS237" s="383"/>
      <c r="AT237" s="383"/>
      <c r="AU237" s="383"/>
      <c r="AV237" s="383"/>
      <c r="AW237" s="383"/>
      <c r="AX237" s="383"/>
      <c r="AY237" s="393"/>
      <c r="AZ237" s="393"/>
      <c r="BA237" s="393"/>
      <c r="BB237" s="393"/>
      <c r="BC237" s="393"/>
      <c r="BD237" s="393"/>
      <c r="BE237" s="393"/>
      <c r="BF237" s="393"/>
      <c r="BG237" s="393"/>
      <c r="BH237" s="393"/>
      <c r="BI237" s="393"/>
      <c r="BJ237" s="393"/>
      <c r="BK237" s="393"/>
      <c r="BL237" s="393"/>
      <c r="BM237" s="393"/>
      <c r="BN237" s="393"/>
      <c r="BO237" s="393"/>
      <c r="BP237" s="393"/>
      <c r="BQ237" s="393"/>
      <c r="BR237" s="393"/>
      <c r="BS237" s="393"/>
    </row>
    <row r="238" spans="1:71" ht="11.25" customHeight="1" x14ac:dyDescent="0.3">
      <c r="A238" s="383"/>
      <c r="B238" s="383"/>
      <c r="C238" s="383"/>
      <c r="D238" s="383"/>
      <c r="E238" s="383"/>
      <c r="F238" s="383"/>
      <c r="G238" s="383"/>
      <c r="H238" s="383"/>
      <c r="I238" s="383"/>
      <c r="J238" s="383"/>
      <c r="K238" s="383"/>
      <c r="L238" s="383"/>
      <c r="M238" s="383"/>
      <c r="N238" s="383"/>
      <c r="O238" s="383"/>
      <c r="P238" s="383"/>
      <c r="Q238" s="383"/>
      <c r="R238" s="383"/>
      <c r="S238" s="383"/>
      <c r="T238" s="383"/>
      <c r="U238" s="383"/>
      <c r="V238" s="383"/>
      <c r="W238" s="383"/>
      <c r="X238" s="383"/>
      <c r="Y238" s="383"/>
      <c r="Z238" s="383"/>
      <c r="AA238" s="383"/>
      <c r="AB238" s="383"/>
      <c r="AC238" s="383"/>
      <c r="AD238" s="383"/>
      <c r="AE238" s="383"/>
      <c r="AF238" s="383"/>
      <c r="AG238" s="383"/>
      <c r="AH238" s="383"/>
      <c r="AI238" s="383"/>
      <c r="AJ238" s="383"/>
      <c r="AK238" s="383"/>
      <c r="AL238" s="383"/>
      <c r="AM238" s="383"/>
      <c r="AN238" s="383"/>
      <c r="AO238" s="383"/>
      <c r="AP238" s="383"/>
      <c r="AQ238" s="383"/>
      <c r="AR238" s="383"/>
      <c r="AS238" s="383"/>
      <c r="AT238" s="383"/>
      <c r="AU238" s="383"/>
      <c r="AV238" s="383"/>
      <c r="AW238" s="383"/>
      <c r="AX238" s="383"/>
      <c r="AY238" s="393"/>
      <c r="AZ238" s="393"/>
      <c r="BA238" s="393"/>
      <c r="BB238" s="393"/>
      <c r="BC238" s="393"/>
      <c r="BD238" s="393"/>
      <c r="BE238" s="393"/>
      <c r="BF238" s="393"/>
      <c r="BG238" s="393"/>
      <c r="BH238" s="393"/>
      <c r="BI238" s="393"/>
      <c r="BJ238" s="393"/>
      <c r="BK238" s="393"/>
      <c r="BL238" s="393"/>
      <c r="BM238" s="393"/>
      <c r="BN238" s="393"/>
      <c r="BO238" s="393"/>
      <c r="BP238" s="393"/>
      <c r="BQ238" s="393"/>
      <c r="BR238" s="393"/>
      <c r="BS238" s="393"/>
    </row>
    <row r="239" spans="1:71" ht="11.25" customHeight="1" x14ac:dyDescent="0.3">
      <c r="A239" s="383"/>
      <c r="B239" s="383"/>
      <c r="C239" s="383"/>
      <c r="D239" s="383"/>
      <c r="E239" s="383"/>
      <c r="F239" s="383"/>
      <c r="G239" s="383"/>
      <c r="H239" s="383"/>
      <c r="I239" s="383"/>
      <c r="J239" s="383"/>
      <c r="K239" s="383"/>
      <c r="L239" s="383"/>
      <c r="M239" s="383"/>
      <c r="N239" s="383"/>
      <c r="O239" s="383"/>
      <c r="P239" s="383"/>
      <c r="Q239" s="383"/>
      <c r="R239" s="383"/>
      <c r="S239" s="383"/>
      <c r="T239" s="383"/>
      <c r="U239" s="383"/>
      <c r="V239" s="383"/>
      <c r="W239" s="383"/>
      <c r="X239" s="383"/>
      <c r="Y239" s="383"/>
      <c r="Z239" s="383"/>
      <c r="AA239" s="383"/>
      <c r="AB239" s="383"/>
      <c r="AC239" s="383"/>
      <c r="AD239" s="383"/>
      <c r="AE239" s="383"/>
      <c r="AF239" s="383"/>
      <c r="AG239" s="383"/>
      <c r="AH239" s="383"/>
      <c r="AI239" s="383"/>
      <c r="AJ239" s="383"/>
      <c r="AK239" s="383"/>
      <c r="AL239" s="383"/>
      <c r="AM239" s="383"/>
      <c r="AN239" s="383"/>
      <c r="AO239" s="383"/>
      <c r="AP239" s="383"/>
      <c r="AQ239" s="383"/>
      <c r="AR239" s="383"/>
      <c r="AS239" s="383"/>
      <c r="AT239" s="383"/>
      <c r="AU239" s="383"/>
      <c r="AV239" s="383"/>
      <c r="AW239" s="383"/>
      <c r="AX239" s="383"/>
      <c r="AY239" s="393"/>
      <c r="AZ239" s="393"/>
      <c r="BA239" s="393"/>
      <c r="BB239" s="393"/>
      <c r="BC239" s="393"/>
      <c r="BD239" s="393"/>
      <c r="BE239" s="393"/>
      <c r="BF239" s="393"/>
      <c r="BG239" s="393"/>
      <c r="BH239" s="393"/>
      <c r="BI239" s="393"/>
      <c r="BJ239" s="393"/>
      <c r="BK239" s="393"/>
      <c r="BL239" s="393"/>
      <c r="BM239" s="393"/>
      <c r="BN239" s="393"/>
      <c r="BO239" s="393"/>
      <c r="BP239" s="393"/>
      <c r="BQ239" s="393"/>
      <c r="BR239" s="393"/>
      <c r="BS239" s="393"/>
    </row>
    <row r="240" spans="1:71" ht="11.25" customHeight="1" x14ac:dyDescent="0.3">
      <c r="A240" s="383"/>
      <c r="B240" s="383"/>
      <c r="C240" s="383"/>
      <c r="D240" s="383"/>
      <c r="E240" s="383"/>
      <c r="F240" s="383"/>
      <c r="G240" s="383"/>
      <c r="H240" s="383"/>
      <c r="I240" s="383"/>
      <c r="J240" s="383"/>
      <c r="K240" s="383"/>
      <c r="L240" s="383"/>
      <c r="M240" s="383"/>
      <c r="N240" s="383"/>
      <c r="O240" s="383"/>
      <c r="P240" s="383"/>
      <c r="Q240" s="383"/>
      <c r="R240" s="383"/>
      <c r="S240" s="383"/>
      <c r="T240" s="383"/>
      <c r="U240" s="383"/>
      <c r="V240" s="383"/>
      <c r="W240" s="383"/>
      <c r="X240" s="383"/>
      <c r="Y240" s="383"/>
      <c r="Z240" s="383"/>
      <c r="AA240" s="383"/>
      <c r="AB240" s="383"/>
      <c r="AC240" s="383"/>
      <c r="AD240" s="383"/>
      <c r="AE240" s="383"/>
      <c r="AF240" s="383"/>
      <c r="AG240" s="383"/>
      <c r="AH240" s="383"/>
      <c r="AI240" s="383"/>
      <c r="AJ240" s="383"/>
      <c r="AK240" s="383"/>
      <c r="AL240" s="383"/>
      <c r="AM240" s="383"/>
      <c r="AN240" s="383"/>
      <c r="AO240" s="383"/>
      <c r="AP240" s="383"/>
      <c r="AQ240" s="383"/>
      <c r="AR240" s="383"/>
      <c r="AS240" s="383"/>
      <c r="AT240" s="383"/>
      <c r="AU240" s="383"/>
      <c r="AV240" s="383"/>
      <c r="AW240" s="383"/>
      <c r="AX240" s="383"/>
      <c r="AY240" s="393"/>
      <c r="AZ240" s="393"/>
      <c r="BA240" s="393"/>
      <c r="BB240" s="393"/>
      <c r="BC240" s="393"/>
      <c r="BD240" s="393"/>
      <c r="BE240" s="393"/>
      <c r="BF240" s="393"/>
      <c r="BG240" s="393"/>
      <c r="BH240" s="393"/>
      <c r="BI240" s="393"/>
      <c r="BJ240" s="393"/>
      <c r="BK240" s="393"/>
      <c r="BL240" s="393"/>
      <c r="BM240" s="393"/>
      <c r="BN240" s="393"/>
      <c r="BO240" s="393"/>
      <c r="BP240" s="393"/>
      <c r="BQ240" s="393"/>
      <c r="BR240" s="393"/>
      <c r="BS240" s="393"/>
    </row>
    <row r="241" spans="1:71" ht="11.25" customHeight="1" x14ac:dyDescent="0.3">
      <c r="A241" s="383"/>
      <c r="B241" s="383"/>
      <c r="C241" s="383"/>
      <c r="D241" s="383"/>
      <c r="E241" s="383"/>
      <c r="F241" s="383"/>
      <c r="G241" s="383"/>
      <c r="H241" s="383"/>
      <c r="I241" s="383"/>
      <c r="J241" s="383"/>
      <c r="K241" s="383"/>
      <c r="L241" s="383"/>
      <c r="M241" s="383"/>
      <c r="N241" s="383"/>
      <c r="O241" s="383"/>
      <c r="P241" s="383"/>
      <c r="Q241" s="383"/>
      <c r="R241" s="383"/>
      <c r="S241" s="383"/>
      <c r="T241" s="383"/>
      <c r="U241" s="383"/>
      <c r="V241" s="383"/>
      <c r="W241" s="383"/>
      <c r="X241" s="383"/>
      <c r="Y241" s="383"/>
      <c r="Z241" s="383"/>
      <c r="AA241" s="383"/>
      <c r="AB241" s="383"/>
      <c r="AC241" s="383"/>
      <c r="AD241" s="383"/>
      <c r="AE241" s="383"/>
      <c r="AF241" s="383"/>
      <c r="AG241" s="383"/>
      <c r="AH241" s="383"/>
      <c r="AI241" s="383"/>
      <c r="AJ241" s="383"/>
      <c r="AK241" s="383"/>
      <c r="AL241" s="383"/>
      <c r="AM241" s="383"/>
      <c r="AN241" s="383"/>
      <c r="AO241" s="383"/>
      <c r="AP241" s="383"/>
      <c r="AQ241" s="383"/>
      <c r="AR241" s="383"/>
      <c r="AS241" s="383"/>
      <c r="AT241" s="383"/>
      <c r="AU241" s="383"/>
      <c r="AV241" s="383"/>
      <c r="AW241" s="383"/>
      <c r="AX241" s="383"/>
      <c r="AY241" s="393"/>
      <c r="AZ241" s="393"/>
      <c r="BA241" s="393"/>
      <c r="BB241" s="393"/>
      <c r="BC241" s="393"/>
      <c r="BD241" s="393"/>
      <c r="BE241" s="393"/>
      <c r="BF241" s="393"/>
      <c r="BG241" s="393"/>
      <c r="BH241" s="393"/>
      <c r="BI241" s="393"/>
      <c r="BJ241" s="393"/>
      <c r="BK241" s="393"/>
      <c r="BL241" s="393"/>
      <c r="BM241" s="393"/>
      <c r="BN241" s="393"/>
      <c r="BO241" s="393"/>
      <c r="BP241" s="393"/>
      <c r="BQ241" s="393"/>
      <c r="BR241" s="393"/>
      <c r="BS241" s="393"/>
    </row>
    <row r="242" spans="1:71" ht="11.25" customHeight="1" x14ac:dyDescent="0.3">
      <c r="A242" s="383"/>
      <c r="B242" s="383"/>
      <c r="C242" s="383"/>
      <c r="D242" s="383"/>
      <c r="E242" s="383"/>
      <c r="F242" s="383"/>
      <c r="G242" s="383"/>
      <c r="H242" s="383"/>
      <c r="I242" s="383"/>
      <c r="J242" s="383"/>
      <c r="K242" s="383"/>
      <c r="L242" s="383"/>
      <c r="M242" s="383"/>
      <c r="N242" s="383"/>
      <c r="O242" s="383"/>
      <c r="P242" s="383"/>
      <c r="Q242" s="383"/>
      <c r="R242" s="383"/>
      <c r="S242" s="383"/>
      <c r="T242" s="383"/>
      <c r="U242" s="383"/>
      <c r="V242" s="383"/>
      <c r="W242" s="383"/>
      <c r="X242" s="383"/>
      <c r="Y242" s="383"/>
      <c r="Z242" s="383"/>
      <c r="AA242" s="383"/>
      <c r="AB242" s="383"/>
      <c r="AC242" s="383"/>
      <c r="AD242" s="383"/>
      <c r="AE242" s="383"/>
      <c r="AF242" s="383"/>
      <c r="AG242" s="383"/>
      <c r="AH242" s="383"/>
      <c r="AI242" s="383"/>
      <c r="AJ242" s="383"/>
      <c r="AK242" s="383"/>
      <c r="AL242" s="383"/>
      <c r="AM242" s="383"/>
      <c r="AN242" s="383"/>
      <c r="AO242" s="383"/>
      <c r="AP242" s="383"/>
      <c r="AQ242" s="383"/>
      <c r="AR242" s="383"/>
      <c r="AS242" s="383"/>
      <c r="AT242" s="383"/>
      <c r="AU242" s="383"/>
      <c r="AV242" s="383"/>
      <c r="AW242" s="383"/>
      <c r="AX242" s="383"/>
      <c r="AY242" s="393"/>
      <c r="AZ242" s="393"/>
      <c r="BA242" s="393"/>
      <c r="BB242" s="393"/>
      <c r="BC242" s="393"/>
      <c r="BD242" s="393"/>
      <c r="BE242" s="393"/>
      <c r="BF242" s="393"/>
      <c r="BG242" s="393"/>
      <c r="BH242" s="393"/>
      <c r="BI242" s="393"/>
      <c r="BJ242" s="393"/>
      <c r="BK242" s="393"/>
      <c r="BL242" s="393"/>
      <c r="BM242" s="393"/>
      <c r="BN242" s="393"/>
      <c r="BO242" s="393"/>
      <c r="BP242" s="393"/>
      <c r="BQ242" s="393"/>
      <c r="BR242" s="393"/>
      <c r="BS242" s="393"/>
    </row>
    <row r="243" spans="1:71" ht="11.25" customHeight="1" x14ac:dyDescent="0.3">
      <c r="A243" s="383"/>
      <c r="B243" s="383"/>
      <c r="C243" s="383"/>
      <c r="D243" s="383"/>
      <c r="E243" s="383"/>
      <c r="F243" s="383"/>
      <c r="G243" s="383"/>
      <c r="H243" s="383"/>
      <c r="I243" s="383"/>
      <c r="J243" s="383"/>
      <c r="K243" s="383"/>
      <c r="L243" s="383"/>
      <c r="M243" s="383"/>
      <c r="N243" s="383"/>
      <c r="O243" s="383"/>
      <c r="P243" s="383"/>
      <c r="Q243" s="383"/>
      <c r="R243" s="383"/>
      <c r="S243" s="383"/>
      <c r="T243" s="383"/>
      <c r="U243" s="383"/>
      <c r="V243" s="383"/>
      <c r="W243" s="383"/>
      <c r="X243" s="383"/>
      <c r="Y243" s="383"/>
      <c r="Z243" s="383"/>
      <c r="AA243" s="383"/>
      <c r="AB243" s="383"/>
      <c r="AC243" s="383"/>
      <c r="AD243" s="383"/>
      <c r="AE243" s="383"/>
      <c r="AF243" s="383"/>
      <c r="AG243" s="383"/>
      <c r="AH243" s="383"/>
      <c r="AI243" s="383"/>
      <c r="AJ243" s="383"/>
      <c r="AK243" s="383"/>
      <c r="AL243" s="383"/>
      <c r="AM243" s="383"/>
      <c r="AN243" s="383"/>
      <c r="AO243" s="383"/>
      <c r="AP243" s="383"/>
      <c r="AQ243" s="383"/>
      <c r="AR243" s="383"/>
      <c r="AS243" s="383"/>
      <c r="AT243" s="383"/>
      <c r="AU243" s="383"/>
      <c r="AV243" s="383"/>
      <c r="AW243" s="383"/>
      <c r="AX243" s="383"/>
      <c r="AY243" s="393"/>
      <c r="AZ243" s="393"/>
      <c r="BA243" s="393"/>
      <c r="BB243" s="393"/>
      <c r="BC243" s="393"/>
      <c r="BD243" s="393"/>
      <c r="BE243" s="393"/>
      <c r="BF243" s="393"/>
      <c r="BG243" s="393"/>
      <c r="BH243" s="393"/>
      <c r="BI243" s="393"/>
      <c r="BJ243" s="393"/>
      <c r="BK243" s="393"/>
      <c r="BL243" s="393"/>
      <c r="BM243" s="393"/>
      <c r="BN243" s="393"/>
      <c r="BO243" s="393"/>
      <c r="BP243" s="393"/>
      <c r="BQ243" s="393"/>
      <c r="BR243" s="393"/>
      <c r="BS243" s="393"/>
    </row>
    <row r="244" spans="1:71" ht="11.25" customHeight="1" x14ac:dyDescent="0.3">
      <c r="A244" s="383"/>
      <c r="B244" s="383"/>
      <c r="C244" s="383"/>
      <c r="D244" s="383"/>
      <c r="E244" s="383"/>
      <c r="F244" s="383"/>
      <c r="G244" s="383"/>
      <c r="H244" s="383"/>
      <c r="I244" s="383"/>
      <c r="J244" s="383"/>
      <c r="K244" s="383"/>
      <c r="L244" s="383"/>
      <c r="M244" s="383"/>
      <c r="N244" s="383"/>
      <c r="O244" s="383"/>
      <c r="P244" s="383"/>
      <c r="Q244" s="383"/>
      <c r="R244" s="383"/>
      <c r="S244" s="383"/>
      <c r="T244" s="383"/>
      <c r="U244" s="383"/>
      <c r="V244" s="383"/>
      <c r="W244" s="383"/>
      <c r="X244" s="383"/>
      <c r="Y244" s="383"/>
      <c r="Z244" s="383"/>
      <c r="AA244" s="383"/>
      <c r="AB244" s="383"/>
      <c r="AC244" s="383"/>
      <c r="AD244" s="383"/>
      <c r="AE244" s="383"/>
      <c r="AF244" s="383"/>
      <c r="AG244" s="383"/>
      <c r="AH244" s="383"/>
      <c r="AI244" s="383"/>
      <c r="AJ244" s="383"/>
      <c r="AK244" s="383"/>
      <c r="AL244" s="383"/>
      <c r="AM244" s="383"/>
      <c r="AN244" s="383"/>
      <c r="AO244" s="383"/>
      <c r="AP244" s="383"/>
      <c r="AQ244" s="383"/>
      <c r="AR244" s="383"/>
      <c r="AS244" s="383"/>
      <c r="AT244" s="383"/>
      <c r="AU244" s="383"/>
      <c r="AV244" s="383"/>
      <c r="AW244" s="383"/>
      <c r="AX244" s="383"/>
      <c r="AY244" s="393"/>
      <c r="AZ244" s="393"/>
      <c r="BA244" s="393"/>
      <c r="BB244" s="393"/>
      <c r="BC244" s="393"/>
      <c r="BD244" s="393"/>
      <c r="BE244" s="393"/>
      <c r="BF244" s="393"/>
      <c r="BG244" s="393"/>
      <c r="BH244" s="393"/>
      <c r="BI244" s="393"/>
      <c r="BJ244" s="393"/>
      <c r="BK244" s="393"/>
      <c r="BL244" s="393"/>
      <c r="BM244" s="393"/>
      <c r="BN244" s="393"/>
      <c r="BO244" s="393"/>
      <c r="BP244" s="393"/>
      <c r="BQ244" s="393"/>
      <c r="BR244" s="393"/>
      <c r="BS244" s="393"/>
    </row>
    <row r="245" spans="1:71" ht="11.25" customHeight="1" x14ac:dyDescent="0.3">
      <c r="A245" s="383"/>
      <c r="B245" s="383"/>
      <c r="C245" s="383"/>
      <c r="D245" s="383"/>
      <c r="E245" s="383"/>
      <c r="F245" s="383"/>
      <c r="G245" s="383"/>
      <c r="H245" s="383"/>
      <c r="I245" s="383"/>
      <c r="J245" s="383"/>
      <c r="K245" s="383"/>
      <c r="L245" s="383"/>
      <c r="M245" s="383"/>
      <c r="N245" s="383"/>
      <c r="O245" s="383"/>
      <c r="P245" s="383"/>
      <c r="Q245" s="383"/>
      <c r="R245" s="383"/>
      <c r="S245" s="383"/>
      <c r="T245" s="383"/>
      <c r="U245" s="383"/>
      <c r="V245" s="383"/>
      <c r="W245" s="383"/>
      <c r="X245" s="383"/>
      <c r="Y245" s="383"/>
      <c r="Z245" s="383"/>
      <c r="AA245" s="383"/>
      <c r="AB245" s="383"/>
      <c r="AC245" s="383"/>
      <c r="AD245" s="383"/>
      <c r="AE245" s="383"/>
      <c r="AF245" s="383"/>
      <c r="AG245" s="383"/>
      <c r="AH245" s="383"/>
      <c r="AI245" s="383"/>
      <c r="AJ245" s="383"/>
      <c r="AK245" s="383"/>
      <c r="AL245" s="383"/>
      <c r="AM245" s="383"/>
      <c r="AN245" s="383"/>
      <c r="AO245" s="383"/>
      <c r="AP245" s="383"/>
      <c r="AQ245" s="383"/>
      <c r="AR245" s="383"/>
      <c r="AS245" s="383"/>
      <c r="AT245" s="383"/>
      <c r="AU245" s="383"/>
      <c r="AV245" s="383"/>
      <c r="AW245" s="383"/>
      <c r="AX245" s="383"/>
      <c r="AY245" s="393"/>
      <c r="AZ245" s="393"/>
      <c r="BA245" s="393"/>
      <c r="BB245" s="393"/>
      <c r="BC245" s="393"/>
      <c r="BD245" s="393"/>
      <c r="BE245" s="393"/>
      <c r="BF245" s="393"/>
      <c r="BG245" s="393"/>
      <c r="BH245" s="393"/>
      <c r="BI245" s="393"/>
      <c r="BJ245" s="393"/>
      <c r="BK245" s="393"/>
      <c r="BL245" s="393"/>
      <c r="BM245" s="393"/>
      <c r="BN245" s="393"/>
      <c r="BO245" s="393"/>
      <c r="BP245" s="393"/>
      <c r="BQ245" s="393"/>
      <c r="BR245" s="393"/>
      <c r="BS245" s="393"/>
    </row>
    <row r="246" spans="1:71" ht="11.25" customHeight="1" x14ac:dyDescent="0.3">
      <c r="A246" s="383"/>
      <c r="B246" s="383"/>
      <c r="C246" s="383"/>
      <c r="D246" s="383"/>
      <c r="E246" s="383"/>
      <c r="F246" s="383"/>
      <c r="G246" s="383"/>
      <c r="H246" s="383"/>
      <c r="I246" s="383"/>
      <c r="J246" s="383"/>
      <c r="K246" s="383"/>
      <c r="L246" s="383"/>
      <c r="M246" s="383"/>
      <c r="N246" s="383"/>
      <c r="O246" s="383"/>
      <c r="P246" s="383"/>
      <c r="Q246" s="383"/>
      <c r="R246" s="383"/>
      <c r="S246" s="383"/>
      <c r="T246" s="383"/>
      <c r="U246" s="383"/>
      <c r="V246" s="383"/>
      <c r="W246" s="383"/>
      <c r="X246" s="383"/>
      <c r="Y246" s="383"/>
      <c r="Z246" s="383"/>
      <c r="AA246" s="383"/>
      <c r="AB246" s="383"/>
      <c r="AC246" s="383"/>
      <c r="AD246" s="383"/>
      <c r="AE246" s="383"/>
      <c r="AF246" s="383"/>
      <c r="AG246" s="383"/>
      <c r="AH246" s="383"/>
      <c r="AI246" s="383"/>
      <c r="AJ246" s="383"/>
      <c r="AK246" s="383"/>
      <c r="AL246" s="383"/>
      <c r="AM246" s="383"/>
      <c r="AN246" s="383"/>
      <c r="AO246" s="383"/>
      <c r="AP246" s="383"/>
      <c r="AQ246" s="383"/>
      <c r="AR246" s="383"/>
      <c r="AS246" s="383"/>
      <c r="AT246" s="383"/>
      <c r="AU246" s="383"/>
      <c r="AV246" s="383"/>
      <c r="AW246" s="383"/>
      <c r="AX246" s="383"/>
      <c r="AY246" s="393"/>
      <c r="AZ246" s="393"/>
      <c r="BA246" s="393"/>
      <c r="BB246" s="393"/>
      <c r="BC246" s="393"/>
      <c r="BD246" s="393"/>
      <c r="BE246" s="393"/>
      <c r="BF246" s="393"/>
      <c r="BG246" s="393"/>
      <c r="BH246" s="393"/>
      <c r="BI246" s="393"/>
      <c r="BJ246" s="393"/>
      <c r="BK246" s="393"/>
      <c r="BL246" s="393"/>
      <c r="BM246" s="393"/>
      <c r="BN246" s="393"/>
      <c r="BO246" s="393"/>
      <c r="BP246" s="393"/>
      <c r="BQ246" s="393"/>
      <c r="BR246" s="393"/>
      <c r="BS246" s="393"/>
    </row>
    <row r="247" spans="1:71" ht="11.25" customHeight="1" x14ac:dyDescent="0.3">
      <c r="A247" s="383"/>
      <c r="B247" s="383"/>
      <c r="C247" s="383"/>
      <c r="D247" s="383"/>
      <c r="E247" s="383"/>
      <c r="F247" s="383"/>
      <c r="G247" s="383"/>
      <c r="H247" s="383"/>
      <c r="I247" s="383"/>
      <c r="J247" s="383"/>
      <c r="K247" s="383"/>
      <c r="L247" s="383"/>
      <c r="M247" s="383"/>
      <c r="N247" s="383"/>
      <c r="O247" s="383"/>
      <c r="P247" s="383"/>
      <c r="Q247" s="383"/>
      <c r="R247" s="383"/>
      <c r="S247" s="383"/>
      <c r="T247" s="383"/>
      <c r="U247" s="383"/>
      <c r="V247" s="383"/>
      <c r="W247" s="383"/>
      <c r="X247" s="383"/>
      <c r="Y247" s="383"/>
      <c r="Z247" s="383"/>
      <c r="AA247" s="383"/>
      <c r="AB247" s="383"/>
      <c r="AC247" s="383"/>
      <c r="AD247" s="383"/>
      <c r="AE247" s="383"/>
      <c r="AF247" s="383"/>
      <c r="AG247" s="383"/>
      <c r="AH247" s="383"/>
      <c r="AI247" s="383"/>
      <c r="AJ247" s="383"/>
      <c r="AK247" s="383"/>
      <c r="AL247" s="383"/>
      <c r="AM247" s="383"/>
      <c r="AN247" s="383"/>
      <c r="AO247" s="383"/>
      <c r="AP247" s="383"/>
      <c r="AQ247" s="383"/>
      <c r="AR247" s="383"/>
      <c r="AS247" s="383"/>
      <c r="AT247" s="383"/>
      <c r="AU247" s="383"/>
      <c r="AV247" s="383"/>
      <c r="AW247" s="383"/>
      <c r="AX247" s="383"/>
      <c r="AY247" s="393"/>
      <c r="AZ247" s="393"/>
      <c r="BA247" s="393"/>
      <c r="BB247" s="393"/>
      <c r="BC247" s="393"/>
      <c r="BD247" s="393"/>
      <c r="BE247" s="393"/>
      <c r="BF247" s="393"/>
      <c r="BG247" s="393"/>
      <c r="BH247" s="393"/>
      <c r="BI247" s="393"/>
      <c r="BJ247" s="393"/>
      <c r="BK247" s="393"/>
      <c r="BL247" s="393"/>
      <c r="BM247" s="393"/>
      <c r="BN247" s="393"/>
      <c r="BO247" s="393"/>
      <c r="BP247" s="393"/>
      <c r="BQ247" s="393"/>
      <c r="BR247" s="393"/>
      <c r="BS247" s="393"/>
    </row>
    <row r="248" spans="1:71" ht="11.25" customHeight="1" x14ac:dyDescent="0.3">
      <c r="A248" s="383"/>
      <c r="B248" s="383"/>
      <c r="C248" s="383"/>
      <c r="D248" s="383"/>
      <c r="E248" s="383"/>
      <c r="F248" s="383"/>
      <c r="G248" s="383"/>
      <c r="H248" s="383"/>
      <c r="I248" s="383"/>
      <c r="J248" s="383"/>
      <c r="K248" s="383"/>
      <c r="L248" s="383"/>
      <c r="M248" s="383"/>
      <c r="N248" s="383"/>
      <c r="O248" s="383"/>
      <c r="P248" s="383"/>
      <c r="Q248" s="383"/>
      <c r="R248" s="383"/>
      <c r="S248" s="383"/>
      <c r="T248" s="383"/>
      <c r="U248" s="383"/>
      <c r="V248" s="383"/>
      <c r="W248" s="383"/>
      <c r="X248" s="383"/>
      <c r="Y248" s="383"/>
      <c r="Z248" s="383"/>
      <c r="AA248" s="383"/>
      <c r="AB248" s="383"/>
      <c r="AC248" s="383"/>
      <c r="AD248" s="383"/>
      <c r="AE248" s="383"/>
      <c r="AF248" s="383"/>
      <c r="AG248" s="383"/>
      <c r="AH248" s="383"/>
      <c r="AI248" s="383"/>
      <c r="AJ248" s="383"/>
      <c r="AK248" s="383"/>
      <c r="AL248" s="383"/>
      <c r="AM248" s="383"/>
      <c r="AN248" s="383"/>
      <c r="AO248" s="383"/>
      <c r="AP248" s="383"/>
      <c r="AQ248" s="383"/>
      <c r="AR248" s="383"/>
      <c r="AS248" s="383"/>
      <c r="AT248" s="383"/>
      <c r="AU248" s="383"/>
      <c r="AV248" s="383"/>
      <c r="AW248" s="383"/>
      <c r="AX248" s="383"/>
      <c r="AY248" s="393"/>
      <c r="AZ248" s="393"/>
      <c r="BA248" s="393"/>
      <c r="BB248" s="393"/>
      <c r="BC248" s="393"/>
      <c r="BD248" s="393"/>
      <c r="BE248" s="393"/>
      <c r="BF248" s="393"/>
      <c r="BG248" s="393"/>
      <c r="BH248" s="393"/>
      <c r="BI248" s="393"/>
      <c r="BJ248" s="393"/>
      <c r="BK248" s="393"/>
      <c r="BL248" s="393"/>
      <c r="BM248" s="393"/>
      <c r="BN248" s="393"/>
      <c r="BO248" s="393"/>
      <c r="BP248" s="393"/>
      <c r="BQ248" s="393"/>
      <c r="BR248" s="393"/>
      <c r="BS248" s="393"/>
    </row>
    <row r="249" spans="1:71" ht="11.25" customHeight="1" x14ac:dyDescent="0.3">
      <c r="A249" s="383"/>
      <c r="B249" s="383"/>
      <c r="C249" s="383"/>
      <c r="D249" s="383"/>
      <c r="E249" s="383"/>
      <c r="F249" s="383"/>
      <c r="G249" s="383"/>
      <c r="H249" s="383"/>
      <c r="I249" s="383"/>
      <c r="J249" s="383"/>
      <c r="K249" s="383"/>
      <c r="L249" s="383"/>
      <c r="M249" s="383"/>
      <c r="N249" s="383"/>
      <c r="O249" s="383"/>
      <c r="P249" s="383"/>
      <c r="Q249" s="383"/>
      <c r="R249" s="383"/>
      <c r="S249" s="383"/>
      <c r="T249" s="383"/>
      <c r="U249" s="383"/>
      <c r="V249" s="383"/>
      <c r="W249" s="383"/>
      <c r="X249" s="383"/>
      <c r="Y249" s="383"/>
      <c r="Z249" s="383"/>
      <c r="AA249" s="383"/>
      <c r="AB249" s="383"/>
      <c r="AC249" s="383"/>
      <c r="AD249" s="383"/>
      <c r="AE249" s="383"/>
      <c r="AF249" s="383"/>
      <c r="AG249" s="383"/>
      <c r="AH249" s="383"/>
      <c r="AI249" s="383"/>
      <c r="AJ249" s="383"/>
      <c r="AK249" s="383"/>
      <c r="AL249" s="383"/>
      <c r="AM249" s="383"/>
      <c r="AN249" s="383"/>
      <c r="AO249" s="383"/>
      <c r="AP249" s="383"/>
      <c r="AQ249" s="383"/>
      <c r="AR249" s="383"/>
      <c r="AS249" s="383"/>
      <c r="AT249" s="383"/>
      <c r="AU249" s="383"/>
      <c r="AV249" s="383"/>
      <c r="AW249" s="383"/>
      <c r="AX249" s="383"/>
      <c r="AY249" s="393"/>
      <c r="AZ249" s="393"/>
      <c r="BA249" s="393"/>
      <c r="BB249" s="393"/>
      <c r="BC249" s="393"/>
      <c r="BD249" s="393"/>
      <c r="BE249" s="393"/>
      <c r="BF249" s="393"/>
      <c r="BG249" s="393"/>
      <c r="BH249" s="393"/>
      <c r="BI249" s="393"/>
      <c r="BJ249" s="393"/>
      <c r="BK249" s="393"/>
      <c r="BL249" s="393"/>
      <c r="BM249" s="393"/>
      <c r="BN249" s="393"/>
      <c r="BO249" s="393"/>
      <c r="BP249" s="393"/>
      <c r="BQ249" s="393"/>
      <c r="BR249" s="393"/>
      <c r="BS249" s="393"/>
    </row>
    <row r="250" spans="1:71" ht="11.25" customHeight="1" x14ac:dyDescent="0.3">
      <c r="A250" s="383"/>
      <c r="B250" s="383"/>
      <c r="C250" s="383"/>
      <c r="D250" s="383"/>
      <c r="E250" s="383"/>
      <c r="F250" s="383"/>
      <c r="G250" s="383"/>
      <c r="H250" s="383"/>
      <c r="I250" s="383"/>
      <c r="J250" s="383"/>
      <c r="K250" s="383"/>
      <c r="L250" s="383"/>
      <c r="M250" s="383"/>
      <c r="N250" s="383"/>
      <c r="O250" s="383"/>
      <c r="P250" s="383"/>
      <c r="Q250" s="383"/>
      <c r="R250" s="383"/>
      <c r="S250" s="383"/>
      <c r="T250" s="383"/>
      <c r="U250" s="383"/>
      <c r="V250" s="383"/>
      <c r="W250" s="383"/>
      <c r="X250" s="383"/>
      <c r="Y250" s="383"/>
      <c r="Z250" s="383"/>
      <c r="AA250" s="383"/>
      <c r="AB250" s="383"/>
      <c r="AC250" s="383"/>
      <c r="AD250" s="383"/>
      <c r="AE250" s="383"/>
      <c r="AF250" s="383"/>
      <c r="AG250" s="383"/>
      <c r="AH250" s="383"/>
      <c r="AI250" s="383"/>
      <c r="AJ250" s="383"/>
      <c r="AK250" s="383"/>
      <c r="AL250" s="383"/>
      <c r="AM250" s="383"/>
      <c r="AN250" s="383"/>
      <c r="AO250" s="383"/>
      <c r="AP250" s="383"/>
      <c r="AQ250" s="383"/>
      <c r="AR250" s="383"/>
      <c r="AS250" s="383"/>
      <c r="AT250" s="383"/>
      <c r="AU250" s="383"/>
      <c r="AV250" s="383"/>
      <c r="AW250" s="383"/>
      <c r="AX250" s="383"/>
      <c r="AY250" s="393"/>
      <c r="AZ250" s="393"/>
      <c r="BA250" s="393"/>
      <c r="BB250" s="393"/>
      <c r="BC250" s="393"/>
      <c r="BD250" s="393"/>
      <c r="BE250" s="393"/>
      <c r="BF250" s="393"/>
      <c r="BG250" s="393"/>
      <c r="BH250" s="393"/>
      <c r="BI250" s="393"/>
      <c r="BJ250" s="393"/>
      <c r="BK250" s="393"/>
      <c r="BL250" s="393"/>
      <c r="BM250" s="393"/>
      <c r="BN250" s="393"/>
      <c r="BO250" s="393"/>
      <c r="BP250" s="393"/>
      <c r="BQ250" s="393"/>
      <c r="BR250" s="393"/>
      <c r="BS250" s="393"/>
    </row>
    <row r="251" spans="1:71" ht="11.25" customHeight="1" x14ac:dyDescent="0.3">
      <c r="A251" s="383"/>
      <c r="B251" s="383"/>
      <c r="C251" s="383"/>
      <c r="D251" s="383"/>
      <c r="E251" s="383"/>
      <c r="F251" s="383"/>
      <c r="G251" s="383"/>
      <c r="H251" s="383"/>
      <c r="I251" s="383"/>
      <c r="J251" s="383"/>
      <c r="K251" s="383"/>
      <c r="L251" s="383"/>
      <c r="M251" s="383"/>
      <c r="N251" s="383"/>
      <c r="O251" s="383"/>
      <c r="P251" s="383"/>
      <c r="Q251" s="383"/>
      <c r="R251" s="383"/>
      <c r="S251" s="383"/>
      <c r="T251" s="383"/>
      <c r="U251" s="383"/>
      <c r="V251" s="383"/>
      <c r="W251" s="383"/>
      <c r="X251" s="383"/>
      <c r="Y251" s="383"/>
      <c r="Z251" s="383"/>
      <c r="AA251" s="383"/>
      <c r="AB251" s="383"/>
      <c r="AC251" s="383"/>
      <c r="AD251" s="383"/>
      <c r="AE251" s="383"/>
      <c r="AF251" s="383"/>
      <c r="AG251" s="383"/>
      <c r="AH251" s="383"/>
      <c r="AI251" s="383"/>
      <c r="AJ251" s="383"/>
      <c r="AK251" s="383"/>
      <c r="AL251" s="383"/>
      <c r="AM251" s="383"/>
      <c r="AN251" s="383"/>
      <c r="AO251" s="383"/>
      <c r="AP251" s="383"/>
      <c r="AQ251" s="383"/>
      <c r="AR251" s="383"/>
      <c r="AS251" s="383"/>
      <c r="AT251" s="383"/>
      <c r="AU251" s="383"/>
      <c r="AV251" s="383"/>
      <c r="AW251" s="383"/>
      <c r="AX251" s="383"/>
      <c r="AY251" s="393"/>
      <c r="AZ251" s="393"/>
      <c r="BA251" s="393"/>
      <c r="BB251" s="393"/>
      <c r="BC251" s="393"/>
      <c r="BD251" s="393"/>
      <c r="BE251" s="393"/>
      <c r="BF251" s="393"/>
      <c r="BG251" s="393"/>
      <c r="BH251" s="393"/>
      <c r="BI251" s="393"/>
      <c r="BJ251" s="393"/>
      <c r="BK251" s="393"/>
      <c r="BL251" s="393"/>
      <c r="BM251" s="393"/>
      <c r="BN251" s="393"/>
      <c r="BO251" s="393"/>
      <c r="BP251" s="393"/>
      <c r="BQ251" s="393"/>
      <c r="BR251" s="393"/>
      <c r="BS251" s="393"/>
    </row>
    <row r="252" spans="1:71" ht="11.25" customHeight="1" x14ac:dyDescent="0.3">
      <c r="A252" s="383"/>
      <c r="B252" s="383"/>
      <c r="C252" s="383"/>
      <c r="D252" s="383"/>
      <c r="E252" s="383"/>
      <c r="F252" s="383"/>
      <c r="G252" s="383"/>
      <c r="H252" s="383"/>
      <c r="I252" s="383"/>
      <c r="J252" s="383"/>
      <c r="K252" s="383"/>
      <c r="L252" s="383"/>
      <c r="M252" s="383"/>
      <c r="N252" s="383"/>
      <c r="O252" s="383"/>
      <c r="P252" s="383"/>
      <c r="Q252" s="383"/>
      <c r="R252" s="383"/>
      <c r="S252" s="383"/>
      <c r="T252" s="383"/>
      <c r="U252" s="383"/>
      <c r="V252" s="383"/>
      <c r="W252" s="383"/>
      <c r="X252" s="383"/>
      <c r="Y252" s="383"/>
      <c r="Z252" s="383"/>
      <c r="AA252" s="383"/>
      <c r="AB252" s="383"/>
      <c r="AC252" s="383"/>
      <c r="AD252" s="383"/>
      <c r="AE252" s="383"/>
      <c r="AF252" s="383"/>
      <c r="AG252" s="383"/>
      <c r="AH252" s="383"/>
      <c r="AI252" s="383"/>
      <c r="AJ252" s="383"/>
      <c r="AK252" s="383"/>
      <c r="AL252" s="383"/>
      <c r="AM252" s="383"/>
      <c r="AN252" s="383"/>
      <c r="AO252" s="383"/>
      <c r="AP252" s="383"/>
      <c r="AQ252" s="383"/>
      <c r="AR252" s="383"/>
      <c r="AS252" s="383"/>
      <c r="AT252" s="383"/>
      <c r="AU252" s="383"/>
      <c r="AV252" s="383"/>
      <c r="AW252" s="383"/>
      <c r="AX252" s="383"/>
      <c r="AY252" s="393"/>
      <c r="AZ252" s="393"/>
      <c r="BA252" s="393"/>
      <c r="BB252" s="393"/>
      <c r="BC252" s="393"/>
      <c r="BD252" s="393"/>
      <c r="BE252" s="393"/>
      <c r="BF252" s="393"/>
      <c r="BG252" s="393"/>
      <c r="BH252" s="393"/>
      <c r="BI252" s="393"/>
      <c r="BJ252" s="393"/>
      <c r="BK252" s="393"/>
      <c r="BL252" s="393"/>
      <c r="BM252" s="393"/>
      <c r="BN252" s="393"/>
      <c r="BO252" s="393"/>
      <c r="BP252" s="393"/>
      <c r="BQ252" s="393"/>
      <c r="BR252" s="393"/>
      <c r="BS252" s="393"/>
    </row>
    <row r="253" spans="1:71" ht="11.25" customHeight="1" x14ac:dyDescent="0.3">
      <c r="A253" s="383"/>
      <c r="B253" s="383"/>
      <c r="C253" s="383"/>
      <c r="D253" s="383"/>
      <c r="E253" s="383"/>
      <c r="F253" s="383"/>
      <c r="G253" s="383"/>
      <c r="H253" s="383"/>
      <c r="I253" s="383"/>
      <c r="J253" s="383"/>
      <c r="K253" s="383"/>
      <c r="L253" s="383"/>
      <c r="M253" s="383"/>
      <c r="N253" s="383"/>
      <c r="O253" s="383"/>
      <c r="P253" s="383"/>
      <c r="Q253" s="383"/>
      <c r="R253" s="383"/>
      <c r="S253" s="383"/>
      <c r="T253" s="383"/>
      <c r="U253" s="383"/>
      <c r="V253" s="383"/>
      <c r="W253" s="383"/>
      <c r="X253" s="383"/>
      <c r="Y253" s="383"/>
      <c r="Z253" s="383"/>
      <c r="AA253" s="383"/>
      <c r="AB253" s="383"/>
      <c r="AC253" s="383"/>
      <c r="AD253" s="383"/>
      <c r="AE253" s="383"/>
      <c r="AF253" s="383"/>
      <c r="AG253" s="383"/>
      <c r="AH253" s="383"/>
      <c r="AI253" s="383"/>
      <c r="AJ253" s="383"/>
      <c r="AK253" s="383"/>
      <c r="AL253" s="383"/>
      <c r="AM253" s="383"/>
      <c r="AN253" s="383"/>
      <c r="AO253" s="383"/>
      <c r="AP253" s="383"/>
      <c r="AQ253" s="383"/>
      <c r="AR253" s="383"/>
      <c r="AS253" s="383"/>
      <c r="AT253" s="383"/>
      <c r="AU253" s="383"/>
      <c r="AV253" s="383"/>
      <c r="AW253" s="383"/>
      <c r="AX253" s="383"/>
      <c r="AY253" s="393"/>
      <c r="AZ253" s="393"/>
      <c r="BA253" s="393"/>
      <c r="BB253" s="393"/>
      <c r="BC253" s="393"/>
      <c r="BD253" s="393"/>
      <c r="BE253" s="393"/>
      <c r="BF253" s="393"/>
      <c r="BG253" s="393"/>
      <c r="BH253" s="393"/>
      <c r="BI253" s="393"/>
      <c r="BJ253" s="393"/>
      <c r="BK253" s="393"/>
      <c r="BL253" s="393"/>
      <c r="BM253" s="393"/>
      <c r="BN253" s="393"/>
      <c r="BO253" s="393"/>
      <c r="BP253" s="393"/>
      <c r="BQ253" s="393"/>
      <c r="BR253" s="393"/>
      <c r="BS253" s="393"/>
    </row>
    <row r="254" spans="1:71" ht="11.25" customHeight="1" x14ac:dyDescent="0.3">
      <c r="A254" s="383"/>
      <c r="B254" s="383"/>
      <c r="C254" s="383"/>
      <c r="D254" s="383"/>
      <c r="E254" s="383"/>
      <c r="F254" s="383"/>
      <c r="G254" s="383"/>
      <c r="H254" s="383"/>
      <c r="I254" s="383"/>
      <c r="J254" s="383"/>
      <c r="K254" s="383"/>
      <c r="L254" s="383"/>
      <c r="M254" s="383"/>
      <c r="N254" s="383"/>
      <c r="O254" s="383"/>
      <c r="P254" s="383"/>
      <c r="Q254" s="383"/>
      <c r="R254" s="383"/>
      <c r="S254" s="383"/>
      <c r="T254" s="383"/>
      <c r="U254" s="383"/>
      <c r="V254" s="383"/>
      <c r="W254" s="383"/>
      <c r="X254" s="383"/>
      <c r="Y254" s="383"/>
      <c r="Z254" s="383"/>
      <c r="AA254" s="383"/>
      <c r="AB254" s="383"/>
      <c r="AC254" s="383"/>
      <c r="AD254" s="383"/>
      <c r="AE254" s="383"/>
      <c r="AF254" s="383"/>
      <c r="AG254" s="383"/>
      <c r="AH254" s="383"/>
      <c r="AI254" s="383"/>
      <c r="AJ254" s="383"/>
      <c r="AK254" s="383"/>
      <c r="AL254" s="383"/>
      <c r="AM254" s="383"/>
      <c r="AN254" s="383"/>
      <c r="AO254" s="383"/>
      <c r="AP254" s="383"/>
      <c r="AQ254" s="383"/>
      <c r="AR254" s="383"/>
      <c r="AS254" s="383"/>
      <c r="AT254" s="383"/>
      <c r="AU254" s="383"/>
      <c r="AV254" s="383"/>
      <c r="AW254" s="383"/>
      <c r="AX254" s="383"/>
      <c r="AY254" s="393"/>
      <c r="AZ254" s="393"/>
      <c r="BA254" s="393"/>
      <c r="BB254" s="393"/>
      <c r="BC254" s="393"/>
      <c r="BD254" s="393"/>
      <c r="BE254" s="393"/>
      <c r="BF254" s="393"/>
      <c r="BG254" s="393"/>
      <c r="BH254" s="393"/>
      <c r="BI254" s="393"/>
      <c r="BJ254" s="393"/>
      <c r="BK254" s="393"/>
      <c r="BL254" s="393"/>
      <c r="BM254" s="393"/>
      <c r="BN254" s="393"/>
      <c r="BO254" s="393"/>
      <c r="BP254" s="393"/>
      <c r="BQ254" s="393"/>
      <c r="BR254" s="393"/>
      <c r="BS254" s="393"/>
    </row>
    <row r="255" spans="1:71" ht="11.25" customHeight="1" x14ac:dyDescent="0.3">
      <c r="A255" s="383"/>
      <c r="B255" s="383"/>
      <c r="C255" s="383"/>
      <c r="D255" s="383"/>
      <c r="E255" s="383"/>
      <c r="F255" s="383"/>
      <c r="G255" s="383"/>
      <c r="H255" s="383"/>
      <c r="I255" s="383"/>
      <c r="J255" s="383"/>
      <c r="K255" s="383"/>
      <c r="L255" s="383"/>
      <c r="M255" s="383"/>
      <c r="N255" s="383"/>
      <c r="O255" s="383"/>
      <c r="P255" s="383"/>
      <c r="Q255" s="383"/>
      <c r="R255" s="383"/>
      <c r="S255" s="383"/>
      <c r="T255" s="383"/>
      <c r="U255" s="383"/>
      <c r="V255" s="383"/>
      <c r="W255" s="383"/>
      <c r="X255" s="383"/>
      <c r="Y255" s="383"/>
      <c r="Z255" s="383"/>
      <c r="AA255" s="383"/>
      <c r="AB255" s="383"/>
      <c r="AC255" s="383"/>
      <c r="AD255" s="383"/>
      <c r="AE255" s="383"/>
      <c r="AF255" s="383"/>
      <c r="AG255" s="383"/>
      <c r="AH255" s="383"/>
      <c r="AI255" s="383"/>
      <c r="AJ255" s="383"/>
      <c r="AK255" s="383"/>
      <c r="AL255" s="383"/>
      <c r="AM255" s="383"/>
      <c r="AN255" s="383"/>
      <c r="AO255" s="383"/>
      <c r="AP255" s="383"/>
      <c r="AQ255" s="383"/>
      <c r="AR255" s="383"/>
      <c r="AS255" s="383"/>
      <c r="AT255" s="383"/>
      <c r="AU255" s="383"/>
      <c r="AV255" s="383"/>
      <c r="AW255" s="383"/>
      <c r="AX255" s="383"/>
      <c r="AY255" s="393"/>
      <c r="AZ255" s="393"/>
      <c r="BA255" s="393"/>
      <c r="BB255" s="393"/>
      <c r="BC255" s="393"/>
      <c r="BD255" s="393"/>
      <c r="BE255" s="393"/>
      <c r="BF255" s="393"/>
      <c r="BG255" s="393"/>
      <c r="BH255" s="393"/>
      <c r="BI255" s="393"/>
      <c r="BJ255" s="393"/>
      <c r="BK255" s="393"/>
      <c r="BL255" s="393"/>
      <c r="BM255" s="393"/>
      <c r="BN255" s="393"/>
      <c r="BO255" s="393"/>
      <c r="BP255" s="393"/>
      <c r="BQ255" s="393"/>
      <c r="BR255" s="393"/>
      <c r="BS255" s="393"/>
    </row>
    <row r="256" spans="1:71" ht="11.25" customHeight="1" x14ac:dyDescent="0.3">
      <c r="A256" s="383"/>
      <c r="B256" s="383"/>
      <c r="C256" s="383"/>
      <c r="D256" s="383"/>
      <c r="E256" s="383"/>
      <c r="F256" s="383"/>
      <c r="G256" s="383"/>
      <c r="H256" s="383"/>
      <c r="I256" s="383"/>
      <c r="J256" s="383"/>
      <c r="K256" s="383"/>
      <c r="L256" s="383"/>
      <c r="M256" s="383"/>
      <c r="N256" s="383"/>
      <c r="O256" s="383"/>
      <c r="P256" s="383"/>
      <c r="Q256" s="383"/>
      <c r="R256" s="383"/>
      <c r="S256" s="383"/>
      <c r="T256" s="383"/>
      <c r="U256" s="383"/>
      <c r="V256" s="383"/>
      <c r="W256" s="383"/>
      <c r="X256" s="383"/>
      <c r="Y256" s="383"/>
      <c r="Z256" s="383"/>
      <c r="AA256" s="383"/>
      <c r="AB256" s="383"/>
      <c r="AC256" s="383"/>
      <c r="AD256" s="383"/>
      <c r="AE256" s="383"/>
      <c r="AF256" s="383"/>
      <c r="AG256" s="383"/>
      <c r="AH256" s="383"/>
      <c r="AI256" s="383"/>
      <c r="AJ256" s="383"/>
      <c r="AK256" s="383"/>
      <c r="AL256" s="383"/>
      <c r="AM256" s="383"/>
      <c r="AN256" s="383"/>
      <c r="AO256" s="383"/>
      <c r="AP256" s="383"/>
      <c r="AQ256" s="383"/>
      <c r="AR256" s="383"/>
      <c r="AS256" s="383"/>
      <c r="AT256" s="383"/>
      <c r="AU256" s="383"/>
      <c r="AV256" s="383"/>
      <c r="AW256" s="383"/>
      <c r="AX256" s="383"/>
      <c r="AY256" s="393"/>
      <c r="AZ256" s="393"/>
      <c r="BA256" s="393"/>
      <c r="BB256" s="393"/>
      <c r="BC256" s="393"/>
      <c r="BD256" s="393"/>
      <c r="BE256" s="393"/>
      <c r="BF256" s="393"/>
      <c r="BG256" s="393"/>
      <c r="BH256" s="393"/>
      <c r="BI256" s="393"/>
      <c r="BJ256" s="393"/>
      <c r="BK256" s="393"/>
      <c r="BL256" s="393"/>
      <c r="BM256" s="393"/>
      <c r="BN256" s="393"/>
      <c r="BO256" s="393"/>
      <c r="BP256" s="393"/>
      <c r="BQ256" s="393"/>
      <c r="BR256" s="393"/>
      <c r="BS256" s="393"/>
    </row>
    <row r="257" spans="1:71" ht="11.25" customHeight="1" x14ac:dyDescent="0.3">
      <c r="A257" s="383"/>
      <c r="B257" s="383"/>
      <c r="C257" s="383"/>
      <c r="D257" s="383"/>
      <c r="E257" s="383"/>
      <c r="F257" s="383"/>
      <c r="G257" s="383"/>
      <c r="H257" s="383"/>
      <c r="I257" s="383"/>
      <c r="J257" s="383"/>
      <c r="K257" s="383"/>
      <c r="L257" s="383"/>
      <c r="M257" s="383"/>
      <c r="N257" s="383"/>
      <c r="O257" s="383"/>
      <c r="P257" s="383"/>
      <c r="Q257" s="383"/>
      <c r="R257" s="383"/>
      <c r="S257" s="383"/>
      <c r="T257" s="383"/>
      <c r="U257" s="383"/>
      <c r="V257" s="383"/>
      <c r="W257" s="383"/>
      <c r="X257" s="383"/>
      <c r="Y257" s="383"/>
      <c r="Z257" s="383"/>
      <c r="AA257" s="383"/>
      <c r="AB257" s="383"/>
      <c r="AC257" s="383"/>
      <c r="AD257" s="383"/>
      <c r="AE257" s="383"/>
      <c r="AF257" s="383"/>
      <c r="AG257" s="383"/>
      <c r="AH257" s="383"/>
      <c r="AI257" s="383"/>
      <c r="AJ257" s="383"/>
      <c r="AK257" s="383"/>
      <c r="AL257" s="383"/>
      <c r="AM257" s="383"/>
      <c r="AN257" s="383"/>
      <c r="AO257" s="383"/>
      <c r="AP257" s="383"/>
      <c r="AQ257" s="383"/>
      <c r="AR257" s="383"/>
      <c r="AS257" s="383"/>
      <c r="AT257" s="383"/>
      <c r="AU257" s="383"/>
      <c r="AV257" s="383"/>
      <c r="AW257" s="383"/>
      <c r="AX257" s="383"/>
      <c r="AY257" s="393"/>
      <c r="AZ257" s="393"/>
      <c r="BA257" s="393"/>
      <c r="BB257" s="393"/>
      <c r="BC257" s="393"/>
      <c r="BD257" s="393"/>
      <c r="BE257" s="393"/>
      <c r="BF257" s="393"/>
      <c r="BG257" s="393"/>
      <c r="BH257" s="393"/>
      <c r="BI257" s="393"/>
      <c r="BJ257" s="393"/>
      <c r="BK257" s="393"/>
      <c r="BL257" s="393"/>
      <c r="BM257" s="393"/>
      <c r="BN257" s="393"/>
      <c r="BO257" s="393"/>
      <c r="BP257" s="393"/>
      <c r="BQ257" s="393"/>
      <c r="BR257" s="393"/>
      <c r="BS257" s="393"/>
    </row>
    <row r="258" spans="1:71" ht="11.25" customHeight="1" x14ac:dyDescent="0.3">
      <c r="A258" s="383"/>
      <c r="B258" s="383"/>
      <c r="C258" s="383"/>
      <c r="D258" s="383"/>
      <c r="E258" s="383"/>
      <c r="F258" s="383"/>
      <c r="G258" s="383"/>
      <c r="H258" s="383"/>
      <c r="I258" s="383"/>
      <c r="J258" s="383"/>
      <c r="K258" s="383"/>
      <c r="L258" s="383"/>
      <c r="M258" s="383"/>
      <c r="N258" s="383"/>
      <c r="O258" s="383"/>
      <c r="P258" s="383"/>
      <c r="Q258" s="383"/>
      <c r="R258" s="383"/>
      <c r="S258" s="383"/>
      <c r="T258" s="383"/>
      <c r="U258" s="383"/>
      <c r="V258" s="383"/>
      <c r="W258" s="383"/>
      <c r="X258" s="383"/>
      <c r="Y258" s="383"/>
      <c r="Z258" s="383"/>
      <c r="AA258" s="383"/>
      <c r="AB258" s="383"/>
      <c r="AC258" s="383"/>
      <c r="AD258" s="383"/>
      <c r="AE258" s="383"/>
      <c r="AF258" s="383"/>
      <c r="AG258" s="383"/>
      <c r="AH258" s="383"/>
      <c r="AI258" s="383"/>
      <c r="AJ258" s="383"/>
      <c r="AK258" s="383"/>
      <c r="AL258" s="383"/>
      <c r="AM258" s="383"/>
      <c r="AN258" s="383"/>
      <c r="AO258" s="383"/>
      <c r="AP258" s="383"/>
      <c r="AQ258" s="383"/>
      <c r="AR258" s="383"/>
      <c r="AS258" s="383"/>
      <c r="AT258" s="383"/>
      <c r="AU258" s="383"/>
      <c r="AV258" s="383"/>
      <c r="AW258" s="383"/>
      <c r="AX258" s="383"/>
      <c r="AY258" s="393"/>
      <c r="AZ258" s="393"/>
      <c r="BA258" s="393"/>
      <c r="BB258" s="393"/>
      <c r="BC258" s="393"/>
      <c r="BD258" s="393"/>
      <c r="BE258" s="393"/>
      <c r="BF258" s="393"/>
      <c r="BG258" s="393"/>
      <c r="BH258" s="393"/>
      <c r="BI258" s="393"/>
      <c r="BJ258" s="393"/>
      <c r="BK258" s="393"/>
      <c r="BL258" s="393"/>
      <c r="BM258" s="393"/>
      <c r="BN258" s="393"/>
      <c r="BO258" s="393"/>
      <c r="BP258" s="393"/>
      <c r="BQ258" s="393"/>
      <c r="BR258" s="393"/>
      <c r="BS258" s="393"/>
    </row>
    <row r="259" spans="1:71" ht="11.25" customHeight="1" x14ac:dyDescent="0.3">
      <c r="A259" s="383"/>
      <c r="B259" s="383"/>
      <c r="C259" s="383"/>
      <c r="D259" s="383"/>
      <c r="E259" s="383"/>
      <c r="F259" s="383"/>
      <c r="G259" s="383"/>
      <c r="H259" s="383"/>
      <c r="I259" s="383"/>
      <c r="J259" s="383"/>
      <c r="K259" s="383"/>
      <c r="L259" s="383"/>
      <c r="M259" s="383"/>
      <c r="N259" s="383"/>
      <c r="O259" s="383"/>
      <c r="P259" s="383"/>
      <c r="Q259" s="383"/>
      <c r="R259" s="383"/>
      <c r="S259" s="383"/>
      <c r="T259" s="383"/>
      <c r="U259" s="383"/>
      <c r="V259" s="383"/>
      <c r="W259" s="383"/>
      <c r="X259" s="383"/>
      <c r="Y259" s="383"/>
      <c r="Z259" s="383"/>
      <c r="AA259" s="383"/>
      <c r="AB259" s="383"/>
      <c r="AC259" s="383"/>
      <c r="AD259" s="383"/>
      <c r="AE259" s="383"/>
      <c r="AF259" s="383"/>
      <c r="AG259" s="383"/>
      <c r="AH259" s="383"/>
      <c r="AI259" s="383"/>
      <c r="AJ259" s="383"/>
      <c r="AK259" s="383"/>
      <c r="AL259" s="383"/>
      <c r="AM259" s="383"/>
      <c r="AN259" s="383"/>
      <c r="AO259" s="383"/>
      <c r="AP259" s="383"/>
      <c r="AQ259" s="383"/>
      <c r="AR259" s="383"/>
      <c r="AS259" s="383"/>
      <c r="AT259" s="383"/>
      <c r="AU259" s="383"/>
      <c r="AV259" s="383"/>
      <c r="AW259" s="383"/>
      <c r="AX259" s="383"/>
      <c r="AY259" s="393"/>
      <c r="AZ259" s="393"/>
      <c r="BA259" s="393"/>
      <c r="BB259" s="393"/>
      <c r="BC259" s="393"/>
      <c r="BD259" s="393"/>
      <c r="BE259" s="393"/>
      <c r="BF259" s="393"/>
      <c r="BG259" s="393"/>
      <c r="BH259" s="393"/>
      <c r="BI259" s="393"/>
      <c r="BJ259" s="393"/>
      <c r="BK259" s="393"/>
      <c r="BL259" s="393"/>
      <c r="BM259" s="393"/>
      <c r="BN259" s="393"/>
      <c r="BO259" s="393"/>
      <c r="BP259" s="393"/>
      <c r="BQ259" s="393"/>
      <c r="BR259" s="393"/>
      <c r="BS259" s="393"/>
    </row>
    <row r="260" spans="1:71" ht="11.25" customHeight="1" x14ac:dyDescent="0.3">
      <c r="A260" s="383"/>
      <c r="B260" s="383"/>
      <c r="C260" s="383"/>
      <c r="D260" s="383"/>
      <c r="E260" s="383"/>
      <c r="F260" s="383"/>
      <c r="G260" s="383"/>
      <c r="H260" s="383"/>
      <c r="I260" s="383"/>
      <c r="J260" s="383"/>
      <c r="K260" s="383"/>
      <c r="L260" s="383"/>
      <c r="M260" s="383"/>
      <c r="N260" s="383"/>
      <c r="O260" s="383"/>
      <c r="P260" s="383"/>
      <c r="Q260" s="383"/>
      <c r="R260" s="383"/>
      <c r="S260" s="383"/>
      <c r="T260" s="383"/>
      <c r="U260" s="383"/>
      <c r="V260" s="383"/>
      <c r="W260" s="383"/>
      <c r="X260" s="383"/>
      <c r="Y260" s="383"/>
      <c r="Z260" s="383"/>
      <c r="AA260" s="383"/>
      <c r="AB260" s="383"/>
      <c r="AC260" s="383"/>
      <c r="AD260" s="383"/>
      <c r="AE260" s="383"/>
      <c r="AF260" s="383"/>
      <c r="AG260" s="383"/>
      <c r="AH260" s="383"/>
      <c r="AI260" s="383"/>
      <c r="AJ260" s="383"/>
      <c r="AK260" s="383"/>
      <c r="AL260" s="383"/>
      <c r="AM260" s="383"/>
      <c r="AN260" s="383"/>
      <c r="AO260" s="383"/>
      <c r="AP260" s="383"/>
      <c r="AQ260" s="383"/>
      <c r="AR260" s="383"/>
      <c r="AS260" s="383"/>
      <c r="AT260" s="383"/>
      <c r="AU260" s="383"/>
      <c r="AV260" s="383"/>
      <c r="AW260" s="383"/>
      <c r="AX260" s="383"/>
      <c r="AY260" s="393"/>
      <c r="AZ260" s="393"/>
      <c r="BA260" s="393"/>
      <c r="BB260" s="393"/>
      <c r="BC260" s="393"/>
      <c r="BD260" s="393"/>
      <c r="BE260" s="393"/>
      <c r="BF260" s="393"/>
      <c r="BG260" s="393"/>
      <c r="BH260" s="393"/>
      <c r="BI260" s="393"/>
      <c r="BJ260" s="393"/>
      <c r="BK260" s="393"/>
      <c r="BL260" s="393"/>
      <c r="BM260" s="393"/>
      <c r="BN260" s="393"/>
      <c r="BO260" s="393"/>
      <c r="BP260" s="393"/>
      <c r="BQ260" s="393"/>
      <c r="BR260" s="393"/>
      <c r="BS260" s="393"/>
    </row>
    <row r="261" spans="1:71" ht="11.25" customHeight="1" x14ac:dyDescent="0.3">
      <c r="A261" s="383"/>
      <c r="B261" s="383"/>
      <c r="C261" s="383"/>
      <c r="D261" s="383"/>
      <c r="E261" s="383"/>
      <c r="F261" s="383"/>
      <c r="G261" s="383"/>
      <c r="H261" s="383"/>
      <c r="I261" s="383"/>
      <c r="J261" s="383"/>
      <c r="K261" s="383"/>
      <c r="L261" s="383"/>
      <c r="M261" s="383"/>
      <c r="N261" s="383"/>
      <c r="O261" s="383"/>
      <c r="P261" s="383"/>
      <c r="Q261" s="383"/>
      <c r="R261" s="383"/>
      <c r="S261" s="383"/>
      <c r="T261" s="383"/>
      <c r="U261" s="383"/>
      <c r="V261" s="383"/>
      <c r="W261" s="383"/>
      <c r="X261" s="383"/>
      <c r="Y261" s="383"/>
      <c r="Z261" s="383"/>
      <c r="AA261" s="383"/>
      <c r="AB261" s="383"/>
      <c r="AC261" s="383"/>
      <c r="AD261" s="383"/>
      <c r="AE261" s="383"/>
      <c r="AF261" s="383"/>
      <c r="AG261" s="383"/>
      <c r="AH261" s="383"/>
      <c r="AI261" s="383"/>
      <c r="AJ261" s="383"/>
      <c r="AK261" s="383"/>
      <c r="AL261" s="383"/>
      <c r="AM261" s="383"/>
      <c r="AN261" s="383"/>
      <c r="AO261" s="383"/>
      <c r="AP261" s="383"/>
      <c r="AQ261" s="383"/>
      <c r="AR261" s="383"/>
      <c r="AS261" s="383"/>
      <c r="AT261" s="383"/>
      <c r="AU261" s="383"/>
      <c r="AV261" s="383"/>
      <c r="AW261" s="383"/>
      <c r="AX261" s="383"/>
      <c r="AY261" s="393"/>
      <c r="AZ261" s="393"/>
      <c r="BA261" s="393"/>
      <c r="BB261" s="393"/>
      <c r="BC261" s="393"/>
      <c r="BD261" s="393"/>
      <c r="BE261" s="393"/>
      <c r="BF261" s="393"/>
      <c r="BG261" s="393"/>
      <c r="BH261" s="393"/>
      <c r="BI261" s="393"/>
      <c r="BJ261" s="393"/>
      <c r="BK261" s="393"/>
      <c r="BL261" s="393"/>
      <c r="BM261" s="393"/>
      <c r="BN261" s="393"/>
      <c r="BO261" s="393"/>
      <c r="BP261" s="393"/>
      <c r="BQ261" s="393"/>
      <c r="BR261" s="393"/>
      <c r="BS261" s="393"/>
    </row>
    <row r="262" spans="1:71" ht="11.25" customHeight="1" x14ac:dyDescent="0.3">
      <c r="A262" s="383"/>
      <c r="B262" s="383"/>
      <c r="C262" s="383"/>
      <c r="D262" s="383"/>
      <c r="E262" s="383"/>
      <c r="F262" s="383"/>
      <c r="G262" s="383"/>
      <c r="H262" s="383"/>
      <c r="I262" s="383"/>
      <c r="J262" s="383"/>
      <c r="K262" s="383"/>
      <c r="L262" s="383"/>
      <c r="M262" s="383"/>
      <c r="N262" s="383"/>
      <c r="O262" s="383"/>
      <c r="P262" s="383"/>
      <c r="Q262" s="383"/>
      <c r="R262" s="383"/>
      <c r="S262" s="383"/>
      <c r="T262" s="383"/>
      <c r="U262" s="383"/>
      <c r="V262" s="383"/>
      <c r="W262" s="383"/>
      <c r="X262" s="383"/>
      <c r="Y262" s="383"/>
      <c r="Z262" s="383"/>
      <c r="AA262" s="383"/>
      <c r="AB262" s="383"/>
      <c r="AC262" s="383"/>
      <c r="AD262" s="383"/>
      <c r="AE262" s="383"/>
      <c r="AF262" s="383"/>
      <c r="AG262" s="383"/>
      <c r="AH262" s="383"/>
      <c r="AI262" s="383"/>
      <c r="AJ262" s="383"/>
      <c r="AK262" s="383"/>
      <c r="AL262" s="383"/>
      <c r="AM262" s="383"/>
      <c r="AN262" s="383"/>
      <c r="AO262" s="383"/>
      <c r="AP262" s="383"/>
      <c r="AQ262" s="383"/>
      <c r="AR262" s="383"/>
      <c r="AS262" s="383"/>
      <c r="AT262" s="383"/>
      <c r="AU262" s="383"/>
      <c r="AV262" s="383"/>
      <c r="AW262" s="383"/>
      <c r="AX262" s="383"/>
      <c r="AY262" s="393"/>
      <c r="AZ262" s="393"/>
      <c r="BA262" s="393"/>
      <c r="BB262" s="393"/>
      <c r="BC262" s="393"/>
      <c r="BD262" s="393"/>
      <c r="BE262" s="393"/>
      <c r="BF262" s="393"/>
      <c r="BG262" s="393"/>
      <c r="BH262" s="393"/>
      <c r="BI262" s="393"/>
      <c r="BJ262" s="393"/>
      <c r="BK262" s="393"/>
      <c r="BL262" s="393"/>
      <c r="BM262" s="393"/>
      <c r="BN262" s="393"/>
      <c r="BO262" s="393"/>
      <c r="BP262" s="393"/>
      <c r="BQ262" s="393"/>
      <c r="BR262" s="393"/>
      <c r="BS262" s="393"/>
    </row>
    <row r="263" spans="1:71" ht="11.25" customHeight="1" x14ac:dyDescent="0.3">
      <c r="A263" s="383"/>
      <c r="B263" s="383"/>
      <c r="C263" s="383"/>
      <c r="D263" s="383"/>
      <c r="E263" s="383"/>
      <c r="F263" s="383"/>
      <c r="G263" s="383"/>
      <c r="H263" s="383"/>
      <c r="I263" s="383"/>
      <c r="J263" s="383"/>
      <c r="K263" s="383"/>
      <c r="L263" s="383"/>
      <c r="M263" s="383"/>
      <c r="N263" s="383"/>
      <c r="O263" s="383"/>
      <c r="P263" s="383"/>
      <c r="Q263" s="383"/>
      <c r="R263" s="383"/>
      <c r="S263" s="383"/>
      <c r="T263" s="383"/>
      <c r="U263" s="383"/>
      <c r="V263" s="383"/>
      <c r="W263" s="383"/>
      <c r="X263" s="383"/>
      <c r="Y263" s="383"/>
      <c r="Z263" s="383"/>
      <c r="AA263" s="383"/>
      <c r="AB263" s="383"/>
      <c r="AC263" s="383"/>
      <c r="AD263" s="383"/>
      <c r="AE263" s="383"/>
      <c r="AF263" s="383"/>
      <c r="AG263" s="383"/>
      <c r="AH263" s="383"/>
      <c r="AI263" s="383"/>
      <c r="AJ263" s="383"/>
      <c r="AK263" s="383"/>
      <c r="AL263" s="383"/>
      <c r="AM263" s="383"/>
      <c r="AN263" s="383"/>
      <c r="AO263" s="383"/>
      <c r="AP263" s="383"/>
      <c r="AQ263" s="383"/>
      <c r="AR263" s="383"/>
      <c r="AS263" s="383"/>
      <c r="AT263" s="383"/>
      <c r="AU263" s="383"/>
      <c r="AV263" s="383"/>
      <c r="AW263" s="383"/>
      <c r="AX263" s="383"/>
      <c r="AY263" s="393"/>
      <c r="AZ263" s="393"/>
      <c r="BA263" s="393"/>
      <c r="BB263" s="393"/>
      <c r="BC263" s="393"/>
      <c r="BD263" s="393"/>
      <c r="BE263" s="393"/>
      <c r="BF263" s="393"/>
      <c r="BG263" s="393"/>
      <c r="BH263" s="393"/>
      <c r="BI263" s="393"/>
      <c r="BJ263" s="393"/>
      <c r="BK263" s="393"/>
      <c r="BL263" s="393"/>
      <c r="BM263" s="393"/>
      <c r="BN263" s="393"/>
      <c r="BO263" s="393"/>
      <c r="BP263" s="393"/>
      <c r="BQ263" s="393"/>
      <c r="BR263" s="393"/>
      <c r="BS263" s="393"/>
    </row>
    <row r="264" spans="1:71" ht="11.25" customHeight="1" x14ac:dyDescent="0.3">
      <c r="A264" s="383"/>
      <c r="B264" s="383"/>
      <c r="C264" s="383"/>
      <c r="D264" s="383"/>
      <c r="E264" s="383"/>
      <c r="F264" s="383"/>
      <c r="G264" s="383"/>
      <c r="H264" s="383"/>
      <c r="I264" s="383"/>
      <c r="J264" s="383"/>
      <c r="K264" s="383"/>
      <c r="L264" s="383"/>
      <c r="M264" s="383"/>
      <c r="N264" s="383"/>
      <c r="O264" s="383"/>
      <c r="P264" s="383"/>
      <c r="Q264" s="383"/>
      <c r="R264" s="383"/>
      <c r="S264" s="383"/>
      <c r="T264" s="383"/>
      <c r="U264" s="383"/>
      <c r="V264" s="383"/>
      <c r="W264" s="383"/>
      <c r="X264" s="383"/>
      <c r="Y264" s="383"/>
      <c r="Z264" s="383"/>
      <c r="AA264" s="383"/>
      <c r="AB264" s="383"/>
      <c r="AC264" s="383"/>
      <c r="AD264" s="383"/>
      <c r="AE264" s="383"/>
      <c r="AF264" s="383"/>
      <c r="AG264" s="383"/>
      <c r="AH264" s="383"/>
      <c r="AI264" s="383"/>
      <c r="AJ264" s="383"/>
      <c r="AK264" s="383"/>
      <c r="AL264" s="383"/>
      <c r="AM264" s="383"/>
      <c r="AN264" s="383"/>
      <c r="AO264" s="383"/>
      <c r="AP264" s="383"/>
      <c r="AQ264" s="383"/>
      <c r="AR264" s="383"/>
      <c r="AS264" s="383"/>
      <c r="AT264" s="383"/>
      <c r="AU264" s="383"/>
      <c r="AV264" s="383"/>
      <c r="AW264" s="383"/>
      <c r="AX264" s="383"/>
      <c r="AY264" s="393"/>
      <c r="AZ264" s="393"/>
      <c r="BA264" s="393"/>
      <c r="BB264" s="393"/>
      <c r="BC264" s="393"/>
      <c r="BD264" s="393"/>
      <c r="BE264" s="393"/>
      <c r="BF264" s="393"/>
      <c r="BG264" s="393"/>
      <c r="BH264" s="393"/>
      <c r="BI264" s="393"/>
      <c r="BJ264" s="393"/>
      <c r="BK264" s="393"/>
      <c r="BL264" s="393"/>
      <c r="BM264" s="393"/>
      <c r="BN264" s="393"/>
      <c r="BO264" s="393"/>
      <c r="BP264" s="393"/>
      <c r="BQ264" s="393"/>
      <c r="BR264" s="393"/>
      <c r="BS264" s="393"/>
    </row>
    <row r="265" spans="1:71" ht="11.25" customHeight="1" x14ac:dyDescent="0.3">
      <c r="A265" s="383"/>
      <c r="B265" s="383"/>
      <c r="C265" s="383"/>
      <c r="D265" s="383"/>
      <c r="E265" s="383"/>
      <c r="F265" s="383"/>
      <c r="G265" s="383"/>
      <c r="H265" s="383"/>
      <c r="I265" s="383"/>
      <c r="J265" s="383"/>
      <c r="K265" s="383"/>
      <c r="L265" s="383"/>
      <c r="M265" s="383"/>
      <c r="N265" s="383"/>
      <c r="O265" s="383"/>
      <c r="P265" s="383"/>
      <c r="Q265" s="383"/>
      <c r="R265" s="383"/>
      <c r="S265" s="383"/>
      <c r="T265" s="383"/>
      <c r="U265" s="383"/>
      <c r="V265" s="383"/>
      <c r="W265" s="383"/>
      <c r="X265" s="383"/>
      <c r="Y265" s="383"/>
      <c r="Z265" s="383"/>
      <c r="AA265" s="383"/>
      <c r="AB265" s="383"/>
      <c r="AC265" s="383"/>
      <c r="AD265" s="383"/>
      <c r="AE265" s="383"/>
      <c r="AF265" s="383"/>
      <c r="AG265" s="383"/>
      <c r="AH265" s="383"/>
      <c r="AI265" s="383"/>
      <c r="AJ265" s="383"/>
      <c r="AK265" s="383"/>
      <c r="AL265" s="383"/>
      <c r="AM265" s="383"/>
      <c r="AN265" s="383"/>
      <c r="AO265" s="383"/>
      <c r="AP265" s="383"/>
      <c r="AQ265" s="383"/>
      <c r="AR265" s="383"/>
      <c r="AS265" s="383"/>
      <c r="AT265" s="383"/>
      <c r="AU265" s="383"/>
      <c r="AV265" s="383"/>
      <c r="AW265" s="383"/>
      <c r="AX265" s="383"/>
      <c r="AY265" s="393"/>
      <c r="AZ265" s="393"/>
      <c r="BA265" s="393"/>
      <c r="BB265" s="393"/>
      <c r="BC265" s="393"/>
      <c r="BD265" s="393"/>
      <c r="BE265" s="393"/>
      <c r="BF265" s="393"/>
      <c r="BG265" s="393"/>
      <c r="BH265" s="393"/>
      <c r="BI265" s="393"/>
      <c r="BJ265" s="393"/>
      <c r="BK265" s="393"/>
      <c r="BL265" s="393"/>
      <c r="BM265" s="393"/>
      <c r="BN265" s="393"/>
      <c r="BO265" s="393"/>
      <c r="BP265" s="393"/>
      <c r="BQ265" s="393"/>
      <c r="BR265" s="393"/>
      <c r="BS265" s="393"/>
    </row>
    <row r="266" spans="1:71" ht="11.25" customHeight="1" x14ac:dyDescent="0.3">
      <c r="A266" s="383"/>
      <c r="B266" s="383"/>
      <c r="C266" s="383"/>
      <c r="D266" s="383"/>
      <c r="E266" s="383"/>
      <c r="F266" s="383"/>
      <c r="G266" s="383"/>
      <c r="H266" s="383"/>
      <c r="I266" s="383"/>
      <c r="J266" s="383"/>
      <c r="K266" s="383"/>
      <c r="L266" s="383"/>
      <c r="M266" s="383"/>
      <c r="N266" s="383"/>
      <c r="O266" s="383"/>
      <c r="P266" s="383"/>
      <c r="Q266" s="383"/>
      <c r="R266" s="383"/>
      <c r="S266" s="383"/>
      <c r="T266" s="383"/>
      <c r="U266" s="383"/>
      <c r="V266" s="383"/>
      <c r="W266" s="383"/>
      <c r="X266" s="383"/>
      <c r="Y266" s="383"/>
      <c r="Z266" s="383"/>
      <c r="AA266" s="383"/>
      <c r="AB266" s="383"/>
      <c r="AC266" s="383"/>
      <c r="AD266" s="383"/>
      <c r="AE266" s="383"/>
      <c r="AF266" s="383"/>
      <c r="AG266" s="383"/>
      <c r="AH266" s="383"/>
      <c r="AI266" s="383"/>
      <c r="AJ266" s="383"/>
      <c r="AK266" s="383"/>
      <c r="AL266" s="383"/>
      <c r="AM266" s="383"/>
      <c r="AN266" s="383"/>
      <c r="AO266" s="383"/>
      <c r="AP266" s="383"/>
      <c r="AQ266" s="383"/>
      <c r="AR266" s="383"/>
      <c r="AS266" s="383"/>
      <c r="AT266" s="383"/>
      <c r="AU266" s="383"/>
      <c r="AV266" s="383"/>
      <c r="AW266" s="383"/>
      <c r="AX266" s="383"/>
      <c r="AY266" s="393"/>
      <c r="AZ266" s="393"/>
      <c r="BA266" s="393"/>
      <c r="BB266" s="393"/>
      <c r="BC266" s="393"/>
      <c r="BD266" s="393"/>
      <c r="BE266" s="393"/>
      <c r="BF266" s="393"/>
      <c r="BG266" s="393"/>
      <c r="BH266" s="393"/>
      <c r="BI266" s="393"/>
      <c r="BJ266" s="393"/>
      <c r="BK266" s="393"/>
      <c r="BL266" s="393"/>
      <c r="BM266" s="393"/>
      <c r="BN266" s="393"/>
      <c r="BO266" s="393"/>
      <c r="BP266" s="393"/>
      <c r="BQ266" s="393"/>
      <c r="BR266" s="393"/>
      <c r="BS266" s="393"/>
    </row>
    <row r="267" spans="1:71" ht="11.25" customHeight="1" x14ac:dyDescent="0.3">
      <c r="A267" s="383"/>
      <c r="B267" s="383"/>
      <c r="C267" s="383"/>
      <c r="D267" s="383"/>
      <c r="E267" s="383"/>
      <c r="F267" s="383"/>
      <c r="G267" s="383"/>
      <c r="H267" s="383"/>
      <c r="I267" s="383"/>
      <c r="J267" s="383"/>
      <c r="K267" s="383"/>
      <c r="L267" s="383"/>
      <c r="M267" s="383"/>
      <c r="N267" s="383"/>
      <c r="O267" s="383"/>
      <c r="P267" s="383"/>
      <c r="Q267" s="383"/>
      <c r="R267" s="383"/>
      <c r="S267" s="383"/>
      <c r="T267" s="383"/>
      <c r="U267" s="383"/>
      <c r="V267" s="383"/>
      <c r="W267" s="383"/>
      <c r="X267" s="383"/>
      <c r="Y267" s="383"/>
      <c r="Z267" s="383"/>
      <c r="AA267" s="383"/>
      <c r="AB267" s="383"/>
      <c r="AC267" s="383"/>
      <c r="AD267" s="383"/>
      <c r="AE267" s="383"/>
      <c r="AF267" s="383"/>
      <c r="AG267" s="383"/>
      <c r="AH267" s="383"/>
      <c r="AI267" s="383"/>
      <c r="AJ267" s="383"/>
      <c r="AK267" s="383"/>
      <c r="AL267" s="383"/>
      <c r="AM267" s="383"/>
      <c r="AN267" s="383"/>
      <c r="AO267" s="383"/>
      <c r="AP267" s="383"/>
      <c r="AQ267" s="383"/>
      <c r="AR267" s="383"/>
      <c r="AS267" s="383"/>
      <c r="AT267" s="383"/>
      <c r="AU267" s="383"/>
      <c r="AV267" s="383"/>
      <c r="AW267" s="383"/>
      <c r="AX267" s="383"/>
      <c r="AY267" s="393"/>
      <c r="AZ267" s="393"/>
      <c r="BA267" s="393"/>
      <c r="BB267" s="393"/>
      <c r="BC267" s="393"/>
      <c r="BD267" s="393"/>
      <c r="BE267" s="393"/>
      <c r="BF267" s="393"/>
      <c r="BG267" s="393"/>
      <c r="BH267" s="393"/>
      <c r="BI267" s="393"/>
      <c r="BJ267" s="393"/>
      <c r="BK267" s="393"/>
      <c r="BL267" s="393"/>
      <c r="BM267" s="393"/>
      <c r="BN267" s="393"/>
      <c r="BO267" s="393"/>
      <c r="BP267" s="393"/>
      <c r="BQ267" s="393"/>
      <c r="BR267" s="393"/>
      <c r="BS267" s="393"/>
    </row>
    <row r="268" spans="1:71" ht="11.25" customHeight="1" x14ac:dyDescent="0.3">
      <c r="A268" s="383"/>
      <c r="B268" s="383"/>
      <c r="C268" s="383"/>
      <c r="D268" s="383"/>
      <c r="E268" s="383"/>
      <c r="F268" s="383"/>
      <c r="G268" s="383"/>
      <c r="H268" s="383"/>
      <c r="I268" s="383"/>
      <c r="J268" s="383"/>
      <c r="K268" s="383"/>
      <c r="L268" s="383"/>
      <c r="M268" s="383"/>
      <c r="N268" s="383"/>
      <c r="O268" s="383"/>
      <c r="P268" s="383"/>
      <c r="Q268" s="383"/>
      <c r="R268" s="383"/>
      <c r="S268" s="383"/>
      <c r="T268" s="383"/>
      <c r="U268" s="383"/>
      <c r="V268" s="383"/>
      <c r="W268" s="383"/>
      <c r="X268" s="383"/>
      <c r="Y268" s="383"/>
      <c r="Z268" s="383"/>
      <c r="AA268" s="383"/>
      <c r="AB268" s="383"/>
      <c r="AC268" s="383"/>
      <c r="AD268" s="383"/>
      <c r="AE268" s="383"/>
      <c r="AF268" s="383"/>
      <c r="AG268" s="383"/>
      <c r="AH268" s="383"/>
      <c r="AI268" s="383"/>
      <c r="AJ268" s="383"/>
      <c r="AK268" s="383"/>
      <c r="AL268" s="383"/>
      <c r="AM268" s="383"/>
      <c r="AN268" s="383"/>
      <c r="AO268" s="383"/>
      <c r="AP268" s="383"/>
      <c r="AQ268" s="383"/>
      <c r="AR268" s="383"/>
      <c r="AS268" s="383"/>
      <c r="AT268" s="383"/>
      <c r="AU268" s="383"/>
      <c r="AV268" s="383"/>
      <c r="AW268" s="383"/>
      <c r="AX268" s="383"/>
      <c r="AY268" s="393"/>
      <c r="AZ268" s="393"/>
      <c r="BA268" s="393"/>
      <c r="BB268" s="393"/>
      <c r="BC268" s="393"/>
      <c r="BD268" s="393"/>
      <c r="BE268" s="393"/>
      <c r="BF268" s="393"/>
      <c r="BG268" s="393"/>
      <c r="BH268" s="393"/>
      <c r="BI268" s="393"/>
      <c r="BJ268" s="393"/>
      <c r="BK268" s="393"/>
      <c r="BL268" s="393"/>
      <c r="BM268" s="393"/>
      <c r="BN268" s="393"/>
      <c r="BO268" s="393"/>
      <c r="BP268" s="393"/>
      <c r="BQ268" s="393"/>
      <c r="BR268" s="393"/>
      <c r="BS268" s="393"/>
    </row>
    <row r="269" spans="1:71" ht="11.25" customHeight="1" x14ac:dyDescent="0.3">
      <c r="A269" s="383"/>
      <c r="B269" s="383"/>
      <c r="C269" s="383"/>
      <c r="D269" s="383"/>
      <c r="E269" s="383"/>
      <c r="F269" s="383"/>
      <c r="G269" s="383"/>
      <c r="H269" s="383"/>
      <c r="I269" s="383"/>
      <c r="J269" s="383"/>
      <c r="K269" s="383"/>
      <c r="L269" s="383"/>
      <c r="M269" s="383"/>
      <c r="N269" s="383"/>
      <c r="O269" s="383"/>
      <c r="P269" s="383"/>
      <c r="Q269" s="383"/>
      <c r="R269" s="383"/>
      <c r="S269" s="383"/>
      <c r="T269" s="383"/>
      <c r="U269" s="383"/>
      <c r="V269" s="383"/>
      <c r="W269" s="383"/>
      <c r="X269" s="383"/>
      <c r="Y269" s="383"/>
      <c r="Z269" s="383"/>
      <c r="AA269" s="383"/>
      <c r="AB269" s="383"/>
      <c r="AC269" s="383"/>
      <c r="AD269" s="383"/>
      <c r="AE269" s="383"/>
      <c r="AF269" s="383"/>
      <c r="AG269" s="383"/>
      <c r="AH269" s="383"/>
      <c r="AI269" s="383"/>
      <c r="AJ269" s="383"/>
      <c r="AK269" s="383"/>
      <c r="AL269" s="383"/>
      <c r="AM269" s="383"/>
      <c r="AN269" s="383"/>
      <c r="AO269" s="383"/>
      <c r="AP269" s="383"/>
      <c r="AQ269" s="383"/>
      <c r="AR269" s="383"/>
      <c r="AS269" s="383"/>
      <c r="AT269" s="383"/>
      <c r="AU269" s="383"/>
      <c r="AV269" s="383"/>
      <c r="AW269" s="383"/>
      <c r="AX269" s="383"/>
      <c r="AY269" s="393"/>
      <c r="AZ269" s="393"/>
      <c r="BA269" s="393"/>
      <c r="BB269" s="393"/>
      <c r="BC269" s="393"/>
      <c r="BD269" s="393"/>
      <c r="BE269" s="393"/>
      <c r="BF269" s="393"/>
      <c r="BG269" s="393"/>
      <c r="BH269" s="393"/>
      <c r="BI269" s="393"/>
      <c r="BJ269" s="393"/>
      <c r="BK269" s="393"/>
      <c r="BL269" s="393"/>
      <c r="BM269" s="393"/>
      <c r="BN269" s="393"/>
      <c r="BO269" s="393"/>
      <c r="BP269" s="393"/>
      <c r="BQ269" s="393"/>
      <c r="BR269" s="393"/>
      <c r="BS269" s="393"/>
    </row>
    <row r="270" spans="1:71" ht="15.75" customHeight="1" x14ac:dyDescent="0.3"/>
    <row r="271" spans="1:71" ht="15.75" customHeight="1" x14ac:dyDescent="0.3"/>
    <row r="272" spans="1:71"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7">
    <mergeCell ref="B70:M70"/>
    <mergeCell ref="AG2:AI2"/>
    <mergeCell ref="AD19:AF19"/>
    <mergeCell ref="X19:Z19"/>
    <mergeCell ref="B60:M60"/>
    <mergeCell ref="B40:M40"/>
    <mergeCell ref="B30:M30"/>
    <mergeCell ref="B50:M50"/>
    <mergeCell ref="B2:E2"/>
    <mergeCell ref="X2:Z2"/>
    <mergeCell ref="O19:Q19"/>
    <mergeCell ref="AG19:AI19"/>
    <mergeCell ref="AS19:AU19"/>
    <mergeCell ref="O2:Q2"/>
    <mergeCell ref="I19:K19"/>
    <mergeCell ref="AA2:AC2"/>
    <mergeCell ref="R2:T2"/>
    <mergeCell ref="U19:W19"/>
    <mergeCell ref="L2:N2"/>
    <mergeCell ref="AM2:AO2"/>
    <mergeCell ref="U2:W2"/>
    <mergeCell ref="AM19:AO19"/>
    <mergeCell ref="L19:N19"/>
    <mergeCell ref="B19:E19"/>
    <mergeCell ref="AV2:AX2"/>
    <mergeCell ref="AJ2:AL2"/>
    <mergeCell ref="I2:K2"/>
    <mergeCell ref="AA19:AC19"/>
    <mergeCell ref="F19:H19"/>
    <mergeCell ref="R19:T19"/>
    <mergeCell ref="AJ19:AL19"/>
    <mergeCell ref="AP19:AR19"/>
    <mergeCell ref="F2:H2"/>
    <mergeCell ref="AS2:AU2"/>
    <mergeCell ref="AV19:AX19"/>
    <mergeCell ref="AD2:AF2"/>
    <mergeCell ref="AP2:AR2"/>
  </mergeCells>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baseColWidth="10" defaultColWidth="12.6640625" defaultRowHeight="15" customHeight="1" x14ac:dyDescent="0.3"/>
  <cols>
    <col min="1" max="1" width="16.44140625" customWidth="1"/>
    <col min="2" max="2" width="11.44140625" customWidth="1"/>
    <col min="3" max="3" width="13.88671875" customWidth="1"/>
    <col min="4" max="4" width="8.44140625" customWidth="1"/>
    <col min="5" max="5" width="13.6640625" customWidth="1"/>
    <col min="6" max="20" width="10.44140625" customWidth="1"/>
    <col min="21" max="21" width="11.44140625" customWidth="1"/>
    <col min="22" max="26" width="10.6640625" customWidth="1"/>
  </cols>
  <sheetData>
    <row r="1" spans="1:26" ht="12.75" customHeight="1" x14ac:dyDescent="0.3">
      <c r="A1" s="572"/>
      <c r="B1" s="572"/>
      <c r="C1" s="572"/>
      <c r="D1" s="572"/>
      <c r="E1" s="572"/>
      <c r="F1" s="572"/>
      <c r="G1" s="572"/>
      <c r="H1" s="572"/>
      <c r="I1" s="572"/>
      <c r="J1" s="572"/>
      <c r="K1" s="572"/>
      <c r="L1" s="572"/>
      <c r="M1" s="572"/>
      <c r="N1" s="572"/>
      <c r="O1" s="572"/>
      <c r="P1" s="572"/>
      <c r="Q1" s="572"/>
      <c r="R1" s="572"/>
      <c r="S1" s="572"/>
      <c r="T1" s="572"/>
      <c r="U1" s="572"/>
      <c r="V1" s="572"/>
      <c r="W1" s="572"/>
      <c r="X1" s="572"/>
      <c r="Y1" s="572"/>
      <c r="Z1" s="572"/>
    </row>
    <row r="2" spans="1:26" ht="12.75" customHeight="1" x14ac:dyDescent="0.3">
      <c r="A2" s="1101" t="s">
        <v>1889</v>
      </c>
      <c r="B2" s="1087"/>
      <c r="C2" s="1087"/>
      <c r="D2" s="1087"/>
      <c r="E2" s="1088"/>
      <c r="F2" s="392">
        <v>45957</v>
      </c>
      <c r="G2" s="392">
        <f>+F2+30</f>
        <v>45987</v>
      </c>
      <c r="H2" s="392">
        <f>+G2+30</f>
        <v>46017</v>
      </c>
      <c r="I2" s="392">
        <v>46023</v>
      </c>
      <c r="J2" s="392">
        <v>46054</v>
      </c>
      <c r="K2" s="392">
        <v>46112</v>
      </c>
      <c r="L2" s="392">
        <v>46142</v>
      </c>
      <c r="M2" s="392">
        <v>46172</v>
      </c>
      <c r="N2" s="392">
        <v>46202</v>
      </c>
      <c r="O2" s="392">
        <v>46232</v>
      </c>
      <c r="P2" s="392">
        <v>46262</v>
      </c>
      <c r="Q2" s="392">
        <v>46292</v>
      </c>
      <c r="R2" s="392">
        <v>46322</v>
      </c>
      <c r="S2" s="425">
        <v>46352</v>
      </c>
      <c r="T2" s="392">
        <v>46382</v>
      </c>
      <c r="U2" s="572"/>
      <c r="V2" s="572"/>
      <c r="W2" s="572"/>
      <c r="X2" s="572"/>
      <c r="Y2" s="572"/>
      <c r="Z2" s="572"/>
    </row>
    <row r="3" spans="1:26" ht="12.75" customHeight="1" x14ac:dyDescent="0.3">
      <c r="A3" s="573" t="s">
        <v>1823</v>
      </c>
      <c r="B3" s="573" t="s">
        <v>1890</v>
      </c>
      <c r="C3" s="573" t="s">
        <v>1891</v>
      </c>
      <c r="D3" s="573" t="s">
        <v>1892</v>
      </c>
      <c r="E3" s="573" t="s">
        <v>1776</v>
      </c>
      <c r="F3" s="572"/>
      <c r="G3" s="572"/>
      <c r="H3" s="572"/>
      <c r="I3" s="572"/>
      <c r="J3" s="572"/>
      <c r="K3" s="572"/>
      <c r="L3" s="572"/>
      <c r="M3" s="572"/>
      <c r="N3" s="572"/>
      <c r="O3" s="572"/>
      <c r="P3" s="572"/>
      <c r="Q3" s="572"/>
      <c r="R3" s="572"/>
      <c r="S3" s="572"/>
      <c r="T3" s="572"/>
      <c r="U3" s="572"/>
      <c r="V3" s="572"/>
      <c r="W3" s="572"/>
      <c r="X3" s="572"/>
      <c r="Y3" s="572"/>
      <c r="Z3" s="572"/>
    </row>
    <row r="4" spans="1:26" ht="12.75" customHeight="1" x14ac:dyDescent="0.3">
      <c r="A4" s="574" t="s">
        <v>1893</v>
      </c>
      <c r="B4" s="575">
        <v>748624.35222132562</v>
      </c>
      <c r="C4" s="576">
        <v>165472508.239999</v>
      </c>
      <c r="D4" s="577">
        <v>0.5</v>
      </c>
      <c r="E4" s="578">
        <f>C4*D4%</f>
        <v>827362.54119999497</v>
      </c>
      <c r="F4" s="579">
        <f t="shared" ref="F4:T4" si="0">+E4*(1+F6)</f>
        <v>846391.87964759476</v>
      </c>
      <c r="G4" s="579">
        <f t="shared" si="0"/>
        <v>863319.71724054671</v>
      </c>
      <c r="H4" s="579">
        <f t="shared" si="0"/>
        <v>880586.11158535769</v>
      </c>
      <c r="I4" s="579">
        <f t="shared" si="0"/>
        <v>906123.10882133304</v>
      </c>
      <c r="J4" s="579">
        <f t="shared" si="0"/>
        <v>932400.67897715163</v>
      </c>
      <c r="K4" s="579">
        <f t="shared" si="0"/>
        <v>964102.30206237477</v>
      </c>
      <c r="L4" s="579">
        <f t="shared" si="0"/>
        <v>989168.96191599651</v>
      </c>
      <c r="M4" s="579">
        <f t="shared" si="0"/>
        <v>1009941.5101162323</v>
      </c>
      <c r="N4" s="579">
        <f t="shared" si="0"/>
        <v>1039229.8139096029</v>
      </c>
      <c r="O4" s="579">
        <f t="shared" si="0"/>
        <v>1069367.4785129814</v>
      </c>
      <c r="P4" s="579">
        <f t="shared" si="0"/>
        <v>1100379.1353898579</v>
      </c>
      <c r="Q4" s="579">
        <f t="shared" si="0"/>
        <v>1132290.1303161636</v>
      </c>
      <c r="R4" s="579">
        <f t="shared" si="0"/>
        <v>1165126.5440953323</v>
      </c>
      <c r="S4" s="579">
        <f t="shared" si="0"/>
        <v>1198915.2138740967</v>
      </c>
      <c r="T4" s="579">
        <f t="shared" si="0"/>
        <v>1233683.7550764454</v>
      </c>
      <c r="U4" s="580">
        <f>SUM(I4:T4)</f>
        <v>12740728.633067567</v>
      </c>
      <c r="V4" s="572"/>
      <c r="W4" s="572"/>
      <c r="X4" s="572"/>
      <c r="Y4" s="572"/>
      <c r="Z4" s="572"/>
    </row>
    <row r="5" spans="1:26" ht="12.75" customHeight="1" x14ac:dyDescent="0.3">
      <c r="A5" s="572"/>
      <c r="B5" s="572"/>
      <c r="C5" s="572"/>
      <c r="D5" s="572"/>
      <c r="E5" s="572"/>
      <c r="F5" s="572"/>
      <c r="G5" s="572"/>
      <c r="H5" s="572"/>
      <c r="I5" s="572"/>
      <c r="J5" s="572"/>
      <c r="K5" s="572"/>
      <c r="L5" s="572"/>
      <c r="M5" s="572"/>
      <c r="N5" s="572"/>
      <c r="O5" s="572"/>
      <c r="P5" s="572"/>
      <c r="Q5" s="572"/>
      <c r="R5" s="572"/>
      <c r="S5" s="572"/>
      <c r="T5" s="572"/>
      <c r="U5" s="572"/>
      <c r="V5" s="572"/>
      <c r="W5" s="572"/>
      <c r="X5" s="572"/>
      <c r="Y5" s="572"/>
      <c r="Z5" s="572"/>
    </row>
    <row r="6" spans="1:26" ht="12.75" customHeight="1" x14ac:dyDescent="0.3">
      <c r="A6" s="572"/>
      <c r="B6" s="572"/>
      <c r="C6" s="412"/>
      <c r="D6" s="412"/>
      <c r="E6" s="412" t="s">
        <v>1894</v>
      </c>
      <c r="F6" s="414">
        <f>+Flk!K34</f>
        <v>2.3E-2</v>
      </c>
      <c r="G6" s="414">
        <f>+Flk!L34</f>
        <v>0.02</v>
      </c>
      <c r="H6" s="414">
        <f>+Flk!M34</f>
        <v>0.02</v>
      </c>
      <c r="I6" s="414">
        <f>+Flk!B71</f>
        <v>2.9000000000000001E-2</v>
      </c>
      <c r="J6" s="414">
        <f>+Flk!C71</f>
        <v>2.9000000000000001E-2</v>
      </c>
      <c r="K6" s="414">
        <f>+Flk!D71</f>
        <v>3.4000000000000002E-2</v>
      </c>
      <c r="L6" s="414">
        <f>+Flk!E71</f>
        <v>2.5999999999999999E-2</v>
      </c>
      <c r="M6" s="414">
        <f>+Flk!F71</f>
        <v>2.1000000000000001E-2</v>
      </c>
      <c r="N6" s="414">
        <f>+Flk!G71</f>
        <v>2.9000000000000001E-2</v>
      </c>
      <c r="O6" s="414">
        <f>+Flk!H71</f>
        <v>2.9000000000000001E-2</v>
      </c>
      <c r="P6" s="414">
        <f>+Flk!I71</f>
        <v>2.9000000000000001E-2</v>
      </c>
      <c r="Q6" s="414">
        <f>+Flk!J71</f>
        <v>2.9000000000000001E-2</v>
      </c>
      <c r="R6" s="414">
        <f>+Flk!K71</f>
        <v>2.9000000000000001E-2</v>
      </c>
      <c r="S6" s="414">
        <f>+Flk!L71</f>
        <v>2.9000000000000001E-2</v>
      </c>
      <c r="T6" s="414">
        <f>+Flk!M71</f>
        <v>2.9000000000000001E-2</v>
      </c>
      <c r="U6" s="572"/>
      <c r="V6" s="572"/>
      <c r="W6" s="572"/>
      <c r="X6" s="572"/>
      <c r="Y6" s="572"/>
      <c r="Z6" s="572"/>
    </row>
    <row r="7" spans="1:26" ht="12.75" customHeight="1" x14ac:dyDescent="0.3">
      <c r="A7" s="572"/>
      <c r="B7" s="572"/>
      <c r="C7" s="572"/>
      <c r="D7" s="572"/>
      <c r="E7" s="572"/>
      <c r="F7" s="572"/>
      <c r="G7" s="572"/>
      <c r="H7" s="572"/>
      <c r="I7" s="572"/>
      <c r="J7" s="572"/>
      <c r="K7" s="572"/>
      <c r="L7" s="572"/>
      <c r="M7" s="572"/>
      <c r="N7" s="572"/>
      <c r="O7" s="572"/>
      <c r="P7" s="572"/>
      <c r="Q7" s="572"/>
      <c r="R7" s="572"/>
      <c r="S7" s="572"/>
      <c r="T7" s="572"/>
      <c r="U7" s="572"/>
      <c r="V7" s="572"/>
      <c r="W7" s="572"/>
      <c r="X7" s="572"/>
      <c r="Y7" s="572"/>
      <c r="Z7" s="572"/>
    </row>
    <row r="8" spans="1:26" ht="12.75" customHeight="1" x14ac:dyDescent="0.3">
      <c r="A8" s="572"/>
      <c r="B8" s="572"/>
      <c r="C8" s="572"/>
      <c r="D8" s="572"/>
      <c r="E8" s="572"/>
      <c r="F8" s="572"/>
      <c r="G8" s="572"/>
      <c r="H8" s="572"/>
      <c r="I8" s="572"/>
      <c r="J8" s="572"/>
      <c r="K8" s="572"/>
      <c r="L8" s="572"/>
      <c r="M8" s="572"/>
      <c r="N8" s="572"/>
      <c r="O8" s="572"/>
      <c r="P8" s="572"/>
      <c r="Q8" s="572"/>
      <c r="R8" s="572"/>
      <c r="S8" s="572"/>
      <c r="T8" s="572"/>
      <c r="U8" s="572"/>
      <c r="V8" s="572"/>
      <c r="W8" s="572"/>
      <c r="X8" s="572"/>
      <c r="Y8" s="572"/>
      <c r="Z8" s="572"/>
    </row>
    <row r="9" spans="1:26" ht="12.75" customHeight="1" x14ac:dyDescent="0.3">
      <c r="A9" s="572" t="s">
        <v>1895</v>
      </c>
      <c r="B9" s="572"/>
      <c r="C9" s="572"/>
      <c r="D9" s="572"/>
      <c r="E9" s="572"/>
      <c r="F9" s="572"/>
      <c r="G9" s="572"/>
      <c r="H9" s="572"/>
      <c r="I9" s="572"/>
      <c r="J9" s="572"/>
      <c r="K9" s="572"/>
      <c r="L9" s="572"/>
      <c r="M9" s="572"/>
      <c r="N9" s="572"/>
      <c r="O9" s="572"/>
      <c r="P9" s="572"/>
      <c r="Q9" s="572"/>
      <c r="R9" s="572"/>
      <c r="S9" s="572"/>
      <c r="T9" s="572"/>
      <c r="U9" s="572"/>
      <c r="V9" s="572"/>
      <c r="W9" s="572"/>
      <c r="X9" s="572"/>
      <c r="Y9" s="572"/>
      <c r="Z9" s="572"/>
    </row>
    <row r="10" spans="1:26" ht="12.75" customHeight="1" x14ac:dyDescent="0.3">
      <c r="A10" s="581" t="s">
        <v>1896</v>
      </c>
      <c r="B10" s="572"/>
      <c r="C10" s="572"/>
      <c r="D10" s="572"/>
      <c r="E10" s="572"/>
      <c r="F10" s="572"/>
      <c r="G10" s="572"/>
      <c r="H10" s="572"/>
      <c r="I10" s="572"/>
      <c r="J10" s="572"/>
      <c r="K10" s="572"/>
      <c r="L10" s="572"/>
      <c r="M10" s="572"/>
      <c r="N10" s="572"/>
      <c r="O10" s="572"/>
      <c r="P10" s="572"/>
      <c r="Q10" s="572"/>
      <c r="R10" s="572"/>
      <c r="S10" s="572"/>
      <c r="T10" s="572"/>
      <c r="U10" s="572"/>
      <c r="V10" s="572"/>
      <c r="W10" s="572"/>
      <c r="X10" s="572"/>
      <c r="Y10" s="572"/>
      <c r="Z10" s="572"/>
    </row>
    <row r="11" spans="1:26" ht="12.75" customHeight="1" x14ac:dyDescent="0.3">
      <c r="A11" s="572"/>
      <c r="B11" s="572"/>
      <c r="C11" s="572"/>
      <c r="D11" s="572"/>
      <c r="E11" s="572"/>
      <c r="F11" s="572"/>
      <c r="G11" s="572"/>
      <c r="H11" s="572"/>
      <c r="I11" s="572"/>
      <c r="J11" s="572"/>
      <c r="K11" s="572"/>
      <c r="L11" s="572"/>
      <c r="M11" s="572"/>
      <c r="N11" s="572"/>
      <c r="O11" s="572"/>
      <c r="P11" s="572"/>
      <c r="Q11" s="572"/>
      <c r="R11" s="572"/>
      <c r="S11" s="572"/>
      <c r="T11" s="572"/>
      <c r="U11" s="572"/>
      <c r="V11" s="572"/>
      <c r="W11" s="572"/>
      <c r="X11" s="572"/>
      <c r="Y11" s="572"/>
      <c r="Z11" s="572"/>
    </row>
    <row r="12" spans="1:26" ht="12.75" customHeight="1" x14ac:dyDescent="0.3">
      <c r="A12" s="572"/>
      <c r="B12" s="572"/>
      <c r="C12" s="572"/>
      <c r="D12" s="572"/>
      <c r="E12" s="572"/>
      <c r="F12" s="572"/>
      <c r="G12" s="572"/>
      <c r="H12" s="572"/>
      <c r="I12" s="572"/>
      <c r="J12" s="572"/>
      <c r="K12" s="572"/>
      <c r="L12" s="572"/>
      <c r="M12" s="572"/>
      <c r="N12" s="572"/>
      <c r="O12" s="572"/>
      <c r="P12" s="572"/>
      <c r="Q12" s="572"/>
      <c r="R12" s="572"/>
      <c r="S12" s="572"/>
      <c r="T12" s="572"/>
      <c r="U12" s="572"/>
      <c r="V12" s="572"/>
      <c r="W12" s="572"/>
      <c r="X12" s="572"/>
      <c r="Y12" s="572"/>
      <c r="Z12" s="572"/>
    </row>
    <row r="13" spans="1:26" ht="12.75" customHeight="1" x14ac:dyDescent="0.3">
      <c r="A13" s="572"/>
      <c r="B13" s="572"/>
      <c r="C13" s="572"/>
      <c r="D13" s="572"/>
      <c r="E13" s="572"/>
      <c r="F13" s="572"/>
      <c r="G13" s="572"/>
      <c r="H13" s="572"/>
      <c r="I13" s="572"/>
      <c r="J13" s="572"/>
      <c r="K13" s="572"/>
      <c r="L13" s="572"/>
      <c r="M13" s="572"/>
      <c r="N13" s="572"/>
      <c r="O13" s="572"/>
      <c r="P13" s="572"/>
      <c r="Q13" s="572"/>
      <c r="R13" s="572"/>
      <c r="S13" s="572"/>
      <c r="T13" s="572"/>
      <c r="U13" s="572"/>
      <c r="V13" s="572"/>
      <c r="W13" s="572"/>
      <c r="X13" s="572"/>
      <c r="Y13" s="572"/>
      <c r="Z13" s="572"/>
    </row>
    <row r="14" spans="1:26" ht="12.75" customHeight="1" x14ac:dyDescent="0.3">
      <c r="A14" s="572"/>
      <c r="B14" s="572"/>
      <c r="C14" s="572"/>
      <c r="D14" s="572"/>
      <c r="E14" s="572"/>
      <c r="F14" s="572"/>
      <c r="G14" s="572"/>
      <c r="H14" s="572"/>
      <c r="I14" s="572"/>
      <c r="J14" s="572"/>
      <c r="K14" s="572"/>
      <c r="L14" s="572"/>
      <c r="M14" s="572"/>
      <c r="N14" s="572"/>
      <c r="O14" s="572"/>
      <c r="P14" s="572"/>
      <c r="Q14" s="572"/>
      <c r="R14" s="572"/>
      <c r="S14" s="572"/>
      <c r="T14" s="572"/>
      <c r="U14" s="572"/>
      <c r="V14" s="572"/>
      <c r="W14" s="572"/>
      <c r="X14" s="572"/>
      <c r="Y14" s="572"/>
      <c r="Z14" s="572"/>
    </row>
    <row r="15" spans="1:26" ht="12.75" customHeight="1" x14ac:dyDescent="0.3">
      <c r="A15" s="572"/>
      <c r="B15" s="572"/>
      <c r="C15" s="572"/>
      <c r="D15" s="572"/>
      <c r="E15" s="572"/>
      <c r="F15" s="572"/>
      <c r="G15" s="572"/>
      <c r="H15" s="572"/>
      <c r="I15" s="572"/>
      <c r="J15" s="572"/>
      <c r="K15" s="572"/>
      <c r="L15" s="572"/>
      <c r="M15" s="572"/>
      <c r="N15" s="572"/>
      <c r="O15" s="572"/>
      <c r="P15" s="572"/>
      <c r="Q15" s="572"/>
      <c r="R15" s="572"/>
      <c r="S15" s="572"/>
      <c r="T15" s="572"/>
      <c r="U15" s="572"/>
      <c r="V15" s="572"/>
      <c r="W15" s="572"/>
      <c r="X15" s="572"/>
      <c r="Y15" s="572"/>
      <c r="Z15" s="572"/>
    </row>
    <row r="16" spans="1:26" ht="12.75" customHeight="1" x14ac:dyDescent="0.3">
      <c r="A16" s="572"/>
      <c r="B16" s="572"/>
      <c r="C16" s="572"/>
      <c r="D16" s="572"/>
      <c r="E16" s="572"/>
      <c r="F16" s="572"/>
      <c r="G16" s="572"/>
      <c r="H16" s="572"/>
      <c r="I16" s="572"/>
      <c r="J16" s="572"/>
      <c r="K16" s="572"/>
      <c r="L16" s="572"/>
      <c r="M16" s="572"/>
      <c r="N16" s="572"/>
      <c r="O16" s="572"/>
      <c r="P16" s="572"/>
      <c r="Q16" s="572"/>
      <c r="R16" s="572"/>
      <c r="S16" s="572"/>
      <c r="T16" s="572"/>
      <c r="U16" s="572"/>
      <c r="V16" s="572"/>
      <c r="W16" s="572"/>
      <c r="X16" s="572"/>
      <c r="Y16" s="572"/>
      <c r="Z16" s="572"/>
    </row>
    <row r="17" spans="1:26" ht="12.75" customHeight="1" x14ac:dyDescent="0.3">
      <c r="A17" s="572"/>
      <c r="B17" s="572"/>
      <c r="C17" s="572"/>
      <c r="D17" s="572"/>
      <c r="E17" s="572"/>
      <c r="F17" s="572"/>
      <c r="G17" s="572"/>
      <c r="H17" s="572"/>
      <c r="I17" s="572"/>
      <c r="J17" s="572"/>
      <c r="K17" s="572"/>
      <c r="L17" s="572"/>
      <c r="M17" s="572"/>
      <c r="N17" s="572"/>
      <c r="O17" s="572"/>
      <c r="P17" s="572"/>
      <c r="Q17" s="572"/>
      <c r="R17" s="572"/>
      <c r="S17" s="572"/>
      <c r="T17" s="572"/>
      <c r="U17" s="572"/>
      <c r="V17" s="572"/>
      <c r="W17" s="572"/>
      <c r="X17" s="572"/>
      <c r="Y17" s="572"/>
      <c r="Z17" s="572"/>
    </row>
    <row r="18" spans="1:26" ht="12.75" customHeight="1" x14ac:dyDescent="0.3">
      <c r="A18" s="572"/>
      <c r="B18" s="572"/>
      <c r="C18" s="572"/>
      <c r="D18" s="572"/>
      <c r="E18" s="572"/>
      <c r="F18" s="572"/>
      <c r="G18" s="572"/>
      <c r="H18" s="572"/>
      <c r="I18" s="572"/>
      <c r="J18" s="572"/>
      <c r="K18" s="572"/>
      <c r="L18" s="572"/>
      <c r="M18" s="572"/>
      <c r="N18" s="572"/>
      <c r="O18" s="572"/>
      <c r="P18" s="572"/>
      <c r="Q18" s="572"/>
      <c r="R18" s="572"/>
      <c r="S18" s="572"/>
      <c r="T18" s="572"/>
      <c r="U18" s="572"/>
      <c r="V18" s="572"/>
      <c r="W18" s="572"/>
      <c r="X18" s="572"/>
      <c r="Y18" s="572"/>
      <c r="Z18" s="572"/>
    </row>
    <row r="19" spans="1:26" ht="12.75" customHeight="1" x14ac:dyDescent="0.3">
      <c r="A19" s="572"/>
      <c r="B19" s="572"/>
      <c r="C19" s="572"/>
      <c r="D19" s="572"/>
      <c r="E19" s="572"/>
      <c r="F19" s="572"/>
      <c r="G19" s="572"/>
      <c r="H19" s="572"/>
      <c r="I19" s="572"/>
      <c r="J19" s="572"/>
      <c r="K19" s="572"/>
      <c r="L19" s="572"/>
      <c r="M19" s="572"/>
      <c r="N19" s="572"/>
      <c r="O19" s="572"/>
      <c r="P19" s="572"/>
      <c r="Q19" s="572"/>
      <c r="R19" s="572"/>
      <c r="S19" s="572"/>
      <c r="T19" s="572"/>
      <c r="U19" s="572"/>
      <c r="V19" s="572"/>
      <c r="W19" s="572"/>
      <c r="X19" s="572"/>
      <c r="Y19" s="572"/>
      <c r="Z19" s="572"/>
    </row>
    <row r="20" spans="1:26" ht="12.75" customHeight="1" x14ac:dyDescent="0.3">
      <c r="A20" s="572"/>
      <c r="B20" s="572"/>
      <c r="C20" s="572"/>
      <c r="D20" s="572"/>
      <c r="E20" s="572"/>
      <c r="F20" s="572"/>
      <c r="G20" s="572"/>
      <c r="H20" s="572"/>
      <c r="I20" s="572"/>
      <c r="J20" s="572"/>
      <c r="K20" s="572"/>
      <c r="L20" s="572"/>
      <c r="M20" s="572"/>
      <c r="N20" s="572"/>
      <c r="O20" s="572"/>
      <c r="P20" s="572"/>
      <c r="Q20" s="572"/>
      <c r="R20" s="572"/>
      <c r="S20" s="572"/>
      <c r="T20" s="572"/>
      <c r="U20" s="572"/>
      <c r="V20" s="572"/>
      <c r="W20" s="572"/>
      <c r="X20" s="572"/>
      <c r="Y20" s="572"/>
      <c r="Z20" s="572"/>
    </row>
    <row r="21" spans="1:26" ht="12.75" customHeight="1" x14ac:dyDescent="0.3">
      <c r="A21" s="572"/>
      <c r="B21" s="572"/>
      <c r="C21" s="572"/>
      <c r="D21" s="572"/>
      <c r="E21" s="572"/>
      <c r="F21" s="572"/>
      <c r="G21" s="572"/>
      <c r="H21" s="572"/>
      <c r="I21" s="572"/>
      <c r="J21" s="572"/>
      <c r="K21" s="572"/>
      <c r="L21" s="572"/>
      <c r="M21" s="572"/>
      <c r="N21" s="572"/>
      <c r="O21" s="572"/>
      <c r="P21" s="572"/>
      <c r="Q21" s="572"/>
      <c r="R21" s="572"/>
      <c r="S21" s="572"/>
      <c r="T21" s="572"/>
      <c r="U21" s="572"/>
      <c r="V21" s="572"/>
      <c r="W21" s="572"/>
      <c r="X21" s="572"/>
      <c r="Y21" s="572"/>
      <c r="Z21" s="572"/>
    </row>
    <row r="22" spans="1:26" ht="12.75" customHeight="1" x14ac:dyDescent="0.3">
      <c r="A22" s="572"/>
      <c r="B22" s="572"/>
      <c r="C22" s="572"/>
      <c r="D22" s="572"/>
      <c r="E22" s="572"/>
      <c r="F22" s="572"/>
      <c r="G22" s="572"/>
      <c r="H22" s="572"/>
      <c r="I22" s="572"/>
      <c r="J22" s="572"/>
      <c r="K22" s="572"/>
      <c r="L22" s="572"/>
      <c r="M22" s="572"/>
      <c r="N22" s="572"/>
      <c r="O22" s="572"/>
      <c r="P22" s="572"/>
      <c r="Q22" s="572"/>
      <c r="R22" s="572"/>
      <c r="S22" s="572"/>
      <c r="T22" s="572"/>
      <c r="U22" s="572"/>
      <c r="V22" s="572"/>
      <c r="W22" s="572"/>
      <c r="X22" s="572"/>
      <c r="Y22" s="572"/>
      <c r="Z22" s="572"/>
    </row>
    <row r="23" spans="1:26" ht="12.75" customHeight="1" x14ac:dyDescent="0.3">
      <c r="A23" s="572"/>
      <c r="B23" s="572"/>
      <c r="C23" s="572"/>
      <c r="D23" s="572"/>
      <c r="E23" s="572"/>
      <c r="F23" s="572"/>
      <c r="G23" s="572"/>
      <c r="H23" s="572"/>
      <c r="I23" s="572"/>
      <c r="J23" s="572"/>
      <c r="K23" s="572"/>
      <c r="L23" s="572"/>
      <c r="M23" s="572"/>
      <c r="N23" s="572"/>
      <c r="O23" s="572"/>
      <c r="P23" s="572"/>
      <c r="Q23" s="572"/>
      <c r="R23" s="572"/>
      <c r="S23" s="572"/>
      <c r="T23" s="572"/>
      <c r="U23" s="572"/>
      <c r="V23" s="572"/>
      <c r="W23" s="572"/>
      <c r="X23" s="572"/>
      <c r="Y23" s="572"/>
      <c r="Z23" s="572"/>
    </row>
    <row r="24" spans="1:26" ht="12.75" customHeight="1" x14ac:dyDescent="0.3">
      <c r="A24" s="572"/>
      <c r="B24" s="572"/>
      <c r="C24" s="572"/>
      <c r="D24" s="572"/>
      <c r="E24" s="572"/>
      <c r="F24" s="572"/>
      <c r="G24" s="572"/>
      <c r="H24" s="572"/>
      <c r="I24" s="572"/>
      <c r="J24" s="572"/>
      <c r="K24" s="572"/>
      <c r="L24" s="572"/>
      <c r="M24" s="572"/>
      <c r="N24" s="572"/>
      <c r="O24" s="572"/>
      <c r="P24" s="572"/>
      <c r="Q24" s="572"/>
      <c r="R24" s="572"/>
      <c r="S24" s="572"/>
      <c r="T24" s="572"/>
      <c r="U24" s="572"/>
      <c r="V24" s="572"/>
      <c r="W24" s="572"/>
      <c r="X24" s="572"/>
      <c r="Y24" s="572"/>
      <c r="Z24" s="572"/>
    </row>
    <row r="25" spans="1:26" ht="12.75" customHeight="1" x14ac:dyDescent="0.3">
      <c r="A25" s="572"/>
      <c r="B25" s="572"/>
      <c r="C25" s="572"/>
      <c r="D25" s="572"/>
      <c r="E25" s="572"/>
      <c r="F25" s="572"/>
      <c r="G25" s="572"/>
      <c r="H25" s="572"/>
      <c r="I25" s="572"/>
      <c r="J25" s="572"/>
      <c r="K25" s="572"/>
      <c r="L25" s="572"/>
      <c r="M25" s="572"/>
      <c r="N25" s="572"/>
      <c r="O25" s="572"/>
      <c r="P25" s="572"/>
      <c r="Q25" s="572"/>
      <c r="R25" s="572"/>
      <c r="S25" s="572"/>
      <c r="T25" s="572"/>
      <c r="U25" s="572"/>
      <c r="V25" s="572"/>
      <c r="W25" s="572"/>
      <c r="X25" s="572"/>
      <c r="Y25" s="572"/>
      <c r="Z25" s="572"/>
    </row>
    <row r="26" spans="1:26" ht="12.75" customHeight="1" x14ac:dyDescent="0.3">
      <c r="A26" s="572"/>
      <c r="B26" s="572"/>
      <c r="C26" s="572"/>
      <c r="D26" s="572"/>
      <c r="E26" s="572"/>
      <c r="F26" s="572"/>
      <c r="G26" s="572"/>
      <c r="H26" s="572"/>
      <c r="I26" s="572"/>
      <c r="J26" s="572"/>
      <c r="K26" s="572"/>
      <c r="L26" s="572"/>
      <c r="M26" s="572"/>
      <c r="N26" s="572"/>
      <c r="O26" s="572"/>
      <c r="P26" s="572"/>
      <c r="Q26" s="572"/>
      <c r="R26" s="572"/>
      <c r="S26" s="572"/>
      <c r="T26" s="572"/>
      <c r="U26" s="572"/>
      <c r="V26" s="572"/>
      <c r="W26" s="572"/>
      <c r="X26" s="572"/>
      <c r="Y26" s="572"/>
      <c r="Z26" s="572"/>
    </row>
    <row r="27" spans="1:26" ht="12.75" customHeight="1" x14ac:dyDescent="0.3">
      <c r="A27" s="572"/>
      <c r="B27" s="572"/>
      <c r="C27" s="572"/>
      <c r="D27" s="572"/>
      <c r="E27" s="572"/>
      <c r="F27" s="572"/>
      <c r="G27" s="572"/>
      <c r="H27" s="572"/>
      <c r="I27" s="572"/>
      <c r="J27" s="572"/>
      <c r="K27" s="572"/>
      <c r="L27" s="572"/>
      <c r="M27" s="572"/>
      <c r="N27" s="572"/>
      <c r="O27" s="572"/>
      <c r="P27" s="572"/>
      <c r="Q27" s="572"/>
      <c r="R27" s="572"/>
      <c r="S27" s="572"/>
      <c r="T27" s="572"/>
      <c r="U27" s="572"/>
      <c r="V27" s="572"/>
      <c r="W27" s="572"/>
      <c r="X27" s="572"/>
      <c r="Y27" s="572"/>
      <c r="Z27" s="572"/>
    </row>
    <row r="28" spans="1:26" ht="12.75" customHeight="1" x14ac:dyDescent="0.3">
      <c r="A28" s="572"/>
      <c r="B28" s="572"/>
      <c r="C28" s="572"/>
      <c r="D28" s="572"/>
      <c r="E28" s="572"/>
      <c r="F28" s="572"/>
      <c r="G28" s="572"/>
      <c r="H28" s="572"/>
      <c r="I28" s="572"/>
      <c r="J28" s="572"/>
      <c r="K28" s="572"/>
      <c r="L28" s="572"/>
      <c r="M28" s="572"/>
      <c r="N28" s="572"/>
      <c r="O28" s="572"/>
      <c r="P28" s="572"/>
      <c r="Q28" s="572"/>
      <c r="R28" s="572"/>
      <c r="S28" s="572"/>
      <c r="T28" s="572"/>
      <c r="U28" s="572"/>
      <c r="V28" s="572"/>
      <c r="W28" s="572"/>
      <c r="X28" s="572"/>
      <c r="Y28" s="572"/>
      <c r="Z28" s="572"/>
    </row>
    <row r="29" spans="1:26" ht="12.75" customHeight="1" x14ac:dyDescent="0.3">
      <c r="A29" s="572"/>
      <c r="B29" s="572"/>
      <c r="C29" s="572"/>
      <c r="D29" s="572"/>
      <c r="E29" s="572"/>
      <c r="F29" s="572"/>
      <c r="G29" s="572"/>
      <c r="H29" s="572"/>
      <c r="I29" s="572"/>
      <c r="J29" s="572"/>
      <c r="K29" s="572"/>
      <c r="L29" s="572"/>
      <c r="M29" s="572"/>
      <c r="N29" s="572"/>
      <c r="O29" s="572"/>
      <c r="P29" s="572"/>
      <c r="Q29" s="572"/>
      <c r="R29" s="572"/>
      <c r="S29" s="572"/>
      <c r="T29" s="572"/>
      <c r="U29" s="572"/>
      <c r="V29" s="572"/>
      <c r="W29" s="572"/>
      <c r="X29" s="572"/>
      <c r="Y29" s="572"/>
      <c r="Z29" s="572"/>
    </row>
    <row r="30" spans="1:26" ht="12.75" customHeight="1" x14ac:dyDescent="0.3">
      <c r="A30" s="572"/>
      <c r="B30" s="572"/>
      <c r="C30" s="572"/>
      <c r="D30" s="572"/>
      <c r="E30" s="572"/>
      <c r="F30" s="572"/>
      <c r="G30" s="572"/>
      <c r="H30" s="572"/>
      <c r="I30" s="572"/>
      <c r="J30" s="572"/>
      <c r="K30" s="572"/>
      <c r="L30" s="572"/>
      <c r="M30" s="572"/>
      <c r="N30" s="572"/>
      <c r="O30" s="572"/>
      <c r="P30" s="572"/>
      <c r="Q30" s="572"/>
      <c r="R30" s="572"/>
      <c r="S30" s="572"/>
      <c r="T30" s="572"/>
      <c r="U30" s="572"/>
      <c r="V30" s="572"/>
      <c r="W30" s="572"/>
      <c r="X30" s="572"/>
      <c r="Y30" s="572"/>
      <c r="Z30" s="572"/>
    </row>
    <row r="31" spans="1:26" ht="12.75" customHeight="1" x14ac:dyDescent="0.3">
      <c r="A31" s="572"/>
      <c r="B31" s="572"/>
      <c r="C31" s="572"/>
      <c r="D31" s="572"/>
      <c r="E31" s="572"/>
      <c r="F31" s="572"/>
      <c r="G31" s="572"/>
      <c r="H31" s="572"/>
      <c r="I31" s="572"/>
      <c r="J31" s="572"/>
      <c r="K31" s="572"/>
      <c r="L31" s="572"/>
      <c r="M31" s="572"/>
      <c r="N31" s="572"/>
      <c r="O31" s="572"/>
      <c r="P31" s="572"/>
      <c r="Q31" s="572"/>
      <c r="R31" s="572"/>
      <c r="S31" s="572"/>
      <c r="T31" s="572"/>
      <c r="U31" s="572"/>
      <c r="V31" s="572"/>
      <c r="W31" s="572"/>
      <c r="X31" s="572"/>
      <c r="Y31" s="572"/>
      <c r="Z31" s="572"/>
    </row>
    <row r="32" spans="1:26" ht="12.75" customHeight="1" x14ac:dyDescent="0.3">
      <c r="A32" s="572"/>
      <c r="B32" s="572"/>
      <c r="C32" s="572"/>
      <c r="D32" s="572"/>
      <c r="E32" s="572"/>
      <c r="F32" s="572"/>
      <c r="G32" s="572"/>
      <c r="H32" s="572"/>
      <c r="I32" s="572"/>
      <c r="J32" s="572"/>
      <c r="K32" s="572"/>
      <c r="L32" s="572"/>
      <c r="M32" s="572"/>
      <c r="N32" s="572"/>
      <c r="O32" s="572"/>
      <c r="P32" s="572"/>
      <c r="Q32" s="572"/>
      <c r="R32" s="572"/>
      <c r="S32" s="572"/>
      <c r="T32" s="572"/>
      <c r="U32" s="572"/>
      <c r="V32" s="572"/>
      <c r="W32" s="572"/>
      <c r="X32" s="572"/>
      <c r="Y32" s="572"/>
      <c r="Z32" s="572"/>
    </row>
    <row r="33" spans="1:26" ht="12.75" customHeight="1" x14ac:dyDescent="0.3">
      <c r="A33" s="572"/>
      <c r="B33" s="572"/>
      <c r="C33" s="572"/>
      <c r="D33" s="572"/>
      <c r="E33" s="572"/>
      <c r="F33" s="572"/>
      <c r="G33" s="572"/>
      <c r="H33" s="572"/>
      <c r="I33" s="572"/>
      <c r="J33" s="572"/>
      <c r="K33" s="572"/>
      <c r="L33" s="572"/>
      <c r="M33" s="572"/>
      <c r="N33" s="572"/>
      <c r="O33" s="572"/>
      <c r="P33" s="572"/>
      <c r="Q33" s="572"/>
      <c r="R33" s="572"/>
      <c r="S33" s="572"/>
      <c r="T33" s="572"/>
      <c r="U33" s="572"/>
      <c r="V33" s="572"/>
      <c r="W33" s="572"/>
      <c r="X33" s="572"/>
      <c r="Y33" s="572"/>
      <c r="Z33" s="572"/>
    </row>
    <row r="34" spans="1:26" ht="12.75" customHeight="1" x14ac:dyDescent="0.3">
      <c r="A34" s="572"/>
      <c r="B34" s="572"/>
      <c r="C34" s="572"/>
      <c r="D34" s="572"/>
      <c r="E34" s="572"/>
      <c r="F34" s="572"/>
      <c r="G34" s="572"/>
      <c r="H34" s="572"/>
      <c r="I34" s="572"/>
      <c r="J34" s="572"/>
      <c r="K34" s="572"/>
      <c r="L34" s="572"/>
      <c r="M34" s="572"/>
      <c r="N34" s="572"/>
      <c r="O34" s="572"/>
      <c r="P34" s="572"/>
      <c r="Q34" s="572"/>
      <c r="R34" s="572"/>
      <c r="S34" s="572"/>
      <c r="T34" s="572"/>
      <c r="U34" s="572"/>
      <c r="V34" s="572"/>
      <c r="W34" s="572"/>
      <c r="X34" s="572"/>
      <c r="Y34" s="572"/>
      <c r="Z34" s="572"/>
    </row>
    <row r="35" spans="1:26" ht="12.75" customHeight="1" x14ac:dyDescent="0.3">
      <c r="A35" s="572"/>
      <c r="B35" s="572"/>
      <c r="C35" s="572"/>
      <c r="D35" s="572"/>
      <c r="E35" s="572"/>
      <c r="F35" s="572"/>
      <c r="G35" s="572"/>
      <c r="H35" s="572"/>
      <c r="I35" s="572"/>
      <c r="J35" s="572"/>
      <c r="K35" s="572"/>
      <c r="L35" s="572"/>
      <c r="M35" s="572"/>
      <c r="N35" s="572"/>
      <c r="O35" s="572"/>
      <c r="P35" s="572"/>
      <c r="Q35" s="572"/>
      <c r="R35" s="572"/>
      <c r="S35" s="572"/>
      <c r="T35" s="572"/>
      <c r="U35" s="572"/>
      <c r="V35" s="572"/>
      <c r="W35" s="572"/>
      <c r="X35" s="572"/>
      <c r="Y35" s="572"/>
      <c r="Z35" s="572"/>
    </row>
    <row r="36" spans="1:26" ht="12.75" customHeight="1" x14ac:dyDescent="0.3">
      <c r="A36" s="572"/>
      <c r="B36" s="572"/>
      <c r="C36" s="572"/>
      <c r="D36" s="572"/>
      <c r="E36" s="572"/>
      <c r="F36" s="572"/>
      <c r="G36" s="572"/>
      <c r="H36" s="572"/>
      <c r="I36" s="572"/>
      <c r="J36" s="572"/>
      <c r="K36" s="572"/>
      <c r="L36" s="572"/>
      <c r="M36" s="572"/>
      <c r="N36" s="572"/>
      <c r="O36" s="572"/>
      <c r="P36" s="572"/>
      <c r="Q36" s="572"/>
      <c r="R36" s="572"/>
      <c r="S36" s="572"/>
      <c r="T36" s="572"/>
      <c r="U36" s="572"/>
      <c r="V36" s="572"/>
      <c r="W36" s="572"/>
      <c r="X36" s="572"/>
      <c r="Y36" s="572"/>
      <c r="Z36" s="572"/>
    </row>
    <row r="37" spans="1:26" ht="12.75" customHeight="1" x14ac:dyDescent="0.3">
      <c r="A37" s="572"/>
      <c r="B37" s="572"/>
      <c r="C37" s="572"/>
      <c r="D37" s="572"/>
      <c r="E37" s="572"/>
      <c r="F37" s="572"/>
      <c r="G37" s="572"/>
      <c r="H37" s="572"/>
      <c r="I37" s="572"/>
      <c r="J37" s="572"/>
      <c r="K37" s="572"/>
      <c r="L37" s="572"/>
      <c r="M37" s="572"/>
      <c r="N37" s="572"/>
      <c r="O37" s="572"/>
      <c r="P37" s="572"/>
      <c r="Q37" s="572"/>
      <c r="R37" s="572"/>
      <c r="S37" s="572"/>
      <c r="T37" s="572"/>
      <c r="U37" s="572"/>
      <c r="V37" s="572"/>
      <c r="W37" s="572"/>
      <c r="X37" s="572"/>
      <c r="Y37" s="572"/>
      <c r="Z37" s="572"/>
    </row>
    <row r="38" spans="1:26" ht="12.75" customHeight="1" x14ac:dyDescent="0.3">
      <c r="A38" s="572"/>
      <c r="B38" s="572"/>
      <c r="C38" s="572"/>
      <c r="D38" s="572"/>
      <c r="E38" s="572"/>
      <c r="F38" s="572"/>
      <c r="G38" s="572"/>
      <c r="H38" s="572"/>
      <c r="I38" s="572"/>
      <c r="J38" s="572"/>
      <c r="K38" s="572"/>
      <c r="L38" s="572"/>
      <c r="M38" s="572"/>
      <c r="N38" s="572"/>
      <c r="O38" s="572"/>
      <c r="P38" s="572"/>
      <c r="Q38" s="572"/>
      <c r="R38" s="572"/>
      <c r="S38" s="572"/>
      <c r="T38" s="572"/>
      <c r="U38" s="572"/>
      <c r="V38" s="572"/>
      <c r="W38" s="572"/>
      <c r="X38" s="572"/>
      <c r="Y38" s="572"/>
      <c r="Z38" s="572"/>
    </row>
    <row r="39" spans="1:26" ht="12.75" customHeight="1" x14ac:dyDescent="0.3">
      <c r="A39" s="572"/>
      <c r="B39" s="572"/>
      <c r="C39" s="572"/>
      <c r="D39" s="572"/>
      <c r="E39" s="572"/>
      <c r="F39" s="572"/>
      <c r="G39" s="572"/>
      <c r="H39" s="572"/>
      <c r="I39" s="572"/>
      <c r="J39" s="572"/>
      <c r="K39" s="572"/>
      <c r="L39" s="572"/>
      <c r="M39" s="572"/>
      <c r="N39" s="572"/>
      <c r="O39" s="572"/>
      <c r="P39" s="572"/>
      <c r="Q39" s="572"/>
      <c r="R39" s="572"/>
      <c r="S39" s="572"/>
      <c r="T39" s="572"/>
      <c r="U39" s="572"/>
      <c r="V39" s="572"/>
      <c r="W39" s="572"/>
      <c r="X39" s="572"/>
      <c r="Y39" s="572"/>
      <c r="Z39" s="572"/>
    </row>
    <row r="40" spans="1:26" ht="12.75" customHeight="1" x14ac:dyDescent="0.3">
      <c r="A40" s="572"/>
      <c r="B40" s="572"/>
      <c r="C40" s="572"/>
      <c r="D40" s="572"/>
      <c r="E40" s="572"/>
      <c r="F40" s="572"/>
      <c r="G40" s="572"/>
      <c r="H40" s="572"/>
      <c r="I40" s="572"/>
      <c r="J40" s="572"/>
      <c r="K40" s="572"/>
      <c r="L40" s="572"/>
      <c r="M40" s="572"/>
      <c r="N40" s="572"/>
      <c r="O40" s="572"/>
      <c r="P40" s="572"/>
      <c r="Q40" s="572"/>
      <c r="R40" s="572"/>
      <c r="S40" s="572"/>
      <c r="T40" s="572"/>
      <c r="U40" s="572"/>
      <c r="V40" s="572"/>
      <c r="W40" s="572"/>
      <c r="X40" s="572"/>
      <c r="Y40" s="572"/>
      <c r="Z40" s="572"/>
    </row>
    <row r="41" spans="1:26" ht="12.75" customHeight="1" x14ac:dyDescent="0.3">
      <c r="A41" s="572"/>
      <c r="B41" s="572"/>
      <c r="C41" s="572"/>
      <c r="D41" s="572"/>
      <c r="E41" s="572"/>
      <c r="F41" s="572"/>
      <c r="G41" s="572"/>
      <c r="H41" s="572"/>
      <c r="I41" s="572"/>
      <c r="J41" s="572"/>
      <c r="K41" s="572"/>
      <c r="L41" s="572"/>
      <c r="M41" s="572"/>
      <c r="N41" s="572"/>
      <c r="O41" s="572"/>
      <c r="P41" s="572"/>
      <c r="Q41" s="572"/>
      <c r="R41" s="572"/>
      <c r="S41" s="572"/>
      <c r="T41" s="572"/>
      <c r="U41" s="572"/>
      <c r="V41" s="572"/>
      <c r="W41" s="572"/>
      <c r="X41" s="572"/>
      <c r="Y41" s="572"/>
      <c r="Z41" s="572"/>
    </row>
    <row r="42" spans="1:26" ht="12.75" customHeight="1" x14ac:dyDescent="0.3">
      <c r="A42" s="572"/>
      <c r="B42" s="572"/>
      <c r="C42" s="572"/>
      <c r="D42" s="572"/>
      <c r="E42" s="572"/>
      <c r="F42" s="572"/>
      <c r="G42" s="572"/>
      <c r="H42" s="572"/>
      <c r="I42" s="572"/>
      <c r="J42" s="572"/>
      <c r="K42" s="572"/>
      <c r="L42" s="572"/>
      <c r="M42" s="572"/>
      <c r="N42" s="572"/>
      <c r="O42" s="572"/>
      <c r="P42" s="572"/>
      <c r="Q42" s="572"/>
      <c r="R42" s="572"/>
      <c r="S42" s="572"/>
      <c r="T42" s="572"/>
      <c r="U42" s="572"/>
      <c r="V42" s="572"/>
      <c r="W42" s="572"/>
      <c r="X42" s="572"/>
      <c r="Y42" s="572"/>
      <c r="Z42" s="572"/>
    </row>
    <row r="43" spans="1:26" ht="12.75" customHeight="1" x14ac:dyDescent="0.3">
      <c r="A43" s="572"/>
      <c r="B43" s="572"/>
      <c r="C43" s="572"/>
      <c r="D43" s="572"/>
      <c r="E43" s="572"/>
      <c r="F43" s="572"/>
      <c r="G43" s="572"/>
      <c r="H43" s="572"/>
      <c r="I43" s="572"/>
      <c r="J43" s="572"/>
      <c r="K43" s="572"/>
      <c r="L43" s="572"/>
      <c r="M43" s="572"/>
      <c r="N43" s="572"/>
      <c r="O43" s="572"/>
      <c r="P43" s="572"/>
      <c r="Q43" s="572"/>
      <c r="R43" s="572"/>
      <c r="S43" s="572"/>
      <c r="T43" s="572"/>
      <c r="U43" s="572"/>
      <c r="V43" s="572"/>
      <c r="W43" s="572"/>
      <c r="X43" s="572"/>
      <c r="Y43" s="572"/>
      <c r="Z43" s="572"/>
    </row>
    <row r="44" spans="1:26" ht="12.75" customHeight="1" x14ac:dyDescent="0.3">
      <c r="A44" s="572"/>
      <c r="B44" s="572"/>
      <c r="C44" s="572"/>
      <c r="D44" s="572"/>
      <c r="E44" s="572"/>
      <c r="F44" s="572"/>
      <c r="G44" s="572"/>
      <c r="H44" s="572"/>
      <c r="I44" s="572"/>
      <c r="J44" s="572"/>
      <c r="K44" s="572"/>
      <c r="L44" s="572"/>
      <c r="M44" s="572"/>
      <c r="N44" s="572"/>
      <c r="O44" s="572"/>
      <c r="P44" s="572"/>
      <c r="Q44" s="572"/>
      <c r="R44" s="572"/>
      <c r="S44" s="572"/>
      <c r="T44" s="572"/>
      <c r="U44" s="572"/>
      <c r="V44" s="572"/>
      <c r="W44" s="572"/>
      <c r="X44" s="572"/>
      <c r="Y44" s="572"/>
      <c r="Z44" s="572"/>
    </row>
    <row r="45" spans="1:26" ht="12.75" customHeight="1" x14ac:dyDescent="0.3">
      <c r="A45" s="572"/>
      <c r="B45" s="572"/>
      <c r="C45" s="572"/>
      <c r="D45" s="572"/>
      <c r="E45" s="572"/>
      <c r="F45" s="572"/>
      <c r="G45" s="572"/>
      <c r="H45" s="572"/>
      <c r="I45" s="572"/>
      <c r="J45" s="572"/>
      <c r="K45" s="572"/>
      <c r="L45" s="572"/>
      <c r="M45" s="572"/>
      <c r="N45" s="572"/>
      <c r="O45" s="572"/>
      <c r="P45" s="572"/>
      <c r="Q45" s="572"/>
      <c r="R45" s="572"/>
      <c r="S45" s="572"/>
      <c r="T45" s="572"/>
      <c r="U45" s="572"/>
      <c r="V45" s="572"/>
      <c r="W45" s="572"/>
      <c r="X45" s="572"/>
      <c r="Y45" s="572"/>
      <c r="Z45" s="572"/>
    </row>
    <row r="46" spans="1:26" ht="12.75" customHeight="1" x14ac:dyDescent="0.3">
      <c r="A46" s="572"/>
      <c r="B46" s="572"/>
      <c r="C46" s="572"/>
      <c r="D46" s="572"/>
      <c r="E46" s="572"/>
      <c r="F46" s="572"/>
      <c r="G46" s="572"/>
      <c r="H46" s="572"/>
      <c r="I46" s="572"/>
      <c r="J46" s="572"/>
      <c r="K46" s="572"/>
      <c r="L46" s="572"/>
      <c r="M46" s="572"/>
      <c r="N46" s="572"/>
      <c r="O46" s="572"/>
      <c r="P46" s="572"/>
      <c r="Q46" s="572"/>
      <c r="R46" s="572"/>
      <c r="S46" s="572"/>
      <c r="T46" s="572"/>
      <c r="U46" s="572"/>
      <c r="V46" s="572"/>
      <c r="W46" s="572"/>
      <c r="X46" s="572"/>
      <c r="Y46" s="572"/>
      <c r="Z46" s="572"/>
    </row>
    <row r="47" spans="1:26" ht="12.75" customHeight="1" x14ac:dyDescent="0.3">
      <c r="A47" s="572"/>
      <c r="B47" s="572"/>
      <c r="C47" s="572"/>
      <c r="D47" s="572"/>
      <c r="E47" s="572"/>
      <c r="F47" s="572"/>
      <c r="G47" s="572"/>
      <c r="H47" s="572"/>
      <c r="I47" s="572"/>
      <c r="J47" s="572"/>
      <c r="K47" s="572"/>
      <c r="L47" s="572"/>
      <c r="M47" s="572"/>
      <c r="N47" s="572"/>
      <c r="O47" s="572"/>
      <c r="P47" s="572"/>
      <c r="Q47" s="572"/>
      <c r="R47" s="572"/>
      <c r="S47" s="572"/>
      <c r="T47" s="572"/>
      <c r="U47" s="572"/>
      <c r="V47" s="572"/>
      <c r="W47" s="572"/>
      <c r="X47" s="572"/>
      <c r="Y47" s="572"/>
      <c r="Z47" s="572"/>
    </row>
    <row r="48" spans="1:26" ht="12.75" customHeight="1" x14ac:dyDescent="0.3">
      <c r="A48" s="572"/>
      <c r="B48" s="572"/>
      <c r="C48" s="572"/>
      <c r="D48" s="572"/>
      <c r="E48" s="572"/>
      <c r="F48" s="572"/>
      <c r="G48" s="572"/>
      <c r="H48" s="572"/>
      <c r="I48" s="572"/>
      <c r="J48" s="572"/>
      <c r="K48" s="572"/>
      <c r="L48" s="572"/>
      <c r="M48" s="572"/>
      <c r="N48" s="572"/>
      <c r="O48" s="572"/>
      <c r="P48" s="572"/>
      <c r="Q48" s="572"/>
      <c r="R48" s="572"/>
      <c r="S48" s="572"/>
      <c r="T48" s="572"/>
      <c r="U48" s="572"/>
      <c r="V48" s="572"/>
      <c r="W48" s="572"/>
      <c r="X48" s="572"/>
      <c r="Y48" s="572"/>
      <c r="Z48" s="572"/>
    </row>
    <row r="49" spans="1:26" ht="12.75" customHeight="1" x14ac:dyDescent="0.3">
      <c r="A49" s="572"/>
      <c r="B49" s="572"/>
      <c r="C49" s="572"/>
      <c r="D49" s="572"/>
      <c r="E49" s="572"/>
      <c r="F49" s="572"/>
      <c r="G49" s="572"/>
      <c r="H49" s="572"/>
      <c r="I49" s="572"/>
      <c r="J49" s="572"/>
      <c r="K49" s="572"/>
      <c r="L49" s="572"/>
      <c r="M49" s="572"/>
      <c r="N49" s="572"/>
      <c r="O49" s="572"/>
      <c r="P49" s="572"/>
      <c r="Q49" s="572"/>
      <c r="R49" s="572"/>
      <c r="S49" s="572"/>
      <c r="T49" s="572"/>
      <c r="U49" s="572"/>
      <c r="V49" s="572"/>
      <c r="W49" s="572"/>
      <c r="X49" s="572"/>
      <c r="Y49" s="572"/>
      <c r="Z49" s="572"/>
    </row>
    <row r="50" spans="1:26" ht="12.75" customHeight="1" x14ac:dyDescent="0.3">
      <c r="A50" s="572"/>
      <c r="B50" s="572"/>
      <c r="C50" s="572"/>
      <c r="D50" s="572"/>
      <c r="E50" s="572"/>
      <c r="F50" s="572"/>
      <c r="G50" s="572"/>
      <c r="H50" s="572"/>
      <c r="I50" s="572"/>
      <c r="J50" s="572"/>
      <c r="K50" s="572"/>
      <c r="L50" s="572"/>
      <c r="M50" s="572"/>
      <c r="N50" s="572"/>
      <c r="O50" s="572"/>
      <c r="P50" s="572"/>
      <c r="Q50" s="572"/>
      <c r="R50" s="572"/>
      <c r="S50" s="572"/>
      <c r="T50" s="572"/>
      <c r="U50" s="572"/>
      <c r="V50" s="572"/>
      <c r="W50" s="572"/>
      <c r="X50" s="572"/>
      <c r="Y50" s="572"/>
      <c r="Z50" s="572"/>
    </row>
    <row r="51" spans="1:26" ht="12.75" customHeight="1" x14ac:dyDescent="0.3">
      <c r="A51" s="572"/>
      <c r="B51" s="572"/>
      <c r="C51" s="572"/>
      <c r="D51" s="572"/>
      <c r="E51" s="572"/>
      <c r="F51" s="572"/>
      <c r="G51" s="572"/>
      <c r="H51" s="572"/>
      <c r="I51" s="572"/>
      <c r="J51" s="572"/>
      <c r="K51" s="572"/>
      <c r="L51" s="572"/>
      <c r="M51" s="572"/>
      <c r="N51" s="572"/>
      <c r="O51" s="572"/>
      <c r="P51" s="572"/>
      <c r="Q51" s="572"/>
      <c r="R51" s="572"/>
      <c r="S51" s="572"/>
      <c r="T51" s="572"/>
      <c r="U51" s="572"/>
      <c r="V51" s="572"/>
      <c r="W51" s="572"/>
      <c r="X51" s="572"/>
      <c r="Y51" s="572"/>
      <c r="Z51" s="572"/>
    </row>
    <row r="52" spans="1:26" ht="12.75" customHeight="1" x14ac:dyDescent="0.3">
      <c r="A52" s="572"/>
      <c r="B52" s="572"/>
      <c r="C52" s="572"/>
      <c r="D52" s="572"/>
      <c r="E52" s="572"/>
      <c r="F52" s="572"/>
      <c r="G52" s="572"/>
      <c r="H52" s="572"/>
      <c r="I52" s="572"/>
      <c r="J52" s="572"/>
      <c r="K52" s="572"/>
      <c r="L52" s="572"/>
      <c r="M52" s="572"/>
      <c r="N52" s="572"/>
      <c r="O52" s="572"/>
      <c r="P52" s="572"/>
      <c r="Q52" s="572"/>
      <c r="R52" s="572"/>
      <c r="S52" s="572"/>
      <c r="T52" s="572"/>
      <c r="U52" s="572"/>
      <c r="V52" s="572"/>
      <c r="W52" s="572"/>
      <c r="X52" s="572"/>
      <c r="Y52" s="572"/>
      <c r="Z52" s="572"/>
    </row>
    <row r="53" spans="1:26" ht="12.75" customHeight="1" x14ac:dyDescent="0.3">
      <c r="A53" s="572"/>
      <c r="B53" s="572"/>
      <c r="C53" s="572"/>
      <c r="D53" s="572"/>
      <c r="E53" s="572"/>
      <c r="F53" s="572"/>
      <c r="G53" s="572"/>
      <c r="H53" s="572"/>
      <c r="I53" s="572"/>
      <c r="J53" s="572"/>
      <c r="K53" s="572"/>
      <c r="L53" s="572"/>
      <c r="M53" s="572"/>
      <c r="N53" s="572"/>
      <c r="O53" s="572"/>
      <c r="P53" s="572"/>
      <c r="Q53" s="572"/>
      <c r="R53" s="572"/>
      <c r="S53" s="572"/>
      <c r="T53" s="572"/>
      <c r="U53" s="572"/>
      <c r="V53" s="572"/>
      <c r="W53" s="572"/>
      <c r="X53" s="572"/>
      <c r="Y53" s="572"/>
      <c r="Z53" s="572"/>
    </row>
    <row r="54" spans="1:26" ht="12.75" customHeight="1" x14ac:dyDescent="0.3">
      <c r="A54" s="572"/>
      <c r="B54" s="572"/>
      <c r="C54" s="572"/>
      <c r="D54" s="572"/>
      <c r="E54" s="572"/>
      <c r="F54" s="572"/>
      <c r="G54" s="572"/>
      <c r="H54" s="572"/>
      <c r="I54" s="572"/>
      <c r="J54" s="572"/>
      <c r="K54" s="572"/>
      <c r="L54" s="572"/>
      <c r="M54" s="572"/>
      <c r="N54" s="572"/>
      <c r="O54" s="572"/>
      <c r="P54" s="572"/>
      <c r="Q54" s="572"/>
      <c r="R54" s="572"/>
      <c r="S54" s="572"/>
      <c r="T54" s="572"/>
      <c r="U54" s="572"/>
      <c r="V54" s="572"/>
      <c r="W54" s="572"/>
      <c r="X54" s="572"/>
      <c r="Y54" s="572"/>
      <c r="Z54" s="572"/>
    </row>
    <row r="55" spans="1:26" ht="12.75" customHeight="1" x14ac:dyDescent="0.3">
      <c r="A55" s="572"/>
      <c r="B55" s="572"/>
      <c r="C55" s="572"/>
      <c r="D55" s="572"/>
      <c r="E55" s="572"/>
      <c r="F55" s="572"/>
      <c r="G55" s="572"/>
      <c r="H55" s="572"/>
      <c r="I55" s="572"/>
      <c r="J55" s="572"/>
      <c r="K55" s="572"/>
      <c r="L55" s="572"/>
      <c r="M55" s="572"/>
      <c r="N55" s="572"/>
      <c r="O55" s="572"/>
      <c r="P55" s="572"/>
      <c r="Q55" s="572"/>
      <c r="R55" s="572"/>
      <c r="S55" s="572"/>
      <c r="T55" s="572"/>
      <c r="U55" s="572"/>
      <c r="V55" s="572"/>
      <c r="W55" s="572"/>
      <c r="X55" s="572"/>
      <c r="Y55" s="572"/>
      <c r="Z55" s="572"/>
    </row>
    <row r="56" spans="1:26" ht="12.75" customHeight="1" x14ac:dyDescent="0.3">
      <c r="A56" s="572"/>
      <c r="B56" s="572"/>
      <c r="C56" s="572"/>
      <c r="D56" s="572"/>
      <c r="E56" s="572"/>
      <c r="F56" s="572"/>
      <c r="G56" s="572"/>
      <c r="H56" s="572"/>
      <c r="I56" s="572"/>
      <c r="J56" s="572"/>
      <c r="K56" s="572"/>
      <c r="L56" s="572"/>
      <c r="M56" s="572"/>
      <c r="N56" s="572"/>
      <c r="O56" s="572"/>
      <c r="P56" s="572"/>
      <c r="Q56" s="572"/>
      <c r="R56" s="572"/>
      <c r="S56" s="572"/>
      <c r="T56" s="572"/>
      <c r="U56" s="572"/>
      <c r="V56" s="572"/>
      <c r="W56" s="572"/>
      <c r="X56" s="572"/>
      <c r="Y56" s="572"/>
      <c r="Z56" s="572"/>
    </row>
    <row r="57" spans="1:26" ht="12.75" customHeight="1" x14ac:dyDescent="0.3">
      <c r="A57" s="572"/>
      <c r="B57" s="572"/>
      <c r="C57" s="572"/>
      <c r="D57" s="572"/>
      <c r="E57" s="572"/>
      <c r="F57" s="572"/>
      <c r="G57" s="572"/>
      <c r="H57" s="572"/>
      <c r="I57" s="572"/>
      <c r="J57" s="572"/>
      <c r="K57" s="572"/>
      <c r="L57" s="572"/>
      <c r="M57" s="572"/>
      <c r="N57" s="572"/>
      <c r="O57" s="572"/>
      <c r="P57" s="572"/>
      <c r="Q57" s="572"/>
      <c r="R57" s="572"/>
      <c r="S57" s="572"/>
      <c r="T57" s="572"/>
      <c r="U57" s="572"/>
      <c r="V57" s="572"/>
      <c r="W57" s="572"/>
      <c r="X57" s="572"/>
      <c r="Y57" s="572"/>
      <c r="Z57" s="572"/>
    </row>
    <row r="58" spans="1:26" ht="12.75" customHeight="1" x14ac:dyDescent="0.3">
      <c r="A58" s="572"/>
      <c r="B58" s="572"/>
      <c r="C58" s="572"/>
      <c r="D58" s="572"/>
      <c r="E58" s="572"/>
      <c r="F58" s="572"/>
      <c r="G58" s="572"/>
      <c r="H58" s="572"/>
      <c r="I58" s="572"/>
      <c r="J58" s="572"/>
      <c r="K58" s="572"/>
      <c r="L58" s="572"/>
      <c r="M58" s="572"/>
      <c r="N58" s="572"/>
      <c r="O58" s="572"/>
      <c r="P58" s="572"/>
      <c r="Q58" s="572"/>
      <c r="R58" s="572"/>
      <c r="S58" s="572"/>
      <c r="T58" s="572"/>
      <c r="U58" s="572"/>
      <c r="V58" s="572"/>
      <c r="W58" s="572"/>
      <c r="X58" s="572"/>
      <c r="Y58" s="572"/>
      <c r="Z58" s="572"/>
    </row>
    <row r="59" spans="1:26" ht="12.75" customHeight="1" x14ac:dyDescent="0.3">
      <c r="A59" s="572"/>
      <c r="B59" s="572"/>
      <c r="C59" s="572"/>
      <c r="D59" s="572"/>
      <c r="E59" s="572"/>
      <c r="F59" s="572"/>
      <c r="G59" s="572"/>
      <c r="H59" s="572"/>
      <c r="I59" s="572"/>
      <c r="J59" s="572"/>
      <c r="K59" s="572"/>
      <c r="L59" s="572"/>
      <c r="M59" s="572"/>
      <c r="N59" s="572"/>
      <c r="O59" s="572"/>
      <c r="P59" s="572"/>
      <c r="Q59" s="572"/>
      <c r="R59" s="572"/>
      <c r="S59" s="572"/>
      <c r="T59" s="572"/>
      <c r="U59" s="572"/>
      <c r="V59" s="572"/>
      <c r="W59" s="572"/>
      <c r="X59" s="572"/>
      <c r="Y59" s="572"/>
      <c r="Z59" s="572"/>
    </row>
    <row r="60" spans="1:26" ht="12.75" customHeight="1" x14ac:dyDescent="0.3">
      <c r="A60" s="572"/>
      <c r="B60" s="572"/>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row>
    <row r="61" spans="1:26" ht="12.75" customHeight="1" x14ac:dyDescent="0.3">
      <c r="A61" s="572"/>
      <c r="B61" s="572"/>
      <c r="C61" s="572"/>
      <c r="D61" s="572"/>
      <c r="E61" s="572"/>
      <c r="F61" s="572"/>
      <c r="G61" s="572"/>
      <c r="H61" s="572"/>
      <c r="I61" s="572"/>
      <c r="J61" s="572"/>
      <c r="K61" s="572"/>
      <c r="L61" s="572"/>
      <c r="M61" s="572"/>
      <c r="N61" s="572"/>
      <c r="O61" s="572"/>
      <c r="P61" s="572"/>
      <c r="Q61" s="572"/>
      <c r="R61" s="572"/>
      <c r="S61" s="572"/>
      <c r="T61" s="572"/>
      <c r="U61" s="572"/>
      <c r="V61" s="572"/>
      <c r="W61" s="572"/>
      <c r="X61" s="572"/>
      <c r="Y61" s="572"/>
      <c r="Z61" s="572"/>
    </row>
    <row r="62" spans="1:26" ht="12.75" customHeight="1" x14ac:dyDescent="0.3">
      <c r="A62" s="572"/>
      <c r="B62" s="572"/>
      <c r="C62" s="572"/>
      <c r="D62" s="572"/>
      <c r="E62" s="572"/>
      <c r="F62" s="572"/>
      <c r="G62" s="572"/>
      <c r="H62" s="572"/>
      <c r="I62" s="572"/>
      <c r="J62" s="572"/>
      <c r="K62" s="572"/>
      <c r="L62" s="572"/>
      <c r="M62" s="572"/>
      <c r="N62" s="572"/>
      <c r="O62" s="572"/>
      <c r="P62" s="572"/>
      <c r="Q62" s="572"/>
      <c r="R62" s="572"/>
      <c r="S62" s="572"/>
      <c r="T62" s="572"/>
      <c r="U62" s="572"/>
      <c r="V62" s="572"/>
      <c r="W62" s="572"/>
      <c r="X62" s="572"/>
      <c r="Y62" s="572"/>
      <c r="Z62" s="572"/>
    </row>
    <row r="63" spans="1:26" ht="12.75" customHeight="1" x14ac:dyDescent="0.3">
      <c r="A63" s="572"/>
      <c r="B63" s="572"/>
      <c r="C63" s="572"/>
      <c r="D63" s="572"/>
      <c r="E63" s="572"/>
      <c r="F63" s="572"/>
      <c r="G63" s="572"/>
      <c r="H63" s="572"/>
      <c r="I63" s="572"/>
      <c r="J63" s="572"/>
      <c r="K63" s="572"/>
      <c r="L63" s="572"/>
      <c r="M63" s="572"/>
      <c r="N63" s="572"/>
      <c r="O63" s="572"/>
      <c r="P63" s="572"/>
      <c r="Q63" s="572"/>
      <c r="R63" s="572"/>
      <c r="S63" s="572"/>
      <c r="T63" s="572"/>
      <c r="U63" s="572"/>
      <c r="V63" s="572"/>
      <c r="W63" s="572"/>
      <c r="X63" s="572"/>
      <c r="Y63" s="572"/>
      <c r="Z63" s="572"/>
    </row>
    <row r="64" spans="1:26" ht="12.75" customHeight="1" x14ac:dyDescent="0.3">
      <c r="A64" s="572"/>
      <c r="B64" s="572"/>
      <c r="C64" s="572"/>
      <c r="D64" s="572"/>
      <c r="E64" s="572"/>
      <c r="F64" s="572"/>
      <c r="G64" s="572"/>
      <c r="H64" s="572"/>
      <c r="I64" s="572"/>
      <c r="J64" s="572"/>
      <c r="K64" s="572"/>
      <c r="L64" s="572"/>
      <c r="M64" s="572"/>
      <c r="N64" s="572"/>
      <c r="O64" s="572"/>
      <c r="P64" s="572"/>
      <c r="Q64" s="572"/>
      <c r="R64" s="572"/>
      <c r="S64" s="572"/>
      <c r="T64" s="572"/>
      <c r="U64" s="572"/>
      <c r="V64" s="572"/>
      <c r="W64" s="572"/>
      <c r="X64" s="572"/>
      <c r="Y64" s="572"/>
      <c r="Z64" s="572"/>
    </row>
    <row r="65" spans="1:26" ht="12.75" customHeight="1" x14ac:dyDescent="0.3">
      <c r="A65" s="572"/>
      <c r="B65" s="572"/>
      <c r="C65" s="572"/>
      <c r="D65" s="572"/>
      <c r="E65" s="572"/>
      <c r="F65" s="572"/>
      <c r="G65" s="572"/>
      <c r="H65" s="572"/>
      <c r="I65" s="572"/>
      <c r="J65" s="572"/>
      <c r="K65" s="572"/>
      <c r="L65" s="572"/>
      <c r="M65" s="572"/>
      <c r="N65" s="572"/>
      <c r="O65" s="572"/>
      <c r="P65" s="572"/>
      <c r="Q65" s="572"/>
      <c r="R65" s="572"/>
      <c r="S65" s="572"/>
      <c r="T65" s="572"/>
      <c r="U65" s="572"/>
      <c r="V65" s="572"/>
      <c r="W65" s="572"/>
      <c r="X65" s="572"/>
      <c r="Y65" s="572"/>
      <c r="Z65" s="572"/>
    </row>
    <row r="66" spans="1:26" ht="12.75" customHeight="1" x14ac:dyDescent="0.3">
      <c r="A66" s="572"/>
      <c r="B66" s="572"/>
      <c r="C66" s="572"/>
      <c r="D66" s="572"/>
      <c r="E66" s="572"/>
      <c r="F66" s="572"/>
      <c r="G66" s="572"/>
      <c r="H66" s="572"/>
      <c r="I66" s="572"/>
      <c r="J66" s="572"/>
      <c r="K66" s="572"/>
      <c r="L66" s="572"/>
      <c r="M66" s="572"/>
      <c r="N66" s="572"/>
      <c r="O66" s="572"/>
      <c r="P66" s="572"/>
      <c r="Q66" s="572"/>
      <c r="R66" s="572"/>
      <c r="S66" s="572"/>
      <c r="T66" s="572"/>
      <c r="U66" s="572"/>
      <c r="V66" s="572"/>
      <c r="W66" s="572"/>
      <c r="X66" s="572"/>
      <c r="Y66" s="572"/>
      <c r="Z66" s="572"/>
    </row>
    <row r="67" spans="1:26" ht="12.75" customHeight="1" x14ac:dyDescent="0.3">
      <c r="A67" s="572"/>
      <c r="B67" s="572"/>
      <c r="C67" s="572"/>
      <c r="D67" s="572"/>
      <c r="E67" s="572"/>
      <c r="F67" s="572"/>
      <c r="G67" s="572"/>
      <c r="H67" s="572"/>
      <c r="I67" s="572"/>
      <c r="J67" s="572"/>
      <c r="K67" s="572"/>
      <c r="L67" s="572"/>
      <c r="M67" s="572"/>
      <c r="N67" s="572"/>
      <c r="O67" s="572"/>
      <c r="P67" s="572"/>
      <c r="Q67" s="572"/>
      <c r="R67" s="572"/>
      <c r="S67" s="572"/>
      <c r="T67" s="572"/>
      <c r="U67" s="572"/>
      <c r="V67" s="572"/>
      <c r="W67" s="572"/>
      <c r="X67" s="572"/>
      <c r="Y67" s="572"/>
      <c r="Z67" s="572"/>
    </row>
    <row r="68" spans="1:26" ht="12.75" customHeight="1" x14ac:dyDescent="0.3">
      <c r="A68" s="572"/>
      <c r="B68" s="572"/>
      <c r="C68" s="572"/>
      <c r="D68" s="572"/>
      <c r="E68" s="572"/>
      <c r="F68" s="572"/>
      <c r="G68" s="572"/>
      <c r="H68" s="572"/>
      <c r="I68" s="572"/>
      <c r="J68" s="572"/>
      <c r="K68" s="572"/>
      <c r="L68" s="572"/>
      <c r="M68" s="572"/>
      <c r="N68" s="572"/>
      <c r="O68" s="572"/>
      <c r="P68" s="572"/>
      <c r="Q68" s="572"/>
      <c r="R68" s="572"/>
      <c r="S68" s="572"/>
      <c r="T68" s="572"/>
      <c r="U68" s="572"/>
      <c r="V68" s="572"/>
      <c r="W68" s="572"/>
      <c r="X68" s="572"/>
      <c r="Y68" s="572"/>
      <c r="Z68" s="572"/>
    </row>
    <row r="69" spans="1:26" ht="12.75" customHeight="1" x14ac:dyDescent="0.3">
      <c r="A69" s="572"/>
      <c r="B69" s="572"/>
      <c r="C69" s="572"/>
      <c r="D69" s="572"/>
      <c r="E69" s="572"/>
      <c r="F69" s="572"/>
      <c r="G69" s="572"/>
      <c r="H69" s="572"/>
      <c r="I69" s="572"/>
      <c r="J69" s="572"/>
      <c r="K69" s="572"/>
      <c r="L69" s="572"/>
      <c r="M69" s="572"/>
      <c r="N69" s="572"/>
      <c r="O69" s="572"/>
      <c r="P69" s="572"/>
      <c r="Q69" s="572"/>
      <c r="R69" s="572"/>
      <c r="S69" s="572"/>
      <c r="T69" s="572"/>
      <c r="U69" s="572"/>
      <c r="V69" s="572"/>
      <c r="W69" s="572"/>
      <c r="X69" s="572"/>
      <c r="Y69" s="572"/>
      <c r="Z69" s="572"/>
    </row>
    <row r="70" spans="1:26" ht="12.75" customHeight="1" x14ac:dyDescent="0.3">
      <c r="A70" s="572"/>
      <c r="B70" s="572"/>
      <c r="C70" s="572"/>
      <c r="D70" s="572"/>
      <c r="E70" s="572"/>
      <c r="F70" s="572"/>
      <c r="G70" s="572"/>
      <c r="H70" s="572"/>
      <c r="I70" s="572"/>
      <c r="J70" s="572"/>
      <c r="K70" s="572"/>
      <c r="L70" s="572"/>
      <c r="M70" s="572"/>
      <c r="N70" s="572"/>
      <c r="O70" s="572"/>
      <c r="P70" s="572"/>
      <c r="Q70" s="572"/>
      <c r="R70" s="572"/>
      <c r="S70" s="572"/>
      <c r="T70" s="572"/>
      <c r="U70" s="572"/>
      <c r="V70" s="572"/>
      <c r="W70" s="572"/>
      <c r="X70" s="572"/>
      <c r="Y70" s="572"/>
      <c r="Z70" s="572"/>
    </row>
    <row r="71" spans="1:26" ht="12.75" customHeight="1" x14ac:dyDescent="0.3">
      <c r="A71" s="572"/>
      <c r="B71" s="572"/>
      <c r="C71" s="572"/>
      <c r="D71" s="572"/>
      <c r="E71" s="572"/>
      <c r="F71" s="572"/>
      <c r="G71" s="572"/>
      <c r="H71" s="572"/>
      <c r="I71" s="572"/>
      <c r="J71" s="572"/>
      <c r="K71" s="572"/>
      <c r="L71" s="572"/>
      <c r="M71" s="572"/>
      <c r="N71" s="572"/>
      <c r="O71" s="572"/>
      <c r="P71" s="572"/>
      <c r="Q71" s="572"/>
      <c r="R71" s="572"/>
      <c r="S71" s="572"/>
      <c r="T71" s="572"/>
      <c r="U71" s="572"/>
      <c r="V71" s="572"/>
      <c r="W71" s="572"/>
      <c r="X71" s="572"/>
      <c r="Y71" s="572"/>
      <c r="Z71" s="572"/>
    </row>
    <row r="72" spans="1:26" ht="12.75" customHeight="1" x14ac:dyDescent="0.3">
      <c r="A72" s="572"/>
      <c r="B72" s="572"/>
      <c r="C72" s="572"/>
      <c r="D72" s="572"/>
      <c r="E72" s="572"/>
      <c r="F72" s="572"/>
      <c r="G72" s="572"/>
      <c r="H72" s="572"/>
      <c r="I72" s="572"/>
      <c r="J72" s="572"/>
      <c r="K72" s="572"/>
      <c r="L72" s="572"/>
      <c r="M72" s="572"/>
      <c r="N72" s="572"/>
      <c r="O72" s="572"/>
      <c r="P72" s="572"/>
      <c r="Q72" s="572"/>
      <c r="R72" s="572"/>
      <c r="S72" s="572"/>
      <c r="T72" s="572"/>
      <c r="U72" s="572"/>
      <c r="V72" s="572"/>
      <c r="W72" s="572"/>
      <c r="X72" s="572"/>
      <c r="Y72" s="572"/>
      <c r="Z72" s="572"/>
    </row>
    <row r="73" spans="1:26" ht="12.75" customHeight="1" x14ac:dyDescent="0.3">
      <c r="A73" s="572"/>
      <c r="B73" s="572"/>
      <c r="C73" s="572"/>
      <c r="D73" s="572"/>
      <c r="E73" s="572"/>
      <c r="F73" s="572"/>
      <c r="G73" s="572"/>
      <c r="H73" s="572"/>
      <c r="I73" s="572"/>
      <c r="J73" s="572"/>
      <c r="K73" s="572"/>
      <c r="L73" s="572"/>
      <c r="M73" s="572"/>
      <c r="N73" s="572"/>
      <c r="O73" s="572"/>
      <c r="P73" s="572"/>
      <c r="Q73" s="572"/>
      <c r="R73" s="572"/>
      <c r="S73" s="572"/>
      <c r="T73" s="572"/>
      <c r="U73" s="572"/>
      <c r="V73" s="572"/>
      <c r="W73" s="572"/>
      <c r="X73" s="572"/>
      <c r="Y73" s="572"/>
      <c r="Z73" s="572"/>
    </row>
    <row r="74" spans="1:26" ht="12.75" customHeight="1" x14ac:dyDescent="0.3">
      <c r="A74" s="572"/>
      <c r="B74" s="572"/>
      <c r="C74" s="572"/>
      <c r="D74" s="572"/>
      <c r="E74" s="572"/>
      <c r="F74" s="572"/>
      <c r="G74" s="572"/>
      <c r="H74" s="572"/>
      <c r="I74" s="572"/>
      <c r="J74" s="572"/>
      <c r="K74" s="572"/>
      <c r="L74" s="572"/>
      <c r="M74" s="572"/>
      <c r="N74" s="572"/>
      <c r="O74" s="572"/>
      <c r="P74" s="572"/>
      <c r="Q74" s="572"/>
      <c r="R74" s="572"/>
      <c r="S74" s="572"/>
      <c r="T74" s="572"/>
      <c r="U74" s="572"/>
      <c r="V74" s="572"/>
      <c r="W74" s="572"/>
      <c r="X74" s="572"/>
      <c r="Y74" s="572"/>
      <c r="Z74" s="572"/>
    </row>
    <row r="75" spans="1:26" ht="12.75" customHeight="1" x14ac:dyDescent="0.3">
      <c r="A75" s="572"/>
      <c r="B75" s="572"/>
      <c r="C75" s="572"/>
      <c r="D75" s="572"/>
      <c r="E75" s="572"/>
      <c r="F75" s="572"/>
      <c r="G75" s="572"/>
      <c r="H75" s="572"/>
      <c r="I75" s="572"/>
      <c r="J75" s="572"/>
      <c r="K75" s="572"/>
      <c r="L75" s="572"/>
      <c r="M75" s="572"/>
      <c r="N75" s="572"/>
      <c r="O75" s="572"/>
      <c r="P75" s="572"/>
      <c r="Q75" s="572"/>
      <c r="R75" s="572"/>
      <c r="S75" s="572"/>
      <c r="T75" s="572"/>
      <c r="U75" s="572"/>
      <c r="V75" s="572"/>
      <c r="W75" s="572"/>
      <c r="X75" s="572"/>
      <c r="Y75" s="572"/>
      <c r="Z75" s="572"/>
    </row>
    <row r="76" spans="1:26" ht="12.75" customHeight="1" x14ac:dyDescent="0.3">
      <c r="A76" s="572"/>
      <c r="B76" s="572"/>
      <c r="C76" s="572"/>
      <c r="D76" s="572"/>
      <c r="E76" s="572"/>
      <c r="F76" s="572"/>
      <c r="G76" s="572"/>
      <c r="H76" s="572"/>
      <c r="I76" s="572"/>
      <c r="J76" s="572"/>
      <c r="K76" s="572"/>
      <c r="L76" s="572"/>
      <c r="M76" s="572"/>
      <c r="N76" s="572"/>
      <c r="O76" s="572"/>
      <c r="P76" s="572"/>
      <c r="Q76" s="572"/>
      <c r="R76" s="572"/>
      <c r="S76" s="572"/>
      <c r="T76" s="572"/>
      <c r="U76" s="572"/>
      <c r="V76" s="572"/>
      <c r="W76" s="572"/>
      <c r="X76" s="572"/>
      <c r="Y76" s="572"/>
      <c r="Z76" s="572"/>
    </row>
    <row r="77" spans="1:26" ht="12.75" customHeight="1" x14ac:dyDescent="0.3">
      <c r="A77" s="572"/>
      <c r="B77" s="572"/>
      <c r="C77" s="572"/>
      <c r="D77" s="572"/>
      <c r="E77" s="572"/>
      <c r="F77" s="572"/>
      <c r="G77" s="572"/>
      <c r="H77" s="572"/>
      <c r="I77" s="572"/>
      <c r="J77" s="572"/>
      <c r="K77" s="572"/>
      <c r="L77" s="572"/>
      <c r="M77" s="572"/>
      <c r="N77" s="572"/>
      <c r="O77" s="572"/>
      <c r="P77" s="572"/>
      <c r="Q77" s="572"/>
      <c r="R77" s="572"/>
      <c r="S77" s="572"/>
      <c r="T77" s="572"/>
      <c r="U77" s="572"/>
      <c r="V77" s="572"/>
      <c r="W77" s="572"/>
      <c r="X77" s="572"/>
      <c r="Y77" s="572"/>
      <c r="Z77" s="572"/>
    </row>
    <row r="78" spans="1:26" ht="12.75" customHeight="1" x14ac:dyDescent="0.3">
      <c r="A78" s="572"/>
      <c r="B78" s="572"/>
      <c r="C78" s="572"/>
      <c r="D78" s="572"/>
      <c r="E78" s="572"/>
      <c r="F78" s="572"/>
      <c r="G78" s="572"/>
      <c r="H78" s="572"/>
      <c r="I78" s="572"/>
      <c r="J78" s="572"/>
      <c r="K78" s="572"/>
      <c r="L78" s="572"/>
      <c r="M78" s="572"/>
      <c r="N78" s="572"/>
      <c r="O78" s="572"/>
      <c r="P78" s="572"/>
      <c r="Q78" s="572"/>
      <c r="R78" s="572"/>
      <c r="S78" s="572"/>
      <c r="T78" s="572"/>
      <c r="U78" s="572"/>
      <c r="V78" s="572"/>
      <c r="W78" s="572"/>
      <c r="X78" s="572"/>
      <c r="Y78" s="572"/>
      <c r="Z78" s="572"/>
    </row>
    <row r="79" spans="1:26" ht="12.75" customHeight="1" x14ac:dyDescent="0.3">
      <c r="A79" s="572"/>
      <c r="B79" s="572"/>
      <c r="C79" s="572"/>
      <c r="D79" s="572"/>
      <c r="E79" s="572"/>
      <c r="F79" s="572"/>
      <c r="G79" s="572"/>
      <c r="H79" s="572"/>
      <c r="I79" s="572"/>
      <c r="J79" s="572"/>
      <c r="K79" s="572"/>
      <c r="L79" s="572"/>
      <c r="M79" s="572"/>
      <c r="N79" s="572"/>
      <c r="O79" s="572"/>
      <c r="P79" s="572"/>
      <c r="Q79" s="572"/>
      <c r="R79" s="572"/>
      <c r="S79" s="572"/>
      <c r="T79" s="572"/>
      <c r="U79" s="572"/>
      <c r="V79" s="572"/>
      <c r="W79" s="572"/>
      <c r="X79" s="572"/>
      <c r="Y79" s="572"/>
      <c r="Z79" s="572"/>
    </row>
    <row r="80" spans="1:26" ht="12.75" customHeight="1" x14ac:dyDescent="0.3">
      <c r="A80" s="572"/>
      <c r="B80" s="572"/>
      <c r="C80" s="572"/>
      <c r="D80" s="572"/>
      <c r="E80" s="572"/>
      <c r="F80" s="572"/>
      <c r="G80" s="572"/>
      <c r="H80" s="572"/>
      <c r="I80" s="572"/>
      <c r="J80" s="572"/>
      <c r="K80" s="572"/>
      <c r="L80" s="572"/>
      <c r="M80" s="572"/>
      <c r="N80" s="572"/>
      <c r="O80" s="572"/>
      <c r="P80" s="572"/>
      <c r="Q80" s="572"/>
      <c r="R80" s="572"/>
      <c r="S80" s="572"/>
      <c r="T80" s="572"/>
      <c r="U80" s="572"/>
      <c r="V80" s="572"/>
      <c r="W80" s="572"/>
      <c r="X80" s="572"/>
      <c r="Y80" s="572"/>
      <c r="Z80" s="572"/>
    </row>
    <row r="81" spans="1:26" ht="12.75" customHeight="1" x14ac:dyDescent="0.3">
      <c r="A81" s="572"/>
      <c r="B81" s="572"/>
      <c r="C81" s="572"/>
      <c r="D81" s="572"/>
      <c r="E81" s="572"/>
      <c r="F81" s="572"/>
      <c r="G81" s="572"/>
      <c r="H81" s="572"/>
      <c r="I81" s="572"/>
      <c r="J81" s="572"/>
      <c r="K81" s="572"/>
      <c r="L81" s="572"/>
      <c r="M81" s="572"/>
      <c r="N81" s="572"/>
      <c r="O81" s="572"/>
      <c r="P81" s="572"/>
      <c r="Q81" s="572"/>
      <c r="R81" s="572"/>
      <c r="S81" s="572"/>
      <c r="T81" s="572"/>
      <c r="U81" s="572"/>
      <c r="V81" s="572"/>
      <c r="W81" s="572"/>
      <c r="X81" s="572"/>
      <c r="Y81" s="572"/>
      <c r="Z81" s="572"/>
    </row>
    <row r="82" spans="1:26" ht="12.75" customHeight="1" x14ac:dyDescent="0.3">
      <c r="A82" s="572"/>
      <c r="B82" s="572"/>
      <c r="C82" s="572"/>
      <c r="D82" s="572"/>
      <c r="E82" s="572"/>
      <c r="F82" s="572"/>
      <c r="G82" s="572"/>
      <c r="H82" s="572"/>
      <c r="I82" s="572"/>
      <c r="J82" s="572"/>
      <c r="K82" s="572"/>
      <c r="L82" s="572"/>
      <c r="M82" s="572"/>
      <c r="N82" s="572"/>
      <c r="O82" s="572"/>
      <c r="P82" s="572"/>
      <c r="Q82" s="572"/>
      <c r="R82" s="572"/>
      <c r="S82" s="572"/>
      <c r="T82" s="572"/>
      <c r="U82" s="572"/>
      <c r="V82" s="572"/>
      <c r="W82" s="572"/>
      <c r="X82" s="572"/>
      <c r="Y82" s="572"/>
      <c r="Z82" s="572"/>
    </row>
    <row r="83" spans="1:26" ht="12.75" customHeight="1" x14ac:dyDescent="0.3">
      <c r="A83" s="572"/>
      <c r="B83" s="572"/>
      <c r="C83" s="572"/>
      <c r="D83" s="572"/>
      <c r="E83" s="572"/>
      <c r="F83" s="572"/>
      <c r="G83" s="572"/>
      <c r="H83" s="572"/>
      <c r="I83" s="572"/>
      <c r="J83" s="572"/>
      <c r="K83" s="572"/>
      <c r="L83" s="572"/>
      <c r="M83" s="572"/>
      <c r="N83" s="572"/>
      <c r="O83" s="572"/>
      <c r="P83" s="572"/>
      <c r="Q83" s="572"/>
      <c r="R83" s="572"/>
      <c r="S83" s="572"/>
      <c r="T83" s="572"/>
      <c r="U83" s="572"/>
      <c r="V83" s="572"/>
      <c r="W83" s="572"/>
      <c r="X83" s="572"/>
      <c r="Y83" s="572"/>
      <c r="Z83" s="572"/>
    </row>
    <row r="84" spans="1:26" ht="12.75" customHeight="1" x14ac:dyDescent="0.3">
      <c r="A84" s="572"/>
      <c r="B84" s="572"/>
      <c r="C84" s="572"/>
      <c r="D84" s="572"/>
      <c r="E84" s="572"/>
      <c r="F84" s="572"/>
      <c r="G84" s="572"/>
      <c r="H84" s="572"/>
      <c r="I84" s="572"/>
      <c r="J84" s="572"/>
      <c r="K84" s="572"/>
      <c r="L84" s="572"/>
      <c r="M84" s="572"/>
      <c r="N84" s="572"/>
      <c r="O84" s="572"/>
      <c r="P84" s="572"/>
      <c r="Q84" s="572"/>
      <c r="R84" s="572"/>
      <c r="S84" s="572"/>
      <c r="T84" s="572"/>
      <c r="U84" s="572"/>
      <c r="V84" s="572"/>
      <c r="W84" s="572"/>
      <c r="X84" s="572"/>
      <c r="Y84" s="572"/>
      <c r="Z84" s="572"/>
    </row>
    <row r="85" spans="1:26" ht="12.75" customHeight="1" x14ac:dyDescent="0.3">
      <c r="A85" s="572"/>
      <c r="B85" s="572"/>
      <c r="C85" s="572"/>
      <c r="D85" s="572"/>
      <c r="E85" s="572"/>
      <c r="F85" s="572"/>
      <c r="G85" s="572"/>
      <c r="H85" s="572"/>
      <c r="I85" s="572"/>
      <c r="J85" s="572"/>
      <c r="K85" s="572"/>
      <c r="L85" s="572"/>
      <c r="M85" s="572"/>
      <c r="N85" s="572"/>
      <c r="O85" s="572"/>
      <c r="P85" s="572"/>
      <c r="Q85" s="572"/>
      <c r="R85" s="572"/>
      <c r="S85" s="572"/>
      <c r="T85" s="572"/>
      <c r="U85" s="572"/>
      <c r="V85" s="572"/>
      <c r="W85" s="572"/>
      <c r="X85" s="572"/>
      <c r="Y85" s="572"/>
      <c r="Z85" s="572"/>
    </row>
    <row r="86" spans="1:26" ht="12.75" customHeight="1" x14ac:dyDescent="0.3">
      <c r="A86" s="572"/>
      <c r="B86" s="572"/>
      <c r="C86" s="572"/>
      <c r="D86" s="572"/>
      <c r="E86" s="572"/>
      <c r="F86" s="572"/>
      <c r="G86" s="572"/>
      <c r="H86" s="572"/>
      <c r="I86" s="572"/>
      <c r="J86" s="572"/>
      <c r="K86" s="572"/>
      <c r="L86" s="572"/>
      <c r="M86" s="572"/>
      <c r="N86" s="572"/>
      <c r="O86" s="572"/>
      <c r="P86" s="572"/>
      <c r="Q86" s="572"/>
      <c r="R86" s="572"/>
      <c r="S86" s="572"/>
      <c r="T86" s="572"/>
      <c r="U86" s="572"/>
      <c r="V86" s="572"/>
      <c r="W86" s="572"/>
      <c r="X86" s="572"/>
      <c r="Y86" s="572"/>
      <c r="Z86" s="572"/>
    </row>
    <row r="87" spans="1:26" ht="12.75" customHeight="1" x14ac:dyDescent="0.3">
      <c r="A87" s="572"/>
      <c r="B87" s="572"/>
      <c r="C87" s="572"/>
      <c r="D87" s="572"/>
      <c r="E87" s="572"/>
      <c r="F87" s="572"/>
      <c r="G87" s="572"/>
      <c r="H87" s="572"/>
      <c r="I87" s="572"/>
      <c r="J87" s="572"/>
      <c r="K87" s="572"/>
      <c r="L87" s="572"/>
      <c r="M87" s="572"/>
      <c r="N87" s="572"/>
      <c r="O87" s="572"/>
      <c r="P87" s="572"/>
      <c r="Q87" s="572"/>
      <c r="R87" s="572"/>
      <c r="S87" s="572"/>
      <c r="T87" s="572"/>
      <c r="U87" s="572"/>
      <c r="V87" s="572"/>
      <c r="W87" s="572"/>
      <c r="X87" s="572"/>
      <c r="Y87" s="572"/>
      <c r="Z87" s="572"/>
    </row>
    <row r="88" spans="1:26" ht="12.75" customHeight="1" x14ac:dyDescent="0.3">
      <c r="A88" s="572"/>
      <c r="B88" s="572"/>
      <c r="C88" s="572"/>
      <c r="D88" s="572"/>
      <c r="E88" s="572"/>
      <c r="F88" s="572"/>
      <c r="G88" s="572"/>
      <c r="H88" s="572"/>
      <c r="I88" s="572"/>
      <c r="J88" s="572"/>
      <c r="K88" s="572"/>
      <c r="L88" s="572"/>
      <c r="M88" s="572"/>
      <c r="N88" s="572"/>
      <c r="O88" s="572"/>
      <c r="P88" s="572"/>
      <c r="Q88" s="572"/>
      <c r="R88" s="572"/>
      <c r="S88" s="572"/>
      <c r="T88" s="572"/>
      <c r="U88" s="572"/>
      <c r="V88" s="572"/>
      <c r="W88" s="572"/>
      <c r="X88" s="572"/>
      <c r="Y88" s="572"/>
      <c r="Z88" s="572"/>
    </row>
    <row r="89" spans="1:26" ht="12.75" customHeight="1" x14ac:dyDescent="0.3">
      <c r="A89" s="572"/>
      <c r="B89" s="572"/>
      <c r="C89" s="572"/>
      <c r="D89" s="572"/>
      <c r="E89" s="572"/>
      <c r="F89" s="572"/>
      <c r="G89" s="572"/>
      <c r="H89" s="572"/>
      <c r="I89" s="572"/>
      <c r="J89" s="572"/>
      <c r="K89" s="572"/>
      <c r="L89" s="572"/>
      <c r="M89" s="572"/>
      <c r="N89" s="572"/>
      <c r="O89" s="572"/>
      <c r="P89" s="572"/>
      <c r="Q89" s="572"/>
      <c r="R89" s="572"/>
      <c r="S89" s="572"/>
      <c r="T89" s="572"/>
      <c r="U89" s="572"/>
      <c r="V89" s="572"/>
      <c r="W89" s="572"/>
      <c r="X89" s="572"/>
      <c r="Y89" s="572"/>
      <c r="Z89" s="572"/>
    </row>
    <row r="90" spans="1:26" ht="12.75" customHeight="1" x14ac:dyDescent="0.3">
      <c r="A90" s="572"/>
      <c r="B90" s="572"/>
      <c r="C90" s="572"/>
      <c r="D90" s="572"/>
      <c r="E90" s="572"/>
      <c r="F90" s="572"/>
      <c r="G90" s="572"/>
      <c r="H90" s="572"/>
      <c r="I90" s="572"/>
      <c r="J90" s="572"/>
      <c r="K90" s="572"/>
      <c r="L90" s="572"/>
      <c r="M90" s="572"/>
      <c r="N90" s="572"/>
      <c r="O90" s="572"/>
      <c r="P90" s="572"/>
      <c r="Q90" s="572"/>
      <c r="R90" s="572"/>
      <c r="S90" s="572"/>
      <c r="T90" s="572"/>
      <c r="U90" s="572"/>
      <c r="V90" s="572"/>
      <c r="W90" s="572"/>
      <c r="X90" s="572"/>
      <c r="Y90" s="572"/>
      <c r="Z90" s="572"/>
    </row>
    <row r="91" spans="1:26" ht="12.75" customHeight="1" x14ac:dyDescent="0.3">
      <c r="A91" s="572"/>
      <c r="B91" s="572"/>
      <c r="C91" s="572"/>
      <c r="D91" s="572"/>
      <c r="E91" s="572"/>
      <c r="F91" s="572"/>
      <c r="G91" s="572"/>
      <c r="H91" s="572"/>
      <c r="I91" s="572"/>
      <c r="J91" s="572"/>
      <c r="K91" s="572"/>
      <c r="L91" s="572"/>
      <c r="M91" s="572"/>
      <c r="N91" s="572"/>
      <c r="O91" s="572"/>
      <c r="P91" s="572"/>
      <c r="Q91" s="572"/>
      <c r="R91" s="572"/>
      <c r="S91" s="572"/>
      <c r="T91" s="572"/>
      <c r="U91" s="572"/>
      <c r="V91" s="572"/>
      <c r="W91" s="572"/>
      <c r="X91" s="572"/>
      <c r="Y91" s="572"/>
      <c r="Z91" s="572"/>
    </row>
    <row r="92" spans="1:26" ht="12.75" customHeight="1" x14ac:dyDescent="0.3">
      <c r="A92" s="572"/>
      <c r="B92" s="572"/>
      <c r="C92" s="572"/>
      <c r="D92" s="572"/>
      <c r="E92" s="572"/>
      <c r="F92" s="572"/>
      <c r="G92" s="572"/>
      <c r="H92" s="572"/>
      <c r="I92" s="572"/>
      <c r="J92" s="572"/>
      <c r="K92" s="572"/>
      <c r="L92" s="572"/>
      <c r="M92" s="572"/>
      <c r="N92" s="572"/>
      <c r="O92" s="572"/>
      <c r="P92" s="572"/>
      <c r="Q92" s="572"/>
      <c r="R92" s="572"/>
      <c r="S92" s="572"/>
      <c r="T92" s="572"/>
      <c r="U92" s="572"/>
      <c r="V92" s="572"/>
      <c r="W92" s="572"/>
      <c r="X92" s="572"/>
      <c r="Y92" s="572"/>
      <c r="Z92" s="572"/>
    </row>
    <row r="93" spans="1:26" ht="12.75" customHeight="1" x14ac:dyDescent="0.3">
      <c r="A93" s="572"/>
      <c r="B93" s="572"/>
      <c r="C93" s="572"/>
      <c r="D93" s="572"/>
      <c r="E93" s="572"/>
      <c r="F93" s="572"/>
      <c r="G93" s="572"/>
      <c r="H93" s="572"/>
      <c r="I93" s="572"/>
      <c r="J93" s="572"/>
      <c r="K93" s="572"/>
      <c r="L93" s="572"/>
      <c r="M93" s="572"/>
      <c r="N93" s="572"/>
      <c r="O93" s="572"/>
      <c r="P93" s="572"/>
      <c r="Q93" s="572"/>
      <c r="R93" s="572"/>
      <c r="S93" s="572"/>
      <c r="T93" s="572"/>
      <c r="U93" s="572"/>
      <c r="V93" s="572"/>
      <c r="W93" s="572"/>
      <c r="X93" s="572"/>
      <c r="Y93" s="572"/>
      <c r="Z93" s="572"/>
    </row>
    <row r="94" spans="1:26" ht="12.75" customHeight="1" x14ac:dyDescent="0.3">
      <c r="A94" s="572"/>
      <c r="B94" s="572"/>
      <c r="C94" s="572"/>
      <c r="D94" s="572"/>
      <c r="E94" s="572"/>
      <c r="F94" s="572"/>
      <c r="G94" s="572"/>
      <c r="H94" s="572"/>
      <c r="I94" s="572"/>
      <c r="J94" s="572"/>
      <c r="K94" s="572"/>
      <c r="L94" s="572"/>
      <c r="M94" s="572"/>
      <c r="N94" s="572"/>
      <c r="O94" s="572"/>
      <c r="P94" s="572"/>
      <c r="Q94" s="572"/>
      <c r="R94" s="572"/>
      <c r="S94" s="572"/>
      <c r="T94" s="572"/>
      <c r="U94" s="572"/>
      <c r="V94" s="572"/>
      <c r="W94" s="572"/>
      <c r="X94" s="572"/>
      <c r="Y94" s="572"/>
      <c r="Z94" s="572"/>
    </row>
    <row r="95" spans="1:26" ht="12.75" customHeight="1" x14ac:dyDescent="0.3">
      <c r="A95" s="572"/>
      <c r="B95" s="572"/>
      <c r="C95" s="572"/>
      <c r="D95" s="572"/>
      <c r="E95" s="572"/>
      <c r="F95" s="572"/>
      <c r="G95" s="572"/>
      <c r="H95" s="572"/>
      <c r="I95" s="572"/>
      <c r="J95" s="572"/>
      <c r="K95" s="572"/>
      <c r="L95" s="572"/>
      <c r="M95" s="572"/>
      <c r="N95" s="572"/>
      <c r="O95" s="572"/>
      <c r="P95" s="572"/>
      <c r="Q95" s="572"/>
      <c r="R95" s="572"/>
      <c r="S95" s="572"/>
      <c r="T95" s="572"/>
      <c r="U95" s="572"/>
      <c r="V95" s="572"/>
      <c r="W95" s="572"/>
      <c r="X95" s="572"/>
      <c r="Y95" s="572"/>
      <c r="Z95" s="572"/>
    </row>
    <row r="96" spans="1:26" ht="12.75" customHeight="1" x14ac:dyDescent="0.3">
      <c r="A96" s="572"/>
      <c r="B96" s="572"/>
      <c r="C96" s="572"/>
      <c r="D96" s="572"/>
      <c r="E96" s="572"/>
      <c r="F96" s="572"/>
      <c r="G96" s="572"/>
      <c r="H96" s="572"/>
      <c r="I96" s="572"/>
      <c r="J96" s="572"/>
      <c r="K96" s="572"/>
      <c r="L96" s="572"/>
      <c r="M96" s="572"/>
      <c r="N96" s="572"/>
      <c r="O96" s="572"/>
      <c r="P96" s="572"/>
      <c r="Q96" s="572"/>
      <c r="R96" s="572"/>
      <c r="S96" s="572"/>
      <c r="T96" s="572"/>
      <c r="U96" s="572"/>
      <c r="V96" s="572"/>
      <c r="W96" s="572"/>
      <c r="X96" s="572"/>
      <c r="Y96" s="572"/>
      <c r="Z96" s="572"/>
    </row>
    <row r="97" spans="1:26" ht="12.75" customHeight="1" x14ac:dyDescent="0.3">
      <c r="A97" s="572"/>
      <c r="B97" s="572"/>
      <c r="C97" s="572"/>
      <c r="D97" s="572"/>
      <c r="E97" s="572"/>
      <c r="F97" s="572"/>
      <c r="G97" s="572"/>
      <c r="H97" s="572"/>
      <c r="I97" s="572"/>
      <c r="J97" s="572"/>
      <c r="K97" s="572"/>
      <c r="L97" s="572"/>
      <c r="M97" s="572"/>
      <c r="N97" s="572"/>
      <c r="O97" s="572"/>
      <c r="P97" s="572"/>
      <c r="Q97" s="572"/>
      <c r="R97" s="572"/>
      <c r="S97" s="572"/>
      <c r="T97" s="572"/>
      <c r="U97" s="572"/>
      <c r="V97" s="572"/>
      <c r="W97" s="572"/>
      <c r="X97" s="572"/>
      <c r="Y97" s="572"/>
      <c r="Z97" s="572"/>
    </row>
    <row r="98" spans="1:26" ht="12.75" customHeight="1" x14ac:dyDescent="0.3">
      <c r="A98" s="572"/>
      <c r="B98" s="572"/>
      <c r="C98" s="572"/>
      <c r="D98" s="572"/>
      <c r="E98" s="572"/>
      <c r="F98" s="572"/>
      <c r="G98" s="572"/>
      <c r="H98" s="572"/>
      <c r="I98" s="572"/>
      <c r="J98" s="572"/>
      <c r="K98" s="572"/>
      <c r="L98" s="572"/>
      <c r="M98" s="572"/>
      <c r="N98" s="572"/>
      <c r="O98" s="572"/>
      <c r="P98" s="572"/>
      <c r="Q98" s="572"/>
      <c r="R98" s="572"/>
      <c r="S98" s="572"/>
      <c r="T98" s="572"/>
      <c r="U98" s="572"/>
      <c r="V98" s="572"/>
      <c r="W98" s="572"/>
      <c r="X98" s="572"/>
      <c r="Y98" s="572"/>
      <c r="Z98" s="572"/>
    </row>
    <row r="99" spans="1:26" ht="12.75" customHeight="1" x14ac:dyDescent="0.3">
      <c r="A99" s="572"/>
      <c r="B99" s="572"/>
      <c r="C99" s="572"/>
      <c r="D99" s="572"/>
      <c r="E99" s="572"/>
      <c r="F99" s="572"/>
      <c r="G99" s="572"/>
      <c r="H99" s="572"/>
      <c r="I99" s="572"/>
      <c r="J99" s="572"/>
      <c r="K99" s="572"/>
      <c r="L99" s="572"/>
      <c r="M99" s="572"/>
      <c r="N99" s="572"/>
      <c r="O99" s="572"/>
      <c r="P99" s="572"/>
      <c r="Q99" s="572"/>
      <c r="R99" s="572"/>
      <c r="S99" s="572"/>
      <c r="T99" s="572"/>
      <c r="U99" s="572"/>
      <c r="V99" s="572"/>
      <c r="W99" s="572"/>
      <c r="X99" s="572"/>
      <c r="Y99" s="572"/>
      <c r="Z99" s="572"/>
    </row>
    <row r="100" spans="1:26" ht="12.75" customHeight="1" x14ac:dyDescent="0.3">
      <c r="A100" s="572"/>
      <c r="B100" s="572"/>
      <c r="C100" s="572"/>
      <c r="D100" s="572"/>
      <c r="E100" s="572"/>
      <c r="F100" s="572"/>
      <c r="G100" s="572"/>
      <c r="H100" s="572"/>
      <c r="I100" s="572"/>
      <c r="J100" s="572"/>
      <c r="K100" s="572"/>
      <c r="L100" s="572"/>
      <c r="M100" s="572"/>
      <c r="N100" s="572"/>
      <c r="O100" s="572"/>
      <c r="P100" s="572"/>
      <c r="Q100" s="572"/>
      <c r="R100" s="572"/>
      <c r="S100" s="572"/>
      <c r="T100" s="572"/>
      <c r="U100" s="572"/>
      <c r="V100" s="572"/>
      <c r="W100" s="572"/>
      <c r="X100" s="572"/>
      <c r="Y100" s="572"/>
      <c r="Z100" s="572"/>
    </row>
    <row r="101" spans="1:26" ht="12.75" customHeight="1" x14ac:dyDescent="0.3">
      <c r="A101" s="572"/>
      <c r="B101" s="572"/>
      <c r="C101" s="572"/>
      <c r="D101" s="572"/>
      <c r="E101" s="572"/>
      <c r="F101" s="572"/>
      <c r="G101" s="572"/>
      <c r="H101" s="572"/>
      <c r="I101" s="572"/>
      <c r="J101" s="572"/>
      <c r="K101" s="572"/>
      <c r="L101" s="572"/>
      <c r="M101" s="572"/>
      <c r="N101" s="572"/>
      <c r="O101" s="572"/>
      <c r="P101" s="572"/>
      <c r="Q101" s="572"/>
      <c r="R101" s="572"/>
      <c r="S101" s="572"/>
      <c r="T101" s="572"/>
      <c r="U101" s="572"/>
      <c r="V101" s="572"/>
      <c r="W101" s="572"/>
      <c r="X101" s="572"/>
      <c r="Y101" s="572"/>
      <c r="Z101" s="572"/>
    </row>
    <row r="102" spans="1:26" ht="12.75" customHeight="1" x14ac:dyDescent="0.3">
      <c r="A102" s="572"/>
      <c r="B102" s="572"/>
      <c r="C102" s="572"/>
      <c r="D102" s="572"/>
      <c r="E102" s="572"/>
      <c r="F102" s="572"/>
      <c r="G102" s="572"/>
      <c r="H102" s="572"/>
      <c r="I102" s="572"/>
      <c r="J102" s="572"/>
      <c r="K102" s="572"/>
      <c r="L102" s="572"/>
      <c r="M102" s="572"/>
      <c r="N102" s="572"/>
      <c r="O102" s="572"/>
      <c r="P102" s="572"/>
      <c r="Q102" s="572"/>
      <c r="R102" s="572"/>
      <c r="S102" s="572"/>
      <c r="T102" s="572"/>
      <c r="U102" s="572"/>
      <c r="V102" s="572"/>
      <c r="W102" s="572"/>
      <c r="X102" s="572"/>
      <c r="Y102" s="572"/>
      <c r="Z102" s="572"/>
    </row>
    <row r="103" spans="1:26" ht="12.75" customHeight="1" x14ac:dyDescent="0.3">
      <c r="A103" s="572"/>
      <c r="B103" s="572"/>
      <c r="C103" s="572"/>
      <c r="D103" s="572"/>
      <c r="E103" s="572"/>
      <c r="F103" s="572"/>
      <c r="G103" s="572"/>
      <c r="H103" s="572"/>
      <c r="I103" s="572"/>
      <c r="J103" s="572"/>
      <c r="K103" s="572"/>
      <c r="L103" s="572"/>
      <c r="M103" s="572"/>
      <c r="N103" s="572"/>
      <c r="O103" s="572"/>
      <c r="P103" s="572"/>
      <c r="Q103" s="572"/>
      <c r="R103" s="572"/>
      <c r="S103" s="572"/>
      <c r="T103" s="572"/>
      <c r="U103" s="572"/>
      <c r="V103" s="572"/>
      <c r="W103" s="572"/>
      <c r="X103" s="572"/>
      <c r="Y103" s="572"/>
      <c r="Z103" s="572"/>
    </row>
    <row r="104" spans="1:26" ht="12.75" customHeight="1" x14ac:dyDescent="0.3">
      <c r="A104" s="572"/>
      <c r="B104" s="572"/>
      <c r="C104" s="572"/>
      <c r="D104" s="572"/>
      <c r="E104" s="572"/>
      <c r="F104" s="572"/>
      <c r="G104" s="572"/>
      <c r="H104" s="572"/>
      <c r="I104" s="572"/>
      <c r="J104" s="572"/>
      <c r="K104" s="572"/>
      <c r="L104" s="572"/>
      <c r="M104" s="572"/>
      <c r="N104" s="572"/>
      <c r="O104" s="572"/>
      <c r="P104" s="572"/>
      <c r="Q104" s="572"/>
      <c r="R104" s="572"/>
      <c r="S104" s="572"/>
      <c r="T104" s="572"/>
      <c r="U104" s="572"/>
      <c r="V104" s="572"/>
      <c r="W104" s="572"/>
      <c r="X104" s="572"/>
      <c r="Y104" s="572"/>
      <c r="Z104" s="572"/>
    </row>
    <row r="105" spans="1:26" ht="12.75" customHeight="1" x14ac:dyDescent="0.3">
      <c r="A105" s="572"/>
      <c r="B105" s="572"/>
      <c r="C105" s="572"/>
      <c r="D105" s="572"/>
      <c r="E105" s="572"/>
      <c r="F105" s="572"/>
      <c r="G105" s="572"/>
      <c r="H105" s="572"/>
      <c r="I105" s="572"/>
      <c r="J105" s="572"/>
      <c r="K105" s="572"/>
      <c r="L105" s="572"/>
      <c r="M105" s="572"/>
      <c r="N105" s="572"/>
      <c r="O105" s="572"/>
      <c r="P105" s="572"/>
      <c r="Q105" s="572"/>
      <c r="R105" s="572"/>
      <c r="S105" s="572"/>
      <c r="T105" s="572"/>
      <c r="U105" s="572"/>
      <c r="V105" s="572"/>
      <c r="W105" s="572"/>
      <c r="X105" s="572"/>
      <c r="Y105" s="572"/>
      <c r="Z105" s="572"/>
    </row>
    <row r="106" spans="1:26" ht="12.75" customHeight="1" x14ac:dyDescent="0.3">
      <c r="A106" s="572"/>
      <c r="B106" s="572"/>
      <c r="C106" s="572"/>
      <c r="D106" s="572"/>
      <c r="E106" s="572"/>
      <c r="F106" s="572"/>
      <c r="G106" s="572"/>
      <c r="H106" s="572"/>
      <c r="I106" s="572"/>
      <c r="J106" s="572"/>
      <c r="K106" s="572"/>
      <c r="L106" s="572"/>
      <c r="M106" s="572"/>
      <c r="N106" s="572"/>
      <c r="O106" s="572"/>
      <c r="P106" s="572"/>
      <c r="Q106" s="572"/>
      <c r="R106" s="572"/>
      <c r="S106" s="572"/>
      <c r="T106" s="572"/>
      <c r="U106" s="572"/>
      <c r="V106" s="572"/>
      <c r="W106" s="572"/>
      <c r="X106" s="572"/>
      <c r="Y106" s="572"/>
      <c r="Z106" s="572"/>
    </row>
    <row r="107" spans="1:26" ht="12.75" customHeight="1" x14ac:dyDescent="0.3">
      <c r="A107" s="572"/>
      <c r="B107" s="572"/>
      <c r="C107" s="572"/>
      <c r="D107" s="572"/>
      <c r="E107" s="572"/>
      <c r="F107" s="572"/>
      <c r="G107" s="572"/>
      <c r="H107" s="572"/>
      <c r="I107" s="572"/>
      <c r="J107" s="572"/>
      <c r="K107" s="572"/>
      <c r="L107" s="572"/>
      <c r="M107" s="572"/>
      <c r="N107" s="572"/>
      <c r="O107" s="572"/>
      <c r="P107" s="572"/>
      <c r="Q107" s="572"/>
      <c r="R107" s="572"/>
      <c r="S107" s="572"/>
      <c r="T107" s="572"/>
      <c r="U107" s="572"/>
      <c r="V107" s="572"/>
      <c r="W107" s="572"/>
      <c r="X107" s="572"/>
      <c r="Y107" s="572"/>
      <c r="Z107" s="572"/>
    </row>
    <row r="108" spans="1:26" ht="12.75" customHeight="1" x14ac:dyDescent="0.3">
      <c r="A108" s="572"/>
      <c r="B108" s="572"/>
      <c r="C108" s="572"/>
      <c r="D108" s="572"/>
      <c r="E108" s="572"/>
      <c r="F108" s="572"/>
      <c r="G108" s="572"/>
      <c r="H108" s="572"/>
      <c r="I108" s="572"/>
      <c r="J108" s="572"/>
      <c r="K108" s="572"/>
      <c r="L108" s="572"/>
      <c r="M108" s="572"/>
      <c r="N108" s="572"/>
      <c r="O108" s="572"/>
      <c r="P108" s="572"/>
      <c r="Q108" s="572"/>
      <c r="R108" s="572"/>
      <c r="S108" s="572"/>
      <c r="T108" s="572"/>
      <c r="U108" s="572"/>
      <c r="V108" s="572"/>
      <c r="W108" s="572"/>
      <c r="X108" s="572"/>
      <c r="Y108" s="572"/>
      <c r="Z108" s="572"/>
    </row>
    <row r="109" spans="1:26" ht="12.75" customHeight="1" x14ac:dyDescent="0.3">
      <c r="A109" s="572"/>
      <c r="B109" s="572"/>
      <c r="C109" s="572"/>
      <c r="D109" s="572"/>
      <c r="E109" s="572"/>
      <c r="F109" s="572"/>
      <c r="G109" s="572"/>
      <c r="H109" s="572"/>
      <c r="I109" s="572"/>
      <c r="J109" s="572"/>
      <c r="K109" s="572"/>
      <c r="L109" s="572"/>
      <c r="M109" s="572"/>
      <c r="N109" s="572"/>
      <c r="O109" s="572"/>
      <c r="P109" s="572"/>
      <c r="Q109" s="572"/>
      <c r="R109" s="572"/>
      <c r="S109" s="572"/>
      <c r="T109" s="572"/>
      <c r="U109" s="572"/>
      <c r="V109" s="572"/>
      <c r="W109" s="572"/>
      <c r="X109" s="572"/>
      <c r="Y109" s="572"/>
      <c r="Z109" s="572"/>
    </row>
    <row r="110" spans="1:26" ht="12.75" customHeight="1" x14ac:dyDescent="0.3">
      <c r="A110" s="572"/>
      <c r="B110" s="572"/>
      <c r="C110" s="572"/>
      <c r="D110" s="572"/>
      <c r="E110" s="572"/>
      <c r="F110" s="572"/>
      <c r="G110" s="572"/>
      <c r="H110" s="572"/>
      <c r="I110" s="572"/>
      <c r="J110" s="572"/>
      <c r="K110" s="572"/>
      <c r="L110" s="572"/>
      <c r="M110" s="572"/>
      <c r="N110" s="572"/>
      <c r="O110" s="572"/>
      <c r="P110" s="572"/>
      <c r="Q110" s="572"/>
      <c r="R110" s="572"/>
      <c r="S110" s="572"/>
      <c r="T110" s="572"/>
      <c r="U110" s="572"/>
      <c r="V110" s="572"/>
      <c r="W110" s="572"/>
      <c r="X110" s="572"/>
      <c r="Y110" s="572"/>
      <c r="Z110" s="572"/>
    </row>
    <row r="111" spans="1:26" ht="12.75" customHeight="1" x14ac:dyDescent="0.3">
      <c r="A111" s="572"/>
      <c r="B111" s="572"/>
      <c r="C111" s="572"/>
      <c r="D111" s="572"/>
      <c r="E111" s="572"/>
      <c r="F111" s="572"/>
      <c r="G111" s="572"/>
      <c r="H111" s="572"/>
      <c r="I111" s="572"/>
      <c r="J111" s="572"/>
      <c r="K111" s="572"/>
      <c r="L111" s="572"/>
      <c r="M111" s="572"/>
      <c r="N111" s="572"/>
      <c r="O111" s="572"/>
      <c r="P111" s="572"/>
      <c r="Q111" s="572"/>
      <c r="R111" s="572"/>
      <c r="S111" s="572"/>
      <c r="T111" s="572"/>
      <c r="U111" s="572"/>
      <c r="V111" s="572"/>
      <c r="W111" s="572"/>
      <c r="X111" s="572"/>
      <c r="Y111" s="572"/>
      <c r="Z111" s="572"/>
    </row>
    <row r="112" spans="1:26" ht="12.75" customHeight="1" x14ac:dyDescent="0.3">
      <c r="A112" s="572"/>
      <c r="B112" s="572"/>
      <c r="C112" s="572"/>
      <c r="D112" s="572"/>
      <c r="E112" s="572"/>
      <c r="F112" s="572"/>
      <c r="G112" s="572"/>
      <c r="H112" s="572"/>
      <c r="I112" s="572"/>
      <c r="J112" s="572"/>
      <c r="K112" s="572"/>
      <c r="L112" s="572"/>
      <c r="M112" s="572"/>
      <c r="N112" s="572"/>
      <c r="O112" s="572"/>
      <c r="P112" s="572"/>
      <c r="Q112" s="572"/>
      <c r="R112" s="572"/>
      <c r="S112" s="572"/>
      <c r="T112" s="572"/>
      <c r="U112" s="572"/>
      <c r="V112" s="572"/>
      <c r="W112" s="572"/>
      <c r="X112" s="572"/>
      <c r="Y112" s="572"/>
      <c r="Z112" s="572"/>
    </row>
    <row r="113" spans="1:26" ht="12.75" customHeight="1" x14ac:dyDescent="0.3">
      <c r="A113" s="572"/>
      <c r="B113" s="572"/>
      <c r="C113" s="572"/>
      <c r="D113" s="572"/>
      <c r="E113" s="572"/>
      <c r="F113" s="572"/>
      <c r="G113" s="572"/>
      <c r="H113" s="572"/>
      <c r="I113" s="572"/>
      <c r="J113" s="572"/>
      <c r="K113" s="572"/>
      <c r="L113" s="572"/>
      <c r="M113" s="572"/>
      <c r="N113" s="572"/>
      <c r="O113" s="572"/>
      <c r="P113" s="572"/>
      <c r="Q113" s="572"/>
      <c r="R113" s="572"/>
      <c r="S113" s="572"/>
      <c r="T113" s="572"/>
      <c r="U113" s="572"/>
      <c r="V113" s="572"/>
      <c r="W113" s="572"/>
      <c r="X113" s="572"/>
      <c r="Y113" s="572"/>
      <c r="Z113" s="572"/>
    </row>
    <row r="114" spans="1:26" ht="12.75" customHeight="1" x14ac:dyDescent="0.3">
      <c r="A114" s="572"/>
      <c r="B114" s="572"/>
      <c r="C114" s="572"/>
      <c r="D114" s="572"/>
      <c r="E114" s="572"/>
      <c r="F114" s="572"/>
      <c r="G114" s="572"/>
      <c r="H114" s="572"/>
      <c r="I114" s="572"/>
      <c r="J114" s="572"/>
      <c r="K114" s="572"/>
      <c r="L114" s="572"/>
      <c r="M114" s="572"/>
      <c r="N114" s="572"/>
      <c r="O114" s="572"/>
      <c r="P114" s="572"/>
      <c r="Q114" s="572"/>
      <c r="R114" s="572"/>
      <c r="S114" s="572"/>
      <c r="T114" s="572"/>
      <c r="U114" s="572"/>
      <c r="V114" s="572"/>
      <c r="W114" s="572"/>
      <c r="X114" s="572"/>
      <c r="Y114" s="572"/>
      <c r="Z114" s="572"/>
    </row>
    <row r="115" spans="1:26" ht="12.75" customHeight="1" x14ac:dyDescent="0.3">
      <c r="A115" s="572"/>
      <c r="B115" s="572"/>
      <c r="C115" s="572"/>
      <c r="D115" s="572"/>
      <c r="E115" s="572"/>
      <c r="F115" s="572"/>
      <c r="G115" s="572"/>
      <c r="H115" s="572"/>
      <c r="I115" s="572"/>
      <c r="J115" s="572"/>
      <c r="K115" s="572"/>
      <c r="L115" s="572"/>
      <c r="M115" s="572"/>
      <c r="N115" s="572"/>
      <c r="O115" s="572"/>
      <c r="P115" s="572"/>
      <c r="Q115" s="572"/>
      <c r="R115" s="572"/>
      <c r="S115" s="572"/>
      <c r="T115" s="572"/>
      <c r="U115" s="572"/>
      <c r="V115" s="572"/>
      <c r="W115" s="572"/>
      <c r="X115" s="572"/>
      <c r="Y115" s="572"/>
      <c r="Z115" s="572"/>
    </row>
    <row r="116" spans="1:26" ht="12.75" customHeight="1" x14ac:dyDescent="0.3">
      <c r="A116" s="572"/>
      <c r="B116" s="572"/>
      <c r="C116" s="572"/>
      <c r="D116" s="572"/>
      <c r="E116" s="572"/>
      <c r="F116" s="572"/>
      <c r="G116" s="572"/>
      <c r="H116" s="572"/>
      <c r="I116" s="572"/>
      <c r="J116" s="572"/>
      <c r="K116" s="572"/>
      <c r="L116" s="572"/>
      <c r="M116" s="572"/>
      <c r="N116" s="572"/>
      <c r="O116" s="572"/>
      <c r="P116" s="572"/>
      <c r="Q116" s="572"/>
      <c r="R116" s="572"/>
      <c r="S116" s="572"/>
      <c r="T116" s="572"/>
      <c r="U116" s="572"/>
      <c r="V116" s="572"/>
      <c r="W116" s="572"/>
      <c r="X116" s="572"/>
      <c r="Y116" s="572"/>
      <c r="Z116" s="572"/>
    </row>
    <row r="117" spans="1:26" ht="12.75" customHeight="1" x14ac:dyDescent="0.3">
      <c r="A117" s="572"/>
      <c r="B117" s="572"/>
      <c r="C117" s="572"/>
      <c r="D117" s="572"/>
      <c r="E117" s="572"/>
      <c r="F117" s="572"/>
      <c r="G117" s="572"/>
      <c r="H117" s="572"/>
      <c r="I117" s="572"/>
      <c r="J117" s="572"/>
      <c r="K117" s="572"/>
      <c r="L117" s="572"/>
      <c r="M117" s="572"/>
      <c r="N117" s="572"/>
      <c r="O117" s="572"/>
      <c r="P117" s="572"/>
      <c r="Q117" s="572"/>
      <c r="R117" s="572"/>
      <c r="S117" s="572"/>
      <c r="T117" s="572"/>
      <c r="U117" s="572"/>
      <c r="V117" s="572"/>
      <c r="W117" s="572"/>
      <c r="X117" s="572"/>
      <c r="Y117" s="572"/>
      <c r="Z117" s="572"/>
    </row>
    <row r="118" spans="1:26" ht="12.75" customHeight="1" x14ac:dyDescent="0.3">
      <c r="A118" s="572"/>
      <c r="B118" s="572"/>
      <c r="C118" s="572"/>
      <c r="D118" s="572"/>
      <c r="E118" s="572"/>
      <c r="F118" s="572"/>
      <c r="G118" s="572"/>
      <c r="H118" s="572"/>
      <c r="I118" s="572"/>
      <c r="J118" s="572"/>
      <c r="K118" s="572"/>
      <c r="L118" s="572"/>
      <c r="M118" s="572"/>
      <c r="N118" s="572"/>
      <c r="O118" s="572"/>
      <c r="P118" s="572"/>
      <c r="Q118" s="572"/>
      <c r="R118" s="572"/>
      <c r="S118" s="572"/>
      <c r="T118" s="572"/>
      <c r="U118" s="572"/>
      <c r="V118" s="572"/>
      <c r="W118" s="572"/>
      <c r="X118" s="572"/>
      <c r="Y118" s="572"/>
      <c r="Z118" s="572"/>
    </row>
    <row r="119" spans="1:26" ht="12.75" customHeight="1" x14ac:dyDescent="0.3">
      <c r="A119" s="572"/>
      <c r="B119" s="572"/>
      <c r="C119" s="572"/>
      <c r="D119" s="572"/>
      <c r="E119" s="572"/>
      <c r="F119" s="572"/>
      <c r="G119" s="572"/>
      <c r="H119" s="572"/>
      <c r="I119" s="572"/>
      <c r="J119" s="572"/>
      <c r="K119" s="572"/>
      <c r="L119" s="572"/>
      <c r="M119" s="572"/>
      <c r="N119" s="572"/>
      <c r="O119" s="572"/>
      <c r="P119" s="572"/>
      <c r="Q119" s="572"/>
      <c r="R119" s="572"/>
      <c r="S119" s="572"/>
      <c r="T119" s="572"/>
      <c r="U119" s="572"/>
      <c r="V119" s="572"/>
      <c r="W119" s="572"/>
      <c r="X119" s="572"/>
      <c r="Y119" s="572"/>
      <c r="Z119" s="572"/>
    </row>
    <row r="120" spans="1:26" ht="12.75" customHeight="1" x14ac:dyDescent="0.3">
      <c r="A120" s="572"/>
      <c r="B120" s="572"/>
      <c r="C120" s="572"/>
      <c r="D120" s="572"/>
      <c r="E120" s="572"/>
      <c r="F120" s="572"/>
      <c r="G120" s="572"/>
      <c r="H120" s="572"/>
      <c r="I120" s="572"/>
      <c r="J120" s="572"/>
      <c r="K120" s="572"/>
      <c r="L120" s="572"/>
      <c r="M120" s="572"/>
      <c r="N120" s="572"/>
      <c r="O120" s="572"/>
      <c r="P120" s="572"/>
      <c r="Q120" s="572"/>
      <c r="R120" s="572"/>
      <c r="S120" s="572"/>
      <c r="T120" s="572"/>
      <c r="U120" s="572"/>
      <c r="V120" s="572"/>
      <c r="W120" s="572"/>
      <c r="X120" s="572"/>
      <c r="Y120" s="572"/>
      <c r="Z120" s="572"/>
    </row>
    <row r="121" spans="1:26" ht="12.75" customHeight="1" x14ac:dyDescent="0.3">
      <c r="A121" s="572"/>
      <c r="B121" s="572"/>
      <c r="C121" s="572"/>
      <c r="D121" s="572"/>
      <c r="E121" s="572"/>
      <c r="F121" s="572"/>
      <c r="G121" s="572"/>
      <c r="H121" s="572"/>
      <c r="I121" s="572"/>
      <c r="J121" s="572"/>
      <c r="K121" s="572"/>
      <c r="L121" s="572"/>
      <c r="M121" s="572"/>
      <c r="N121" s="572"/>
      <c r="O121" s="572"/>
      <c r="P121" s="572"/>
      <c r="Q121" s="572"/>
      <c r="R121" s="572"/>
      <c r="S121" s="572"/>
      <c r="T121" s="572"/>
      <c r="U121" s="572"/>
      <c r="V121" s="572"/>
      <c r="W121" s="572"/>
      <c r="X121" s="572"/>
      <c r="Y121" s="572"/>
      <c r="Z121" s="572"/>
    </row>
    <row r="122" spans="1:26" ht="12.75" customHeight="1" x14ac:dyDescent="0.3">
      <c r="A122" s="572"/>
      <c r="B122" s="572"/>
      <c r="C122" s="572"/>
      <c r="D122" s="572"/>
      <c r="E122" s="572"/>
      <c r="F122" s="572"/>
      <c r="G122" s="572"/>
      <c r="H122" s="572"/>
      <c r="I122" s="572"/>
      <c r="J122" s="572"/>
      <c r="K122" s="572"/>
      <c r="L122" s="572"/>
      <c r="M122" s="572"/>
      <c r="N122" s="572"/>
      <c r="O122" s="572"/>
      <c r="P122" s="572"/>
      <c r="Q122" s="572"/>
      <c r="R122" s="572"/>
      <c r="S122" s="572"/>
      <c r="T122" s="572"/>
      <c r="U122" s="572"/>
      <c r="V122" s="572"/>
      <c r="W122" s="572"/>
      <c r="X122" s="572"/>
      <c r="Y122" s="572"/>
      <c r="Z122" s="572"/>
    </row>
    <row r="123" spans="1:26" ht="12.75" customHeight="1" x14ac:dyDescent="0.3">
      <c r="A123" s="572"/>
      <c r="B123" s="572"/>
      <c r="C123" s="572"/>
      <c r="D123" s="572"/>
      <c r="E123" s="572"/>
      <c r="F123" s="572"/>
      <c r="G123" s="572"/>
      <c r="H123" s="572"/>
      <c r="I123" s="572"/>
      <c r="J123" s="572"/>
      <c r="K123" s="572"/>
      <c r="L123" s="572"/>
      <c r="M123" s="572"/>
      <c r="N123" s="572"/>
      <c r="O123" s="572"/>
      <c r="P123" s="572"/>
      <c r="Q123" s="572"/>
      <c r="R123" s="572"/>
      <c r="S123" s="572"/>
      <c r="T123" s="572"/>
      <c r="U123" s="572"/>
      <c r="V123" s="572"/>
      <c r="W123" s="572"/>
      <c r="X123" s="572"/>
      <c r="Y123" s="572"/>
      <c r="Z123" s="572"/>
    </row>
    <row r="124" spans="1:26" ht="12.75" customHeight="1" x14ac:dyDescent="0.3">
      <c r="A124" s="572"/>
      <c r="B124" s="572"/>
      <c r="C124" s="572"/>
      <c r="D124" s="572"/>
      <c r="E124" s="572"/>
      <c r="F124" s="572"/>
      <c r="G124" s="572"/>
      <c r="H124" s="572"/>
      <c r="I124" s="572"/>
      <c r="J124" s="572"/>
      <c r="K124" s="572"/>
      <c r="L124" s="572"/>
      <c r="M124" s="572"/>
      <c r="N124" s="572"/>
      <c r="O124" s="572"/>
      <c r="P124" s="572"/>
      <c r="Q124" s="572"/>
      <c r="R124" s="572"/>
      <c r="S124" s="572"/>
      <c r="T124" s="572"/>
      <c r="U124" s="572"/>
      <c r="V124" s="572"/>
      <c r="W124" s="572"/>
      <c r="X124" s="572"/>
      <c r="Y124" s="572"/>
      <c r="Z124" s="572"/>
    </row>
    <row r="125" spans="1:26" ht="12.75" customHeight="1" x14ac:dyDescent="0.3">
      <c r="A125" s="572"/>
      <c r="B125" s="572"/>
      <c r="C125" s="572"/>
      <c r="D125" s="572"/>
      <c r="E125" s="572"/>
      <c r="F125" s="572"/>
      <c r="G125" s="572"/>
      <c r="H125" s="572"/>
      <c r="I125" s="572"/>
      <c r="J125" s="572"/>
      <c r="K125" s="572"/>
      <c r="L125" s="572"/>
      <c r="M125" s="572"/>
      <c r="N125" s="572"/>
      <c r="O125" s="572"/>
      <c r="P125" s="572"/>
      <c r="Q125" s="572"/>
      <c r="R125" s="572"/>
      <c r="S125" s="572"/>
      <c r="T125" s="572"/>
      <c r="U125" s="572"/>
      <c r="V125" s="572"/>
      <c r="W125" s="572"/>
      <c r="X125" s="572"/>
      <c r="Y125" s="572"/>
      <c r="Z125" s="572"/>
    </row>
    <row r="126" spans="1:26" ht="12.75" customHeight="1" x14ac:dyDescent="0.3">
      <c r="A126" s="572"/>
      <c r="B126" s="572"/>
      <c r="C126" s="572"/>
      <c r="D126" s="572"/>
      <c r="E126" s="572"/>
      <c r="F126" s="572"/>
      <c r="G126" s="572"/>
      <c r="H126" s="572"/>
      <c r="I126" s="572"/>
      <c r="J126" s="572"/>
      <c r="K126" s="572"/>
      <c r="L126" s="572"/>
      <c r="M126" s="572"/>
      <c r="N126" s="572"/>
      <c r="O126" s="572"/>
      <c r="P126" s="572"/>
      <c r="Q126" s="572"/>
      <c r="R126" s="572"/>
      <c r="S126" s="572"/>
      <c r="T126" s="572"/>
      <c r="U126" s="572"/>
      <c r="V126" s="572"/>
      <c r="W126" s="572"/>
      <c r="X126" s="572"/>
      <c r="Y126" s="572"/>
      <c r="Z126" s="572"/>
    </row>
    <row r="127" spans="1:26" ht="12.75" customHeight="1" x14ac:dyDescent="0.3">
      <c r="A127" s="572"/>
      <c r="B127" s="572"/>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2"/>
    </row>
    <row r="128" spans="1:26" ht="12.75" customHeight="1" x14ac:dyDescent="0.3">
      <c r="A128" s="572"/>
      <c r="B128" s="572"/>
      <c r="C128" s="572"/>
      <c r="D128" s="572"/>
      <c r="E128" s="572"/>
      <c r="F128" s="572"/>
      <c r="G128" s="572"/>
      <c r="H128" s="572"/>
      <c r="I128" s="572"/>
      <c r="J128" s="572"/>
      <c r="K128" s="572"/>
      <c r="L128" s="572"/>
      <c r="M128" s="572"/>
      <c r="N128" s="572"/>
      <c r="O128" s="572"/>
      <c r="P128" s="572"/>
      <c r="Q128" s="572"/>
      <c r="R128" s="572"/>
      <c r="S128" s="572"/>
      <c r="T128" s="572"/>
      <c r="U128" s="572"/>
      <c r="V128" s="572"/>
      <c r="W128" s="572"/>
      <c r="X128" s="572"/>
      <c r="Y128" s="572"/>
      <c r="Z128" s="572"/>
    </row>
    <row r="129" spans="1:26" ht="12.75" customHeight="1" x14ac:dyDescent="0.3">
      <c r="A129" s="572"/>
      <c r="B129" s="572"/>
      <c r="C129" s="572"/>
      <c r="D129" s="572"/>
      <c r="E129" s="572"/>
      <c r="F129" s="572"/>
      <c r="G129" s="572"/>
      <c r="H129" s="572"/>
      <c r="I129" s="572"/>
      <c r="J129" s="572"/>
      <c r="K129" s="572"/>
      <c r="L129" s="572"/>
      <c r="M129" s="572"/>
      <c r="N129" s="572"/>
      <c r="O129" s="572"/>
      <c r="P129" s="572"/>
      <c r="Q129" s="572"/>
      <c r="R129" s="572"/>
      <c r="S129" s="572"/>
      <c r="T129" s="572"/>
      <c r="U129" s="572"/>
      <c r="V129" s="572"/>
      <c r="W129" s="572"/>
      <c r="X129" s="572"/>
      <c r="Y129" s="572"/>
      <c r="Z129" s="572"/>
    </row>
    <row r="130" spans="1:26" ht="12.75" customHeight="1" x14ac:dyDescent="0.3">
      <c r="A130" s="572"/>
      <c r="B130" s="572"/>
      <c r="C130" s="572"/>
      <c r="D130" s="572"/>
      <c r="E130" s="572"/>
      <c r="F130" s="572"/>
      <c r="G130" s="572"/>
      <c r="H130" s="572"/>
      <c r="I130" s="572"/>
      <c r="J130" s="572"/>
      <c r="K130" s="572"/>
      <c r="L130" s="572"/>
      <c r="M130" s="572"/>
      <c r="N130" s="572"/>
      <c r="O130" s="572"/>
      <c r="P130" s="572"/>
      <c r="Q130" s="572"/>
      <c r="R130" s="572"/>
      <c r="S130" s="572"/>
      <c r="T130" s="572"/>
      <c r="U130" s="572"/>
      <c r="V130" s="572"/>
      <c r="W130" s="572"/>
      <c r="X130" s="572"/>
      <c r="Y130" s="572"/>
      <c r="Z130" s="572"/>
    </row>
    <row r="131" spans="1:26" ht="12.75" customHeight="1" x14ac:dyDescent="0.3">
      <c r="A131" s="572"/>
      <c r="B131" s="572"/>
      <c r="C131" s="572"/>
      <c r="D131" s="572"/>
      <c r="E131" s="572"/>
      <c r="F131" s="572"/>
      <c r="G131" s="572"/>
      <c r="H131" s="572"/>
      <c r="I131" s="572"/>
      <c r="J131" s="572"/>
      <c r="K131" s="572"/>
      <c r="L131" s="572"/>
      <c r="M131" s="572"/>
      <c r="N131" s="572"/>
      <c r="O131" s="572"/>
      <c r="P131" s="572"/>
      <c r="Q131" s="572"/>
      <c r="R131" s="572"/>
      <c r="S131" s="572"/>
      <c r="T131" s="572"/>
      <c r="U131" s="572"/>
      <c r="V131" s="572"/>
      <c r="W131" s="572"/>
      <c r="X131" s="572"/>
      <c r="Y131" s="572"/>
      <c r="Z131" s="572"/>
    </row>
    <row r="132" spans="1:26" ht="12.75" customHeight="1" x14ac:dyDescent="0.3">
      <c r="A132" s="572"/>
      <c r="B132" s="572"/>
      <c r="C132" s="572"/>
      <c r="D132" s="572"/>
      <c r="E132" s="572"/>
      <c r="F132" s="572"/>
      <c r="G132" s="572"/>
      <c r="H132" s="572"/>
      <c r="I132" s="572"/>
      <c r="J132" s="572"/>
      <c r="K132" s="572"/>
      <c r="L132" s="572"/>
      <c r="M132" s="572"/>
      <c r="N132" s="572"/>
      <c r="O132" s="572"/>
      <c r="P132" s="572"/>
      <c r="Q132" s="572"/>
      <c r="R132" s="572"/>
      <c r="S132" s="572"/>
      <c r="T132" s="572"/>
      <c r="U132" s="572"/>
      <c r="V132" s="572"/>
      <c r="W132" s="572"/>
      <c r="X132" s="572"/>
      <c r="Y132" s="572"/>
      <c r="Z132" s="572"/>
    </row>
    <row r="133" spans="1:26" ht="12.75" customHeight="1" x14ac:dyDescent="0.3">
      <c r="A133" s="572"/>
      <c r="B133" s="572"/>
      <c r="C133" s="572"/>
      <c r="D133" s="572"/>
      <c r="E133" s="572"/>
      <c r="F133" s="572"/>
      <c r="G133" s="572"/>
      <c r="H133" s="572"/>
      <c r="I133" s="572"/>
      <c r="J133" s="572"/>
      <c r="K133" s="572"/>
      <c r="L133" s="572"/>
      <c r="M133" s="572"/>
      <c r="N133" s="572"/>
      <c r="O133" s="572"/>
      <c r="P133" s="572"/>
      <c r="Q133" s="572"/>
      <c r="R133" s="572"/>
      <c r="S133" s="572"/>
      <c r="T133" s="572"/>
      <c r="U133" s="572"/>
      <c r="V133" s="572"/>
      <c r="W133" s="572"/>
      <c r="X133" s="572"/>
      <c r="Y133" s="572"/>
      <c r="Z133" s="572"/>
    </row>
    <row r="134" spans="1:26" ht="12.75" customHeight="1" x14ac:dyDescent="0.3">
      <c r="A134" s="572"/>
      <c r="B134" s="572"/>
      <c r="C134" s="572"/>
      <c r="D134" s="572"/>
      <c r="E134" s="572"/>
      <c r="F134" s="572"/>
      <c r="G134" s="572"/>
      <c r="H134" s="572"/>
      <c r="I134" s="572"/>
      <c r="J134" s="572"/>
      <c r="K134" s="572"/>
      <c r="L134" s="572"/>
      <c r="M134" s="572"/>
      <c r="N134" s="572"/>
      <c r="O134" s="572"/>
      <c r="P134" s="572"/>
      <c r="Q134" s="572"/>
      <c r="R134" s="572"/>
      <c r="S134" s="572"/>
      <c r="T134" s="572"/>
      <c r="U134" s="572"/>
      <c r="V134" s="572"/>
      <c r="W134" s="572"/>
      <c r="X134" s="572"/>
      <c r="Y134" s="572"/>
      <c r="Z134" s="572"/>
    </row>
    <row r="135" spans="1:26" ht="12.75" customHeight="1" x14ac:dyDescent="0.3">
      <c r="A135" s="572"/>
      <c r="B135" s="572"/>
      <c r="C135" s="572"/>
      <c r="D135" s="572"/>
      <c r="E135" s="572"/>
      <c r="F135" s="572"/>
      <c r="G135" s="572"/>
      <c r="H135" s="572"/>
      <c r="I135" s="572"/>
      <c r="J135" s="572"/>
      <c r="K135" s="572"/>
      <c r="L135" s="572"/>
      <c r="M135" s="572"/>
      <c r="N135" s="572"/>
      <c r="O135" s="572"/>
      <c r="P135" s="572"/>
      <c r="Q135" s="572"/>
      <c r="R135" s="572"/>
      <c r="S135" s="572"/>
      <c r="T135" s="572"/>
      <c r="U135" s="572"/>
      <c r="V135" s="572"/>
      <c r="W135" s="572"/>
      <c r="X135" s="572"/>
      <c r="Y135" s="572"/>
      <c r="Z135" s="572"/>
    </row>
    <row r="136" spans="1:26" ht="12.75" customHeight="1" x14ac:dyDescent="0.3">
      <c r="A136" s="572"/>
      <c r="B136" s="572"/>
      <c r="C136" s="572"/>
      <c r="D136" s="572"/>
      <c r="E136" s="572"/>
      <c r="F136" s="572"/>
      <c r="G136" s="572"/>
      <c r="H136" s="572"/>
      <c r="I136" s="572"/>
      <c r="J136" s="572"/>
      <c r="K136" s="572"/>
      <c r="L136" s="572"/>
      <c r="M136" s="572"/>
      <c r="N136" s="572"/>
      <c r="O136" s="572"/>
      <c r="P136" s="572"/>
      <c r="Q136" s="572"/>
      <c r="R136" s="572"/>
      <c r="S136" s="572"/>
      <c r="T136" s="572"/>
      <c r="U136" s="572"/>
      <c r="V136" s="572"/>
      <c r="W136" s="572"/>
      <c r="X136" s="572"/>
      <c r="Y136" s="572"/>
      <c r="Z136" s="572"/>
    </row>
    <row r="137" spans="1:26" ht="12.75" customHeight="1" x14ac:dyDescent="0.3">
      <c r="A137" s="572"/>
      <c r="B137" s="572"/>
      <c r="C137" s="572"/>
      <c r="D137" s="572"/>
      <c r="E137" s="572"/>
      <c r="F137" s="572"/>
      <c r="G137" s="572"/>
      <c r="H137" s="572"/>
      <c r="I137" s="572"/>
      <c r="J137" s="572"/>
      <c r="K137" s="572"/>
      <c r="L137" s="572"/>
      <c r="M137" s="572"/>
      <c r="N137" s="572"/>
      <c r="O137" s="572"/>
      <c r="P137" s="572"/>
      <c r="Q137" s="572"/>
      <c r="R137" s="572"/>
      <c r="S137" s="572"/>
      <c r="T137" s="572"/>
      <c r="U137" s="572"/>
      <c r="V137" s="572"/>
      <c r="W137" s="572"/>
      <c r="X137" s="572"/>
      <c r="Y137" s="572"/>
      <c r="Z137" s="572"/>
    </row>
    <row r="138" spans="1:26" ht="12.75" customHeight="1" x14ac:dyDescent="0.3">
      <c r="A138" s="572"/>
      <c r="B138" s="572"/>
      <c r="C138" s="572"/>
      <c r="D138" s="572"/>
      <c r="E138" s="572"/>
      <c r="F138" s="572"/>
      <c r="G138" s="572"/>
      <c r="H138" s="572"/>
      <c r="I138" s="572"/>
      <c r="J138" s="572"/>
      <c r="K138" s="572"/>
      <c r="L138" s="572"/>
      <c r="M138" s="572"/>
      <c r="N138" s="572"/>
      <c r="O138" s="572"/>
      <c r="P138" s="572"/>
      <c r="Q138" s="572"/>
      <c r="R138" s="572"/>
      <c r="S138" s="572"/>
      <c r="T138" s="572"/>
      <c r="U138" s="572"/>
      <c r="V138" s="572"/>
      <c r="W138" s="572"/>
      <c r="X138" s="572"/>
      <c r="Y138" s="572"/>
      <c r="Z138" s="572"/>
    </row>
    <row r="139" spans="1:26" ht="12.75" customHeight="1" x14ac:dyDescent="0.3">
      <c r="A139" s="572"/>
      <c r="B139" s="572"/>
      <c r="C139" s="572"/>
      <c r="D139" s="572"/>
      <c r="E139" s="572"/>
      <c r="F139" s="572"/>
      <c r="G139" s="572"/>
      <c r="H139" s="572"/>
      <c r="I139" s="572"/>
      <c r="J139" s="572"/>
      <c r="K139" s="572"/>
      <c r="L139" s="572"/>
      <c r="M139" s="572"/>
      <c r="N139" s="572"/>
      <c r="O139" s="572"/>
      <c r="P139" s="572"/>
      <c r="Q139" s="572"/>
      <c r="R139" s="572"/>
      <c r="S139" s="572"/>
      <c r="T139" s="572"/>
      <c r="U139" s="572"/>
      <c r="V139" s="572"/>
      <c r="W139" s="572"/>
      <c r="X139" s="572"/>
      <c r="Y139" s="572"/>
      <c r="Z139" s="572"/>
    </row>
    <row r="140" spans="1:26" ht="12.75" customHeight="1" x14ac:dyDescent="0.3">
      <c r="A140" s="572"/>
      <c r="B140" s="572"/>
      <c r="C140" s="572"/>
      <c r="D140" s="572"/>
      <c r="E140" s="572"/>
      <c r="F140" s="572"/>
      <c r="G140" s="572"/>
      <c r="H140" s="572"/>
      <c r="I140" s="572"/>
      <c r="J140" s="572"/>
      <c r="K140" s="572"/>
      <c r="L140" s="572"/>
      <c r="M140" s="572"/>
      <c r="N140" s="572"/>
      <c r="O140" s="572"/>
      <c r="P140" s="572"/>
      <c r="Q140" s="572"/>
      <c r="R140" s="572"/>
      <c r="S140" s="572"/>
      <c r="T140" s="572"/>
      <c r="U140" s="572"/>
      <c r="V140" s="572"/>
      <c r="W140" s="572"/>
      <c r="X140" s="572"/>
      <c r="Y140" s="572"/>
      <c r="Z140" s="572"/>
    </row>
    <row r="141" spans="1:26" ht="12.75" customHeight="1" x14ac:dyDescent="0.3">
      <c r="A141" s="572"/>
      <c r="B141" s="572"/>
      <c r="C141" s="572"/>
      <c r="D141" s="572"/>
      <c r="E141" s="572"/>
      <c r="F141" s="572"/>
      <c r="G141" s="572"/>
      <c r="H141" s="572"/>
      <c r="I141" s="572"/>
      <c r="J141" s="572"/>
      <c r="K141" s="572"/>
      <c r="L141" s="572"/>
      <c r="M141" s="572"/>
      <c r="N141" s="572"/>
      <c r="O141" s="572"/>
      <c r="P141" s="572"/>
      <c r="Q141" s="572"/>
      <c r="R141" s="572"/>
      <c r="S141" s="572"/>
      <c r="T141" s="572"/>
      <c r="U141" s="572"/>
      <c r="V141" s="572"/>
      <c r="W141" s="572"/>
      <c r="X141" s="572"/>
      <c r="Y141" s="572"/>
      <c r="Z141" s="572"/>
    </row>
    <row r="142" spans="1:26" ht="12.75" customHeight="1" x14ac:dyDescent="0.3">
      <c r="A142" s="572"/>
      <c r="B142" s="572"/>
      <c r="C142" s="572"/>
      <c r="D142" s="572"/>
      <c r="E142" s="572"/>
      <c r="F142" s="572"/>
      <c r="G142" s="572"/>
      <c r="H142" s="572"/>
      <c r="I142" s="572"/>
      <c r="J142" s="572"/>
      <c r="K142" s="572"/>
      <c r="L142" s="572"/>
      <c r="M142" s="572"/>
      <c r="N142" s="572"/>
      <c r="O142" s="572"/>
      <c r="P142" s="572"/>
      <c r="Q142" s="572"/>
      <c r="R142" s="572"/>
      <c r="S142" s="572"/>
      <c r="T142" s="572"/>
      <c r="U142" s="572"/>
      <c r="V142" s="572"/>
      <c r="W142" s="572"/>
      <c r="X142" s="572"/>
      <c r="Y142" s="572"/>
      <c r="Z142" s="572"/>
    </row>
    <row r="143" spans="1:26" ht="12.75" customHeight="1" x14ac:dyDescent="0.3">
      <c r="A143" s="572"/>
      <c r="B143" s="572"/>
      <c r="C143" s="572"/>
      <c r="D143" s="572"/>
      <c r="E143" s="572"/>
      <c r="F143" s="572"/>
      <c r="G143" s="572"/>
      <c r="H143" s="572"/>
      <c r="I143" s="572"/>
      <c r="J143" s="572"/>
      <c r="K143" s="572"/>
      <c r="L143" s="572"/>
      <c r="M143" s="572"/>
      <c r="N143" s="572"/>
      <c r="O143" s="572"/>
      <c r="P143" s="572"/>
      <c r="Q143" s="572"/>
      <c r="R143" s="572"/>
      <c r="S143" s="572"/>
      <c r="T143" s="572"/>
      <c r="U143" s="572"/>
      <c r="V143" s="572"/>
      <c r="W143" s="572"/>
      <c r="X143" s="572"/>
      <c r="Y143" s="572"/>
      <c r="Z143" s="572"/>
    </row>
    <row r="144" spans="1:26" ht="12.75" customHeight="1" x14ac:dyDescent="0.3">
      <c r="A144" s="572"/>
      <c r="B144" s="572"/>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572"/>
      <c r="Y144" s="572"/>
      <c r="Z144" s="572"/>
    </row>
    <row r="145" spans="1:26" ht="12.75" customHeight="1" x14ac:dyDescent="0.3">
      <c r="A145" s="572"/>
      <c r="B145" s="572"/>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572"/>
      <c r="Y145" s="572"/>
      <c r="Z145" s="572"/>
    </row>
    <row r="146" spans="1:26" ht="12.75" customHeight="1" x14ac:dyDescent="0.3">
      <c r="A146" s="572"/>
      <c r="B146" s="572"/>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572"/>
      <c r="Y146" s="572"/>
      <c r="Z146" s="572"/>
    </row>
    <row r="147" spans="1:26" ht="12.75" customHeight="1" x14ac:dyDescent="0.3">
      <c r="A147" s="572"/>
      <c r="B147" s="572"/>
      <c r="C147" s="572"/>
      <c r="D147" s="572"/>
      <c r="E147" s="572"/>
      <c r="F147" s="572"/>
      <c r="G147" s="572"/>
      <c r="H147" s="572"/>
      <c r="I147" s="572"/>
      <c r="J147" s="572"/>
      <c r="K147" s="572"/>
      <c r="L147" s="572"/>
      <c r="M147" s="572"/>
      <c r="N147" s="572"/>
      <c r="O147" s="572"/>
      <c r="P147" s="572"/>
      <c r="Q147" s="572"/>
      <c r="R147" s="572"/>
      <c r="S147" s="572"/>
      <c r="T147" s="572"/>
      <c r="U147" s="572"/>
      <c r="V147" s="572"/>
      <c r="W147" s="572"/>
      <c r="X147" s="572"/>
      <c r="Y147" s="572"/>
      <c r="Z147" s="572"/>
    </row>
    <row r="148" spans="1:26" ht="12.75" customHeight="1" x14ac:dyDescent="0.3">
      <c r="A148" s="572"/>
      <c r="B148" s="572"/>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572"/>
      <c r="Y148" s="572"/>
      <c r="Z148" s="572"/>
    </row>
    <row r="149" spans="1:26" ht="12.75" customHeight="1" x14ac:dyDescent="0.3">
      <c r="A149" s="572"/>
      <c r="B149" s="572"/>
      <c r="C149" s="572"/>
      <c r="D149" s="572"/>
      <c r="E149" s="572"/>
      <c r="F149" s="572"/>
      <c r="G149" s="572"/>
      <c r="H149" s="572"/>
      <c r="I149" s="572"/>
      <c r="J149" s="572"/>
      <c r="K149" s="572"/>
      <c r="L149" s="572"/>
      <c r="M149" s="572"/>
      <c r="N149" s="572"/>
      <c r="O149" s="572"/>
      <c r="P149" s="572"/>
      <c r="Q149" s="572"/>
      <c r="R149" s="572"/>
      <c r="S149" s="572"/>
      <c r="T149" s="572"/>
      <c r="U149" s="572"/>
      <c r="V149" s="572"/>
      <c r="W149" s="572"/>
      <c r="X149" s="572"/>
      <c r="Y149" s="572"/>
      <c r="Z149" s="572"/>
    </row>
    <row r="150" spans="1:26" ht="12.75" customHeight="1" x14ac:dyDescent="0.3">
      <c r="A150" s="572"/>
      <c r="B150" s="572"/>
      <c r="C150" s="572"/>
      <c r="D150" s="572"/>
      <c r="E150" s="572"/>
      <c r="F150" s="572"/>
      <c r="G150" s="572"/>
      <c r="H150" s="572"/>
      <c r="I150" s="572"/>
      <c r="J150" s="572"/>
      <c r="K150" s="572"/>
      <c r="L150" s="572"/>
      <c r="M150" s="572"/>
      <c r="N150" s="572"/>
      <c r="O150" s="572"/>
      <c r="P150" s="572"/>
      <c r="Q150" s="572"/>
      <c r="R150" s="572"/>
      <c r="S150" s="572"/>
      <c r="T150" s="572"/>
      <c r="U150" s="572"/>
      <c r="V150" s="572"/>
      <c r="W150" s="572"/>
      <c r="X150" s="572"/>
      <c r="Y150" s="572"/>
      <c r="Z150" s="572"/>
    </row>
    <row r="151" spans="1:26" ht="12.75" customHeight="1" x14ac:dyDescent="0.3">
      <c r="A151" s="572"/>
      <c r="B151" s="572"/>
      <c r="C151" s="572"/>
      <c r="D151" s="572"/>
      <c r="E151" s="572"/>
      <c r="F151" s="572"/>
      <c r="G151" s="572"/>
      <c r="H151" s="572"/>
      <c r="I151" s="572"/>
      <c r="J151" s="572"/>
      <c r="K151" s="572"/>
      <c r="L151" s="572"/>
      <c r="M151" s="572"/>
      <c r="N151" s="572"/>
      <c r="O151" s="572"/>
      <c r="P151" s="572"/>
      <c r="Q151" s="572"/>
      <c r="R151" s="572"/>
      <c r="S151" s="572"/>
      <c r="T151" s="572"/>
      <c r="U151" s="572"/>
      <c r="V151" s="572"/>
      <c r="W151" s="572"/>
      <c r="X151" s="572"/>
      <c r="Y151" s="572"/>
      <c r="Z151" s="572"/>
    </row>
    <row r="152" spans="1:26" ht="12.75" customHeight="1" x14ac:dyDescent="0.3">
      <c r="A152" s="572"/>
      <c r="B152" s="572"/>
      <c r="C152" s="572"/>
      <c r="D152" s="572"/>
      <c r="E152" s="572"/>
      <c r="F152" s="572"/>
      <c r="G152" s="572"/>
      <c r="H152" s="572"/>
      <c r="I152" s="572"/>
      <c r="J152" s="572"/>
      <c r="K152" s="572"/>
      <c r="L152" s="572"/>
      <c r="M152" s="572"/>
      <c r="N152" s="572"/>
      <c r="O152" s="572"/>
      <c r="P152" s="572"/>
      <c r="Q152" s="572"/>
      <c r="R152" s="572"/>
      <c r="S152" s="572"/>
      <c r="T152" s="572"/>
      <c r="U152" s="572"/>
      <c r="V152" s="572"/>
      <c r="W152" s="572"/>
      <c r="X152" s="572"/>
      <c r="Y152" s="572"/>
      <c r="Z152" s="572"/>
    </row>
    <row r="153" spans="1:26" ht="12.75" customHeight="1" x14ac:dyDescent="0.3">
      <c r="A153" s="572"/>
      <c r="B153" s="572"/>
      <c r="C153" s="572"/>
      <c r="D153" s="572"/>
      <c r="E153" s="572"/>
      <c r="F153" s="572"/>
      <c r="G153" s="572"/>
      <c r="H153" s="572"/>
      <c r="I153" s="572"/>
      <c r="J153" s="572"/>
      <c r="K153" s="572"/>
      <c r="L153" s="572"/>
      <c r="M153" s="572"/>
      <c r="N153" s="572"/>
      <c r="O153" s="572"/>
      <c r="P153" s="572"/>
      <c r="Q153" s="572"/>
      <c r="R153" s="572"/>
      <c r="S153" s="572"/>
      <c r="T153" s="572"/>
      <c r="U153" s="572"/>
      <c r="V153" s="572"/>
      <c r="W153" s="572"/>
      <c r="X153" s="572"/>
      <c r="Y153" s="572"/>
      <c r="Z153" s="572"/>
    </row>
    <row r="154" spans="1:26" ht="12.75" customHeight="1" x14ac:dyDescent="0.3">
      <c r="A154" s="572"/>
      <c r="B154" s="572"/>
      <c r="C154" s="572"/>
      <c r="D154" s="572"/>
      <c r="E154" s="572"/>
      <c r="F154" s="572"/>
      <c r="G154" s="572"/>
      <c r="H154" s="572"/>
      <c r="I154" s="572"/>
      <c r="J154" s="572"/>
      <c r="K154" s="572"/>
      <c r="L154" s="572"/>
      <c r="M154" s="572"/>
      <c r="N154" s="572"/>
      <c r="O154" s="572"/>
      <c r="P154" s="572"/>
      <c r="Q154" s="572"/>
      <c r="R154" s="572"/>
      <c r="S154" s="572"/>
      <c r="T154" s="572"/>
      <c r="U154" s="572"/>
      <c r="V154" s="572"/>
      <c r="W154" s="572"/>
      <c r="X154" s="572"/>
      <c r="Y154" s="572"/>
      <c r="Z154" s="572"/>
    </row>
    <row r="155" spans="1:26" ht="12.75" customHeight="1" x14ac:dyDescent="0.3">
      <c r="A155" s="572"/>
      <c r="B155" s="572"/>
      <c r="C155" s="572"/>
      <c r="D155" s="572"/>
      <c r="E155" s="572"/>
      <c r="F155" s="572"/>
      <c r="G155" s="572"/>
      <c r="H155" s="572"/>
      <c r="I155" s="572"/>
      <c r="J155" s="572"/>
      <c r="K155" s="572"/>
      <c r="L155" s="572"/>
      <c r="M155" s="572"/>
      <c r="N155" s="572"/>
      <c r="O155" s="572"/>
      <c r="P155" s="572"/>
      <c r="Q155" s="572"/>
      <c r="R155" s="572"/>
      <c r="S155" s="572"/>
      <c r="T155" s="572"/>
      <c r="U155" s="572"/>
      <c r="V155" s="572"/>
      <c r="W155" s="572"/>
      <c r="X155" s="572"/>
      <c r="Y155" s="572"/>
      <c r="Z155" s="572"/>
    </row>
    <row r="156" spans="1:26" ht="12.75" customHeight="1" x14ac:dyDescent="0.3">
      <c r="A156" s="572"/>
      <c r="B156" s="572"/>
      <c r="C156" s="572"/>
      <c r="D156" s="572"/>
      <c r="E156" s="572"/>
      <c r="F156" s="572"/>
      <c r="G156" s="572"/>
      <c r="H156" s="572"/>
      <c r="I156" s="572"/>
      <c r="J156" s="572"/>
      <c r="K156" s="572"/>
      <c r="L156" s="572"/>
      <c r="M156" s="572"/>
      <c r="N156" s="572"/>
      <c r="O156" s="572"/>
      <c r="P156" s="572"/>
      <c r="Q156" s="572"/>
      <c r="R156" s="572"/>
      <c r="S156" s="572"/>
      <c r="T156" s="572"/>
      <c r="U156" s="572"/>
      <c r="V156" s="572"/>
      <c r="W156" s="572"/>
      <c r="X156" s="572"/>
      <c r="Y156" s="572"/>
      <c r="Z156" s="572"/>
    </row>
    <row r="157" spans="1:26" ht="12.75" customHeight="1" x14ac:dyDescent="0.3">
      <c r="A157" s="572"/>
      <c r="B157" s="572"/>
      <c r="C157" s="572"/>
      <c r="D157" s="572"/>
      <c r="E157" s="572"/>
      <c r="F157" s="572"/>
      <c r="G157" s="572"/>
      <c r="H157" s="572"/>
      <c r="I157" s="572"/>
      <c r="J157" s="572"/>
      <c r="K157" s="572"/>
      <c r="L157" s="572"/>
      <c r="M157" s="572"/>
      <c r="N157" s="572"/>
      <c r="O157" s="572"/>
      <c r="P157" s="572"/>
      <c r="Q157" s="572"/>
      <c r="R157" s="572"/>
      <c r="S157" s="572"/>
      <c r="T157" s="572"/>
      <c r="U157" s="572"/>
      <c r="V157" s="572"/>
      <c r="W157" s="572"/>
      <c r="X157" s="572"/>
      <c r="Y157" s="572"/>
      <c r="Z157" s="572"/>
    </row>
    <row r="158" spans="1:26" ht="12.75" customHeight="1" x14ac:dyDescent="0.3">
      <c r="A158" s="572"/>
      <c r="B158" s="572"/>
      <c r="C158" s="572"/>
      <c r="D158" s="572"/>
      <c r="E158" s="572"/>
      <c r="F158" s="572"/>
      <c r="G158" s="572"/>
      <c r="H158" s="572"/>
      <c r="I158" s="572"/>
      <c r="J158" s="572"/>
      <c r="K158" s="572"/>
      <c r="L158" s="572"/>
      <c r="M158" s="572"/>
      <c r="N158" s="572"/>
      <c r="O158" s="572"/>
      <c r="P158" s="572"/>
      <c r="Q158" s="572"/>
      <c r="R158" s="572"/>
      <c r="S158" s="572"/>
      <c r="T158" s="572"/>
      <c r="U158" s="572"/>
      <c r="V158" s="572"/>
      <c r="W158" s="572"/>
      <c r="X158" s="572"/>
      <c r="Y158" s="572"/>
      <c r="Z158" s="572"/>
    </row>
    <row r="159" spans="1:26" ht="12.75" customHeight="1" x14ac:dyDescent="0.3">
      <c r="A159" s="572"/>
      <c r="B159" s="572"/>
      <c r="C159" s="572"/>
      <c r="D159" s="572"/>
      <c r="E159" s="572"/>
      <c r="F159" s="572"/>
      <c r="G159" s="572"/>
      <c r="H159" s="572"/>
      <c r="I159" s="572"/>
      <c r="J159" s="572"/>
      <c r="K159" s="572"/>
      <c r="L159" s="572"/>
      <c r="M159" s="572"/>
      <c r="N159" s="572"/>
      <c r="O159" s="572"/>
      <c r="P159" s="572"/>
      <c r="Q159" s="572"/>
      <c r="R159" s="572"/>
      <c r="S159" s="572"/>
      <c r="T159" s="572"/>
      <c r="U159" s="572"/>
      <c r="V159" s="572"/>
      <c r="W159" s="572"/>
      <c r="X159" s="572"/>
      <c r="Y159" s="572"/>
      <c r="Z159" s="572"/>
    </row>
    <row r="160" spans="1:26" ht="12.75" customHeight="1" x14ac:dyDescent="0.3">
      <c r="A160" s="572"/>
      <c r="B160" s="572"/>
      <c r="C160" s="572"/>
      <c r="D160" s="572"/>
      <c r="E160" s="572"/>
      <c r="F160" s="572"/>
      <c r="G160" s="572"/>
      <c r="H160" s="572"/>
      <c r="I160" s="572"/>
      <c r="J160" s="572"/>
      <c r="K160" s="572"/>
      <c r="L160" s="572"/>
      <c r="M160" s="572"/>
      <c r="N160" s="572"/>
      <c r="O160" s="572"/>
      <c r="P160" s="572"/>
      <c r="Q160" s="572"/>
      <c r="R160" s="572"/>
      <c r="S160" s="572"/>
      <c r="T160" s="572"/>
      <c r="U160" s="572"/>
      <c r="V160" s="572"/>
      <c r="W160" s="572"/>
      <c r="X160" s="572"/>
      <c r="Y160" s="572"/>
      <c r="Z160" s="572"/>
    </row>
    <row r="161" spans="1:26" ht="12.75" customHeight="1" x14ac:dyDescent="0.3">
      <c r="A161" s="572"/>
      <c r="B161" s="572"/>
      <c r="C161" s="572"/>
      <c r="D161" s="572"/>
      <c r="E161" s="572"/>
      <c r="F161" s="572"/>
      <c r="G161" s="572"/>
      <c r="H161" s="572"/>
      <c r="I161" s="572"/>
      <c r="J161" s="572"/>
      <c r="K161" s="572"/>
      <c r="L161" s="572"/>
      <c r="M161" s="572"/>
      <c r="N161" s="572"/>
      <c r="O161" s="572"/>
      <c r="P161" s="572"/>
      <c r="Q161" s="572"/>
      <c r="R161" s="572"/>
      <c r="S161" s="572"/>
      <c r="T161" s="572"/>
      <c r="U161" s="572"/>
      <c r="V161" s="572"/>
      <c r="W161" s="572"/>
      <c r="X161" s="572"/>
      <c r="Y161" s="572"/>
      <c r="Z161" s="572"/>
    </row>
    <row r="162" spans="1:26" ht="12.75" customHeight="1" x14ac:dyDescent="0.3">
      <c r="A162" s="572"/>
      <c r="B162" s="572"/>
      <c r="C162" s="572"/>
      <c r="D162" s="572"/>
      <c r="E162" s="572"/>
      <c r="F162" s="572"/>
      <c r="G162" s="572"/>
      <c r="H162" s="572"/>
      <c r="I162" s="572"/>
      <c r="J162" s="572"/>
      <c r="K162" s="572"/>
      <c r="L162" s="572"/>
      <c r="M162" s="572"/>
      <c r="N162" s="572"/>
      <c r="O162" s="572"/>
      <c r="P162" s="572"/>
      <c r="Q162" s="572"/>
      <c r="R162" s="572"/>
      <c r="S162" s="572"/>
      <c r="T162" s="572"/>
      <c r="U162" s="572"/>
      <c r="V162" s="572"/>
      <c r="W162" s="572"/>
      <c r="X162" s="572"/>
      <c r="Y162" s="572"/>
      <c r="Z162" s="572"/>
    </row>
    <row r="163" spans="1:26" ht="12.75" customHeight="1" x14ac:dyDescent="0.3">
      <c r="A163" s="572"/>
      <c r="B163" s="572"/>
      <c r="C163" s="572"/>
      <c r="D163" s="572"/>
      <c r="E163" s="572"/>
      <c r="F163" s="572"/>
      <c r="G163" s="572"/>
      <c r="H163" s="572"/>
      <c r="I163" s="572"/>
      <c r="J163" s="572"/>
      <c r="K163" s="572"/>
      <c r="L163" s="572"/>
      <c r="M163" s="572"/>
      <c r="N163" s="572"/>
      <c r="O163" s="572"/>
      <c r="P163" s="572"/>
      <c r="Q163" s="572"/>
      <c r="R163" s="572"/>
      <c r="S163" s="572"/>
      <c r="T163" s="572"/>
      <c r="U163" s="572"/>
      <c r="V163" s="572"/>
      <c r="W163" s="572"/>
      <c r="X163" s="572"/>
      <c r="Y163" s="572"/>
      <c r="Z163" s="572"/>
    </row>
    <row r="164" spans="1:26" ht="12.75" customHeight="1" x14ac:dyDescent="0.3">
      <c r="A164" s="572"/>
      <c r="B164" s="572"/>
      <c r="C164" s="572"/>
      <c r="D164" s="572"/>
      <c r="E164" s="572"/>
      <c r="F164" s="572"/>
      <c r="G164" s="572"/>
      <c r="H164" s="572"/>
      <c r="I164" s="572"/>
      <c r="J164" s="572"/>
      <c r="K164" s="572"/>
      <c r="L164" s="572"/>
      <c r="M164" s="572"/>
      <c r="N164" s="572"/>
      <c r="O164" s="572"/>
      <c r="P164" s="572"/>
      <c r="Q164" s="572"/>
      <c r="R164" s="572"/>
      <c r="S164" s="572"/>
      <c r="T164" s="572"/>
      <c r="U164" s="572"/>
      <c r="V164" s="572"/>
      <c r="W164" s="572"/>
      <c r="X164" s="572"/>
      <c r="Y164" s="572"/>
      <c r="Z164" s="572"/>
    </row>
    <row r="165" spans="1:26" ht="12.75" customHeight="1" x14ac:dyDescent="0.3">
      <c r="A165" s="572"/>
      <c r="B165" s="572"/>
      <c r="C165" s="572"/>
      <c r="D165" s="572"/>
      <c r="E165" s="572"/>
      <c r="F165" s="572"/>
      <c r="G165" s="572"/>
      <c r="H165" s="572"/>
      <c r="I165" s="572"/>
      <c r="J165" s="572"/>
      <c r="K165" s="572"/>
      <c r="L165" s="572"/>
      <c r="M165" s="572"/>
      <c r="N165" s="572"/>
      <c r="O165" s="572"/>
      <c r="P165" s="572"/>
      <c r="Q165" s="572"/>
      <c r="R165" s="572"/>
      <c r="S165" s="572"/>
      <c r="T165" s="572"/>
      <c r="U165" s="572"/>
      <c r="V165" s="572"/>
      <c r="W165" s="572"/>
      <c r="X165" s="572"/>
      <c r="Y165" s="572"/>
      <c r="Z165" s="572"/>
    </row>
    <row r="166" spans="1:26" ht="12.75" customHeight="1" x14ac:dyDescent="0.3">
      <c r="A166" s="572"/>
      <c r="B166" s="572"/>
      <c r="C166" s="572"/>
      <c r="D166" s="572"/>
      <c r="E166" s="572"/>
      <c r="F166" s="572"/>
      <c r="G166" s="572"/>
      <c r="H166" s="572"/>
      <c r="I166" s="572"/>
      <c r="J166" s="572"/>
      <c r="K166" s="572"/>
      <c r="L166" s="572"/>
      <c r="M166" s="572"/>
      <c r="N166" s="572"/>
      <c r="O166" s="572"/>
      <c r="P166" s="572"/>
      <c r="Q166" s="572"/>
      <c r="R166" s="572"/>
      <c r="S166" s="572"/>
      <c r="T166" s="572"/>
      <c r="U166" s="572"/>
      <c r="V166" s="572"/>
      <c r="W166" s="572"/>
      <c r="X166" s="572"/>
      <c r="Y166" s="572"/>
      <c r="Z166" s="572"/>
    </row>
    <row r="167" spans="1:26" ht="12.75" customHeight="1" x14ac:dyDescent="0.3">
      <c r="A167" s="572"/>
      <c r="B167" s="572"/>
      <c r="C167" s="572"/>
      <c r="D167" s="572"/>
      <c r="E167" s="572"/>
      <c r="F167" s="572"/>
      <c r="G167" s="572"/>
      <c r="H167" s="572"/>
      <c r="I167" s="572"/>
      <c r="J167" s="572"/>
      <c r="K167" s="572"/>
      <c r="L167" s="572"/>
      <c r="M167" s="572"/>
      <c r="N167" s="572"/>
      <c r="O167" s="572"/>
      <c r="P167" s="572"/>
      <c r="Q167" s="572"/>
      <c r="R167" s="572"/>
      <c r="S167" s="572"/>
      <c r="T167" s="572"/>
      <c r="U167" s="572"/>
      <c r="V167" s="572"/>
      <c r="W167" s="572"/>
      <c r="X167" s="572"/>
      <c r="Y167" s="572"/>
      <c r="Z167" s="572"/>
    </row>
    <row r="168" spans="1:26" ht="12.75" customHeight="1" x14ac:dyDescent="0.3">
      <c r="A168" s="572"/>
      <c r="B168" s="572"/>
      <c r="C168" s="572"/>
      <c r="D168" s="572"/>
      <c r="E168" s="572"/>
      <c r="F168" s="572"/>
      <c r="G168" s="572"/>
      <c r="H168" s="572"/>
      <c r="I168" s="572"/>
      <c r="J168" s="572"/>
      <c r="K168" s="572"/>
      <c r="L168" s="572"/>
      <c r="M168" s="572"/>
      <c r="N168" s="572"/>
      <c r="O168" s="572"/>
      <c r="P168" s="572"/>
      <c r="Q168" s="572"/>
      <c r="R168" s="572"/>
      <c r="S168" s="572"/>
      <c r="T168" s="572"/>
      <c r="U168" s="572"/>
      <c r="V168" s="572"/>
      <c r="W168" s="572"/>
      <c r="X168" s="572"/>
      <c r="Y168" s="572"/>
      <c r="Z168" s="572"/>
    </row>
    <row r="169" spans="1:26" ht="12.75" customHeight="1" x14ac:dyDescent="0.3">
      <c r="A169" s="572"/>
      <c r="B169" s="572"/>
      <c r="C169" s="572"/>
      <c r="D169" s="572"/>
      <c r="E169" s="572"/>
      <c r="F169" s="572"/>
      <c r="G169" s="572"/>
      <c r="H169" s="572"/>
      <c r="I169" s="572"/>
      <c r="J169" s="572"/>
      <c r="K169" s="572"/>
      <c r="L169" s="572"/>
      <c r="M169" s="572"/>
      <c r="N169" s="572"/>
      <c r="O169" s="572"/>
      <c r="P169" s="572"/>
      <c r="Q169" s="572"/>
      <c r="R169" s="572"/>
      <c r="S169" s="572"/>
      <c r="T169" s="572"/>
      <c r="U169" s="572"/>
      <c r="V169" s="572"/>
      <c r="W169" s="572"/>
      <c r="X169" s="572"/>
      <c r="Y169" s="572"/>
      <c r="Z169" s="572"/>
    </row>
    <row r="170" spans="1:26" ht="12.75" customHeight="1" x14ac:dyDescent="0.3">
      <c r="A170" s="572"/>
      <c r="B170" s="572"/>
      <c r="C170" s="572"/>
      <c r="D170" s="572"/>
      <c r="E170" s="572"/>
      <c r="F170" s="572"/>
      <c r="G170" s="572"/>
      <c r="H170" s="572"/>
      <c r="I170" s="572"/>
      <c r="J170" s="572"/>
      <c r="K170" s="572"/>
      <c r="L170" s="572"/>
      <c r="M170" s="572"/>
      <c r="N170" s="572"/>
      <c r="O170" s="572"/>
      <c r="P170" s="572"/>
      <c r="Q170" s="572"/>
      <c r="R170" s="572"/>
      <c r="S170" s="572"/>
      <c r="T170" s="572"/>
      <c r="U170" s="572"/>
      <c r="V170" s="572"/>
      <c r="W170" s="572"/>
      <c r="X170" s="572"/>
      <c r="Y170" s="572"/>
      <c r="Z170" s="572"/>
    </row>
    <row r="171" spans="1:26" ht="12.75" customHeight="1" x14ac:dyDescent="0.3">
      <c r="A171" s="572"/>
      <c r="B171" s="572"/>
      <c r="C171" s="572"/>
      <c r="D171" s="572"/>
      <c r="E171" s="572"/>
      <c r="F171" s="572"/>
      <c r="G171" s="572"/>
      <c r="H171" s="572"/>
      <c r="I171" s="572"/>
      <c r="J171" s="572"/>
      <c r="K171" s="572"/>
      <c r="L171" s="572"/>
      <c r="M171" s="572"/>
      <c r="N171" s="572"/>
      <c r="O171" s="572"/>
      <c r="P171" s="572"/>
      <c r="Q171" s="572"/>
      <c r="R171" s="572"/>
      <c r="S171" s="572"/>
      <c r="T171" s="572"/>
      <c r="U171" s="572"/>
      <c r="V171" s="572"/>
      <c r="W171" s="572"/>
      <c r="X171" s="572"/>
      <c r="Y171" s="572"/>
      <c r="Z171" s="572"/>
    </row>
    <row r="172" spans="1:26" ht="12.75" customHeight="1" x14ac:dyDescent="0.3">
      <c r="A172" s="572"/>
      <c r="B172" s="572"/>
      <c r="C172" s="572"/>
      <c r="D172" s="572"/>
      <c r="E172" s="572"/>
      <c r="F172" s="572"/>
      <c r="G172" s="572"/>
      <c r="H172" s="572"/>
      <c r="I172" s="572"/>
      <c r="J172" s="572"/>
      <c r="K172" s="572"/>
      <c r="L172" s="572"/>
      <c r="M172" s="572"/>
      <c r="N172" s="572"/>
      <c r="O172" s="572"/>
      <c r="P172" s="572"/>
      <c r="Q172" s="572"/>
      <c r="R172" s="572"/>
      <c r="S172" s="572"/>
      <c r="T172" s="572"/>
      <c r="U172" s="572"/>
      <c r="V172" s="572"/>
      <c r="W172" s="572"/>
      <c r="X172" s="572"/>
      <c r="Y172" s="572"/>
      <c r="Z172" s="572"/>
    </row>
    <row r="173" spans="1:26" ht="12.75" customHeight="1" x14ac:dyDescent="0.3">
      <c r="A173" s="572"/>
      <c r="B173" s="572"/>
      <c r="C173" s="572"/>
      <c r="D173" s="572"/>
      <c r="E173" s="572"/>
      <c r="F173" s="572"/>
      <c r="G173" s="572"/>
      <c r="H173" s="572"/>
      <c r="I173" s="572"/>
      <c r="J173" s="572"/>
      <c r="K173" s="572"/>
      <c r="L173" s="572"/>
      <c r="M173" s="572"/>
      <c r="N173" s="572"/>
      <c r="O173" s="572"/>
      <c r="P173" s="572"/>
      <c r="Q173" s="572"/>
      <c r="R173" s="572"/>
      <c r="S173" s="572"/>
      <c r="T173" s="572"/>
      <c r="U173" s="572"/>
      <c r="V173" s="572"/>
      <c r="W173" s="572"/>
      <c r="X173" s="572"/>
      <c r="Y173" s="572"/>
      <c r="Z173" s="572"/>
    </row>
    <row r="174" spans="1:26" ht="12.75" customHeight="1" x14ac:dyDescent="0.3">
      <c r="A174" s="572"/>
      <c r="B174" s="572"/>
      <c r="C174" s="572"/>
      <c r="D174" s="572"/>
      <c r="E174" s="572"/>
      <c r="F174" s="572"/>
      <c r="G174" s="572"/>
      <c r="H174" s="572"/>
      <c r="I174" s="572"/>
      <c r="J174" s="572"/>
      <c r="K174" s="572"/>
      <c r="L174" s="572"/>
      <c r="M174" s="572"/>
      <c r="N174" s="572"/>
      <c r="O174" s="572"/>
      <c r="P174" s="572"/>
      <c r="Q174" s="572"/>
      <c r="R174" s="572"/>
      <c r="S174" s="572"/>
      <c r="T174" s="572"/>
      <c r="U174" s="572"/>
      <c r="V174" s="572"/>
      <c r="W174" s="572"/>
      <c r="X174" s="572"/>
      <c r="Y174" s="572"/>
      <c r="Z174" s="572"/>
    </row>
    <row r="175" spans="1:26" ht="12.75" customHeight="1" x14ac:dyDescent="0.3">
      <c r="A175" s="572"/>
      <c r="B175" s="572"/>
      <c r="C175" s="572"/>
      <c r="D175" s="572"/>
      <c r="E175" s="572"/>
      <c r="F175" s="572"/>
      <c r="G175" s="572"/>
      <c r="H175" s="572"/>
      <c r="I175" s="572"/>
      <c r="J175" s="572"/>
      <c r="K175" s="572"/>
      <c r="L175" s="572"/>
      <c r="M175" s="572"/>
      <c r="N175" s="572"/>
      <c r="O175" s="572"/>
      <c r="P175" s="572"/>
      <c r="Q175" s="572"/>
      <c r="R175" s="572"/>
      <c r="S175" s="572"/>
      <c r="T175" s="572"/>
      <c r="U175" s="572"/>
      <c r="V175" s="572"/>
      <c r="W175" s="572"/>
      <c r="X175" s="572"/>
      <c r="Y175" s="572"/>
      <c r="Z175" s="572"/>
    </row>
    <row r="176" spans="1:26" ht="12.75" customHeight="1" x14ac:dyDescent="0.3">
      <c r="A176" s="572"/>
      <c r="B176" s="572"/>
      <c r="C176" s="572"/>
      <c r="D176" s="572"/>
      <c r="E176" s="572"/>
      <c r="F176" s="572"/>
      <c r="G176" s="572"/>
      <c r="H176" s="572"/>
      <c r="I176" s="572"/>
      <c r="J176" s="572"/>
      <c r="K176" s="572"/>
      <c r="L176" s="572"/>
      <c r="M176" s="572"/>
      <c r="N176" s="572"/>
      <c r="O176" s="572"/>
      <c r="P176" s="572"/>
      <c r="Q176" s="572"/>
      <c r="R176" s="572"/>
      <c r="S176" s="572"/>
      <c r="T176" s="572"/>
      <c r="U176" s="572"/>
      <c r="V176" s="572"/>
      <c r="W176" s="572"/>
      <c r="X176" s="572"/>
      <c r="Y176" s="572"/>
      <c r="Z176" s="572"/>
    </row>
    <row r="177" spans="1:26" ht="12.75" customHeight="1" x14ac:dyDescent="0.3">
      <c r="A177" s="572"/>
      <c r="B177" s="572"/>
      <c r="C177" s="572"/>
      <c r="D177" s="572"/>
      <c r="E177" s="572"/>
      <c r="F177" s="572"/>
      <c r="G177" s="572"/>
      <c r="H177" s="572"/>
      <c r="I177" s="572"/>
      <c r="J177" s="572"/>
      <c r="K177" s="572"/>
      <c r="L177" s="572"/>
      <c r="M177" s="572"/>
      <c r="N177" s="572"/>
      <c r="O177" s="572"/>
      <c r="P177" s="572"/>
      <c r="Q177" s="572"/>
      <c r="R177" s="572"/>
      <c r="S177" s="572"/>
      <c r="T177" s="572"/>
      <c r="U177" s="572"/>
      <c r="V177" s="572"/>
      <c r="W177" s="572"/>
      <c r="X177" s="572"/>
      <c r="Y177" s="572"/>
      <c r="Z177" s="572"/>
    </row>
    <row r="178" spans="1:26" ht="12.75" customHeight="1" x14ac:dyDescent="0.3">
      <c r="A178" s="572"/>
      <c r="B178" s="572"/>
      <c r="C178" s="572"/>
      <c r="D178" s="572"/>
      <c r="E178" s="572"/>
      <c r="F178" s="572"/>
      <c r="G178" s="572"/>
      <c r="H178" s="572"/>
      <c r="I178" s="572"/>
      <c r="J178" s="572"/>
      <c r="K178" s="572"/>
      <c r="L178" s="572"/>
      <c r="M178" s="572"/>
      <c r="N178" s="572"/>
      <c r="O178" s="572"/>
      <c r="P178" s="572"/>
      <c r="Q178" s="572"/>
      <c r="R178" s="572"/>
      <c r="S178" s="572"/>
      <c r="T178" s="572"/>
      <c r="U178" s="572"/>
      <c r="V178" s="572"/>
      <c r="W178" s="572"/>
      <c r="X178" s="572"/>
      <c r="Y178" s="572"/>
      <c r="Z178" s="572"/>
    </row>
    <row r="179" spans="1:26" ht="12.75" customHeight="1" x14ac:dyDescent="0.3">
      <c r="A179" s="572"/>
      <c r="B179" s="572"/>
      <c r="C179" s="572"/>
      <c r="D179" s="572"/>
      <c r="E179" s="572"/>
      <c r="F179" s="572"/>
      <c r="G179" s="572"/>
      <c r="H179" s="572"/>
      <c r="I179" s="572"/>
      <c r="J179" s="572"/>
      <c r="K179" s="572"/>
      <c r="L179" s="572"/>
      <c r="M179" s="572"/>
      <c r="N179" s="572"/>
      <c r="O179" s="572"/>
      <c r="P179" s="572"/>
      <c r="Q179" s="572"/>
      <c r="R179" s="572"/>
      <c r="S179" s="572"/>
      <c r="T179" s="572"/>
      <c r="U179" s="572"/>
      <c r="V179" s="572"/>
      <c r="W179" s="572"/>
      <c r="X179" s="572"/>
      <c r="Y179" s="572"/>
      <c r="Z179" s="572"/>
    </row>
    <row r="180" spans="1:26" ht="12.75" customHeight="1" x14ac:dyDescent="0.3">
      <c r="A180" s="572"/>
      <c r="B180" s="572"/>
      <c r="C180" s="572"/>
      <c r="D180" s="572"/>
      <c r="E180" s="572"/>
      <c r="F180" s="572"/>
      <c r="G180" s="572"/>
      <c r="H180" s="572"/>
      <c r="I180" s="572"/>
      <c r="J180" s="572"/>
      <c r="K180" s="572"/>
      <c r="L180" s="572"/>
      <c r="M180" s="572"/>
      <c r="N180" s="572"/>
      <c r="O180" s="572"/>
      <c r="P180" s="572"/>
      <c r="Q180" s="572"/>
      <c r="R180" s="572"/>
      <c r="S180" s="572"/>
      <c r="T180" s="572"/>
      <c r="U180" s="572"/>
      <c r="V180" s="572"/>
      <c r="W180" s="572"/>
      <c r="X180" s="572"/>
      <c r="Y180" s="572"/>
      <c r="Z180" s="572"/>
    </row>
    <row r="181" spans="1:26" ht="12.75" customHeight="1" x14ac:dyDescent="0.3">
      <c r="A181" s="572"/>
      <c r="B181" s="572"/>
      <c r="C181" s="572"/>
      <c r="D181" s="572"/>
      <c r="E181" s="572"/>
      <c r="F181" s="572"/>
      <c r="G181" s="572"/>
      <c r="H181" s="572"/>
      <c r="I181" s="572"/>
      <c r="J181" s="572"/>
      <c r="K181" s="572"/>
      <c r="L181" s="572"/>
      <c r="M181" s="572"/>
      <c r="N181" s="572"/>
      <c r="O181" s="572"/>
      <c r="P181" s="572"/>
      <c r="Q181" s="572"/>
      <c r="R181" s="572"/>
      <c r="S181" s="572"/>
      <c r="T181" s="572"/>
      <c r="U181" s="572"/>
      <c r="V181" s="572"/>
      <c r="W181" s="572"/>
      <c r="X181" s="572"/>
      <c r="Y181" s="572"/>
      <c r="Z181" s="572"/>
    </row>
    <row r="182" spans="1:26" ht="12.75" customHeight="1" x14ac:dyDescent="0.3">
      <c r="A182" s="572"/>
      <c r="B182" s="572"/>
      <c r="C182" s="572"/>
      <c r="D182" s="572"/>
      <c r="E182" s="572"/>
      <c r="F182" s="572"/>
      <c r="G182" s="572"/>
      <c r="H182" s="572"/>
      <c r="I182" s="572"/>
      <c r="J182" s="572"/>
      <c r="K182" s="572"/>
      <c r="L182" s="572"/>
      <c r="M182" s="572"/>
      <c r="N182" s="572"/>
      <c r="O182" s="572"/>
      <c r="P182" s="572"/>
      <c r="Q182" s="572"/>
      <c r="R182" s="572"/>
      <c r="S182" s="572"/>
      <c r="T182" s="572"/>
      <c r="U182" s="572"/>
      <c r="V182" s="572"/>
      <c r="W182" s="572"/>
      <c r="X182" s="572"/>
      <c r="Y182" s="572"/>
      <c r="Z182" s="572"/>
    </row>
    <row r="183" spans="1:26" ht="12.75" customHeight="1" x14ac:dyDescent="0.3">
      <c r="A183" s="572"/>
      <c r="B183" s="572"/>
      <c r="C183" s="572"/>
      <c r="D183" s="572"/>
      <c r="E183" s="572"/>
      <c r="F183" s="572"/>
      <c r="G183" s="572"/>
      <c r="H183" s="572"/>
      <c r="I183" s="572"/>
      <c r="J183" s="572"/>
      <c r="K183" s="572"/>
      <c r="L183" s="572"/>
      <c r="M183" s="572"/>
      <c r="N183" s="572"/>
      <c r="O183" s="572"/>
      <c r="P183" s="572"/>
      <c r="Q183" s="572"/>
      <c r="R183" s="572"/>
      <c r="S183" s="572"/>
      <c r="T183" s="572"/>
      <c r="U183" s="572"/>
      <c r="V183" s="572"/>
      <c r="W183" s="572"/>
      <c r="X183" s="572"/>
      <c r="Y183" s="572"/>
      <c r="Z183" s="572"/>
    </row>
    <row r="184" spans="1:26" ht="12.75" customHeight="1" x14ac:dyDescent="0.3">
      <c r="A184" s="572"/>
      <c r="B184" s="572"/>
      <c r="C184" s="572"/>
      <c r="D184" s="572"/>
      <c r="E184" s="572"/>
      <c r="F184" s="572"/>
      <c r="G184" s="572"/>
      <c r="H184" s="572"/>
      <c r="I184" s="572"/>
      <c r="J184" s="572"/>
      <c r="K184" s="572"/>
      <c r="L184" s="572"/>
      <c r="M184" s="572"/>
      <c r="N184" s="572"/>
      <c r="O184" s="572"/>
      <c r="P184" s="572"/>
      <c r="Q184" s="572"/>
      <c r="R184" s="572"/>
      <c r="S184" s="572"/>
      <c r="T184" s="572"/>
      <c r="U184" s="572"/>
      <c r="V184" s="572"/>
      <c r="W184" s="572"/>
      <c r="X184" s="572"/>
      <c r="Y184" s="572"/>
      <c r="Z184" s="572"/>
    </row>
    <row r="185" spans="1:26" ht="12.75" customHeight="1" x14ac:dyDescent="0.3">
      <c r="A185" s="572"/>
      <c r="B185" s="572"/>
      <c r="C185" s="572"/>
      <c r="D185" s="572"/>
      <c r="E185" s="572"/>
      <c r="F185" s="572"/>
      <c r="G185" s="572"/>
      <c r="H185" s="572"/>
      <c r="I185" s="572"/>
      <c r="J185" s="572"/>
      <c r="K185" s="572"/>
      <c r="L185" s="572"/>
      <c r="M185" s="572"/>
      <c r="N185" s="572"/>
      <c r="O185" s="572"/>
      <c r="P185" s="572"/>
      <c r="Q185" s="572"/>
      <c r="R185" s="572"/>
      <c r="S185" s="572"/>
      <c r="T185" s="572"/>
      <c r="U185" s="572"/>
      <c r="V185" s="572"/>
      <c r="W185" s="572"/>
      <c r="X185" s="572"/>
      <c r="Y185" s="572"/>
      <c r="Z185" s="572"/>
    </row>
    <row r="186" spans="1:26" ht="12.75" customHeight="1" x14ac:dyDescent="0.3">
      <c r="A186" s="572"/>
      <c r="B186" s="572"/>
      <c r="C186" s="572"/>
      <c r="D186" s="572"/>
      <c r="E186" s="572"/>
      <c r="F186" s="572"/>
      <c r="G186" s="572"/>
      <c r="H186" s="572"/>
      <c r="I186" s="572"/>
      <c r="J186" s="572"/>
      <c r="K186" s="572"/>
      <c r="L186" s="572"/>
      <c r="M186" s="572"/>
      <c r="N186" s="572"/>
      <c r="O186" s="572"/>
      <c r="P186" s="572"/>
      <c r="Q186" s="572"/>
      <c r="R186" s="572"/>
      <c r="S186" s="572"/>
      <c r="T186" s="572"/>
      <c r="U186" s="572"/>
      <c r="V186" s="572"/>
      <c r="W186" s="572"/>
      <c r="X186" s="572"/>
      <c r="Y186" s="572"/>
      <c r="Z186" s="572"/>
    </row>
    <row r="187" spans="1:26" ht="12.75" customHeight="1" x14ac:dyDescent="0.3">
      <c r="A187" s="572"/>
      <c r="B187" s="572"/>
      <c r="C187" s="572"/>
      <c r="D187" s="572"/>
      <c r="E187" s="572"/>
      <c r="F187" s="572"/>
      <c r="G187" s="572"/>
      <c r="H187" s="572"/>
      <c r="I187" s="572"/>
      <c r="J187" s="572"/>
      <c r="K187" s="572"/>
      <c r="L187" s="572"/>
      <c r="M187" s="572"/>
      <c r="N187" s="572"/>
      <c r="O187" s="572"/>
      <c r="P187" s="572"/>
      <c r="Q187" s="572"/>
      <c r="R187" s="572"/>
      <c r="S187" s="572"/>
      <c r="T187" s="572"/>
      <c r="U187" s="572"/>
      <c r="V187" s="572"/>
      <c r="W187" s="572"/>
      <c r="X187" s="572"/>
      <c r="Y187" s="572"/>
      <c r="Z187" s="572"/>
    </row>
    <row r="188" spans="1:26" ht="12.75" customHeight="1" x14ac:dyDescent="0.3">
      <c r="A188" s="572"/>
      <c r="B188" s="572"/>
      <c r="C188" s="572"/>
      <c r="D188" s="572"/>
      <c r="E188" s="572"/>
      <c r="F188" s="572"/>
      <c r="G188" s="572"/>
      <c r="H188" s="572"/>
      <c r="I188" s="572"/>
      <c r="J188" s="572"/>
      <c r="K188" s="572"/>
      <c r="L188" s="572"/>
      <c r="M188" s="572"/>
      <c r="N188" s="572"/>
      <c r="O188" s="572"/>
      <c r="P188" s="572"/>
      <c r="Q188" s="572"/>
      <c r="R188" s="572"/>
      <c r="S188" s="572"/>
      <c r="T188" s="572"/>
      <c r="U188" s="572"/>
      <c r="V188" s="572"/>
      <c r="W188" s="572"/>
      <c r="X188" s="572"/>
      <c r="Y188" s="572"/>
      <c r="Z188" s="572"/>
    </row>
    <row r="189" spans="1:26" ht="12.75" customHeight="1" x14ac:dyDescent="0.3">
      <c r="A189" s="572"/>
      <c r="B189" s="572"/>
      <c r="C189" s="572"/>
      <c r="D189" s="572"/>
      <c r="E189" s="572"/>
      <c r="F189" s="572"/>
      <c r="G189" s="572"/>
      <c r="H189" s="572"/>
      <c r="I189" s="572"/>
      <c r="J189" s="572"/>
      <c r="K189" s="572"/>
      <c r="L189" s="572"/>
      <c r="M189" s="572"/>
      <c r="N189" s="572"/>
      <c r="O189" s="572"/>
      <c r="P189" s="572"/>
      <c r="Q189" s="572"/>
      <c r="R189" s="572"/>
      <c r="S189" s="572"/>
      <c r="T189" s="572"/>
      <c r="U189" s="572"/>
      <c r="V189" s="572"/>
      <c r="W189" s="572"/>
      <c r="X189" s="572"/>
      <c r="Y189" s="572"/>
      <c r="Z189" s="572"/>
    </row>
    <row r="190" spans="1:26" ht="12.75" customHeight="1" x14ac:dyDescent="0.3">
      <c r="A190" s="572"/>
      <c r="B190" s="572"/>
      <c r="C190" s="572"/>
      <c r="D190" s="572"/>
      <c r="E190" s="572"/>
      <c r="F190" s="572"/>
      <c r="G190" s="572"/>
      <c r="H190" s="572"/>
      <c r="I190" s="572"/>
      <c r="J190" s="572"/>
      <c r="K190" s="572"/>
      <c r="L190" s="572"/>
      <c r="M190" s="572"/>
      <c r="N190" s="572"/>
      <c r="O190" s="572"/>
      <c r="P190" s="572"/>
      <c r="Q190" s="572"/>
      <c r="R190" s="572"/>
      <c r="S190" s="572"/>
      <c r="T190" s="572"/>
      <c r="U190" s="572"/>
      <c r="V190" s="572"/>
      <c r="W190" s="572"/>
      <c r="X190" s="572"/>
      <c r="Y190" s="572"/>
      <c r="Z190" s="572"/>
    </row>
    <row r="191" spans="1:26" ht="12.75" customHeight="1" x14ac:dyDescent="0.3">
      <c r="A191" s="572"/>
      <c r="B191" s="572"/>
      <c r="C191" s="572"/>
      <c r="D191" s="572"/>
      <c r="E191" s="572"/>
      <c r="F191" s="572"/>
      <c r="G191" s="572"/>
      <c r="H191" s="572"/>
      <c r="I191" s="572"/>
      <c r="J191" s="572"/>
      <c r="K191" s="572"/>
      <c r="L191" s="572"/>
      <c r="M191" s="572"/>
      <c r="N191" s="572"/>
      <c r="O191" s="572"/>
      <c r="P191" s="572"/>
      <c r="Q191" s="572"/>
      <c r="R191" s="572"/>
      <c r="S191" s="572"/>
      <c r="T191" s="572"/>
      <c r="U191" s="572"/>
      <c r="V191" s="572"/>
      <c r="W191" s="572"/>
      <c r="X191" s="572"/>
      <c r="Y191" s="572"/>
      <c r="Z191" s="572"/>
    </row>
    <row r="192" spans="1:26" ht="12.75" customHeight="1" x14ac:dyDescent="0.3">
      <c r="A192" s="572"/>
      <c r="B192" s="572"/>
      <c r="C192" s="572"/>
      <c r="D192" s="572"/>
      <c r="E192" s="572"/>
      <c r="F192" s="572"/>
      <c r="G192" s="572"/>
      <c r="H192" s="572"/>
      <c r="I192" s="572"/>
      <c r="J192" s="572"/>
      <c r="K192" s="572"/>
      <c r="L192" s="572"/>
      <c r="M192" s="572"/>
      <c r="N192" s="572"/>
      <c r="O192" s="572"/>
      <c r="P192" s="572"/>
      <c r="Q192" s="572"/>
      <c r="R192" s="572"/>
      <c r="S192" s="572"/>
      <c r="T192" s="572"/>
      <c r="U192" s="572"/>
      <c r="V192" s="572"/>
      <c r="W192" s="572"/>
      <c r="X192" s="572"/>
      <c r="Y192" s="572"/>
      <c r="Z192" s="572"/>
    </row>
    <row r="193" spans="1:26" ht="12.75" customHeight="1" x14ac:dyDescent="0.3">
      <c r="A193" s="572"/>
      <c r="B193" s="572"/>
      <c r="C193" s="572"/>
      <c r="D193" s="572"/>
      <c r="E193" s="572"/>
      <c r="F193" s="572"/>
      <c r="G193" s="572"/>
      <c r="H193" s="572"/>
      <c r="I193" s="572"/>
      <c r="J193" s="572"/>
      <c r="K193" s="572"/>
      <c r="L193" s="572"/>
      <c r="M193" s="572"/>
      <c r="N193" s="572"/>
      <c r="O193" s="572"/>
      <c r="P193" s="572"/>
      <c r="Q193" s="572"/>
      <c r="R193" s="572"/>
      <c r="S193" s="572"/>
      <c r="T193" s="572"/>
      <c r="U193" s="572"/>
      <c r="V193" s="572"/>
      <c r="W193" s="572"/>
      <c r="X193" s="572"/>
      <c r="Y193" s="572"/>
      <c r="Z193" s="572"/>
    </row>
    <row r="194" spans="1:26" ht="12.75" customHeight="1" x14ac:dyDescent="0.3">
      <c r="A194" s="572"/>
      <c r="B194" s="572"/>
      <c r="C194" s="572"/>
      <c r="D194" s="572"/>
      <c r="E194" s="572"/>
      <c r="F194" s="572"/>
      <c r="G194" s="572"/>
      <c r="H194" s="572"/>
      <c r="I194" s="572"/>
      <c r="J194" s="572"/>
      <c r="K194" s="572"/>
      <c r="L194" s="572"/>
      <c r="M194" s="572"/>
      <c r="N194" s="572"/>
      <c r="O194" s="572"/>
      <c r="P194" s="572"/>
      <c r="Q194" s="572"/>
      <c r="R194" s="572"/>
      <c r="S194" s="572"/>
      <c r="T194" s="572"/>
      <c r="U194" s="572"/>
      <c r="V194" s="572"/>
      <c r="W194" s="572"/>
      <c r="X194" s="572"/>
      <c r="Y194" s="572"/>
      <c r="Z194" s="572"/>
    </row>
    <row r="195" spans="1:26" ht="12.75" customHeight="1" x14ac:dyDescent="0.3">
      <c r="A195" s="572"/>
      <c r="B195" s="572"/>
      <c r="C195" s="572"/>
      <c r="D195" s="572"/>
      <c r="E195" s="572"/>
      <c r="F195" s="572"/>
      <c r="G195" s="572"/>
      <c r="H195" s="572"/>
      <c r="I195" s="572"/>
      <c r="J195" s="572"/>
      <c r="K195" s="572"/>
      <c r="L195" s="572"/>
      <c r="M195" s="572"/>
      <c r="N195" s="572"/>
      <c r="O195" s="572"/>
      <c r="P195" s="572"/>
      <c r="Q195" s="572"/>
      <c r="R195" s="572"/>
      <c r="S195" s="572"/>
      <c r="T195" s="572"/>
      <c r="U195" s="572"/>
      <c r="V195" s="572"/>
      <c r="W195" s="572"/>
      <c r="X195" s="572"/>
      <c r="Y195" s="572"/>
      <c r="Z195" s="572"/>
    </row>
    <row r="196" spans="1:26" ht="12.75" customHeight="1" x14ac:dyDescent="0.3">
      <c r="A196" s="572"/>
      <c r="B196" s="572"/>
      <c r="C196" s="572"/>
      <c r="D196" s="572"/>
      <c r="E196" s="572"/>
      <c r="F196" s="572"/>
      <c r="G196" s="572"/>
      <c r="H196" s="572"/>
      <c r="I196" s="572"/>
      <c r="J196" s="572"/>
      <c r="K196" s="572"/>
      <c r="L196" s="572"/>
      <c r="M196" s="572"/>
      <c r="N196" s="572"/>
      <c r="O196" s="572"/>
      <c r="P196" s="572"/>
      <c r="Q196" s="572"/>
      <c r="R196" s="572"/>
      <c r="S196" s="572"/>
      <c r="T196" s="572"/>
      <c r="U196" s="572"/>
      <c r="V196" s="572"/>
      <c r="W196" s="572"/>
      <c r="X196" s="572"/>
      <c r="Y196" s="572"/>
      <c r="Z196" s="572"/>
    </row>
    <row r="197" spans="1:26" ht="12.75" customHeight="1" x14ac:dyDescent="0.3">
      <c r="A197" s="572"/>
      <c r="B197" s="572"/>
      <c r="C197" s="572"/>
      <c r="D197" s="572"/>
      <c r="E197" s="572"/>
      <c r="F197" s="572"/>
      <c r="G197" s="572"/>
      <c r="H197" s="572"/>
      <c r="I197" s="572"/>
      <c r="J197" s="572"/>
      <c r="K197" s="572"/>
      <c r="L197" s="572"/>
      <c r="M197" s="572"/>
      <c r="N197" s="572"/>
      <c r="O197" s="572"/>
      <c r="P197" s="572"/>
      <c r="Q197" s="572"/>
      <c r="R197" s="572"/>
      <c r="S197" s="572"/>
      <c r="T197" s="572"/>
      <c r="U197" s="572"/>
      <c r="V197" s="572"/>
      <c r="W197" s="572"/>
      <c r="X197" s="572"/>
      <c r="Y197" s="572"/>
      <c r="Z197" s="572"/>
    </row>
    <row r="198" spans="1:26" ht="12.75" customHeight="1" x14ac:dyDescent="0.3">
      <c r="A198" s="572"/>
      <c r="B198" s="572"/>
      <c r="C198" s="572"/>
      <c r="D198" s="572"/>
      <c r="E198" s="572"/>
      <c r="F198" s="572"/>
      <c r="G198" s="572"/>
      <c r="H198" s="572"/>
      <c r="I198" s="572"/>
      <c r="J198" s="572"/>
      <c r="K198" s="572"/>
      <c r="L198" s="572"/>
      <c r="M198" s="572"/>
      <c r="N198" s="572"/>
      <c r="O198" s="572"/>
      <c r="P198" s="572"/>
      <c r="Q198" s="572"/>
      <c r="R198" s="572"/>
      <c r="S198" s="572"/>
      <c r="T198" s="572"/>
      <c r="U198" s="572"/>
      <c r="V198" s="572"/>
      <c r="W198" s="572"/>
      <c r="X198" s="572"/>
      <c r="Y198" s="572"/>
      <c r="Z198" s="572"/>
    </row>
    <row r="199" spans="1:26" ht="12.75" customHeight="1" x14ac:dyDescent="0.3">
      <c r="A199" s="572"/>
      <c r="B199" s="572"/>
      <c r="C199" s="572"/>
      <c r="D199" s="572"/>
      <c r="E199" s="572"/>
      <c r="F199" s="572"/>
      <c r="G199" s="572"/>
      <c r="H199" s="572"/>
      <c r="I199" s="572"/>
      <c r="J199" s="572"/>
      <c r="K199" s="572"/>
      <c r="L199" s="572"/>
      <c r="M199" s="572"/>
      <c r="N199" s="572"/>
      <c r="O199" s="572"/>
      <c r="P199" s="572"/>
      <c r="Q199" s="572"/>
      <c r="R199" s="572"/>
      <c r="S199" s="572"/>
      <c r="T199" s="572"/>
      <c r="U199" s="572"/>
      <c r="V199" s="572"/>
      <c r="W199" s="572"/>
      <c r="X199" s="572"/>
      <c r="Y199" s="572"/>
      <c r="Z199" s="572"/>
    </row>
    <row r="200" spans="1:26" ht="12.75" customHeight="1" x14ac:dyDescent="0.3">
      <c r="A200" s="572"/>
      <c r="B200" s="572"/>
      <c r="C200" s="572"/>
      <c r="D200" s="572"/>
      <c r="E200" s="572"/>
      <c r="F200" s="572"/>
      <c r="G200" s="572"/>
      <c r="H200" s="572"/>
      <c r="I200" s="572"/>
      <c r="J200" s="572"/>
      <c r="K200" s="572"/>
      <c r="L200" s="572"/>
      <c r="M200" s="572"/>
      <c r="N200" s="572"/>
      <c r="O200" s="572"/>
      <c r="P200" s="572"/>
      <c r="Q200" s="572"/>
      <c r="R200" s="572"/>
      <c r="S200" s="572"/>
      <c r="T200" s="572"/>
      <c r="U200" s="572"/>
      <c r="V200" s="572"/>
      <c r="W200" s="572"/>
      <c r="X200" s="572"/>
      <c r="Y200" s="572"/>
      <c r="Z200" s="572"/>
    </row>
    <row r="201" spans="1:26" ht="12.75" customHeight="1" x14ac:dyDescent="0.3">
      <c r="A201" s="572"/>
      <c r="B201" s="572"/>
      <c r="C201" s="572"/>
      <c r="D201" s="572"/>
      <c r="E201" s="572"/>
      <c r="F201" s="572"/>
      <c r="G201" s="572"/>
      <c r="H201" s="572"/>
      <c r="I201" s="572"/>
      <c r="J201" s="572"/>
      <c r="K201" s="572"/>
      <c r="L201" s="572"/>
      <c r="M201" s="572"/>
      <c r="N201" s="572"/>
      <c r="O201" s="572"/>
      <c r="P201" s="572"/>
      <c r="Q201" s="572"/>
      <c r="R201" s="572"/>
      <c r="S201" s="572"/>
      <c r="T201" s="572"/>
      <c r="U201" s="572"/>
      <c r="V201" s="572"/>
      <c r="W201" s="572"/>
      <c r="X201" s="572"/>
      <c r="Y201" s="572"/>
      <c r="Z201" s="572"/>
    </row>
    <row r="202" spans="1:26" ht="12.75" customHeight="1" x14ac:dyDescent="0.3">
      <c r="A202" s="572"/>
      <c r="B202" s="572"/>
      <c r="C202" s="572"/>
      <c r="D202" s="572"/>
      <c r="E202" s="572"/>
      <c r="F202" s="572"/>
      <c r="G202" s="572"/>
      <c r="H202" s="572"/>
      <c r="I202" s="572"/>
      <c r="J202" s="572"/>
      <c r="K202" s="572"/>
      <c r="L202" s="572"/>
      <c r="M202" s="572"/>
      <c r="N202" s="572"/>
      <c r="O202" s="572"/>
      <c r="P202" s="572"/>
      <c r="Q202" s="572"/>
      <c r="R202" s="572"/>
      <c r="S202" s="572"/>
      <c r="T202" s="572"/>
      <c r="U202" s="572"/>
      <c r="V202" s="572"/>
      <c r="W202" s="572"/>
      <c r="X202" s="572"/>
      <c r="Y202" s="572"/>
      <c r="Z202" s="572"/>
    </row>
    <row r="203" spans="1:26" ht="12.75" customHeight="1" x14ac:dyDescent="0.3">
      <c r="A203" s="572"/>
      <c r="B203" s="572"/>
      <c r="C203" s="572"/>
      <c r="D203" s="572"/>
      <c r="E203" s="572"/>
      <c r="F203" s="572"/>
      <c r="G203" s="572"/>
      <c r="H203" s="572"/>
      <c r="I203" s="572"/>
      <c r="J203" s="572"/>
      <c r="K203" s="572"/>
      <c r="L203" s="572"/>
      <c r="M203" s="572"/>
      <c r="N203" s="572"/>
      <c r="O203" s="572"/>
      <c r="P203" s="572"/>
      <c r="Q203" s="572"/>
      <c r="R203" s="572"/>
      <c r="S203" s="572"/>
      <c r="T203" s="572"/>
      <c r="U203" s="572"/>
      <c r="V203" s="572"/>
      <c r="W203" s="572"/>
      <c r="X203" s="572"/>
      <c r="Y203" s="572"/>
      <c r="Z203" s="572"/>
    </row>
    <row r="204" spans="1:26" ht="12.75" customHeight="1" x14ac:dyDescent="0.3">
      <c r="A204" s="572"/>
      <c r="B204" s="572"/>
      <c r="C204" s="572"/>
      <c r="D204" s="572"/>
      <c r="E204" s="572"/>
      <c r="F204" s="572"/>
      <c r="G204" s="572"/>
      <c r="H204" s="572"/>
      <c r="I204" s="572"/>
      <c r="J204" s="572"/>
      <c r="K204" s="572"/>
      <c r="L204" s="572"/>
      <c r="M204" s="572"/>
      <c r="N204" s="572"/>
      <c r="O204" s="572"/>
      <c r="P204" s="572"/>
      <c r="Q204" s="572"/>
      <c r="R204" s="572"/>
      <c r="S204" s="572"/>
      <c r="T204" s="572"/>
      <c r="U204" s="572"/>
      <c r="V204" s="572"/>
      <c r="W204" s="572"/>
      <c r="X204" s="572"/>
      <c r="Y204" s="572"/>
      <c r="Z204" s="572"/>
    </row>
    <row r="205" spans="1:26" ht="12.75" customHeight="1" x14ac:dyDescent="0.3">
      <c r="A205" s="572"/>
      <c r="B205" s="572"/>
      <c r="C205" s="572"/>
      <c r="D205" s="572"/>
      <c r="E205" s="572"/>
      <c r="F205" s="572"/>
      <c r="G205" s="572"/>
      <c r="H205" s="572"/>
      <c r="I205" s="572"/>
      <c r="J205" s="572"/>
      <c r="K205" s="572"/>
      <c r="L205" s="572"/>
      <c r="M205" s="572"/>
      <c r="N205" s="572"/>
      <c r="O205" s="572"/>
      <c r="P205" s="572"/>
      <c r="Q205" s="572"/>
      <c r="R205" s="572"/>
      <c r="S205" s="572"/>
      <c r="T205" s="572"/>
      <c r="U205" s="572"/>
      <c r="V205" s="572"/>
      <c r="W205" s="572"/>
      <c r="X205" s="572"/>
      <c r="Y205" s="572"/>
      <c r="Z205" s="572"/>
    </row>
    <row r="206" spans="1:26" ht="12.75" customHeight="1" x14ac:dyDescent="0.3">
      <c r="A206" s="572"/>
      <c r="B206" s="572"/>
      <c r="C206" s="572"/>
      <c r="D206" s="572"/>
      <c r="E206" s="572"/>
      <c r="F206" s="572"/>
      <c r="G206" s="572"/>
      <c r="H206" s="572"/>
      <c r="I206" s="572"/>
      <c r="J206" s="572"/>
      <c r="K206" s="572"/>
      <c r="L206" s="572"/>
      <c r="M206" s="572"/>
      <c r="N206" s="572"/>
      <c r="O206" s="572"/>
      <c r="P206" s="572"/>
      <c r="Q206" s="572"/>
      <c r="R206" s="572"/>
      <c r="S206" s="572"/>
      <c r="T206" s="572"/>
      <c r="U206" s="572"/>
      <c r="V206" s="572"/>
      <c r="W206" s="572"/>
      <c r="X206" s="572"/>
      <c r="Y206" s="572"/>
      <c r="Z206" s="572"/>
    </row>
    <row r="207" spans="1:26" ht="12.75" customHeight="1" x14ac:dyDescent="0.3">
      <c r="A207" s="572"/>
      <c r="B207" s="572"/>
      <c r="C207" s="572"/>
      <c r="D207" s="572"/>
      <c r="E207" s="572"/>
      <c r="F207" s="572"/>
      <c r="G207" s="572"/>
      <c r="H207" s="572"/>
      <c r="I207" s="572"/>
      <c r="J207" s="572"/>
      <c r="K207" s="572"/>
      <c r="L207" s="572"/>
      <c r="M207" s="572"/>
      <c r="N207" s="572"/>
      <c r="O207" s="572"/>
      <c r="P207" s="572"/>
      <c r="Q207" s="572"/>
      <c r="R207" s="572"/>
      <c r="S207" s="572"/>
      <c r="T207" s="572"/>
      <c r="U207" s="572"/>
      <c r="V207" s="572"/>
      <c r="W207" s="572"/>
      <c r="X207" s="572"/>
      <c r="Y207" s="572"/>
      <c r="Z207" s="572"/>
    </row>
    <row r="208" spans="1:26" ht="12.75" customHeight="1" x14ac:dyDescent="0.3">
      <c r="A208" s="572"/>
      <c r="B208" s="572"/>
      <c r="C208" s="572"/>
      <c r="D208" s="572"/>
      <c r="E208" s="572"/>
      <c r="F208" s="572"/>
      <c r="G208" s="572"/>
      <c r="H208" s="572"/>
      <c r="I208" s="572"/>
      <c r="J208" s="572"/>
      <c r="K208" s="572"/>
      <c r="L208" s="572"/>
      <c r="M208" s="572"/>
      <c r="N208" s="572"/>
      <c r="O208" s="572"/>
      <c r="P208" s="572"/>
      <c r="Q208" s="572"/>
      <c r="R208" s="572"/>
      <c r="S208" s="572"/>
      <c r="T208" s="572"/>
      <c r="U208" s="572"/>
      <c r="V208" s="572"/>
      <c r="W208" s="572"/>
      <c r="X208" s="572"/>
      <c r="Y208" s="572"/>
      <c r="Z208" s="572"/>
    </row>
    <row r="209" spans="1:26" ht="12.75" customHeight="1" x14ac:dyDescent="0.3">
      <c r="A209" s="572"/>
      <c r="B209" s="572"/>
      <c r="C209" s="572"/>
      <c r="D209" s="572"/>
      <c r="E209" s="572"/>
      <c r="F209" s="572"/>
      <c r="G209" s="572"/>
      <c r="H209" s="572"/>
      <c r="I209" s="572"/>
      <c r="J209" s="572"/>
      <c r="K209" s="572"/>
      <c r="L209" s="572"/>
      <c r="M209" s="572"/>
      <c r="N209" s="572"/>
      <c r="O209" s="572"/>
      <c r="P209" s="572"/>
      <c r="Q209" s="572"/>
      <c r="R209" s="572"/>
      <c r="S209" s="572"/>
      <c r="T209" s="572"/>
      <c r="U209" s="572"/>
      <c r="V209" s="572"/>
      <c r="W209" s="572"/>
      <c r="X209" s="572"/>
      <c r="Y209" s="572"/>
      <c r="Z209" s="572"/>
    </row>
    <row r="210" spans="1:26" ht="12.75" customHeight="1" x14ac:dyDescent="0.3">
      <c r="A210" s="572"/>
      <c r="B210" s="572"/>
      <c r="C210" s="572"/>
      <c r="D210" s="572"/>
      <c r="E210" s="572"/>
      <c r="F210" s="572"/>
      <c r="G210" s="572"/>
      <c r="H210" s="572"/>
      <c r="I210" s="572"/>
      <c r="J210" s="572"/>
      <c r="K210" s="572"/>
      <c r="L210" s="572"/>
      <c r="M210" s="572"/>
      <c r="N210" s="572"/>
      <c r="O210" s="572"/>
      <c r="P210" s="572"/>
      <c r="Q210" s="572"/>
      <c r="R210" s="572"/>
      <c r="S210" s="572"/>
      <c r="T210" s="572"/>
      <c r="U210" s="572"/>
      <c r="V210" s="572"/>
      <c r="W210" s="572"/>
      <c r="X210" s="572"/>
      <c r="Y210" s="572"/>
      <c r="Z210" s="572"/>
    </row>
    <row r="211" spans="1:26" ht="12.75" customHeight="1" x14ac:dyDescent="0.3">
      <c r="A211" s="572"/>
      <c r="B211" s="572"/>
      <c r="C211" s="572"/>
      <c r="D211" s="572"/>
      <c r="E211" s="572"/>
      <c r="F211" s="572"/>
      <c r="G211" s="572"/>
      <c r="H211" s="572"/>
      <c r="I211" s="572"/>
      <c r="J211" s="572"/>
      <c r="K211" s="572"/>
      <c r="L211" s="572"/>
      <c r="M211" s="572"/>
      <c r="N211" s="572"/>
      <c r="O211" s="572"/>
      <c r="P211" s="572"/>
      <c r="Q211" s="572"/>
      <c r="R211" s="572"/>
      <c r="S211" s="572"/>
      <c r="T211" s="572"/>
      <c r="U211" s="572"/>
      <c r="V211" s="572"/>
      <c r="W211" s="572"/>
      <c r="X211" s="572"/>
      <c r="Y211" s="572"/>
      <c r="Z211" s="572"/>
    </row>
    <row r="212" spans="1:26" ht="12.75" customHeight="1" x14ac:dyDescent="0.3">
      <c r="A212" s="572"/>
      <c r="B212" s="572"/>
      <c r="C212" s="572"/>
      <c r="D212" s="572"/>
      <c r="E212" s="572"/>
      <c r="F212" s="572"/>
      <c r="G212" s="572"/>
      <c r="H212" s="572"/>
      <c r="I212" s="572"/>
      <c r="J212" s="572"/>
      <c r="K212" s="572"/>
      <c r="L212" s="572"/>
      <c r="M212" s="572"/>
      <c r="N212" s="572"/>
      <c r="O212" s="572"/>
      <c r="P212" s="572"/>
      <c r="Q212" s="572"/>
      <c r="R212" s="572"/>
      <c r="S212" s="572"/>
      <c r="T212" s="572"/>
      <c r="U212" s="572"/>
      <c r="V212" s="572"/>
      <c r="W212" s="572"/>
      <c r="X212" s="572"/>
      <c r="Y212" s="572"/>
      <c r="Z212" s="572"/>
    </row>
    <row r="213" spans="1:26" ht="12.75" customHeight="1" x14ac:dyDescent="0.3">
      <c r="A213" s="572"/>
      <c r="B213" s="572"/>
      <c r="C213" s="572"/>
      <c r="D213" s="572"/>
      <c r="E213" s="572"/>
      <c r="F213" s="572"/>
      <c r="G213" s="572"/>
      <c r="H213" s="572"/>
      <c r="I213" s="572"/>
      <c r="J213" s="572"/>
      <c r="K213" s="572"/>
      <c r="L213" s="572"/>
      <c r="M213" s="572"/>
      <c r="N213" s="572"/>
      <c r="O213" s="572"/>
      <c r="P213" s="572"/>
      <c r="Q213" s="572"/>
      <c r="R213" s="572"/>
      <c r="S213" s="572"/>
      <c r="T213" s="572"/>
      <c r="U213" s="572"/>
      <c r="V213" s="572"/>
      <c r="W213" s="572"/>
      <c r="X213" s="572"/>
      <c r="Y213" s="572"/>
      <c r="Z213" s="572"/>
    </row>
    <row r="214" spans="1:26" ht="12.75" customHeight="1" x14ac:dyDescent="0.3">
      <c r="A214" s="572"/>
      <c r="B214" s="572"/>
      <c r="C214" s="572"/>
      <c r="D214" s="572"/>
      <c r="E214" s="572"/>
      <c r="F214" s="572"/>
      <c r="G214" s="572"/>
      <c r="H214" s="572"/>
      <c r="I214" s="572"/>
      <c r="J214" s="572"/>
      <c r="K214" s="572"/>
      <c r="L214" s="572"/>
      <c r="M214" s="572"/>
      <c r="N214" s="572"/>
      <c r="O214" s="572"/>
      <c r="P214" s="572"/>
      <c r="Q214" s="572"/>
      <c r="R214" s="572"/>
      <c r="S214" s="572"/>
      <c r="T214" s="572"/>
      <c r="U214" s="572"/>
      <c r="V214" s="572"/>
      <c r="W214" s="572"/>
      <c r="X214" s="572"/>
      <c r="Y214" s="572"/>
      <c r="Z214" s="572"/>
    </row>
    <row r="215" spans="1:26" ht="12.75" customHeight="1" x14ac:dyDescent="0.3">
      <c r="A215" s="572"/>
      <c r="B215" s="572"/>
      <c r="C215" s="572"/>
      <c r="D215" s="572"/>
      <c r="E215" s="572"/>
      <c r="F215" s="572"/>
      <c r="G215" s="572"/>
      <c r="H215" s="572"/>
      <c r="I215" s="572"/>
      <c r="J215" s="572"/>
      <c r="K215" s="572"/>
      <c r="L215" s="572"/>
      <c r="M215" s="572"/>
      <c r="N215" s="572"/>
      <c r="O215" s="572"/>
      <c r="P215" s="572"/>
      <c r="Q215" s="572"/>
      <c r="R215" s="572"/>
      <c r="S215" s="572"/>
      <c r="T215" s="572"/>
      <c r="U215" s="572"/>
      <c r="V215" s="572"/>
      <c r="W215" s="572"/>
      <c r="X215" s="572"/>
      <c r="Y215" s="572"/>
      <c r="Z215" s="572"/>
    </row>
    <row r="216" spans="1:26" ht="12.75" customHeight="1" x14ac:dyDescent="0.3">
      <c r="A216" s="572"/>
      <c r="B216" s="572"/>
      <c r="C216" s="572"/>
      <c r="D216" s="572"/>
      <c r="E216" s="572"/>
      <c r="F216" s="572"/>
      <c r="G216" s="572"/>
      <c r="H216" s="572"/>
      <c r="I216" s="572"/>
      <c r="J216" s="572"/>
      <c r="K216" s="572"/>
      <c r="L216" s="572"/>
      <c r="M216" s="572"/>
      <c r="N216" s="572"/>
      <c r="O216" s="572"/>
      <c r="P216" s="572"/>
      <c r="Q216" s="572"/>
      <c r="R216" s="572"/>
      <c r="S216" s="572"/>
      <c r="T216" s="572"/>
      <c r="U216" s="572"/>
      <c r="V216" s="572"/>
      <c r="W216" s="572"/>
      <c r="X216" s="572"/>
      <c r="Y216" s="572"/>
      <c r="Z216" s="572"/>
    </row>
    <row r="217" spans="1:26" ht="12.75" customHeight="1" x14ac:dyDescent="0.3">
      <c r="A217" s="572"/>
      <c r="B217" s="572"/>
      <c r="C217" s="572"/>
      <c r="D217" s="572"/>
      <c r="E217" s="572"/>
      <c r="F217" s="572"/>
      <c r="G217" s="572"/>
      <c r="H217" s="572"/>
      <c r="I217" s="572"/>
      <c r="J217" s="572"/>
      <c r="K217" s="572"/>
      <c r="L217" s="572"/>
      <c r="M217" s="572"/>
      <c r="N217" s="572"/>
      <c r="O217" s="572"/>
      <c r="P217" s="572"/>
      <c r="Q217" s="572"/>
      <c r="R217" s="572"/>
      <c r="S217" s="572"/>
      <c r="T217" s="572"/>
      <c r="U217" s="572"/>
      <c r="V217" s="572"/>
      <c r="W217" s="572"/>
      <c r="X217" s="572"/>
      <c r="Y217" s="572"/>
      <c r="Z217" s="572"/>
    </row>
    <row r="218" spans="1:26" ht="12.75" customHeight="1" x14ac:dyDescent="0.3">
      <c r="A218" s="572"/>
      <c r="B218" s="572"/>
      <c r="C218" s="572"/>
      <c r="D218" s="572"/>
      <c r="E218" s="572"/>
      <c r="F218" s="572"/>
      <c r="G218" s="572"/>
      <c r="H218" s="572"/>
      <c r="I218" s="572"/>
      <c r="J218" s="572"/>
      <c r="K218" s="572"/>
      <c r="L218" s="572"/>
      <c r="M218" s="572"/>
      <c r="N218" s="572"/>
      <c r="O218" s="572"/>
      <c r="P218" s="572"/>
      <c r="Q218" s="572"/>
      <c r="R218" s="572"/>
      <c r="S218" s="572"/>
      <c r="T218" s="572"/>
      <c r="U218" s="572"/>
      <c r="V218" s="572"/>
      <c r="W218" s="572"/>
      <c r="X218" s="572"/>
      <c r="Y218" s="572"/>
      <c r="Z218" s="572"/>
    </row>
    <row r="219" spans="1:26" ht="12.75" customHeight="1" x14ac:dyDescent="0.3">
      <c r="A219" s="572"/>
      <c r="B219" s="572"/>
      <c r="C219" s="572"/>
      <c r="D219" s="572"/>
      <c r="E219" s="572"/>
      <c r="F219" s="572"/>
      <c r="G219" s="572"/>
      <c r="H219" s="572"/>
      <c r="I219" s="572"/>
      <c r="J219" s="572"/>
      <c r="K219" s="572"/>
      <c r="L219" s="572"/>
      <c r="M219" s="572"/>
      <c r="N219" s="572"/>
      <c r="O219" s="572"/>
      <c r="P219" s="572"/>
      <c r="Q219" s="572"/>
      <c r="R219" s="572"/>
      <c r="S219" s="572"/>
      <c r="T219" s="572"/>
      <c r="U219" s="572"/>
      <c r="V219" s="572"/>
      <c r="W219" s="572"/>
      <c r="X219" s="572"/>
      <c r="Y219" s="572"/>
      <c r="Z219" s="572"/>
    </row>
    <row r="220" spans="1:26" ht="12.75" customHeight="1" x14ac:dyDescent="0.3">
      <c r="A220" s="572"/>
      <c r="B220" s="572"/>
      <c r="C220" s="572"/>
      <c r="D220" s="572"/>
      <c r="E220" s="572"/>
      <c r="F220" s="572"/>
      <c r="G220" s="572"/>
      <c r="H220" s="572"/>
      <c r="I220" s="572"/>
      <c r="J220" s="572"/>
      <c r="K220" s="572"/>
      <c r="L220" s="572"/>
      <c r="M220" s="572"/>
      <c r="N220" s="572"/>
      <c r="O220" s="572"/>
      <c r="P220" s="572"/>
      <c r="Q220" s="572"/>
      <c r="R220" s="572"/>
      <c r="S220" s="572"/>
      <c r="T220" s="572"/>
      <c r="U220" s="572"/>
      <c r="V220" s="572"/>
      <c r="W220" s="572"/>
      <c r="X220" s="572"/>
      <c r="Y220" s="572"/>
      <c r="Z220" s="572"/>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2:E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baseColWidth="10" defaultColWidth="12.6640625" defaultRowHeight="15" customHeight="1" x14ac:dyDescent="0.3"/>
  <cols>
    <col min="1" max="1" width="16.44140625" customWidth="1"/>
    <col min="2" max="2" width="11.44140625" customWidth="1"/>
    <col min="3" max="3" width="13.88671875" customWidth="1"/>
    <col min="4" max="4" width="8.44140625" customWidth="1"/>
    <col min="5" max="5" width="13.6640625" customWidth="1"/>
    <col min="6" max="20" width="10.44140625" customWidth="1"/>
    <col min="21" max="21" width="11.44140625" customWidth="1"/>
    <col min="22" max="26" width="10.6640625" customWidth="1"/>
  </cols>
  <sheetData>
    <row r="1" spans="1:26" ht="12.75" customHeight="1" x14ac:dyDescent="0.3">
      <c r="A1" s="572"/>
      <c r="B1" s="572"/>
      <c r="C1" s="572"/>
      <c r="D1" s="572"/>
      <c r="E1" s="572"/>
      <c r="F1" s="572"/>
      <c r="G1" s="572"/>
      <c r="H1" s="572"/>
      <c r="I1" s="572"/>
      <c r="J1" s="572"/>
      <c r="K1" s="572"/>
      <c r="L1" s="572"/>
      <c r="M1" s="572"/>
      <c r="N1" s="572"/>
      <c r="O1" s="572"/>
      <c r="P1" s="572"/>
      <c r="Q1" s="572"/>
      <c r="R1" s="572"/>
      <c r="S1" s="572"/>
      <c r="T1" s="572"/>
      <c r="U1" s="572"/>
      <c r="V1" s="572"/>
      <c r="W1" s="572"/>
      <c r="X1" s="572"/>
      <c r="Y1" s="572"/>
      <c r="Z1" s="572"/>
    </row>
    <row r="2" spans="1:26" ht="12.75" customHeight="1" x14ac:dyDescent="0.3">
      <c r="A2" s="572"/>
      <c r="B2" s="1102" t="s">
        <v>1897</v>
      </c>
      <c r="C2" s="1103"/>
      <c r="D2" s="1103"/>
      <c r="E2" s="1104"/>
      <c r="F2" s="392">
        <v>45957</v>
      </c>
      <c r="G2" s="392">
        <f>+F2+30</f>
        <v>45987</v>
      </c>
      <c r="H2" s="392">
        <f>+G2+30</f>
        <v>46017</v>
      </c>
      <c r="I2" s="392">
        <v>46023</v>
      </c>
      <c r="J2" s="392">
        <v>46054</v>
      </c>
      <c r="K2" s="392">
        <v>46112</v>
      </c>
      <c r="L2" s="392">
        <v>46142</v>
      </c>
      <c r="M2" s="392">
        <v>46172</v>
      </c>
      <c r="N2" s="392">
        <v>46202</v>
      </c>
      <c r="O2" s="392">
        <v>46232</v>
      </c>
      <c r="P2" s="392">
        <v>46262</v>
      </c>
      <c r="Q2" s="392">
        <v>46292</v>
      </c>
      <c r="R2" s="392">
        <v>46322</v>
      </c>
      <c r="S2" s="425">
        <v>46352</v>
      </c>
      <c r="T2" s="392">
        <v>46382</v>
      </c>
      <c r="U2" s="572"/>
      <c r="V2" s="572"/>
      <c r="W2" s="572"/>
      <c r="X2" s="572"/>
      <c r="Y2" s="572"/>
      <c r="Z2" s="572"/>
    </row>
    <row r="3" spans="1:26" ht="12.75" customHeight="1" x14ac:dyDescent="0.3">
      <c r="A3" s="572"/>
      <c r="B3" s="572"/>
      <c r="C3" s="572"/>
      <c r="D3" s="572"/>
      <c r="E3" s="572"/>
      <c r="F3" s="572"/>
      <c r="G3" s="572"/>
      <c r="H3" s="572"/>
      <c r="I3" s="572"/>
      <c r="J3" s="572"/>
      <c r="K3" s="572"/>
      <c r="L3" s="572"/>
      <c r="M3" s="572"/>
      <c r="N3" s="572"/>
      <c r="O3" s="572"/>
      <c r="P3" s="572"/>
      <c r="Q3" s="572"/>
      <c r="R3" s="572"/>
      <c r="S3" s="572"/>
      <c r="T3" s="572"/>
      <c r="U3" s="572"/>
      <c r="V3" s="572"/>
      <c r="W3" s="572"/>
      <c r="X3" s="572"/>
      <c r="Y3" s="572"/>
      <c r="Z3" s="572"/>
    </row>
    <row r="4" spans="1:26" ht="12.75" customHeight="1" x14ac:dyDescent="0.3">
      <c r="A4" s="572"/>
      <c r="B4" s="572"/>
      <c r="C4" s="572" t="s">
        <v>1898</v>
      </c>
      <c r="D4" s="572"/>
      <c r="E4" s="572"/>
      <c r="F4" s="579">
        <f>+E4*(1+F6)</f>
        <v>0</v>
      </c>
      <c r="G4" s="579">
        <f>+F4*(1+G6)</f>
        <v>0</v>
      </c>
      <c r="H4" s="582">
        <v>1300000</v>
      </c>
      <c r="I4" s="579">
        <f t="shared" ref="I4:T4" si="0">+H4*(1+I6)</f>
        <v>1337700</v>
      </c>
      <c r="J4" s="579">
        <f t="shared" si="0"/>
        <v>1376493.2999999998</v>
      </c>
      <c r="K4" s="579">
        <f t="shared" si="0"/>
        <v>1423294.0721999998</v>
      </c>
      <c r="L4" s="579">
        <f t="shared" si="0"/>
        <v>1460299.7180771998</v>
      </c>
      <c r="M4" s="579">
        <f t="shared" si="0"/>
        <v>1490966.0121568209</v>
      </c>
      <c r="N4" s="579">
        <f t="shared" si="0"/>
        <v>1534204.0265093686</v>
      </c>
      <c r="O4" s="579">
        <f t="shared" si="0"/>
        <v>1578695.9432781402</v>
      </c>
      <c r="P4" s="579">
        <f t="shared" si="0"/>
        <v>1624478.125633206</v>
      </c>
      <c r="Q4" s="579">
        <f t="shared" si="0"/>
        <v>1671587.9912765687</v>
      </c>
      <c r="R4" s="579">
        <f t="shared" si="0"/>
        <v>1720064.0430235891</v>
      </c>
      <c r="S4" s="579">
        <f t="shared" si="0"/>
        <v>1769945.900271273</v>
      </c>
      <c r="T4" s="579">
        <f t="shared" si="0"/>
        <v>1821274.3313791398</v>
      </c>
      <c r="U4" s="580">
        <f>SUM(I4:T4)</f>
        <v>18809003.46380531</v>
      </c>
      <c r="V4" s="572"/>
      <c r="W4" s="572"/>
      <c r="X4" s="572"/>
      <c r="Y4" s="572"/>
      <c r="Z4" s="572"/>
    </row>
    <row r="5" spans="1:26" ht="12.75" customHeight="1" x14ac:dyDescent="0.3">
      <c r="A5" s="572"/>
      <c r="B5" s="572"/>
      <c r="C5" s="324" t="s">
        <v>1899</v>
      </c>
      <c r="D5" s="572"/>
      <c r="E5" s="572"/>
      <c r="F5" s="572"/>
      <c r="G5" s="572"/>
      <c r="H5" s="572"/>
      <c r="I5" s="572"/>
      <c r="J5" s="572"/>
      <c r="K5" s="572"/>
      <c r="L5" s="572"/>
      <c r="M5" s="572"/>
      <c r="N5" s="572"/>
      <c r="O5" s="572"/>
      <c r="P5" s="572"/>
      <c r="Q5" s="572"/>
      <c r="R5" s="572"/>
      <c r="S5" s="572"/>
      <c r="T5" s="572"/>
      <c r="U5" s="572"/>
      <c r="V5" s="572"/>
      <c r="W5" s="572"/>
      <c r="X5" s="572"/>
      <c r="Y5" s="572"/>
      <c r="Z5" s="572"/>
    </row>
    <row r="6" spans="1:26" ht="12.75" customHeight="1" x14ac:dyDescent="0.3">
      <c r="A6" s="572"/>
      <c r="B6" s="572"/>
      <c r="C6" s="412"/>
      <c r="D6" s="412"/>
      <c r="E6" s="412" t="s">
        <v>1894</v>
      </c>
      <c r="F6" s="414">
        <f>+Flk!K34</f>
        <v>2.3E-2</v>
      </c>
      <c r="G6" s="414">
        <f>+Flk!L34</f>
        <v>0.02</v>
      </c>
      <c r="H6" s="414">
        <f>+Flk!M34</f>
        <v>0.02</v>
      </c>
      <c r="I6" s="414">
        <f>+Flk!B71</f>
        <v>2.9000000000000001E-2</v>
      </c>
      <c r="J6" s="414">
        <f>+Flk!C71</f>
        <v>2.9000000000000001E-2</v>
      </c>
      <c r="K6" s="414">
        <f>+Flk!D71</f>
        <v>3.4000000000000002E-2</v>
      </c>
      <c r="L6" s="414">
        <f>+Flk!E71</f>
        <v>2.5999999999999999E-2</v>
      </c>
      <c r="M6" s="414">
        <f>+Flk!F71</f>
        <v>2.1000000000000001E-2</v>
      </c>
      <c r="N6" s="414">
        <f>+Flk!G71</f>
        <v>2.9000000000000001E-2</v>
      </c>
      <c r="O6" s="414">
        <f>+Flk!H71</f>
        <v>2.9000000000000001E-2</v>
      </c>
      <c r="P6" s="414">
        <f>+Flk!I71</f>
        <v>2.9000000000000001E-2</v>
      </c>
      <c r="Q6" s="414">
        <f>+Flk!J71</f>
        <v>2.9000000000000001E-2</v>
      </c>
      <c r="R6" s="414">
        <f>+Flk!K71</f>
        <v>2.9000000000000001E-2</v>
      </c>
      <c r="S6" s="414">
        <f>+Flk!L71</f>
        <v>2.9000000000000001E-2</v>
      </c>
      <c r="T6" s="414">
        <f>+Flk!M71</f>
        <v>2.9000000000000001E-2</v>
      </c>
      <c r="U6" s="572"/>
      <c r="V6" s="572"/>
      <c r="W6" s="572"/>
      <c r="X6" s="572"/>
      <c r="Y6" s="572"/>
      <c r="Z6" s="572"/>
    </row>
    <row r="7" spans="1:26" ht="12.75" customHeight="1" x14ac:dyDescent="0.3">
      <c r="A7" s="572"/>
      <c r="B7" s="572"/>
      <c r="C7" s="572"/>
      <c r="D7" s="572"/>
      <c r="E7" s="572"/>
      <c r="F7" s="572"/>
      <c r="G7" s="572"/>
      <c r="H7" s="572"/>
      <c r="I7" s="572"/>
      <c r="J7" s="572"/>
      <c r="K7" s="572"/>
      <c r="L7" s="572"/>
      <c r="M7" s="572"/>
      <c r="N7" s="572"/>
      <c r="O7" s="572"/>
      <c r="P7" s="572"/>
      <c r="Q7" s="572"/>
      <c r="R7" s="572"/>
      <c r="S7" s="572"/>
      <c r="T7" s="572"/>
      <c r="U7" s="572"/>
      <c r="V7" s="572"/>
      <c r="W7" s="572"/>
      <c r="X7" s="572"/>
      <c r="Y7" s="572"/>
      <c r="Z7" s="572"/>
    </row>
    <row r="8" spans="1:26" ht="12.75" customHeight="1" x14ac:dyDescent="0.3">
      <c r="A8" s="572"/>
      <c r="B8" s="572"/>
      <c r="C8" s="572"/>
      <c r="D8" s="572"/>
      <c r="E8" s="572"/>
      <c r="F8" s="572"/>
      <c r="G8" s="572"/>
      <c r="H8" s="572"/>
      <c r="I8" s="572"/>
      <c r="J8" s="572"/>
      <c r="K8" s="572"/>
      <c r="L8" s="572"/>
      <c r="M8" s="572"/>
      <c r="N8" s="572"/>
      <c r="O8" s="572"/>
      <c r="P8" s="572"/>
      <c r="Q8" s="572"/>
      <c r="R8" s="572"/>
      <c r="S8" s="572"/>
      <c r="T8" s="572"/>
      <c r="U8" s="572"/>
      <c r="V8" s="572"/>
      <c r="W8" s="572"/>
      <c r="X8" s="572"/>
      <c r="Y8" s="572"/>
      <c r="Z8" s="572"/>
    </row>
    <row r="9" spans="1:26" ht="12.75" customHeight="1" x14ac:dyDescent="0.3">
      <c r="A9" s="572"/>
      <c r="B9" s="572"/>
      <c r="C9" s="572"/>
      <c r="D9" s="572"/>
      <c r="E9" s="572"/>
      <c r="F9" s="572"/>
      <c r="G9" s="572"/>
      <c r="H9" s="572"/>
      <c r="I9" s="572"/>
      <c r="J9" s="572"/>
      <c r="K9" s="572"/>
      <c r="L9" s="572"/>
      <c r="M9" s="572"/>
      <c r="N9" s="572"/>
      <c r="O9" s="572"/>
      <c r="P9" s="572"/>
      <c r="Q9" s="572"/>
      <c r="R9" s="572"/>
      <c r="S9" s="572"/>
      <c r="T9" s="572"/>
      <c r="U9" s="572"/>
      <c r="V9" s="572"/>
      <c r="W9" s="572"/>
      <c r="X9" s="572"/>
      <c r="Y9" s="572"/>
      <c r="Z9" s="572"/>
    </row>
    <row r="10" spans="1:26" ht="12.75" customHeight="1" x14ac:dyDescent="0.3">
      <c r="A10" s="581"/>
      <c r="B10" s="572"/>
      <c r="C10" s="572"/>
      <c r="D10" s="572"/>
      <c r="E10" s="572"/>
      <c r="F10" s="572"/>
      <c r="G10" s="572"/>
      <c r="H10" s="572"/>
      <c r="I10" s="572"/>
      <c r="J10" s="572"/>
      <c r="K10" s="572"/>
      <c r="L10" s="572"/>
      <c r="M10" s="572"/>
      <c r="N10" s="572"/>
      <c r="O10" s="572"/>
      <c r="P10" s="572"/>
      <c r="Q10" s="572"/>
      <c r="R10" s="572"/>
      <c r="S10" s="572"/>
      <c r="T10" s="572"/>
      <c r="U10" s="572"/>
      <c r="V10" s="572"/>
      <c r="W10" s="572"/>
      <c r="X10" s="572"/>
      <c r="Y10" s="572"/>
      <c r="Z10" s="572"/>
    </row>
    <row r="11" spans="1:26" ht="12.75" customHeight="1" x14ac:dyDescent="0.3">
      <c r="A11" s="572"/>
      <c r="B11" s="572"/>
      <c r="C11" s="572"/>
      <c r="D11" s="572"/>
      <c r="E11" s="572"/>
      <c r="F11" s="572"/>
      <c r="G11" s="572"/>
      <c r="H11" s="572"/>
      <c r="I11" s="572"/>
      <c r="J11" s="572"/>
      <c r="K11" s="572"/>
      <c r="L11" s="572"/>
      <c r="M11" s="572"/>
      <c r="N11" s="572"/>
      <c r="O11" s="572"/>
      <c r="P11" s="572"/>
      <c r="Q11" s="572"/>
      <c r="R11" s="572"/>
      <c r="S11" s="572"/>
      <c r="T11" s="572"/>
      <c r="U11" s="572"/>
      <c r="V11" s="572"/>
      <c r="W11" s="572"/>
      <c r="X11" s="572"/>
      <c r="Y11" s="572"/>
      <c r="Z11" s="572"/>
    </row>
    <row r="12" spans="1:26" ht="12.75" customHeight="1" x14ac:dyDescent="0.3">
      <c r="A12" s="572"/>
      <c r="B12" s="572"/>
      <c r="C12" s="572"/>
      <c r="D12" s="572"/>
      <c r="E12" s="572"/>
      <c r="F12" s="572"/>
      <c r="G12" s="572"/>
      <c r="H12" s="572"/>
      <c r="I12" s="572"/>
      <c r="J12" s="572"/>
      <c r="K12" s="572"/>
      <c r="L12" s="572"/>
      <c r="M12" s="572"/>
      <c r="N12" s="572"/>
      <c r="O12" s="572"/>
      <c r="P12" s="572"/>
      <c r="Q12" s="572"/>
      <c r="R12" s="572"/>
      <c r="S12" s="572"/>
      <c r="T12" s="572"/>
      <c r="U12" s="572"/>
      <c r="V12" s="572"/>
      <c r="W12" s="572"/>
      <c r="X12" s="572"/>
      <c r="Y12" s="572"/>
      <c r="Z12" s="572"/>
    </row>
    <row r="13" spans="1:26" ht="12.75" customHeight="1" x14ac:dyDescent="0.3">
      <c r="A13" s="572"/>
      <c r="B13" s="572"/>
      <c r="C13" s="572"/>
      <c r="D13" s="572"/>
      <c r="E13" s="572"/>
      <c r="F13" s="572"/>
      <c r="G13" s="572"/>
      <c r="H13" s="572"/>
      <c r="I13" s="572"/>
      <c r="J13" s="572"/>
      <c r="K13" s="572"/>
      <c r="L13" s="572"/>
      <c r="M13" s="572"/>
      <c r="N13" s="572"/>
      <c r="O13" s="572"/>
      <c r="P13" s="572"/>
      <c r="Q13" s="572"/>
      <c r="R13" s="572"/>
      <c r="S13" s="572"/>
      <c r="T13" s="572"/>
      <c r="U13" s="572"/>
      <c r="V13" s="572"/>
      <c r="W13" s="572"/>
      <c r="X13" s="572"/>
      <c r="Y13" s="572"/>
      <c r="Z13" s="572"/>
    </row>
    <row r="14" spans="1:26" ht="12.75" customHeight="1" x14ac:dyDescent="0.3">
      <c r="A14" s="572"/>
      <c r="B14" s="572"/>
      <c r="C14" s="572"/>
      <c r="D14" s="572"/>
      <c r="E14" s="572"/>
      <c r="F14" s="572"/>
      <c r="G14" s="572"/>
      <c r="H14" s="572"/>
      <c r="I14" s="572"/>
      <c r="J14" s="572"/>
      <c r="K14" s="572"/>
      <c r="L14" s="572"/>
      <c r="M14" s="572"/>
      <c r="N14" s="572"/>
      <c r="O14" s="572"/>
      <c r="P14" s="572"/>
      <c r="Q14" s="572"/>
      <c r="R14" s="572"/>
      <c r="S14" s="572"/>
      <c r="T14" s="572"/>
      <c r="U14" s="572"/>
      <c r="V14" s="572"/>
      <c r="W14" s="572"/>
      <c r="X14" s="572"/>
      <c r="Y14" s="572"/>
      <c r="Z14" s="572"/>
    </row>
    <row r="15" spans="1:26" ht="12.75" customHeight="1" x14ac:dyDescent="0.3">
      <c r="A15" s="572"/>
      <c r="B15" s="572"/>
      <c r="C15" s="572"/>
      <c r="D15" s="572"/>
      <c r="E15" s="572"/>
      <c r="F15" s="572"/>
      <c r="G15" s="572"/>
      <c r="H15" s="572"/>
      <c r="I15" s="572"/>
      <c r="J15" s="572"/>
      <c r="K15" s="572"/>
      <c r="L15" s="572"/>
      <c r="M15" s="572"/>
      <c r="N15" s="572"/>
      <c r="O15" s="572"/>
      <c r="P15" s="572"/>
      <c r="Q15" s="572"/>
      <c r="R15" s="572"/>
      <c r="S15" s="572"/>
      <c r="T15" s="572"/>
      <c r="U15" s="572"/>
      <c r="V15" s="572"/>
      <c r="W15" s="572"/>
      <c r="X15" s="572"/>
      <c r="Y15" s="572"/>
      <c r="Z15" s="572"/>
    </row>
    <row r="16" spans="1:26" ht="12.75" customHeight="1" x14ac:dyDescent="0.3">
      <c r="A16" s="572"/>
      <c r="B16" s="572"/>
      <c r="C16" s="572"/>
      <c r="D16" s="572"/>
      <c r="E16" s="572"/>
      <c r="F16" s="572"/>
      <c r="G16" s="572"/>
      <c r="H16" s="572"/>
      <c r="I16" s="572"/>
      <c r="J16" s="572"/>
      <c r="K16" s="572"/>
      <c r="L16" s="572"/>
      <c r="M16" s="572"/>
      <c r="N16" s="572"/>
      <c r="O16" s="572"/>
      <c r="P16" s="572"/>
      <c r="Q16" s="572"/>
      <c r="R16" s="572"/>
      <c r="S16" s="572"/>
      <c r="T16" s="572"/>
      <c r="U16" s="572"/>
      <c r="V16" s="572"/>
      <c r="W16" s="572"/>
      <c r="X16" s="572"/>
      <c r="Y16" s="572"/>
      <c r="Z16" s="572"/>
    </row>
    <row r="17" spans="1:26" ht="12.75" customHeight="1" x14ac:dyDescent="0.3">
      <c r="A17" s="572"/>
      <c r="B17" s="572"/>
      <c r="C17" s="572"/>
      <c r="D17" s="572"/>
      <c r="E17" s="572"/>
      <c r="F17" s="572"/>
      <c r="G17" s="572"/>
      <c r="H17" s="572"/>
      <c r="I17" s="572"/>
      <c r="J17" s="572"/>
      <c r="K17" s="572"/>
      <c r="L17" s="572"/>
      <c r="M17" s="572"/>
      <c r="N17" s="572"/>
      <c r="O17" s="572"/>
      <c r="P17" s="572"/>
      <c r="Q17" s="572"/>
      <c r="R17" s="572"/>
      <c r="S17" s="572"/>
      <c r="T17" s="572"/>
      <c r="U17" s="572"/>
      <c r="V17" s="572"/>
      <c r="W17" s="572"/>
      <c r="X17" s="572"/>
      <c r="Y17" s="572"/>
      <c r="Z17" s="572"/>
    </row>
    <row r="18" spans="1:26" ht="12.75" customHeight="1" x14ac:dyDescent="0.3">
      <c r="A18" s="572"/>
      <c r="B18" s="572"/>
      <c r="C18" s="572"/>
      <c r="D18" s="572"/>
      <c r="E18" s="572"/>
      <c r="F18" s="572"/>
      <c r="G18" s="572"/>
      <c r="H18" s="572"/>
      <c r="I18" s="572"/>
      <c r="J18" s="572"/>
      <c r="K18" s="572"/>
      <c r="L18" s="572"/>
      <c r="M18" s="572"/>
      <c r="N18" s="572"/>
      <c r="O18" s="572"/>
      <c r="P18" s="572"/>
      <c r="Q18" s="572"/>
      <c r="R18" s="572"/>
      <c r="S18" s="572"/>
      <c r="T18" s="572"/>
      <c r="U18" s="572"/>
      <c r="V18" s="572"/>
      <c r="W18" s="572"/>
      <c r="X18" s="572"/>
      <c r="Y18" s="572"/>
      <c r="Z18" s="572"/>
    </row>
    <row r="19" spans="1:26" ht="12.75" customHeight="1" x14ac:dyDescent="0.3">
      <c r="A19" s="572"/>
      <c r="B19" s="572"/>
      <c r="C19" s="572"/>
      <c r="D19" s="572"/>
      <c r="E19" s="572"/>
      <c r="F19" s="572"/>
      <c r="G19" s="572"/>
      <c r="H19" s="572"/>
      <c r="I19" s="572"/>
      <c r="J19" s="572"/>
      <c r="K19" s="572"/>
      <c r="L19" s="572"/>
      <c r="M19" s="572"/>
      <c r="N19" s="572"/>
      <c r="O19" s="572"/>
      <c r="P19" s="572"/>
      <c r="Q19" s="572"/>
      <c r="R19" s="572"/>
      <c r="S19" s="572"/>
      <c r="T19" s="572"/>
      <c r="U19" s="572"/>
      <c r="V19" s="572"/>
      <c r="W19" s="572"/>
      <c r="X19" s="572"/>
      <c r="Y19" s="572"/>
      <c r="Z19" s="572"/>
    </row>
    <row r="20" spans="1:26" ht="12.75" customHeight="1" x14ac:dyDescent="0.3">
      <c r="A20" s="572"/>
      <c r="B20" s="572"/>
      <c r="C20" s="572"/>
      <c r="D20" s="572"/>
      <c r="E20" s="572"/>
      <c r="F20" s="572"/>
      <c r="G20" s="572"/>
      <c r="H20" s="572"/>
      <c r="I20" s="572"/>
      <c r="J20" s="572"/>
      <c r="K20" s="572"/>
      <c r="L20" s="572"/>
      <c r="M20" s="572"/>
      <c r="N20" s="572"/>
      <c r="O20" s="572"/>
      <c r="P20" s="572"/>
      <c r="Q20" s="572"/>
      <c r="R20" s="572"/>
      <c r="S20" s="572"/>
      <c r="T20" s="572"/>
      <c r="U20" s="572"/>
      <c r="V20" s="572"/>
      <c r="W20" s="572"/>
      <c r="X20" s="572"/>
      <c r="Y20" s="572"/>
      <c r="Z20" s="572"/>
    </row>
    <row r="21" spans="1:26" ht="12.75" customHeight="1" x14ac:dyDescent="0.3">
      <c r="A21" s="572"/>
      <c r="B21" s="572"/>
      <c r="C21" s="572"/>
      <c r="D21" s="572"/>
      <c r="E21" s="572"/>
      <c r="F21" s="572"/>
      <c r="G21" s="572"/>
      <c r="H21" s="572"/>
      <c r="I21" s="572"/>
      <c r="J21" s="572"/>
      <c r="K21" s="572"/>
      <c r="L21" s="572"/>
      <c r="M21" s="572"/>
      <c r="N21" s="572"/>
      <c r="O21" s="572"/>
      <c r="P21" s="572"/>
      <c r="Q21" s="572"/>
      <c r="R21" s="572"/>
      <c r="S21" s="572"/>
      <c r="T21" s="572"/>
      <c r="U21" s="572"/>
      <c r="V21" s="572"/>
      <c r="W21" s="572"/>
      <c r="X21" s="572"/>
      <c r="Y21" s="572"/>
      <c r="Z21" s="572"/>
    </row>
    <row r="22" spans="1:26" ht="12.75" customHeight="1" x14ac:dyDescent="0.3">
      <c r="A22" s="572"/>
      <c r="B22" s="572"/>
      <c r="C22" s="572"/>
      <c r="D22" s="572"/>
      <c r="E22" s="572"/>
      <c r="F22" s="572"/>
      <c r="G22" s="572"/>
      <c r="H22" s="572"/>
      <c r="I22" s="572"/>
      <c r="J22" s="572"/>
      <c r="K22" s="572"/>
      <c r="L22" s="572"/>
      <c r="M22" s="572"/>
      <c r="N22" s="572"/>
      <c r="O22" s="572"/>
      <c r="P22" s="572"/>
      <c r="Q22" s="572"/>
      <c r="R22" s="572"/>
      <c r="S22" s="572"/>
      <c r="T22" s="572"/>
      <c r="U22" s="572"/>
      <c r="V22" s="572"/>
      <c r="W22" s="572"/>
      <c r="X22" s="572"/>
      <c r="Y22" s="572"/>
      <c r="Z22" s="572"/>
    </row>
    <row r="23" spans="1:26" ht="12.75" customHeight="1" x14ac:dyDescent="0.3">
      <c r="A23" s="572"/>
      <c r="B23" s="572"/>
      <c r="C23" s="572"/>
      <c r="D23" s="572"/>
      <c r="E23" s="572"/>
      <c r="F23" s="572"/>
      <c r="G23" s="572"/>
      <c r="H23" s="572"/>
      <c r="I23" s="572"/>
      <c r="J23" s="572"/>
      <c r="K23" s="572"/>
      <c r="L23" s="572"/>
      <c r="M23" s="572"/>
      <c r="N23" s="572"/>
      <c r="O23" s="572"/>
      <c r="P23" s="572"/>
      <c r="Q23" s="572"/>
      <c r="R23" s="572"/>
      <c r="S23" s="572"/>
      <c r="T23" s="572"/>
      <c r="U23" s="572"/>
      <c r="V23" s="572"/>
      <c r="W23" s="572"/>
      <c r="X23" s="572"/>
      <c r="Y23" s="572"/>
      <c r="Z23" s="572"/>
    </row>
    <row r="24" spans="1:26" ht="12.75" customHeight="1" x14ac:dyDescent="0.3">
      <c r="A24" s="572"/>
      <c r="B24" s="572"/>
      <c r="C24" s="572"/>
      <c r="D24" s="572"/>
      <c r="E24" s="572"/>
      <c r="F24" s="572"/>
      <c r="G24" s="572"/>
      <c r="H24" s="572"/>
      <c r="I24" s="572"/>
      <c r="J24" s="572"/>
      <c r="K24" s="572"/>
      <c r="L24" s="572"/>
      <c r="M24" s="572"/>
      <c r="N24" s="572"/>
      <c r="O24" s="572"/>
      <c r="P24" s="572"/>
      <c r="Q24" s="572"/>
      <c r="R24" s="572"/>
      <c r="S24" s="572"/>
      <c r="T24" s="572"/>
      <c r="U24" s="572"/>
      <c r="V24" s="572"/>
      <c r="W24" s="572"/>
      <c r="X24" s="572"/>
      <c r="Y24" s="572"/>
      <c r="Z24" s="572"/>
    </row>
    <row r="25" spans="1:26" ht="12.75" customHeight="1" x14ac:dyDescent="0.3">
      <c r="A25" s="572"/>
      <c r="B25" s="572"/>
      <c r="C25" s="572"/>
      <c r="D25" s="572"/>
      <c r="E25" s="572"/>
      <c r="F25" s="572"/>
      <c r="G25" s="572"/>
      <c r="H25" s="572"/>
      <c r="I25" s="572"/>
      <c r="J25" s="572"/>
      <c r="K25" s="572"/>
      <c r="L25" s="572"/>
      <c r="M25" s="572"/>
      <c r="N25" s="572"/>
      <c r="O25" s="572"/>
      <c r="P25" s="572"/>
      <c r="Q25" s="572"/>
      <c r="R25" s="572"/>
      <c r="S25" s="572"/>
      <c r="T25" s="572"/>
      <c r="U25" s="572"/>
      <c r="V25" s="572"/>
      <c r="W25" s="572"/>
      <c r="X25" s="572"/>
      <c r="Y25" s="572"/>
      <c r="Z25" s="572"/>
    </row>
    <row r="26" spans="1:26" ht="12.75" customHeight="1" x14ac:dyDescent="0.3">
      <c r="A26" s="572"/>
      <c r="B26" s="572"/>
      <c r="C26" s="572"/>
      <c r="D26" s="572"/>
      <c r="E26" s="572"/>
      <c r="F26" s="572"/>
      <c r="G26" s="572"/>
      <c r="H26" s="572"/>
      <c r="I26" s="572"/>
      <c r="J26" s="572"/>
      <c r="K26" s="572"/>
      <c r="L26" s="572"/>
      <c r="M26" s="572"/>
      <c r="N26" s="572"/>
      <c r="O26" s="572"/>
      <c r="P26" s="572"/>
      <c r="Q26" s="572"/>
      <c r="R26" s="572"/>
      <c r="S26" s="572"/>
      <c r="T26" s="572"/>
      <c r="U26" s="572"/>
      <c r="V26" s="572"/>
      <c r="W26" s="572"/>
      <c r="X26" s="572"/>
      <c r="Y26" s="572"/>
      <c r="Z26" s="572"/>
    </row>
    <row r="27" spans="1:26" ht="12.75" customHeight="1" x14ac:dyDescent="0.3">
      <c r="A27" s="572"/>
      <c r="B27" s="572"/>
      <c r="C27" s="572"/>
      <c r="D27" s="572"/>
      <c r="E27" s="572"/>
      <c r="F27" s="572"/>
      <c r="G27" s="572"/>
      <c r="H27" s="572"/>
      <c r="I27" s="572"/>
      <c r="J27" s="572"/>
      <c r="K27" s="572"/>
      <c r="L27" s="572"/>
      <c r="M27" s="572"/>
      <c r="N27" s="572"/>
      <c r="O27" s="572"/>
      <c r="P27" s="572"/>
      <c r="Q27" s="572"/>
      <c r="R27" s="572"/>
      <c r="S27" s="572"/>
      <c r="T27" s="572"/>
      <c r="U27" s="572"/>
      <c r="V27" s="572"/>
      <c r="W27" s="572"/>
      <c r="X27" s="572"/>
      <c r="Y27" s="572"/>
      <c r="Z27" s="572"/>
    </row>
    <row r="28" spans="1:26" ht="12.75" customHeight="1" x14ac:dyDescent="0.3">
      <c r="A28" s="572"/>
      <c r="B28" s="572"/>
      <c r="C28" s="572"/>
      <c r="D28" s="572"/>
      <c r="E28" s="572"/>
      <c r="F28" s="572"/>
      <c r="G28" s="572"/>
      <c r="H28" s="572"/>
      <c r="I28" s="572"/>
      <c r="J28" s="572"/>
      <c r="K28" s="572"/>
      <c r="L28" s="572"/>
      <c r="M28" s="572"/>
      <c r="N28" s="572"/>
      <c r="O28" s="572"/>
      <c r="P28" s="572"/>
      <c r="Q28" s="572"/>
      <c r="R28" s="572"/>
      <c r="S28" s="572"/>
      <c r="T28" s="572"/>
      <c r="U28" s="572"/>
      <c r="V28" s="572"/>
      <c r="W28" s="572"/>
      <c r="X28" s="572"/>
      <c r="Y28" s="572"/>
      <c r="Z28" s="572"/>
    </row>
    <row r="29" spans="1:26" ht="12.75" customHeight="1" x14ac:dyDescent="0.3">
      <c r="A29" s="572"/>
      <c r="B29" s="572"/>
      <c r="C29" s="572"/>
      <c r="D29" s="572"/>
      <c r="E29" s="572"/>
      <c r="F29" s="572"/>
      <c r="G29" s="572"/>
      <c r="H29" s="572"/>
      <c r="I29" s="572"/>
      <c r="J29" s="572"/>
      <c r="K29" s="572"/>
      <c r="L29" s="572"/>
      <c r="M29" s="572"/>
      <c r="N29" s="572"/>
      <c r="O29" s="572"/>
      <c r="P29" s="572"/>
      <c r="Q29" s="572"/>
      <c r="R29" s="572"/>
      <c r="S29" s="572"/>
      <c r="T29" s="572"/>
      <c r="U29" s="572"/>
      <c r="V29" s="572"/>
      <c r="W29" s="572"/>
      <c r="X29" s="572"/>
      <c r="Y29" s="572"/>
      <c r="Z29" s="572"/>
    </row>
    <row r="30" spans="1:26" ht="12.75" customHeight="1" x14ac:dyDescent="0.3">
      <c r="A30" s="572"/>
      <c r="B30" s="572"/>
      <c r="C30" s="572"/>
      <c r="D30" s="572"/>
      <c r="E30" s="572"/>
      <c r="F30" s="572"/>
      <c r="G30" s="572"/>
      <c r="H30" s="572"/>
      <c r="I30" s="572"/>
      <c r="J30" s="572"/>
      <c r="K30" s="572"/>
      <c r="L30" s="572"/>
      <c r="M30" s="572"/>
      <c r="N30" s="572"/>
      <c r="O30" s="572"/>
      <c r="P30" s="572"/>
      <c r="Q30" s="572"/>
      <c r="R30" s="572"/>
      <c r="S30" s="572"/>
      <c r="T30" s="572"/>
      <c r="U30" s="572"/>
      <c r="V30" s="572"/>
      <c r="W30" s="572"/>
      <c r="X30" s="572"/>
      <c r="Y30" s="572"/>
      <c r="Z30" s="572"/>
    </row>
    <row r="31" spans="1:26" ht="12.75" customHeight="1" x14ac:dyDescent="0.3">
      <c r="A31" s="572"/>
      <c r="B31" s="572"/>
      <c r="C31" s="572"/>
      <c r="D31" s="572"/>
      <c r="E31" s="572"/>
      <c r="F31" s="572"/>
      <c r="G31" s="572"/>
      <c r="H31" s="572"/>
      <c r="I31" s="572"/>
      <c r="J31" s="572"/>
      <c r="K31" s="572"/>
      <c r="L31" s="572"/>
      <c r="M31" s="572"/>
      <c r="N31" s="572"/>
      <c r="O31" s="572"/>
      <c r="P31" s="572"/>
      <c r="Q31" s="572"/>
      <c r="R31" s="572"/>
      <c r="S31" s="572"/>
      <c r="T31" s="572"/>
      <c r="U31" s="572"/>
      <c r="V31" s="572"/>
      <c r="W31" s="572"/>
      <c r="X31" s="572"/>
      <c r="Y31" s="572"/>
      <c r="Z31" s="572"/>
    </row>
    <row r="32" spans="1:26" ht="12.75" customHeight="1" x14ac:dyDescent="0.3">
      <c r="A32" s="572"/>
      <c r="B32" s="572"/>
      <c r="C32" s="572"/>
      <c r="D32" s="572"/>
      <c r="E32" s="572"/>
      <c r="F32" s="572"/>
      <c r="G32" s="572"/>
      <c r="H32" s="572"/>
      <c r="I32" s="572"/>
      <c r="J32" s="572"/>
      <c r="K32" s="572"/>
      <c r="L32" s="572"/>
      <c r="M32" s="572"/>
      <c r="N32" s="572"/>
      <c r="O32" s="572"/>
      <c r="P32" s="572"/>
      <c r="Q32" s="572"/>
      <c r="R32" s="572"/>
      <c r="S32" s="572"/>
      <c r="T32" s="572"/>
      <c r="U32" s="572"/>
      <c r="V32" s="572"/>
      <c r="W32" s="572"/>
      <c r="X32" s="572"/>
      <c r="Y32" s="572"/>
      <c r="Z32" s="572"/>
    </row>
    <row r="33" spans="1:26" ht="12.75" customHeight="1" x14ac:dyDescent="0.3">
      <c r="A33" s="572"/>
      <c r="B33" s="572"/>
      <c r="C33" s="572"/>
      <c r="D33" s="572"/>
      <c r="E33" s="572"/>
      <c r="F33" s="572"/>
      <c r="G33" s="572"/>
      <c r="H33" s="572"/>
      <c r="I33" s="572"/>
      <c r="J33" s="572"/>
      <c r="K33" s="572"/>
      <c r="L33" s="572"/>
      <c r="M33" s="572"/>
      <c r="N33" s="572"/>
      <c r="O33" s="572"/>
      <c r="P33" s="572"/>
      <c r="Q33" s="572"/>
      <c r="R33" s="572"/>
      <c r="S33" s="572"/>
      <c r="T33" s="572"/>
      <c r="U33" s="572"/>
      <c r="V33" s="572"/>
      <c r="W33" s="572"/>
      <c r="X33" s="572"/>
      <c r="Y33" s="572"/>
      <c r="Z33" s="572"/>
    </row>
    <row r="34" spans="1:26" ht="12.75" customHeight="1" x14ac:dyDescent="0.3">
      <c r="A34" s="572"/>
      <c r="B34" s="572"/>
      <c r="C34" s="572"/>
      <c r="D34" s="572"/>
      <c r="E34" s="572"/>
      <c r="F34" s="572"/>
      <c r="G34" s="572"/>
      <c r="H34" s="572"/>
      <c r="I34" s="572"/>
      <c r="J34" s="572"/>
      <c r="K34" s="572"/>
      <c r="L34" s="572"/>
      <c r="M34" s="572"/>
      <c r="N34" s="572"/>
      <c r="O34" s="572"/>
      <c r="P34" s="572"/>
      <c r="Q34" s="572"/>
      <c r="R34" s="572"/>
      <c r="S34" s="572"/>
      <c r="T34" s="572"/>
      <c r="U34" s="572"/>
      <c r="V34" s="572"/>
      <c r="W34" s="572"/>
      <c r="X34" s="572"/>
      <c r="Y34" s="572"/>
      <c r="Z34" s="572"/>
    </row>
    <row r="35" spans="1:26" ht="12.75" customHeight="1" x14ac:dyDescent="0.3">
      <c r="A35" s="572"/>
      <c r="B35" s="572"/>
      <c r="C35" s="572"/>
      <c r="D35" s="572"/>
      <c r="E35" s="572"/>
      <c r="F35" s="572"/>
      <c r="G35" s="572"/>
      <c r="H35" s="572"/>
      <c r="I35" s="572"/>
      <c r="J35" s="572"/>
      <c r="K35" s="572"/>
      <c r="L35" s="572"/>
      <c r="M35" s="572"/>
      <c r="N35" s="572"/>
      <c r="O35" s="572"/>
      <c r="P35" s="572"/>
      <c r="Q35" s="572"/>
      <c r="R35" s="572"/>
      <c r="S35" s="572"/>
      <c r="T35" s="572"/>
      <c r="U35" s="572"/>
      <c r="V35" s="572"/>
      <c r="W35" s="572"/>
      <c r="X35" s="572"/>
      <c r="Y35" s="572"/>
      <c r="Z35" s="572"/>
    </row>
    <row r="36" spans="1:26" ht="12.75" customHeight="1" x14ac:dyDescent="0.3">
      <c r="A36" s="572"/>
      <c r="B36" s="572"/>
      <c r="C36" s="572"/>
      <c r="D36" s="572"/>
      <c r="E36" s="572"/>
      <c r="F36" s="572"/>
      <c r="G36" s="572"/>
      <c r="H36" s="572"/>
      <c r="I36" s="572"/>
      <c r="J36" s="572"/>
      <c r="K36" s="572"/>
      <c r="L36" s="572"/>
      <c r="M36" s="572"/>
      <c r="N36" s="572"/>
      <c r="O36" s="572"/>
      <c r="P36" s="572"/>
      <c r="Q36" s="572"/>
      <c r="R36" s="572"/>
      <c r="S36" s="572"/>
      <c r="T36" s="572"/>
      <c r="U36" s="572"/>
      <c r="V36" s="572"/>
      <c r="W36" s="572"/>
      <c r="X36" s="572"/>
      <c r="Y36" s="572"/>
      <c r="Z36" s="572"/>
    </row>
    <row r="37" spans="1:26" ht="12.75" customHeight="1" x14ac:dyDescent="0.3">
      <c r="A37" s="572"/>
      <c r="B37" s="572"/>
      <c r="C37" s="572"/>
      <c r="D37" s="572"/>
      <c r="E37" s="572"/>
      <c r="F37" s="572"/>
      <c r="G37" s="572"/>
      <c r="H37" s="572"/>
      <c r="I37" s="572"/>
      <c r="J37" s="572"/>
      <c r="K37" s="572"/>
      <c r="L37" s="572"/>
      <c r="M37" s="572"/>
      <c r="N37" s="572"/>
      <c r="O37" s="572"/>
      <c r="P37" s="572"/>
      <c r="Q37" s="572"/>
      <c r="R37" s="572"/>
      <c r="S37" s="572"/>
      <c r="T37" s="572"/>
      <c r="U37" s="572"/>
      <c r="V37" s="572"/>
      <c r="W37" s="572"/>
      <c r="X37" s="572"/>
      <c r="Y37" s="572"/>
      <c r="Z37" s="572"/>
    </row>
    <row r="38" spans="1:26" ht="12.75" customHeight="1" x14ac:dyDescent="0.3">
      <c r="A38" s="572"/>
      <c r="B38" s="572"/>
      <c r="C38" s="572"/>
      <c r="D38" s="572"/>
      <c r="E38" s="572"/>
      <c r="F38" s="572"/>
      <c r="G38" s="572"/>
      <c r="H38" s="572"/>
      <c r="I38" s="572"/>
      <c r="J38" s="572"/>
      <c r="K38" s="572"/>
      <c r="L38" s="572"/>
      <c r="M38" s="572"/>
      <c r="N38" s="572"/>
      <c r="O38" s="572"/>
      <c r="P38" s="572"/>
      <c r="Q38" s="572"/>
      <c r="R38" s="572"/>
      <c r="S38" s="572"/>
      <c r="T38" s="572"/>
      <c r="U38" s="572"/>
      <c r="V38" s="572"/>
      <c r="W38" s="572"/>
      <c r="X38" s="572"/>
      <c r="Y38" s="572"/>
      <c r="Z38" s="572"/>
    </row>
    <row r="39" spans="1:26" ht="12.75" customHeight="1" x14ac:dyDescent="0.3">
      <c r="A39" s="572"/>
      <c r="B39" s="572"/>
      <c r="C39" s="572"/>
      <c r="D39" s="572"/>
      <c r="E39" s="572"/>
      <c r="F39" s="572"/>
      <c r="G39" s="572"/>
      <c r="H39" s="572"/>
      <c r="I39" s="572"/>
      <c r="J39" s="572"/>
      <c r="K39" s="572"/>
      <c r="L39" s="572"/>
      <c r="M39" s="572"/>
      <c r="N39" s="572"/>
      <c r="O39" s="572"/>
      <c r="P39" s="572"/>
      <c r="Q39" s="572"/>
      <c r="R39" s="572"/>
      <c r="S39" s="572"/>
      <c r="T39" s="572"/>
      <c r="U39" s="572"/>
      <c r="V39" s="572"/>
      <c r="W39" s="572"/>
      <c r="X39" s="572"/>
      <c r="Y39" s="572"/>
      <c r="Z39" s="572"/>
    </row>
    <row r="40" spans="1:26" ht="12.75" customHeight="1" x14ac:dyDescent="0.3">
      <c r="A40" s="572"/>
      <c r="B40" s="572"/>
      <c r="C40" s="572"/>
      <c r="D40" s="572"/>
      <c r="E40" s="572"/>
      <c r="F40" s="572"/>
      <c r="G40" s="572"/>
      <c r="H40" s="572"/>
      <c r="I40" s="572"/>
      <c r="J40" s="572"/>
      <c r="K40" s="572"/>
      <c r="L40" s="572"/>
      <c r="M40" s="572"/>
      <c r="N40" s="572"/>
      <c r="O40" s="572"/>
      <c r="P40" s="572"/>
      <c r="Q40" s="572"/>
      <c r="R40" s="572"/>
      <c r="S40" s="572"/>
      <c r="T40" s="572"/>
      <c r="U40" s="572"/>
      <c r="V40" s="572"/>
      <c r="W40" s="572"/>
      <c r="X40" s="572"/>
      <c r="Y40" s="572"/>
      <c r="Z40" s="572"/>
    </row>
    <row r="41" spans="1:26" ht="12.75" customHeight="1" x14ac:dyDescent="0.3">
      <c r="A41" s="572"/>
      <c r="B41" s="572"/>
      <c r="C41" s="572"/>
      <c r="D41" s="572"/>
      <c r="E41" s="572"/>
      <c r="F41" s="572"/>
      <c r="G41" s="572"/>
      <c r="H41" s="572"/>
      <c r="I41" s="572"/>
      <c r="J41" s="572"/>
      <c r="K41" s="572"/>
      <c r="L41" s="572"/>
      <c r="M41" s="572"/>
      <c r="N41" s="572"/>
      <c r="O41" s="572"/>
      <c r="P41" s="572"/>
      <c r="Q41" s="572"/>
      <c r="R41" s="572"/>
      <c r="S41" s="572"/>
      <c r="T41" s="572"/>
      <c r="U41" s="572"/>
      <c r="V41" s="572"/>
      <c r="W41" s="572"/>
      <c r="X41" s="572"/>
      <c r="Y41" s="572"/>
      <c r="Z41" s="572"/>
    </row>
    <row r="42" spans="1:26" ht="12.75" customHeight="1" x14ac:dyDescent="0.3">
      <c r="A42" s="572"/>
      <c r="B42" s="572"/>
      <c r="C42" s="572"/>
      <c r="D42" s="572"/>
      <c r="E42" s="572"/>
      <c r="F42" s="572"/>
      <c r="G42" s="572"/>
      <c r="H42" s="572"/>
      <c r="I42" s="572"/>
      <c r="J42" s="572"/>
      <c r="K42" s="572"/>
      <c r="L42" s="572"/>
      <c r="M42" s="572"/>
      <c r="N42" s="572"/>
      <c r="O42" s="572"/>
      <c r="P42" s="572"/>
      <c r="Q42" s="572"/>
      <c r="R42" s="572"/>
      <c r="S42" s="572"/>
      <c r="T42" s="572"/>
      <c r="U42" s="572"/>
      <c r="V42" s="572"/>
      <c r="W42" s="572"/>
      <c r="X42" s="572"/>
      <c r="Y42" s="572"/>
      <c r="Z42" s="572"/>
    </row>
    <row r="43" spans="1:26" ht="12.75" customHeight="1" x14ac:dyDescent="0.3">
      <c r="A43" s="572"/>
      <c r="B43" s="572"/>
      <c r="C43" s="572"/>
      <c r="D43" s="572"/>
      <c r="E43" s="572"/>
      <c r="F43" s="572"/>
      <c r="G43" s="572"/>
      <c r="H43" s="572"/>
      <c r="I43" s="572"/>
      <c r="J43" s="572"/>
      <c r="K43" s="572"/>
      <c r="L43" s="572"/>
      <c r="M43" s="572"/>
      <c r="N43" s="572"/>
      <c r="O43" s="572"/>
      <c r="P43" s="572"/>
      <c r="Q43" s="572"/>
      <c r="R43" s="572"/>
      <c r="S43" s="572"/>
      <c r="T43" s="572"/>
      <c r="U43" s="572"/>
      <c r="V43" s="572"/>
      <c r="W43" s="572"/>
      <c r="X43" s="572"/>
      <c r="Y43" s="572"/>
      <c r="Z43" s="572"/>
    </row>
    <row r="44" spans="1:26" ht="12.75" customHeight="1" x14ac:dyDescent="0.3">
      <c r="A44" s="572"/>
      <c r="B44" s="572"/>
      <c r="C44" s="572"/>
      <c r="D44" s="572"/>
      <c r="E44" s="572"/>
      <c r="F44" s="572"/>
      <c r="G44" s="572"/>
      <c r="H44" s="572"/>
      <c r="I44" s="572"/>
      <c r="J44" s="572"/>
      <c r="K44" s="572"/>
      <c r="L44" s="572"/>
      <c r="M44" s="572"/>
      <c r="N44" s="572"/>
      <c r="O44" s="572"/>
      <c r="P44" s="572"/>
      <c r="Q44" s="572"/>
      <c r="R44" s="572"/>
      <c r="S44" s="572"/>
      <c r="T44" s="572"/>
      <c r="U44" s="572"/>
      <c r="V44" s="572"/>
      <c r="W44" s="572"/>
      <c r="X44" s="572"/>
      <c r="Y44" s="572"/>
      <c r="Z44" s="572"/>
    </row>
    <row r="45" spans="1:26" ht="12.75" customHeight="1" x14ac:dyDescent="0.3">
      <c r="A45" s="572"/>
      <c r="B45" s="572"/>
      <c r="C45" s="572"/>
      <c r="D45" s="572"/>
      <c r="E45" s="572"/>
      <c r="F45" s="572"/>
      <c r="G45" s="572"/>
      <c r="H45" s="572"/>
      <c r="I45" s="572"/>
      <c r="J45" s="572"/>
      <c r="K45" s="572"/>
      <c r="L45" s="572"/>
      <c r="M45" s="572"/>
      <c r="N45" s="572"/>
      <c r="O45" s="572"/>
      <c r="P45" s="572"/>
      <c r="Q45" s="572"/>
      <c r="R45" s="572"/>
      <c r="S45" s="572"/>
      <c r="T45" s="572"/>
      <c r="U45" s="572"/>
      <c r="V45" s="572"/>
      <c r="W45" s="572"/>
      <c r="X45" s="572"/>
      <c r="Y45" s="572"/>
      <c r="Z45" s="572"/>
    </row>
    <row r="46" spans="1:26" ht="12.75" customHeight="1" x14ac:dyDescent="0.3">
      <c r="A46" s="572"/>
      <c r="B46" s="572"/>
      <c r="C46" s="572"/>
      <c r="D46" s="572"/>
      <c r="E46" s="572"/>
      <c r="F46" s="572"/>
      <c r="G46" s="572"/>
      <c r="H46" s="572"/>
      <c r="I46" s="572"/>
      <c r="J46" s="572"/>
      <c r="K46" s="572"/>
      <c r="L46" s="572"/>
      <c r="M46" s="572"/>
      <c r="N46" s="572"/>
      <c r="O46" s="572"/>
      <c r="P46" s="572"/>
      <c r="Q46" s="572"/>
      <c r="R46" s="572"/>
      <c r="S46" s="572"/>
      <c r="T46" s="572"/>
      <c r="U46" s="572"/>
      <c r="V46" s="572"/>
      <c r="W46" s="572"/>
      <c r="X46" s="572"/>
      <c r="Y46" s="572"/>
      <c r="Z46" s="572"/>
    </row>
    <row r="47" spans="1:26" ht="12.75" customHeight="1" x14ac:dyDescent="0.3">
      <c r="A47" s="572"/>
      <c r="B47" s="572"/>
      <c r="C47" s="572"/>
      <c r="D47" s="572"/>
      <c r="E47" s="572"/>
      <c r="F47" s="572"/>
      <c r="G47" s="572"/>
      <c r="H47" s="572"/>
      <c r="I47" s="572"/>
      <c r="J47" s="572"/>
      <c r="K47" s="572"/>
      <c r="L47" s="572"/>
      <c r="M47" s="572"/>
      <c r="N47" s="572"/>
      <c r="O47" s="572"/>
      <c r="P47" s="572"/>
      <c r="Q47" s="572"/>
      <c r="R47" s="572"/>
      <c r="S47" s="572"/>
      <c r="T47" s="572"/>
      <c r="U47" s="572"/>
      <c r="V47" s="572"/>
      <c r="W47" s="572"/>
      <c r="X47" s="572"/>
      <c r="Y47" s="572"/>
      <c r="Z47" s="572"/>
    </row>
    <row r="48" spans="1:26" ht="12.75" customHeight="1" x14ac:dyDescent="0.3">
      <c r="A48" s="572"/>
      <c r="B48" s="572"/>
      <c r="C48" s="572"/>
      <c r="D48" s="572"/>
      <c r="E48" s="572"/>
      <c r="F48" s="572"/>
      <c r="G48" s="572"/>
      <c r="H48" s="572"/>
      <c r="I48" s="572"/>
      <c r="J48" s="572"/>
      <c r="K48" s="572"/>
      <c r="L48" s="572"/>
      <c r="M48" s="572"/>
      <c r="N48" s="572"/>
      <c r="O48" s="572"/>
      <c r="P48" s="572"/>
      <c r="Q48" s="572"/>
      <c r="R48" s="572"/>
      <c r="S48" s="572"/>
      <c r="T48" s="572"/>
      <c r="U48" s="572"/>
      <c r="V48" s="572"/>
      <c r="W48" s="572"/>
      <c r="X48" s="572"/>
      <c r="Y48" s="572"/>
      <c r="Z48" s="572"/>
    </row>
    <row r="49" spans="1:26" ht="12.75" customHeight="1" x14ac:dyDescent="0.3">
      <c r="A49" s="572"/>
      <c r="B49" s="572"/>
      <c r="C49" s="572"/>
      <c r="D49" s="572"/>
      <c r="E49" s="572"/>
      <c r="F49" s="572"/>
      <c r="G49" s="572"/>
      <c r="H49" s="572"/>
      <c r="I49" s="572"/>
      <c r="J49" s="572"/>
      <c r="K49" s="572"/>
      <c r="L49" s="572"/>
      <c r="M49" s="572"/>
      <c r="N49" s="572"/>
      <c r="O49" s="572"/>
      <c r="P49" s="572"/>
      <c r="Q49" s="572"/>
      <c r="R49" s="572"/>
      <c r="S49" s="572"/>
      <c r="T49" s="572"/>
      <c r="U49" s="572"/>
      <c r="V49" s="572"/>
      <c r="W49" s="572"/>
      <c r="X49" s="572"/>
      <c r="Y49" s="572"/>
      <c r="Z49" s="572"/>
    </row>
    <row r="50" spans="1:26" ht="12.75" customHeight="1" x14ac:dyDescent="0.3">
      <c r="A50" s="572"/>
      <c r="B50" s="572"/>
      <c r="C50" s="572"/>
      <c r="D50" s="572"/>
      <c r="E50" s="572"/>
      <c r="F50" s="572"/>
      <c r="G50" s="572"/>
      <c r="H50" s="572"/>
      <c r="I50" s="572"/>
      <c r="J50" s="572"/>
      <c r="K50" s="572"/>
      <c r="L50" s="572"/>
      <c r="M50" s="572"/>
      <c r="N50" s="572"/>
      <c r="O50" s="572"/>
      <c r="P50" s="572"/>
      <c r="Q50" s="572"/>
      <c r="R50" s="572"/>
      <c r="S50" s="572"/>
      <c r="T50" s="572"/>
      <c r="U50" s="572"/>
      <c r="V50" s="572"/>
      <c r="W50" s="572"/>
      <c r="X50" s="572"/>
      <c r="Y50" s="572"/>
      <c r="Z50" s="572"/>
    </row>
    <row r="51" spans="1:26" ht="12.75" customHeight="1" x14ac:dyDescent="0.3">
      <c r="A51" s="572"/>
      <c r="B51" s="572"/>
      <c r="C51" s="572"/>
      <c r="D51" s="572"/>
      <c r="E51" s="572"/>
      <c r="F51" s="572"/>
      <c r="G51" s="572"/>
      <c r="H51" s="572"/>
      <c r="I51" s="572"/>
      <c r="J51" s="572"/>
      <c r="K51" s="572"/>
      <c r="L51" s="572"/>
      <c r="M51" s="572"/>
      <c r="N51" s="572"/>
      <c r="O51" s="572"/>
      <c r="P51" s="572"/>
      <c r="Q51" s="572"/>
      <c r="R51" s="572"/>
      <c r="S51" s="572"/>
      <c r="T51" s="572"/>
      <c r="U51" s="572"/>
      <c r="V51" s="572"/>
      <c r="W51" s="572"/>
      <c r="X51" s="572"/>
      <c r="Y51" s="572"/>
      <c r="Z51" s="572"/>
    </row>
    <row r="52" spans="1:26" ht="12.75" customHeight="1" x14ac:dyDescent="0.3">
      <c r="A52" s="572"/>
      <c r="B52" s="572"/>
      <c r="C52" s="572"/>
      <c r="D52" s="572"/>
      <c r="E52" s="572"/>
      <c r="F52" s="572"/>
      <c r="G52" s="572"/>
      <c r="H52" s="572"/>
      <c r="I52" s="572"/>
      <c r="J52" s="572"/>
      <c r="K52" s="572"/>
      <c r="L52" s="572"/>
      <c r="M52" s="572"/>
      <c r="N52" s="572"/>
      <c r="O52" s="572"/>
      <c r="P52" s="572"/>
      <c r="Q52" s="572"/>
      <c r="R52" s="572"/>
      <c r="S52" s="572"/>
      <c r="T52" s="572"/>
      <c r="U52" s="572"/>
      <c r="V52" s="572"/>
      <c r="W52" s="572"/>
      <c r="X52" s="572"/>
      <c r="Y52" s="572"/>
      <c r="Z52" s="572"/>
    </row>
    <row r="53" spans="1:26" ht="12.75" customHeight="1" x14ac:dyDescent="0.3">
      <c r="A53" s="572"/>
      <c r="B53" s="572"/>
      <c r="C53" s="572"/>
      <c r="D53" s="572"/>
      <c r="E53" s="572"/>
      <c r="F53" s="572"/>
      <c r="G53" s="572"/>
      <c r="H53" s="572"/>
      <c r="I53" s="572"/>
      <c r="J53" s="572"/>
      <c r="K53" s="572"/>
      <c r="L53" s="572"/>
      <c r="M53" s="572"/>
      <c r="N53" s="572"/>
      <c r="O53" s="572"/>
      <c r="P53" s="572"/>
      <c r="Q53" s="572"/>
      <c r="R53" s="572"/>
      <c r="S53" s="572"/>
      <c r="T53" s="572"/>
      <c r="U53" s="572"/>
      <c r="V53" s="572"/>
      <c r="W53" s="572"/>
      <c r="X53" s="572"/>
      <c r="Y53" s="572"/>
      <c r="Z53" s="572"/>
    </row>
    <row r="54" spans="1:26" ht="12.75" customHeight="1" x14ac:dyDescent="0.3">
      <c r="A54" s="572"/>
      <c r="B54" s="572"/>
      <c r="C54" s="572"/>
      <c r="D54" s="572"/>
      <c r="E54" s="572"/>
      <c r="F54" s="572"/>
      <c r="G54" s="572"/>
      <c r="H54" s="572"/>
      <c r="I54" s="572"/>
      <c r="J54" s="572"/>
      <c r="K54" s="572"/>
      <c r="L54" s="572"/>
      <c r="M54" s="572"/>
      <c r="N54" s="572"/>
      <c r="O54" s="572"/>
      <c r="P54" s="572"/>
      <c r="Q54" s="572"/>
      <c r="R54" s="572"/>
      <c r="S54" s="572"/>
      <c r="T54" s="572"/>
      <c r="U54" s="572"/>
      <c r="V54" s="572"/>
      <c r="W54" s="572"/>
      <c r="X54" s="572"/>
      <c r="Y54" s="572"/>
      <c r="Z54" s="572"/>
    </row>
    <row r="55" spans="1:26" ht="12.75" customHeight="1" x14ac:dyDescent="0.3">
      <c r="A55" s="572"/>
      <c r="B55" s="572"/>
      <c r="C55" s="572"/>
      <c r="D55" s="572"/>
      <c r="E55" s="572"/>
      <c r="F55" s="572"/>
      <c r="G55" s="572"/>
      <c r="H55" s="572"/>
      <c r="I55" s="572"/>
      <c r="J55" s="572"/>
      <c r="K55" s="572"/>
      <c r="L55" s="572"/>
      <c r="M55" s="572"/>
      <c r="N55" s="572"/>
      <c r="O55" s="572"/>
      <c r="P55" s="572"/>
      <c r="Q55" s="572"/>
      <c r="R55" s="572"/>
      <c r="S55" s="572"/>
      <c r="T55" s="572"/>
      <c r="U55" s="572"/>
      <c r="V55" s="572"/>
      <c r="W55" s="572"/>
      <c r="X55" s="572"/>
      <c r="Y55" s="572"/>
      <c r="Z55" s="572"/>
    </row>
    <row r="56" spans="1:26" ht="12.75" customHeight="1" x14ac:dyDescent="0.3">
      <c r="A56" s="572"/>
      <c r="B56" s="572"/>
      <c r="C56" s="572"/>
      <c r="D56" s="572"/>
      <c r="E56" s="572"/>
      <c r="F56" s="572"/>
      <c r="G56" s="572"/>
      <c r="H56" s="572"/>
      <c r="I56" s="572"/>
      <c r="J56" s="572"/>
      <c r="K56" s="572"/>
      <c r="L56" s="572"/>
      <c r="M56" s="572"/>
      <c r="N56" s="572"/>
      <c r="O56" s="572"/>
      <c r="P56" s="572"/>
      <c r="Q56" s="572"/>
      <c r="R56" s="572"/>
      <c r="S56" s="572"/>
      <c r="T56" s="572"/>
      <c r="U56" s="572"/>
      <c r="V56" s="572"/>
      <c r="W56" s="572"/>
      <c r="X56" s="572"/>
      <c r="Y56" s="572"/>
      <c r="Z56" s="572"/>
    </row>
    <row r="57" spans="1:26" ht="12.75" customHeight="1" x14ac:dyDescent="0.3">
      <c r="A57" s="572"/>
      <c r="B57" s="572"/>
      <c r="C57" s="572"/>
      <c r="D57" s="572"/>
      <c r="E57" s="572"/>
      <c r="F57" s="572"/>
      <c r="G57" s="572"/>
      <c r="H57" s="572"/>
      <c r="I57" s="572"/>
      <c r="J57" s="572"/>
      <c r="K57" s="572"/>
      <c r="L57" s="572"/>
      <c r="M57" s="572"/>
      <c r="N57" s="572"/>
      <c r="O57" s="572"/>
      <c r="P57" s="572"/>
      <c r="Q57" s="572"/>
      <c r="R57" s="572"/>
      <c r="S57" s="572"/>
      <c r="T57" s="572"/>
      <c r="U57" s="572"/>
      <c r="V57" s="572"/>
      <c r="W57" s="572"/>
      <c r="X57" s="572"/>
      <c r="Y57" s="572"/>
      <c r="Z57" s="572"/>
    </row>
    <row r="58" spans="1:26" ht="12.75" customHeight="1" x14ac:dyDescent="0.3">
      <c r="A58" s="572"/>
      <c r="B58" s="572"/>
      <c r="C58" s="572"/>
      <c r="D58" s="572"/>
      <c r="E58" s="572"/>
      <c r="F58" s="572"/>
      <c r="G58" s="572"/>
      <c r="H58" s="572"/>
      <c r="I58" s="572"/>
      <c r="J58" s="572"/>
      <c r="K58" s="572"/>
      <c r="L58" s="572"/>
      <c r="M58" s="572"/>
      <c r="N58" s="572"/>
      <c r="O58" s="572"/>
      <c r="P58" s="572"/>
      <c r="Q58" s="572"/>
      <c r="R58" s="572"/>
      <c r="S58" s="572"/>
      <c r="T58" s="572"/>
      <c r="U58" s="572"/>
      <c r="V58" s="572"/>
      <c r="W58" s="572"/>
      <c r="X58" s="572"/>
      <c r="Y58" s="572"/>
      <c r="Z58" s="572"/>
    </row>
    <row r="59" spans="1:26" ht="12.75" customHeight="1" x14ac:dyDescent="0.3">
      <c r="A59" s="572"/>
      <c r="B59" s="572"/>
      <c r="C59" s="572"/>
      <c r="D59" s="572"/>
      <c r="E59" s="572"/>
      <c r="F59" s="572"/>
      <c r="G59" s="572"/>
      <c r="H59" s="572"/>
      <c r="I59" s="572"/>
      <c r="J59" s="572"/>
      <c r="K59" s="572"/>
      <c r="L59" s="572"/>
      <c r="M59" s="572"/>
      <c r="N59" s="572"/>
      <c r="O59" s="572"/>
      <c r="P59" s="572"/>
      <c r="Q59" s="572"/>
      <c r="R59" s="572"/>
      <c r="S59" s="572"/>
      <c r="T59" s="572"/>
      <c r="U59" s="572"/>
      <c r="V59" s="572"/>
      <c r="W59" s="572"/>
      <c r="X59" s="572"/>
      <c r="Y59" s="572"/>
      <c r="Z59" s="572"/>
    </row>
    <row r="60" spans="1:26" ht="12.75" customHeight="1" x14ac:dyDescent="0.3">
      <c r="A60" s="572"/>
      <c r="B60" s="572"/>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row>
    <row r="61" spans="1:26" ht="12.75" customHeight="1" x14ac:dyDescent="0.3">
      <c r="A61" s="572"/>
      <c r="B61" s="572"/>
      <c r="C61" s="572"/>
      <c r="D61" s="572"/>
      <c r="E61" s="572"/>
      <c r="F61" s="572"/>
      <c r="G61" s="572"/>
      <c r="H61" s="572"/>
      <c r="I61" s="572"/>
      <c r="J61" s="572"/>
      <c r="K61" s="572"/>
      <c r="L61" s="572"/>
      <c r="M61" s="572"/>
      <c r="N61" s="572"/>
      <c r="O61" s="572"/>
      <c r="P61" s="572"/>
      <c r="Q61" s="572"/>
      <c r="R61" s="572"/>
      <c r="S61" s="572"/>
      <c r="T61" s="572"/>
      <c r="U61" s="572"/>
      <c r="V61" s="572"/>
      <c r="W61" s="572"/>
      <c r="X61" s="572"/>
      <c r="Y61" s="572"/>
      <c r="Z61" s="572"/>
    </row>
    <row r="62" spans="1:26" ht="12.75" customHeight="1" x14ac:dyDescent="0.3">
      <c r="A62" s="572"/>
      <c r="B62" s="572"/>
      <c r="C62" s="572"/>
      <c r="D62" s="572"/>
      <c r="E62" s="572"/>
      <c r="F62" s="572"/>
      <c r="G62" s="572"/>
      <c r="H62" s="572"/>
      <c r="I62" s="572"/>
      <c r="J62" s="572"/>
      <c r="K62" s="572"/>
      <c r="L62" s="572"/>
      <c r="M62" s="572"/>
      <c r="N62" s="572"/>
      <c r="O62" s="572"/>
      <c r="P62" s="572"/>
      <c r="Q62" s="572"/>
      <c r="R62" s="572"/>
      <c r="S62" s="572"/>
      <c r="T62" s="572"/>
      <c r="U62" s="572"/>
      <c r="V62" s="572"/>
      <c r="W62" s="572"/>
      <c r="X62" s="572"/>
      <c r="Y62" s="572"/>
      <c r="Z62" s="572"/>
    </row>
    <row r="63" spans="1:26" ht="12.75" customHeight="1" x14ac:dyDescent="0.3">
      <c r="A63" s="572"/>
      <c r="B63" s="572"/>
      <c r="C63" s="572"/>
      <c r="D63" s="572"/>
      <c r="E63" s="572"/>
      <c r="F63" s="572"/>
      <c r="G63" s="572"/>
      <c r="H63" s="572"/>
      <c r="I63" s="572"/>
      <c r="J63" s="572"/>
      <c r="K63" s="572"/>
      <c r="L63" s="572"/>
      <c r="M63" s="572"/>
      <c r="N63" s="572"/>
      <c r="O63" s="572"/>
      <c r="P63" s="572"/>
      <c r="Q63" s="572"/>
      <c r="R63" s="572"/>
      <c r="S63" s="572"/>
      <c r="T63" s="572"/>
      <c r="U63" s="572"/>
      <c r="V63" s="572"/>
      <c r="W63" s="572"/>
      <c r="X63" s="572"/>
      <c r="Y63" s="572"/>
      <c r="Z63" s="572"/>
    </row>
    <row r="64" spans="1:26" ht="12.75" customHeight="1" x14ac:dyDescent="0.3">
      <c r="A64" s="572"/>
      <c r="B64" s="572"/>
      <c r="C64" s="572"/>
      <c r="D64" s="572"/>
      <c r="E64" s="572"/>
      <c r="F64" s="572"/>
      <c r="G64" s="572"/>
      <c r="H64" s="572"/>
      <c r="I64" s="572"/>
      <c r="J64" s="572"/>
      <c r="K64" s="572"/>
      <c r="L64" s="572"/>
      <c r="M64" s="572"/>
      <c r="N64" s="572"/>
      <c r="O64" s="572"/>
      <c r="P64" s="572"/>
      <c r="Q64" s="572"/>
      <c r="R64" s="572"/>
      <c r="S64" s="572"/>
      <c r="T64" s="572"/>
      <c r="U64" s="572"/>
      <c r="V64" s="572"/>
      <c r="W64" s="572"/>
      <c r="X64" s="572"/>
      <c r="Y64" s="572"/>
      <c r="Z64" s="572"/>
    </row>
    <row r="65" spans="1:26" ht="12.75" customHeight="1" x14ac:dyDescent="0.3">
      <c r="A65" s="572"/>
      <c r="B65" s="572"/>
      <c r="C65" s="572"/>
      <c r="D65" s="572"/>
      <c r="E65" s="572"/>
      <c r="F65" s="572"/>
      <c r="G65" s="572"/>
      <c r="H65" s="572"/>
      <c r="I65" s="572"/>
      <c r="J65" s="572"/>
      <c r="K65" s="572"/>
      <c r="L65" s="572"/>
      <c r="M65" s="572"/>
      <c r="N65" s="572"/>
      <c r="O65" s="572"/>
      <c r="P65" s="572"/>
      <c r="Q65" s="572"/>
      <c r="R65" s="572"/>
      <c r="S65" s="572"/>
      <c r="T65" s="572"/>
      <c r="U65" s="572"/>
      <c r="V65" s="572"/>
      <c r="W65" s="572"/>
      <c r="X65" s="572"/>
      <c r="Y65" s="572"/>
      <c r="Z65" s="572"/>
    </row>
    <row r="66" spans="1:26" ht="12.75" customHeight="1" x14ac:dyDescent="0.3">
      <c r="A66" s="572"/>
      <c r="B66" s="572"/>
      <c r="C66" s="572"/>
      <c r="D66" s="572"/>
      <c r="E66" s="572"/>
      <c r="F66" s="572"/>
      <c r="G66" s="572"/>
      <c r="H66" s="572"/>
      <c r="I66" s="572"/>
      <c r="J66" s="572"/>
      <c r="K66" s="572"/>
      <c r="L66" s="572"/>
      <c r="M66" s="572"/>
      <c r="N66" s="572"/>
      <c r="O66" s="572"/>
      <c r="P66" s="572"/>
      <c r="Q66" s="572"/>
      <c r="R66" s="572"/>
      <c r="S66" s="572"/>
      <c r="T66" s="572"/>
      <c r="U66" s="572"/>
      <c r="V66" s="572"/>
      <c r="W66" s="572"/>
      <c r="X66" s="572"/>
      <c r="Y66" s="572"/>
      <c r="Z66" s="572"/>
    </row>
    <row r="67" spans="1:26" ht="12.75" customHeight="1" x14ac:dyDescent="0.3">
      <c r="A67" s="572"/>
      <c r="B67" s="572"/>
      <c r="C67" s="572"/>
      <c r="D67" s="572"/>
      <c r="E67" s="572"/>
      <c r="F67" s="572"/>
      <c r="G67" s="572"/>
      <c r="H67" s="572"/>
      <c r="I67" s="572"/>
      <c r="J67" s="572"/>
      <c r="K67" s="572"/>
      <c r="L67" s="572"/>
      <c r="M67" s="572"/>
      <c r="N67" s="572"/>
      <c r="O67" s="572"/>
      <c r="P67" s="572"/>
      <c r="Q67" s="572"/>
      <c r="R67" s="572"/>
      <c r="S67" s="572"/>
      <c r="T67" s="572"/>
      <c r="U67" s="572"/>
      <c r="V67" s="572"/>
      <c r="W67" s="572"/>
      <c r="X67" s="572"/>
      <c r="Y67" s="572"/>
      <c r="Z67" s="572"/>
    </row>
    <row r="68" spans="1:26" ht="12.75" customHeight="1" x14ac:dyDescent="0.3">
      <c r="A68" s="572"/>
      <c r="B68" s="572"/>
      <c r="C68" s="572"/>
      <c r="D68" s="572"/>
      <c r="E68" s="572"/>
      <c r="F68" s="572"/>
      <c r="G68" s="572"/>
      <c r="H68" s="572"/>
      <c r="I68" s="572"/>
      <c r="J68" s="572"/>
      <c r="K68" s="572"/>
      <c r="L68" s="572"/>
      <c r="M68" s="572"/>
      <c r="N68" s="572"/>
      <c r="O68" s="572"/>
      <c r="P68" s="572"/>
      <c r="Q68" s="572"/>
      <c r="R68" s="572"/>
      <c r="S68" s="572"/>
      <c r="T68" s="572"/>
      <c r="U68" s="572"/>
      <c r="V68" s="572"/>
      <c r="W68" s="572"/>
      <c r="X68" s="572"/>
      <c r="Y68" s="572"/>
      <c r="Z68" s="572"/>
    </row>
    <row r="69" spans="1:26" ht="12.75" customHeight="1" x14ac:dyDescent="0.3">
      <c r="A69" s="572"/>
      <c r="B69" s="572"/>
      <c r="C69" s="572"/>
      <c r="D69" s="572"/>
      <c r="E69" s="572"/>
      <c r="F69" s="572"/>
      <c r="G69" s="572"/>
      <c r="H69" s="572"/>
      <c r="I69" s="572"/>
      <c r="J69" s="572"/>
      <c r="K69" s="572"/>
      <c r="L69" s="572"/>
      <c r="M69" s="572"/>
      <c r="N69" s="572"/>
      <c r="O69" s="572"/>
      <c r="P69" s="572"/>
      <c r="Q69" s="572"/>
      <c r="R69" s="572"/>
      <c r="S69" s="572"/>
      <c r="T69" s="572"/>
      <c r="U69" s="572"/>
      <c r="V69" s="572"/>
      <c r="W69" s="572"/>
      <c r="X69" s="572"/>
      <c r="Y69" s="572"/>
      <c r="Z69" s="572"/>
    </row>
    <row r="70" spans="1:26" ht="12.75" customHeight="1" x14ac:dyDescent="0.3">
      <c r="A70" s="572"/>
      <c r="B70" s="572"/>
      <c r="C70" s="572"/>
      <c r="D70" s="572"/>
      <c r="E70" s="572"/>
      <c r="F70" s="572"/>
      <c r="G70" s="572"/>
      <c r="H70" s="572"/>
      <c r="I70" s="572"/>
      <c r="J70" s="572"/>
      <c r="K70" s="572"/>
      <c r="L70" s="572"/>
      <c r="M70" s="572"/>
      <c r="N70" s="572"/>
      <c r="O70" s="572"/>
      <c r="P70" s="572"/>
      <c r="Q70" s="572"/>
      <c r="R70" s="572"/>
      <c r="S70" s="572"/>
      <c r="T70" s="572"/>
      <c r="U70" s="572"/>
      <c r="V70" s="572"/>
      <c r="W70" s="572"/>
      <c r="X70" s="572"/>
      <c r="Y70" s="572"/>
      <c r="Z70" s="572"/>
    </row>
    <row r="71" spans="1:26" ht="12.75" customHeight="1" x14ac:dyDescent="0.3">
      <c r="A71" s="572"/>
      <c r="B71" s="572"/>
      <c r="C71" s="572"/>
      <c r="D71" s="572"/>
      <c r="E71" s="572"/>
      <c r="F71" s="572"/>
      <c r="G71" s="572"/>
      <c r="H71" s="572"/>
      <c r="I71" s="572"/>
      <c r="J71" s="572"/>
      <c r="K71" s="572"/>
      <c r="L71" s="572"/>
      <c r="M71" s="572"/>
      <c r="N71" s="572"/>
      <c r="O71" s="572"/>
      <c r="P71" s="572"/>
      <c r="Q71" s="572"/>
      <c r="R71" s="572"/>
      <c r="S71" s="572"/>
      <c r="T71" s="572"/>
      <c r="U71" s="572"/>
      <c r="V71" s="572"/>
      <c r="W71" s="572"/>
      <c r="X71" s="572"/>
      <c r="Y71" s="572"/>
      <c r="Z71" s="572"/>
    </row>
    <row r="72" spans="1:26" ht="12.75" customHeight="1" x14ac:dyDescent="0.3">
      <c r="A72" s="572"/>
      <c r="B72" s="572"/>
      <c r="C72" s="572"/>
      <c r="D72" s="572"/>
      <c r="E72" s="572"/>
      <c r="F72" s="572"/>
      <c r="G72" s="572"/>
      <c r="H72" s="572"/>
      <c r="I72" s="572"/>
      <c r="J72" s="572"/>
      <c r="K72" s="572"/>
      <c r="L72" s="572"/>
      <c r="M72" s="572"/>
      <c r="N72" s="572"/>
      <c r="O72" s="572"/>
      <c r="P72" s="572"/>
      <c r="Q72" s="572"/>
      <c r="R72" s="572"/>
      <c r="S72" s="572"/>
      <c r="T72" s="572"/>
      <c r="U72" s="572"/>
      <c r="V72" s="572"/>
      <c r="W72" s="572"/>
      <c r="X72" s="572"/>
      <c r="Y72" s="572"/>
      <c r="Z72" s="572"/>
    </row>
    <row r="73" spans="1:26" ht="12.75" customHeight="1" x14ac:dyDescent="0.3">
      <c r="A73" s="572"/>
      <c r="B73" s="572"/>
      <c r="C73" s="572"/>
      <c r="D73" s="572"/>
      <c r="E73" s="572"/>
      <c r="F73" s="572"/>
      <c r="G73" s="572"/>
      <c r="H73" s="572"/>
      <c r="I73" s="572"/>
      <c r="J73" s="572"/>
      <c r="K73" s="572"/>
      <c r="L73" s="572"/>
      <c r="M73" s="572"/>
      <c r="N73" s="572"/>
      <c r="O73" s="572"/>
      <c r="P73" s="572"/>
      <c r="Q73" s="572"/>
      <c r="R73" s="572"/>
      <c r="S73" s="572"/>
      <c r="T73" s="572"/>
      <c r="U73" s="572"/>
      <c r="V73" s="572"/>
      <c r="W73" s="572"/>
      <c r="X73" s="572"/>
      <c r="Y73" s="572"/>
      <c r="Z73" s="572"/>
    </row>
    <row r="74" spans="1:26" ht="12.75" customHeight="1" x14ac:dyDescent="0.3">
      <c r="A74" s="572"/>
      <c r="B74" s="572"/>
      <c r="C74" s="572"/>
      <c r="D74" s="572"/>
      <c r="E74" s="572"/>
      <c r="F74" s="572"/>
      <c r="G74" s="572"/>
      <c r="H74" s="572"/>
      <c r="I74" s="572"/>
      <c r="J74" s="572"/>
      <c r="K74" s="572"/>
      <c r="L74" s="572"/>
      <c r="M74" s="572"/>
      <c r="N74" s="572"/>
      <c r="O74" s="572"/>
      <c r="P74" s="572"/>
      <c r="Q74" s="572"/>
      <c r="R74" s="572"/>
      <c r="S74" s="572"/>
      <c r="T74" s="572"/>
      <c r="U74" s="572"/>
      <c r="V74" s="572"/>
      <c r="W74" s="572"/>
      <c r="X74" s="572"/>
      <c r="Y74" s="572"/>
      <c r="Z74" s="572"/>
    </row>
    <row r="75" spans="1:26" ht="12.75" customHeight="1" x14ac:dyDescent="0.3">
      <c r="A75" s="572"/>
      <c r="B75" s="572"/>
      <c r="C75" s="572"/>
      <c r="D75" s="572"/>
      <c r="E75" s="572"/>
      <c r="F75" s="572"/>
      <c r="G75" s="572"/>
      <c r="H75" s="572"/>
      <c r="I75" s="572"/>
      <c r="J75" s="572"/>
      <c r="K75" s="572"/>
      <c r="L75" s="572"/>
      <c r="M75" s="572"/>
      <c r="N75" s="572"/>
      <c r="O75" s="572"/>
      <c r="P75" s="572"/>
      <c r="Q75" s="572"/>
      <c r="R75" s="572"/>
      <c r="S75" s="572"/>
      <c r="T75" s="572"/>
      <c r="U75" s="572"/>
      <c r="V75" s="572"/>
      <c r="W75" s="572"/>
      <c r="X75" s="572"/>
      <c r="Y75" s="572"/>
      <c r="Z75" s="572"/>
    </row>
    <row r="76" spans="1:26" ht="12.75" customHeight="1" x14ac:dyDescent="0.3">
      <c r="A76" s="572"/>
      <c r="B76" s="572"/>
      <c r="C76" s="572"/>
      <c r="D76" s="572"/>
      <c r="E76" s="572"/>
      <c r="F76" s="572"/>
      <c r="G76" s="572"/>
      <c r="H76" s="572"/>
      <c r="I76" s="572"/>
      <c r="J76" s="572"/>
      <c r="K76" s="572"/>
      <c r="L76" s="572"/>
      <c r="M76" s="572"/>
      <c r="N76" s="572"/>
      <c r="O76" s="572"/>
      <c r="P76" s="572"/>
      <c r="Q76" s="572"/>
      <c r="R76" s="572"/>
      <c r="S76" s="572"/>
      <c r="T76" s="572"/>
      <c r="U76" s="572"/>
      <c r="V76" s="572"/>
      <c r="W76" s="572"/>
      <c r="X76" s="572"/>
      <c r="Y76" s="572"/>
      <c r="Z76" s="572"/>
    </row>
    <row r="77" spans="1:26" ht="12.75" customHeight="1" x14ac:dyDescent="0.3">
      <c r="A77" s="572"/>
      <c r="B77" s="572"/>
      <c r="C77" s="572"/>
      <c r="D77" s="572"/>
      <c r="E77" s="572"/>
      <c r="F77" s="572"/>
      <c r="G77" s="572"/>
      <c r="H77" s="572"/>
      <c r="I77" s="572"/>
      <c r="J77" s="572"/>
      <c r="K77" s="572"/>
      <c r="L77" s="572"/>
      <c r="M77" s="572"/>
      <c r="N77" s="572"/>
      <c r="O77" s="572"/>
      <c r="P77" s="572"/>
      <c r="Q77" s="572"/>
      <c r="R77" s="572"/>
      <c r="S77" s="572"/>
      <c r="T77" s="572"/>
      <c r="U77" s="572"/>
      <c r="V77" s="572"/>
      <c r="W77" s="572"/>
      <c r="X77" s="572"/>
      <c r="Y77" s="572"/>
      <c r="Z77" s="572"/>
    </row>
    <row r="78" spans="1:26" ht="12.75" customHeight="1" x14ac:dyDescent="0.3">
      <c r="A78" s="572"/>
      <c r="B78" s="572"/>
      <c r="C78" s="572"/>
      <c r="D78" s="572"/>
      <c r="E78" s="572"/>
      <c r="F78" s="572"/>
      <c r="G78" s="572"/>
      <c r="H78" s="572"/>
      <c r="I78" s="572"/>
      <c r="J78" s="572"/>
      <c r="K78" s="572"/>
      <c r="L78" s="572"/>
      <c r="M78" s="572"/>
      <c r="N78" s="572"/>
      <c r="O78" s="572"/>
      <c r="P78" s="572"/>
      <c r="Q78" s="572"/>
      <c r="R78" s="572"/>
      <c r="S78" s="572"/>
      <c r="T78" s="572"/>
      <c r="U78" s="572"/>
      <c r="V78" s="572"/>
      <c r="W78" s="572"/>
      <c r="X78" s="572"/>
      <c r="Y78" s="572"/>
      <c r="Z78" s="572"/>
    </row>
    <row r="79" spans="1:26" ht="12.75" customHeight="1" x14ac:dyDescent="0.3">
      <c r="A79" s="572"/>
      <c r="B79" s="572"/>
      <c r="C79" s="572"/>
      <c r="D79" s="572"/>
      <c r="E79" s="572"/>
      <c r="F79" s="572"/>
      <c r="G79" s="572"/>
      <c r="H79" s="572"/>
      <c r="I79" s="572"/>
      <c r="J79" s="572"/>
      <c r="K79" s="572"/>
      <c r="L79" s="572"/>
      <c r="M79" s="572"/>
      <c r="N79" s="572"/>
      <c r="O79" s="572"/>
      <c r="P79" s="572"/>
      <c r="Q79" s="572"/>
      <c r="R79" s="572"/>
      <c r="S79" s="572"/>
      <c r="T79" s="572"/>
      <c r="U79" s="572"/>
      <c r="V79" s="572"/>
      <c r="W79" s="572"/>
      <c r="X79" s="572"/>
      <c r="Y79" s="572"/>
      <c r="Z79" s="572"/>
    </row>
    <row r="80" spans="1:26" ht="12.75" customHeight="1" x14ac:dyDescent="0.3">
      <c r="A80" s="572"/>
      <c r="B80" s="572"/>
      <c r="C80" s="572"/>
      <c r="D80" s="572"/>
      <c r="E80" s="572"/>
      <c r="F80" s="572"/>
      <c r="G80" s="572"/>
      <c r="H80" s="572"/>
      <c r="I80" s="572"/>
      <c r="J80" s="572"/>
      <c r="K80" s="572"/>
      <c r="L80" s="572"/>
      <c r="M80" s="572"/>
      <c r="N80" s="572"/>
      <c r="O80" s="572"/>
      <c r="P80" s="572"/>
      <c r="Q80" s="572"/>
      <c r="R80" s="572"/>
      <c r="S80" s="572"/>
      <c r="T80" s="572"/>
      <c r="U80" s="572"/>
      <c r="V80" s="572"/>
      <c r="W80" s="572"/>
      <c r="X80" s="572"/>
      <c r="Y80" s="572"/>
      <c r="Z80" s="572"/>
    </row>
    <row r="81" spans="1:26" ht="12.75" customHeight="1" x14ac:dyDescent="0.3">
      <c r="A81" s="572"/>
      <c r="B81" s="572"/>
      <c r="C81" s="572"/>
      <c r="D81" s="572"/>
      <c r="E81" s="572"/>
      <c r="F81" s="572"/>
      <c r="G81" s="572"/>
      <c r="H81" s="572"/>
      <c r="I81" s="572"/>
      <c r="J81" s="572"/>
      <c r="K81" s="572"/>
      <c r="L81" s="572"/>
      <c r="M81" s="572"/>
      <c r="N81" s="572"/>
      <c r="O81" s="572"/>
      <c r="P81" s="572"/>
      <c r="Q81" s="572"/>
      <c r="R81" s="572"/>
      <c r="S81" s="572"/>
      <c r="T81" s="572"/>
      <c r="U81" s="572"/>
      <c r="V81" s="572"/>
      <c r="W81" s="572"/>
      <c r="X81" s="572"/>
      <c r="Y81" s="572"/>
      <c r="Z81" s="572"/>
    </row>
    <row r="82" spans="1:26" ht="12.75" customHeight="1" x14ac:dyDescent="0.3">
      <c r="A82" s="572"/>
      <c r="B82" s="572"/>
      <c r="C82" s="572"/>
      <c r="D82" s="572"/>
      <c r="E82" s="572"/>
      <c r="F82" s="572"/>
      <c r="G82" s="572"/>
      <c r="H82" s="572"/>
      <c r="I82" s="572"/>
      <c r="J82" s="572"/>
      <c r="K82" s="572"/>
      <c r="L82" s="572"/>
      <c r="M82" s="572"/>
      <c r="N82" s="572"/>
      <c r="O82" s="572"/>
      <c r="P82" s="572"/>
      <c r="Q82" s="572"/>
      <c r="R82" s="572"/>
      <c r="S82" s="572"/>
      <c r="T82" s="572"/>
      <c r="U82" s="572"/>
      <c r="V82" s="572"/>
      <c r="W82" s="572"/>
      <c r="X82" s="572"/>
      <c r="Y82" s="572"/>
      <c r="Z82" s="572"/>
    </row>
    <row r="83" spans="1:26" ht="12.75" customHeight="1" x14ac:dyDescent="0.3">
      <c r="A83" s="572"/>
      <c r="B83" s="572"/>
      <c r="C83" s="572"/>
      <c r="D83" s="572"/>
      <c r="E83" s="572"/>
      <c r="F83" s="572"/>
      <c r="G83" s="572"/>
      <c r="H83" s="572"/>
      <c r="I83" s="572"/>
      <c r="J83" s="572"/>
      <c r="K83" s="572"/>
      <c r="L83" s="572"/>
      <c r="M83" s="572"/>
      <c r="N83" s="572"/>
      <c r="O83" s="572"/>
      <c r="P83" s="572"/>
      <c r="Q83" s="572"/>
      <c r="R83" s="572"/>
      <c r="S83" s="572"/>
      <c r="T83" s="572"/>
      <c r="U83" s="572"/>
      <c r="V83" s="572"/>
      <c r="W83" s="572"/>
      <c r="X83" s="572"/>
      <c r="Y83" s="572"/>
      <c r="Z83" s="572"/>
    </row>
    <row r="84" spans="1:26" ht="12.75" customHeight="1" x14ac:dyDescent="0.3">
      <c r="A84" s="572"/>
      <c r="B84" s="572"/>
      <c r="C84" s="572"/>
      <c r="D84" s="572"/>
      <c r="E84" s="572"/>
      <c r="F84" s="572"/>
      <c r="G84" s="572"/>
      <c r="H84" s="572"/>
      <c r="I84" s="572"/>
      <c r="J84" s="572"/>
      <c r="K84" s="572"/>
      <c r="L84" s="572"/>
      <c r="M84" s="572"/>
      <c r="N84" s="572"/>
      <c r="O84" s="572"/>
      <c r="P84" s="572"/>
      <c r="Q84" s="572"/>
      <c r="R84" s="572"/>
      <c r="S84" s="572"/>
      <c r="T84" s="572"/>
      <c r="U84" s="572"/>
      <c r="V84" s="572"/>
      <c r="W84" s="572"/>
      <c r="X84" s="572"/>
      <c r="Y84" s="572"/>
      <c r="Z84" s="572"/>
    </row>
    <row r="85" spans="1:26" ht="12.75" customHeight="1" x14ac:dyDescent="0.3">
      <c r="A85" s="572"/>
      <c r="B85" s="572"/>
      <c r="C85" s="572"/>
      <c r="D85" s="572"/>
      <c r="E85" s="572"/>
      <c r="F85" s="572"/>
      <c r="G85" s="572"/>
      <c r="H85" s="572"/>
      <c r="I85" s="572"/>
      <c r="J85" s="572"/>
      <c r="K85" s="572"/>
      <c r="L85" s="572"/>
      <c r="M85" s="572"/>
      <c r="N85" s="572"/>
      <c r="O85" s="572"/>
      <c r="P85" s="572"/>
      <c r="Q85" s="572"/>
      <c r="R85" s="572"/>
      <c r="S85" s="572"/>
      <c r="T85" s="572"/>
      <c r="U85" s="572"/>
      <c r="V85" s="572"/>
      <c r="W85" s="572"/>
      <c r="X85" s="572"/>
      <c r="Y85" s="572"/>
      <c r="Z85" s="572"/>
    </row>
    <row r="86" spans="1:26" ht="12.75" customHeight="1" x14ac:dyDescent="0.3">
      <c r="A86" s="572"/>
      <c r="B86" s="572"/>
      <c r="C86" s="572"/>
      <c r="D86" s="572"/>
      <c r="E86" s="572"/>
      <c r="F86" s="572"/>
      <c r="G86" s="572"/>
      <c r="H86" s="572"/>
      <c r="I86" s="572"/>
      <c r="J86" s="572"/>
      <c r="K86" s="572"/>
      <c r="L86" s="572"/>
      <c r="M86" s="572"/>
      <c r="N86" s="572"/>
      <c r="O86" s="572"/>
      <c r="P86" s="572"/>
      <c r="Q86" s="572"/>
      <c r="R86" s="572"/>
      <c r="S86" s="572"/>
      <c r="T86" s="572"/>
      <c r="U86" s="572"/>
      <c r="V86" s="572"/>
      <c r="W86" s="572"/>
      <c r="X86" s="572"/>
      <c r="Y86" s="572"/>
      <c r="Z86" s="572"/>
    </row>
    <row r="87" spans="1:26" ht="12.75" customHeight="1" x14ac:dyDescent="0.3">
      <c r="A87" s="572"/>
      <c r="B87" s="572"/>
      <c r="C87" s="572"/>
      <c r="D87" s="572"/>
      <c r="E87" s="572"/>
      <c r="F87" s="572"/>
      <c r="G87" s="572"/>
      <c r="H87" s="572"/>
      <c r="I87" s="572"/>
      <c r="J87" s="572"/>
      <c r="K87" s="572"/>
      <c r="L87" s="572"/>
      <c r="M87" s="572"/>
      <c r="N87" s="572"/>
      <c r="O87" s="572"/>
      <c r="P87" s="572"/>
      <c r="Q87" s="572"/>
      <c r="R87" s="572"/>
      <c r="S87" s="572"/>
      <c r="T87" s="572"/>
      <c r="U87" s="572"/>
      <c r="V87" s="572"/>
      <c r="W87" s="572"/>
      <c r="X87" s="572"/>
      <c r="Y87" s="572"/>
      <c r="Z87" s="572"/>
    </row>
    <row r="88" spans="1:26" ht="12.75" customHeight="1" x14ac:dyDescent="0.3">
      <c r="A88" s="572"/>
      <c r="B88" s="572"/>
      <c r="C88" s="572"/>
      <c r="D88" s="572"/>
      <c r="E88" s="572"/>
      <c r="F88" s="572"/>
      <c r="G88" s="572"/>
      <c r="H88" s="572"/>
      <c r="I88" s="572"/>
      <c r="J88" s="572"/>
      <c r="K88" s="572"/>
      <c r="L88" s="572"/>
      <c r="M88" s="572"/>
      <c r="N88" s="572"/>
      <c r="O88" s="572"/>
      <c r="P88" s="572"/>
      <c r="Q88" s="572"/>
      <c r="R88" s="572"/>
      <c r="S88" s="572"/>
      <c r="T88" s="572"/>
      <c r="U88" s="572"/>
      <c r="V88" s="572"/>
      <c r="W88" s="572"/>
      <c r="X88" s="572"/>
      <c r="Y88" s="572"/>
      <c r="Z88" s="572"/>
    </row>
    <row r="89" spans="1:26" ht="12.75" customHeight="1" x14ac:dyDescent="0.3">
      <c r="A89" s="572"/>
      <c r="B89" s="572"/>
      <c r="C89" s="572"/>
      <c r="D89" s="572"/>
      <c r="E89" s="572"/>
      <c r="F89" s="572"/>
      <c r="G89" s="572"/>
      <c r="H89" s="572"/>
      <c r="I89" s="572"/>
      <c r="J89" s="572"/>
      <c r="K89" s="572"/>
      <c r="L89" s="572"/>
      <c r="M89" s="572"/>
      <c r="N89" s="572"/>
      <c r="O89" s="572"/>
      <c r="P89" s="572"/>
      <c r="Q89" s="572"/>
      <c r="R89" s="572"/>
      <c r="S89" s="572"/>
      <c r="T89" s="572"/>
      <c r="U89" s="572"/>
      <c r="V89" s="572"/>
      <c r="W89" s="572"/>
      <c r="X89" s="572"/>
      <c r="Y89" s="572"/>
      <c r="Z89" s="572"/>
    </row>
    <row r="90" spans="1:26" ht="12.75" customHeight="1" x14ac:dyDescent="0.3">
      <c r="A90" s="572"/>
      <c r="B90" s="572"/>
      <c r="C90" s="572"/>
      <c r="D90" s="572"/>
      <c r="E90" s="572"/>
      <c r="F90" s="572"/>
      <c r="G90" s="572"/>
      <c r="H90" s="572"/>
      <c r="I90" s="572"/>
      <c r="J90" s="572"/>
      <c r="K90" s="572"/>
      <c r="L90" s="572"/>
      <c r="M90" s="572"/>
      <c r="N90" s="572"/>
      <c r="O90" s="572"/>
      <c r="P90" s="572"/>
      <c r="Q90" s="572"/>
      <c r="R90" s="572"/>
      <c r="S90" s="572"/>
      <c r="T90" s="572"/>
      <c r="U90" s="572"/>
      <c r="V90" s="572"/>
      <c r="W90" s="572"/>
      <c r="X90" s="572"/>
      <c r="Y90" s="572"/>
      <c r="Z90" s="572"/>
    </row>
    <row r="91" spans="1:26" ht="12.75" customHeight="1" x14ac:dyDescent="0.3">
      <c r="A91" s="572"/>
      <c r="B91" s="572"/>
      <c r="C91" s="572"/>
      <c r="D91" s="572"/>
      <c r="E91" s="572"/>
      <c r="F91" s="572"/>
      <c r="G91" s="572"/>
      <c r="H91" s="572"/>
      <c r="I91" s="572"/>
      <c r="J91" s="572"/>
      <c r="K91" s="572"/>
      <c r="L91" s="572"/>
      <c r="M91" s="572"/>
      <c r="N91" s="572"/>
      <c r="O91" s="572"/>
      <c r="P91" s="572"/>
      <c r="Q91" s="572"/>
      <c r="R91" s="572"/>
      <c r="S91" s="572"/>
      <c r="T91" s="572"/>
      <c r="U91" s="572"/>
      <c r="V91" s="572"/>
      <c r="W91" s="572"/>
      <c r="X91" s="572"/>
      <c r="Y91" s="572"/>
      <c r="Z91" s="572"/>
    </row>
    <row r="92" spans="1:26" ht="12.75" customHeight="1" x14ac:dyDescent="0.3">
      <c r="A92" s="572"/>
      <c r="B92" s="572"/>
      <c r="C92" s="572"/>
      <c r="D92" s="572"/>
      <c r="E92" s="572"/>
      <c r="F92" s="572"/>
      <c r="G92" s="572"/>
      <c r="H92" s="572"/>
      <c r="I92" s="572"/>
      <c r="J92" s="572"/>
      <c r="K92" s="572"/>
      <c r="L92" s="572"/>
      <c r="M92" s="572"/>
      <c r="N92" s="572"/>
      <c r="O92" s="572"/>
      <c r="P92" s="572"/>
      <c r="Q92" s="572"/>
      <c r="R92" s="572"/>
      <c r="S92" s="572"/>
      <c r="T92" s="572"/>
      <c r="U92" s="572"/>
      <c r="V92" s="572"/>
      <c r="W92" s="572"/>
      <c r="X92" s="572"/>
      <c r="Y92" s="572"/>
      <c r="Z92" s="572"/>
    </row>
    <row r="93" spans="1:26" ht="12.75" customHeight="1" x14ac:dyDescent="0.3">
      <c r="A93" s="572"/>
      <c r="B93" s="572"/>
      <c r="C93" s="572"/>
      <c r="D93" s="572"/>
      <c r="E93" s="572"/>
      <c r="F93" s="572"/>
      <c r="G93" s="572"/>
      <c r="H93" s="572"/>
      <c r="I93" s="572"/>
      <c r="J93" s="572"/>
      <c r="K93" s="572"/>
      <c r="L93" s="572"/>
      <c r="M93" s="572"/>
      <c r="N93" s="572"/>
      <c r="O93" s="572"/>
      <c r="P93" s="572"/>
      <c r="Q93" s="572"/>
      <c r="R93" s="572"/>
      <c r="S93" s="572"/>
      <c r="T93" s="572"/>
      <c r="U93" s="572"/>
      <c r="V93" s="572"/>
      <c r="W93" s="572"/>
      <c r="X93" s="572"/>
      <c r="Y93" s="572"/>
      <c r="Z93" s="572"/>
    </row>
    <row r="94" spans="1:26" ht="12.75" customHeight="1" x14ac:dyDescent="0.3">
      <c r="A94" s="572"/>
      <c r="B94" s="572"/>
      <c r="C94" s="572"/>
      <c r="D94" s="572"/>
      <c r="E94" s="572"/>
      <c r="F94" s="572"/>
      <c r="G94" s="572"/>
      <c r="H94" s="572"/>
      <c r="I94" s="572"/>
      <c r="J94" s="572"/>
      <c r="K94" s="572"/>
      <c r="L94" s="572"/>
      <c r="M94" s="572"/>
      <c r="N94" s="572"/>
      <c r="O94" s="572"/>
      <c r="P94" s="572"/>
      <c r="Q94" s="572"/>
      <c r="R94" s="572"/>
      <c r="S94" s="572"/>
      <c r="T94" s="572"/>
      <c r="U94" s="572"/>
      <c r="V94" s="572"/>
      <c r="W94" s="572"/>
      <c r="X94" s="572"/>
      <c r="Y94" s="572"/>
      <c r="Z94" s="572"/>
    </row>
    <row r="95" spans="1:26" ht="12.75" customHeight="1" x14ac:dyDescent="0.3">
      <c r="A95" s="572"/>
      <c r="B95" s="572"/>
      <c r="C95" s="572"/>
      <c r="D95" s="572"/>
      <c r="E95" s="572"/>
      <c r="F95" s="572"/>
      <c r="G95" s="572"/>
      <c r="H95" s="572"/>
      <c r="I95" s="572"/>
      <c r="J95" s="572"/>
      <c r="K95" s="572"/>
      <c r="L95" s="572"/>
      <c r="M95" s="572"/>
      <c r="N95" s="572"/>
      <c r="O95" s="572"/>
      <c r="P95" s="572"/>
      <c r="Q95" s="572"/>
      <c r="R95" s="572"/>
      <c r="S95" s="572"/>
      <c r="T95" s="572"/>
      <c r="U95" s="572"/>
      <c r="V95" s="572"/>
      <c r="W95" s="572"/>
      <c r="X95" s="572"/>
      <c r="Y95" s="572"/>
      <c r="Z95" s="572"/>
    </row>
    <row r="96" spans="1:26" ht="12.75" customHeight="1" x14ac:dyDescent="0.3">
      <c r="A96" s="572"/>
      <c r="B96" s="572"/>
      <c r="C96" s="572"/>
      <c r="D96" s="572"/>
      <c r="E96" s="572"/>
      <c r="F96" s="572"/>
      <c r="G96" s="572"/>
      <c r="H96" s="572"/>
      <c r="I96" s="572"/>
      <c r="J96" s="572"/>
      <c r="K96" s="572"/>
      <c r="L96" s="572"/>
      <c r="M96" s="572"/>
      <c r="N96" s="572"/>
      <c r="O96" s="572"/>
      <c r="P96" s="572"/>
      <c r="Q96" s="572"/>
      <c r="R96" s="572"/>
      <c r="S96" s="572"/>
      <c r="T96" s="572"/>
      <c r="U96" s="572"/>
      <c r="V96" s="572"/>
      <c r="W96" s="572"/>
      <c r="X96" s="572"/>
      <c r="Y96" s="572"/>
      <c r="Z96" s="572"/>
    </row>
    <row r="97" spans="1:26" ht="12.75" customHeight="1" x14ac:dyDescent="0.3">
      <c r="A97" s="572"/>
      <c r="B97" s="572"/>
      <c r="C97" s="572"/>
      <c r="D97" s="572"/>
      <c r="E97" s="572"/>
      <c r="F97" s="572"/>
      <c r="G97" s="572"/>
      <c r="H97" s="572"/>
      <c r="I97" s="572"/>
      <c r="J97" s="572"/>
      <c r="K97" s="572"/>
      <c r="L97" s="572"/>
      <c r="M97" s="572"/>
      <c r="N97" s="572"/>
      <c r="O97" s="572"/>
      <c r="P97" s="572"/>
      <c r="Q97" s="572"/>
      <c r="R97" s="572"/>
      <c r="S97" s="572"/>
      <c r="T97" s="572"/>
      <c r="U97" s="572"/>
      <c r="V97" s="572"/>
      <c r="W97" s="572"/>
      <c r="X97" s="572"/>
      <c r="Y97" s="572"/>
      <c r="Z97" s="572"/>
    </row>
    <row r="98" spans="1:26" ht="12.75" customHeight="1" x14ac:dyDescent="0.3">
      <c r="A98" s="572"/>
      <c r="B98" s="572"/>
      <c r="C98" s="572"/>
      <c r="D98" s="572"/>
      <c r="E98" s="572"/>
      <c r="F98" s="572"/>
      <c r="G98" s="572"/>
      <c r="H98" s="572"/>
      <c r="I98" s="572"/>
      <c r="J98" s="572"/>
      <c r="K98" s="572"/>
      <c r="L98" s="572"/>
      <c r="M98" s="572"/>
      <c r="N98" s="572"/>
      <c r="O98" s="572"/>
      <c r="P98" s="572"/>
      <c r="Q98" s="572"/>
      <c r="R98" s="572"/>
      <c r="S98" s="572"/>
      <c r="T98" s="572"/>
      <c r="U98" s="572"/>
      <c r="V98" s="572"/>
      <c r="W98" s="572"/>
      <c r="X98" s="572"/>
      <c r="Y98" s="572"/>
      <c r="Z98" s="572"/>
    </row>
    <row r="99" spans="1:26" ht="12.75" customHeight="1" x14ac:dyDescent="0.3">
      <c r="A99" s="572"/>
      <c r="B99" s="572"/>
      <c r="C99" s="572"/>
      <c r="D99" s="572"/>
      <c r="E99" s="572"/>
      <c r="F99" s="572"/>
      <c r="G99" s="572"/>
      <c r="H99" s="572"/>
      <c r="I99" s="572"/>
      <c r="J99" s="572"/>
      <c r="K99" s="572"/>
      <c r="L99" s="572"/>
      <c r="M99" s="572"/>
      <c r="N99" s="572"/>
      <c r="O99" s="572"/>
      <c r="P99" s="572"/>
      <c r="Q99" s="572"/>
      <c r="R99" s="572"/>
      <c r="S99" s="572"/>
      <c r="T99" s="572"/>
      <c r="U99" s="572"/>
      <c r="V99" s="572"/>
      <c r="W99" s="572"/>
      <c r="X99" s="572"/>
      <c r="Y99" s="572"/>
      <c r="Z99" s="572"/>
    </row>
    <row r="100" spans="1:26" ht="12.75" customHeight="1" x14ac:dyDescent="0.3">
      <c r="A100" s="572"/>
      <c r="B100" s="572"/>
      <c r="C100" s="572"/>
      <c r="D100" s="572"/>
      <c r="E100" s="572"/>
      <c r="F100" s="572"/>
      <c r="G100" s="572"/>
      <c r="H100" s="572"/>
      <c r="I100" s="572"/>
      <c r="J100" s="572"/>
      <c r="K100" s="572"/>
      <c r="L100" s="572"/>
      <c r="M100" s="572"/>
      <c r="N100" s="572"/>
      <c r="O100" s="572"/>
      <c r="P100" s="572"/>
      <c r="Q100" s="572"/>
      <c r="R100" s="572"/>
      <c r="S100" s="572"/>
      <c r="T100" s="572"/>
      <c r="U100" s="572"/>
      <c r="V100" s="572"/>
      <c r="W100" s="572"/>
      <c r="X100" s="572"/>
      <c r="Y100" s="572"/>
      <c r="Z100" s="572"/>
    </row>
    <row r="101" spans="1:26" ht="12.75" customHeight="1" x14ac:dyDescent="0.3">
      <c r="A101" s="572"/>
      <c r="B101" s="572"/>
      <c r="C101" s="572"/>
      <c r="D101" s="572"/>
      <c r="E101" s="572"/>
      <c r="F101" s="572"/>
      <c r="G101" s="572"/>
      <c r="H101" s="572"/>
      <c r="I101" s="572"/>
      <c r="J101" s="572"/>
      <c r="K101" s="572"/>
      <c r="L101" s="572"/>
      <c r="M101" s="572"/>
      <c r="N101" s="572"/>
      <c r="O101" s="572"/>
      <c r="P101" s="572"/>
      <c r="Q101" s="572"/>
      <c r="R101" s="572"/>
      <c r="S101" s="572"/>
      <c r="T101" s="572"/>
      <c r="U101" s="572"/>
      <c r="V101" s="572"/>
      <c r="W101" s="572"/>
      <c r="X101" s="572"/>
      <c r="Y101" s="572"/>
      <c r="Z101" s="572"/>
    </row>
    <row r="102" spans="1:26" ht="12.75" customHeight="1" x14ac:dyDescent="0.3">
      <c r="A102" s="572"/>
      <c r="B102" s="572"/>
      <c r="C102" s="572"/>
      <c r="D102" s="572"/>
      <c r="E102" s="572"/>
      <c r="F102" s="572"/>
      <c r="G102" s="572"/>
      <c r="H102" s="572"/>
      <c r="I102" s="572"/>
      <c r="J102" s="572"/>
      <c r="K102" s="572"/>
      <c r="L102" s="572"/>
      <c r="M102" s="572"/>
      <c r="N102" s="572"/>
      <c r="O102" s="572"/>
      <c r="P102" s="572"/>
      <c r="Q102" s="572"/>
      <c r="R102" s="572"/>
      <c r="S102" s="572"/>
      <c r="T102" s="572"/>
      <c r="U102" s="572"/>
      <c r="V102" s="572"/>
      <c r="W102" s="572"/>
      <c r="X102" s="572"/>
      <c r="Y102" s="572"/>
      <c r="Z102" s="572"/>
    </row>
    <row r="103" spans="1:26" ht="12.75" customHeight="1" x14ac:dyDescent="0.3">
      <c r="A103" s="572"/>
      <c r="B103" s="572"/>
      <c r="C103" s="572"/>
      <c r="D103" s="572"/>
      <c r="E103" s="572"/>
      <c r="F103" s="572"/>
      <c r="G103" s="572"/>
      <c r="H103" s="572"/>
      <c r="I103" s="572"/>
      <c r="J103" s="572"/>
      <c r="K103" s="572"/>
      <c r="L103" s="572"/>
      <c r="M103" s="572"/>
      <c r="N103" s="572"/>
      <c r="O103" s="572"/>
      <c r="P103" s="572"/>
      <c r="Q103" s="572"/>
      <c r="R103" s="572"/>
      <c r="S103" s="572"/>
      <c r="T103" s="572"/>
      <c r="U103" s="572"/>
      <c r="V103" s="572"/>
      <c r="W103" s="572"/>
      <c r="X103" s="572"/>
      <c r="Y103" s="572"/>
      <c r="Z103" s="572"/>
    </row>
    <row r="104" spans="1:26" ht="12.75" customHeight="1" x14ac:dyDescent="0.3">
      <c r="A104" s="572"/>
      <c r="B104" s="572"/>
      <c r="C104" s="572"/>
      <c r="D104" s="572"/>
      <c r="E104" s="572"/>
      <c r="F104" s="572"/>
      <c r="G104" s="572"/>
      <c r="H104" s="572"/>
      <c r="I104" s="572"/>
      <c r="J104" s="572"/>
      <c r="K104" s="572"/>
      <c r="L104" s="572"/>
      <c r="M104" s="572"/>
      <c r="N104" s="572"/>
      <c r="O104" s="572"/>
      <c r="P104" s="572"/>
      <c r="Q104" s="572"/>
      <c r="R104" s="572"/>
      <c r="S104" s="572"/>
      <c r="T104" s="572"/>
      <c r="U104" s="572"/>
      <c r="V104" s="572"/>
      <c r="W104" s="572"/>
      <c r="X104" s="572"/>
      <c r="Y104" s="572"/>
      <c r="Z104" s="572"/>
    </row>
    <row r="105" spans="1:26" ht="12.75" customHeight="1" x14ac:dyDescent="0.3">
      <c r="A105" s="572"/>
      <c r="B105" s="572"/>
      <c r="C105" s="572"/>
      <c r="D105" s="572"/>
      <c r="E105" s="572"/>
      <c r="F105" s="572"/>
      <c r="G105" s="572"/>
      <c r="H105" s="572"/>
      <c r="I105" s="572"/>
      <c r="J105" s="572"/>
      <c r="K105" s="572"/>
      <c r="L105" s="572"/>
      <c r="M105" s="572"/>
      <c r="N105" s="572"/>
      <c r="O105" s="572"/>
      <c r="P105" s="572"/>
      <c r="Q105" s="572"/>
      <c r="R105" s="572"/>
      <c r="S105" s="572"/>
      <c r="T105" s="572"/>
      <c r="U105" s="572"/>
      <c r="V105" s="572"/>
      <c r="W105" s="572"/>
      <c r="X105" s="572"/>
      <c r="Y105" s="572"/>
      <c r="Z105" s="572"/>
    </row>
    <row r="106" spans="1:26" ht="12.75" customHeight="1" x14ac:dyDescent="0.3">
      <c r="A106" s="572"/>
      <c r="B106" s="572"/>
      <c r="C106" s="572"/>
      <c r="D106" s="572"/>
      <c r="E106" s="572"/>
      <c r="F106" s="572"/>
      <c r="G106" s="572"/>
      <c r="H106" s="572"/>
      <c r="I106" s="572"/>
      <c r="J106" s="572"/>
      <c r="K106" s="572"/>
      <c r="L106" s="572"/>
      <c r="M106" s="572"/>
      <c r="N106" s="572"/>
      <c r="O106" s="572"/>
      <c r="P106" s="572"/>
      <c r="Q106" s="572"/>
      <c r="R106" s="572"/>
      <c r="S106" s="572"/>
      <c r="T106" s="572"/>
      <c r="U106" s="572"/>
      <c r="V106" s="572"/>
      <c r="W106" s="572"/>
      <c r="X106" s="572"/>
      <c r="Y106" s="572"/>
      <c r="Z106" s="572"/>
    </row>
    <row r="107" spans="1:26" ht="12.75" customHeight="1" x14ac:dyDescent="0.3">
      <c r="A107" s="572"/>
      <c r="B107" s="572"/>
      <c r="C107" s="572"/>
      <c r="D107" s="572"/>
      <c r="E107" s="572"/>
      <c r="F107" s="572"/>
      <c r="G107" s="572"/>
      <c r="H107" s="572"/>
      <c r="I107" s="572"/>
      <c r="J107" s="572"/>
      <c r="K107" s="572"/>
      <c r="L107" s="572"/>
      <c r="M107" s="572"/>
      <c r="N107" s="572"/>
      <c r="O107" s="572"/>
      <c r="P107" s="572"/>
      <c r="Q107" s="572"/>
      <c r="R107" s="572"/>
      <c r="S107" s="572"/>
      <c r="T107" s="572"/>
      <c r="U107" s="572"/>
      <c r="V107" s="572"/>
      <c r="W107" s="572"/>
      <c r="X107" s="572"/>
      <c r="Y107" s="572"/>
      <c r="Z107" s="572"/>
    </row>
    <row r="108" spans="1:26" ht="12.75" customHeight="1" x14ac:dyDescent="0.3">
      <c r="A108" s="572"/>
      <c r="B108" s="572"/>
      <c r="C108" s="572"/>
      <c r="D108" s="572"/>
      <c r="E108" s="572"/>
      <c r="F108" s="572"/>
      <c r="G108" s="572"/>
      <c r="H108" s="572"/>
      <c r="I108" s="572"/>
      <c r="J108" s="572"/>
      <c r="K108" s="572"/>
      <c r="L108" s="572"/>
      <c r="M108" s="572"/>
      <c r="N108" s="572"/>
      <c r="O108" s="572"/>
      <c r="P108" s="572"/>
      <c r="Q108" s="572"/>
      <c r="R108" s="572"/>
      <c r="S108" s="572"/>
      <c r="T108" s="572"/>
      <c r="U108" s="572"/>
      <c r="V108" s="572"/>
      <c r="W108" s="572"/>
      <c r="X108" s="572"/>
      <c r="Y108" s="572"/>
      <c r="Z108" s="572"/>
    </row>
    <row r="109" spans="1:26" ht="12.75" customHeight="1" x14ac:dyDescent="0.3">
      <c r="A109" s="572"/>
      <c r="B109" s="572"/>
      <c r="C109" s="572"/>
      <c r="D109" s="572"/>
      <c r="E109" s="572"/>
      <c r="F109" s="572"/>
      <c r="G109" s="572"/>
      <c r="H109" s="572"/>
      <c r="I109" s="572"/>
      <c r="J109" s="572"/>
      <c r="K109" s="572"/>
      <c r="L109" s="572"/>
      <c r="M109" s="572"/>
      <c r="N109" s="572"/>
      <c r="O109" s="572"/>
      <c r="P109" s="572"/>
      <c r="Q109" s="572"/>
      <c r="R109" s="572"/>
      <c r="S109" s="572"/>
      <c r="T109" s="572"/>
      <c r="U109" s="572"/>
      <c r="V109" s="572"/>
      <c r="W109" s="572"/>
      <c r="X109" s="572"/>
      <c r="Y109" s="572"/>
      <c r="Z109" s="572"/>
    </row>
    <row r="110" spans="1:26" ht="12.75" customHeight="1" x14ac:dyDescent="0.3">
      <c r="A110" s="572"/>
      <c r="B110" s="572"/>
      <c r="C110" s="572"/>
      <c r="D110" s="572"/>
      <c r="E110" s="572"/>
      <c r="F110" s="572"/>
      <c r="G110" s="572"/>
      <c r="H110" s="572"/>
      <c r="I110" s="572"/>
      <c r="J110" s="572"/>
      <c r="K110" s="572"/>
      <c r="L110" s="572"/>
      <c r="M110" s="572"/>
      <c r="N110" s="572"/>
      <c r="O110" s="572"/>
      <c r="P110" s="572"/>
      <c r="Q110" s="572"/>
      <c r="R110" s="572"/>
      <c r="S110" s="572"/>
      <c r="T110" s="572"/>
      <c r="U110" s="572"/>
      <c r="V110" s="572"/>
      <c r="W110" s="572"/>
      <c r="X110" s="572"/>
      <c r="Y110" s="572"/>
      <c r="Z110" s="572"/>
    </row>
    <row r="111" spans="1:26" ht="12.75" customHeight="1" x14ac:dyDescent="0.3">
      <c r="A111" s="572"/>
      <c r="B111" s="572"/>
      <c r="C111" s="572"/>
      <c r="D111" s="572"/>
      <c r="E111" s="572"/>
      <c r="F111" s="572"/>
      <c r="G111" s="572"/>
      <c r="H111" s="572"/>
      <c r="I111" s="572"/>
      <c r="J111" s="572"/>
      <c r="K111" s="572"/>
      <c r="L111" s="572"/>
      <c r="M111" s="572"/>
      <c r="N111" s="572"/>
      <c r="O111" s="572"/>
      <c r="P111" s="572"/>
      <c r="Q111" s="572"/>
      <c r="R111" s="572"/>
      <c r="S111" s="572"/>
      <c r="T111" s="572"/>
      <c r="U111" s="572"/>
      <c r="V111" s="572"/>
      <c r="W111" s="572"/>
      <c r="X111" s="572"/>
      <c r="Y111" s="572"/>
      <c r="Z111" s="572"/>
    </row>
    <row r="112" spans="1:26" ht="12.75" customHeight="1" x14ac:dyDescent="0.3">
      <c r="A112" s="572"/>
      <c r="B112" s="572"/>
      <c r="C112" s="572"/>
      <c r="D112" s="572"/>
      <c r="E112" s="572"/>
      <c r="F112" s="572"/>
      <c r="G112" s="572"/>
      <c r="H112" s="572"/>
      <c r="I112" s="572"/>
      <c r="J112" s="572"/>
      <c r="K112" s="572"/>
      <c r="L112" s="572"/>
      <c r="M112" s="572"/>
      <c r="N112" s="572"/>
      <c r="O112" s="572"/>
      <c r="P112" s="572"/>
      <c r="Q112" s="572"/>
      <c r="R112" s="572"/>
      <c r="S112" s="572"/>
      <c r="T112" s="572"/>
      <c r="U112" s="572"/>
      <c r="V112" s="572"/>
      <c r="W112" s="572"/>
      <c r="X112" s="572"/>
      <c r="Y112" s="572"/>
      <c r="Z112" s="572"/>
    </row>
    <row r="113" spans="1:26" ht="12.75" customHeight="1" x14ac:dyDescent="0.3">
      <c r="A113" s="572"/>
      <c r="B113" s="572"/>
      <c r="C113" s="572"/>
      <c r="D113" s="572"/>
      <c r="E113" s="572"/>
      <c r="F113" s="572"/>
      <c r="G113" s="572"/>
      <c r="H113" s="572"/>
      <c r="I113" s="572"/>
      <c r="J113" s="572"/>
      <c r="K113" s="572"/>
      <c r="L113" s="572"/>
      <c r="M113" s="572"/>
      <c r="N113" s="572"/>
      <c r="O113" s="572"/>
      <c r="P113" s="572"/>
      <c r="Q113" s="572"/>
      <c r="R113" s="572"/>
      <c r="S113" s="572"/>
      <c r="T113" s="572"/>
      <c r="U113" s="572"/>
      <c r="V113" s="572"/>
      <c r="W113" s="572"/>
      <c r="X113" s="572"/>
      <c r="Y113" s="572"/>
      <c r="Z113" s="572"/>
    </row>
    <row r="114" spans="1:26" ht="12.75" customHeight="1" x14ac:dyDescent="0.3">
      <c r="A114" s="572"/>
      <c r="B114" s="572"/>
      <c r="C114" s="572"/>
      <c r="D114" s="572"/>
      <c r="E114" s="572"/>
      <c r="F114" s="572"/>
      <c r="G114" s="572"/>
      <c r="H114" s="572"/>
      <c r="I114" s="572"/>
      <c r="J114" s="572"/>
      <c r="K114" s="572"/>
      <c r="L114" s="572"/>
      <c r="M114" s="572"/>
      <c r="N114" s="572"/>
      <c r="O114" s="572"/>
      <c r="P114" s="572"/>
      <c r="Q114" s="572"/>
      <c r="R114" s="572"/>
      <c r="S114" s="572"/>
      <c r="T114" s="572"/>
      <c r="U114" s="572"/>
      <c r="V114" s="572"/>
      <c r="W114" s="572"/>
      <c r="X114" s="572"/>
      <c r="Y114" s="572"/>
      <c r="Z114" s="572"/>
    </row>
    <row r="115" spans="1:26" ht="12.75" customHeight="1" x14ac:dyDescent="0.3">
      <c r="A115" s="572"/>
      <c r="B115" s="572"/>
      <c r="C115" s="572"/>
      <c r="D115" s="572"/>
      <c r="E115" s="572"/>
      <c r="F115" s="572"/>
      <c r="G115" s="572"/>
      <c r="H115" s="572"/>
      <c r="I115" s="572"/>
      <c r="J115" s="572"/>
      <c r="K115" s="572"/>
      <c r="L115" s="572"/>
      <c r="M115" s="572"/>
      <c r="N115" s="572"/>
      <c r="O115" s="572"/>
      <c r="P115" s="572"/>
      <c r="Q115" s="572"/>
      <c r="R115" s="572"/>
      <c r="S115" s="572"/>
      <c r="T115" s="572"/>
      <c r="U115" s="572"/>
      <c r="V115" s="572"/>
      <c r="W115" s="572"/>
      <c r="X115" s="572"/>
      <c r="Y115" s="572"/>
      <c r="Z115" s="572"/>
    </row>
    <row r="116" spans="1:26" ht="12.75" customHeight="1" x14ac:dyDescent="0.3">
      <c r="A116" s="572"/>
      <c r="B116" s="572"/>
      <c r="C116" s="572"/>
      <c r="D116" s="572"/>
      <c r="E116" s="572"/>
      <c r="F116" s="572"/>
      <c r="G116" s="572"/>
      <c r="H116" s="572"/>
      <c r="I116" s="572"/>
      <c r="J116" s="572"/>
      <c r="K116" s="572"/>
      <c r="L116" s="572"/>
      <c r="M116" s="572"/>
      <c r="N116" s="572"/>
      <c r="O116" s="572"/>
      <c r="P116" s="572"/>
      <c r="Q116" s="572"/>
      <c r="R116" s="572"/>
      <c r="S116" s="572"/>
      <c r="T116" s="572"/>
      <c r="U116" s="572"/>
      <c r="V116" s="572"/>
      <c r="W116" s="572"/>
      <c r="X116" s="572"/>
      <c r="Y116" s="572"/>
      <c r="Z116" s="572"/>
    </row>
    <row r="117" spans="1:26" ht="12.75" customHeight="1" x14ac:dyDescent="0.3">
      <c r="A117" s="572"/>
      <c r="B117" s="572"/>
      <c r="C117" s="572"/>
      <c r="D117" s="572"/>
      <c r="E117" s="572"/>
      <c r="F117" s="572"/>
      <c r="G117" s="572"/>
      <c r="H117" s="572"/>
      <c r="I117" s="572"/>
      <c r="J117" s="572"/>
      <c r="K117" s="572"/>
      <c r="L117" s="572"/>
      <c r="M117" s="572"/>
      <c r="N117" s="572"/>
      <c r="O117" s="572"/>
      <c r="P117" s="572"/>
      <c r="Q117" s="572"/>
      <c r="R117" s="572"/>
      <c r="S117" s="572"/>
      <c r="T117" s="572"/>
      <c r="U117" s="572"/>
      <c r="V117" s="572"/>
      <c r="W117" s="572"/>
      <c r="X117" s="572"/>
      <c r="Y117" s="572"/>
      <c r="Z117" s="572"/>
    </row>
    <row r="118" spans="1:26" ht="12.75" customHeight="1" x14ac:dyDescent="0.3">
      <c r="A118" s="572"/>
      <c r="B118" s="572"/>
      <c r="C118" s="572"/>
      <c r="D118" s="572"/>
      <c r="E118" s="572"/>
      <c r="F118" s="572"/>
      <c r="G118" s="572"/>
      <c r="H118" s="572"/>
      <c r="I118" s="572"/>
      <c r="J118" s="572"/>
      <c r="K118" s="572"/>
      <c r="L118" s="572"/>
      <c r="M118" s="572"/>
      <c r="N118" s="572"/>
      <c r="O118" s="572"/>
      <c r="P118" s="572"/>
      <c r="Q118" s="572"/>
      <c r="R118" s="572"/>
      <c r="S118" s="572"/>
      <c r="T118" s="572"/>
      <c r="U118" s="572"/>
      <c r="V118" s="572"/>
      <c r="W118" s="572"/>
      <c r="X118" s="572"/>
      <c r="Y118" s="572"/>
      <c r="Z118" s="572"/>
    </row>
    <row r="119" spans="1:26" ht="12.75" customHeight="1" x14ac:dyDescent="0.3">
      <c r="A119" s="572"/>
      <c r="B119" s="572"/>
      <c r="C119" s="572"/>
      <c r="D119" s="572"/>
      <c r="E119" s="572"/>
      <c r="F119" s="572"/>
      <c r="G119" s="572"/>
      <c r="H119" s="572"/>
      <c r="I119" s="572"/>
      <c r="J119" s="572"/>
      <c r="K119" s="572"/>
      <c r="L119" s="572"/>
      <c r="M119" s="572"/>
      <c r="N119" s="572"/>
      <c r="O119" s="572"/>
      <c r="P119" s="572"/>
      <c r="Q119" s="572"/>
      <c r="R119" s="572"/>
      <c r="S119" s="572"/>
      <c r="T119" s="572"/>
      <c r="U119" s="572"/>
      <c r="V119" s="572"/>
      <c r="W119" s="572"/>
      <c r="X119" s="572"/>
      <c r="Y119" s="572"/>
      <c r="Z119" s="572"/>
    </row>
    <row r="120" spans="1:26" ht="12.75" customHeight="1" x14ac:dyDescent="0.3">
      <c r="A120" s="572"/>
      <c r="B120" s="572"/>
      <c r="C120" s="572"/>
      <c r="D120" s="572"/>
      <c r="E120" s="572"/>
      <c r="F120" s="572"/>
      <c r="G120" s="572"/>
      <c r="H120" s="572"/>
      <c r="I120" s="572"/>
      <c r="J120" s="572"/>
      <c r="K120" s="572"/>
      <c r="L120" s="572"/>
      <c r="M120" s="572"/>
      <c r="N120" s="572"/>
      <c r="O120" s="572"/>
      <c r="P120" s="572"/>
      <c r="Q120" s="572"/>
      <c r="R120" s="572"/>
      <c r="S120" s="572"/>
      <c r="T120" s="572"/>
      <c r="U120" s="572"/>
      <c r="V120" s="572"/>
      <c r="W120" s="572"/>
      <c r="X120" s="572"/>
      <c r="Y120" s="572"/>
      <c r="Z120" s="572"/>
    </row>
    <row r="121" spans="1:26" ht="12.75" customHeight="1" x14ac:dyDescent="0.3">
      <c r="A121" s="572"/>
      <c r="B121" s="572"/>
      <c r="C121" s="572"/>
      <c r="D121" s="572"/>
      <c r="E121" s="572"/>
      <c r="F121" s="572"/>
      <c r="G121" s="572"/>
      <c r="H121" s="572"/>
      <c r="I121" s="572"/>
      <c r="J121" s="572"/>
      <c r="K121" s="572"/>
      <c r="L121" s="572"/>
      <c r="M121" s="572"/>
      <c r="N121" s="572"/>
      <c r="O121" s="572"/>
      <c r="P121" s="572"/>
      <c r="Q121" s="572"/>
      <c r="R121" s="572"/>
      <c r="S121" s="572"/>
      <c r="T121" s="572"/>
      <c r="U121" s="572"/>
      <c r="V121" s="572"/>
      <c r="W121" s="572"/>
      <c r="X121" s="572"/>
      <c r="Y121" s="572"/>
      <c r="Z121" s="572"/>
    </row>
    <row r="122" spans="1:26" ht="12.75" customHeight="1" x14ac:dyDescent="0.3">
      <c r="A122" s="572"/>
      <c r="B122" s="572"/>
      <c r="C122" s="572"/>
      <c r="D122" s="572"/>
      <c r="E122" s="572"/>
      <c r="F122" s="572"/>
      <c r="G122" s="572"/>
      <c r="H122" s="572"/>
      <c r="I122" s="572"/>
      <c r="J122" s="572"/>
      <c r="K122" s="572"/>
      <c r="L122" s="572"/>
      <c r="M122" s="572"/>
      <c r="N122" s="572"/>
      <c r="O122" s="572"/>
      <c r="P122" s="572"/>
      <c r="Q122" s="572"/>
      <c r="R122" s="572"/>
      <c r="S122" s="572"/>
      <c r="T122" s="572"/>
      <c r="U122" s="572"/>
      <c r="V122" s="572"/>
      <c r="W122" s="572"/>
      <c r="X122" s="572"/>
      <c r="Y122" s="572"/>
      <c r="Z122" s="572"/>
    </row>
    <row r="123" spans="1:26" ht="12.75" customHeight="1" x14ac:dyDescent="0.3">
      <c r="A123" s="572"/>
      <c r="B123" s="572"/>
      <c r="C123" s="572"/>
      <c r="D123" s="572"/>
      <c r="E123" s="572"/>
      <c r="F123" s="572"/>
      <c r="G123" s="572"/>
      <c r="H123" s="572"/>
      <c r="I123" s="572"/>
      <c r="J123" s="572"/>
      <c r="K123" s="572"/>
      <c r="L123" s="572"/>
      <c r="M123" s="572"/>
      <c r="N123" s="572"/>
      <c r="O123" s="572"/>
      <c r="P123" s="572"/>
      <c r="Q123" s="572"/>
      <c r="R123" s="572"/>
      <c r="S123" s="572"/>
      <c r="T123" s="572"/>
      <c r="U123" s="572"/>
      <c r="V123" s="572"/>
      <c r="W123" s="572"/>
      <c r="X123" s="572"/>
      <c r="Y123" s="572"/>
      <c r="Z123" s="572"/>
    </row>
    <row r="124" spans="1:26" ht="12.75" customHeight="1" x14ac:dyDescent="0.3">
      <c r="A124" s="572"/>
      <c r="B124" s="572"/>
      <c r="C124" s="572"/>
      <c r="D124" s="572"/>
      <c r="E124" s="572"/>
      <c r="F124" s="572"/>
      <c r="G124" s="572"/>
      <c r="H124" s="572"/>
      <c r="I124" s="572"/>
      <c r="J124" s="572"/>
      <c r="K124" s="572"/>
      <c r="L124" s="572"/>
      <c r="M124" s="572"/>
      <c r="N124" s="572"/>
      <c r="O124" s="572"/>
      <c r="P124" s="572"/>
      <c r="Q124" s="572"/>
      <c r="R124" s="572"/>
      <c r="S124" s="572"/>
      <c r="T124" s="572"/>
      <c r="U124" s="572"/>
      <c r="V124" s="572"/>
      <c r="W124" s="572"/>
      <c r="X124" s="572"/>
      <c r="Y124" s="572"/>
      <c r="Z124" s="572"/>
    </row>
    <row r="125" spans="1:26" ht="12.75" customHeight="1" x14ac:dyDescent="0.3">
      <c r="A125" s="572"/>
      <c r="B125" s="572"/>
      <c r="C125" s="572"/>
      <c r="D125" s="572"/>
      <c r="E125" s="572"/>
      <c r="F125" s="572"/>
      <c r="G125" s="572"/>
      <c r="H125" s="572"/>
      <c r="I125" s="572"/>
      <c r="J125" s="572"/>
      <c r="K125" s="572"/>
      <c r="L125" s="572"/>
      <c r="M125" s="572"/>
      <c r="N125" s="572"/>
      <c r="O125" s="572"/>
      <c r="P125" s="572"/>
      <c r="Q125" s="572"/>
      <c r="R125" s="572"/>
      <c r="S125" s="572"/>
      <c r="T125" s="572"/>
      <c r="U125" s="572"/>
      <c r="V125" s="572"/>
      <c r="W125" s="572"/>
      <c r="X125" s="572"/>
      <c r="Y125" s="572"/>
      <c r="Z125" s="572"/>
    </row>
    <row r="126" spans="1:26" ht="12.75" customHeight="1" x14ac:dyDescent="0.3">
      <c r="A126" s="572"/>
      <c r="B126" s="572"/>
      <c r="C126" s="572"/>
      <c r="D126" s="572"/>
      <c r="E126" s="572"/>
      <c r="F126" s="572"/>
      <c r="G126" s="572"/>
      <c r="H126" s="572"/>
      <c r="I126" s="572"/>
      <c r="J126" s="572"/>
      <c r="K126" s="572"/>
      <c r="L126" s="572"/>
      <c r="M126" s="572"/>
      <c r="N126" s="572"/>
      <c r="O126" s="572"/>
      <c r="P126" s="572"/>
      <c r="Q126" s="572"/>
      <c r="R126" s="572"/>
      <c r="S126" s="572"/>
      <c r="T126" s="572"/>
      <c r="U126" s="572"/>
      <c r="V126" s="572"/>
      <c r="W126" s="572"/>
      <c r="X126" s="572"/>
      <c r="Y126" s="572"/>
      <c r="Z126" s="572"/>
    </row>
    <row r="127" spans="1:26" ht="12.75" customHeight="1" x14ac:dyDescent="0.3">
      <c r="A127" s="572"/>
      <c r="B127" s="572"/>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2"/>
    </row>
    <row r="128" spans="1:26" ht="12.75" customHeight="1" x14ac:dyDescent="0.3">
      <c r="A128" s="572"/>
      <c r="B128" s="572"/>
      <c r="C128" s="572"/>
      <c r="D128" s="572"/>
      <c r="E128" s="572"/>
      <c r="F128" s="572"/>
      <c r="G128" s="572"/>
      <c r="H128" s="572"/>
      <c r="I128" s="572"/>
      <c r="J128" s="572"/>
      <c r="K128" s="572"/>
      <c r="L128" s="572"/>
      <c r="M128" s="572"/>
      <c r="N128" s="572"/>
      <c r="O128" s="572"/>
      <c r="P128" s="572"/>
      <c r="Q128" s="572"/>
      <c r="R128" s="572"/>
      <c r="S128" s="572"/>
      <c r="T128" s="572"/>
      <c r="U128" s="572"/>
      <c r="V128" s="572"/>
      <c r="W128" s="572"/>
      <c r="X128" s="572"/>
      <c r="Y128" s="572"/>
      <c r="Z128" s="572"/>
    </row>
    <row r="129" spans="1:26" ht="12.75" customHeight="1" x14ac:dyDescent="0.3">
      <c r="A129" s="572"/>
      <c r="B129" s="572"/>
      <c r="C129" s="572"/>
      <c r="D129" s="572"/>
      <c r="E129" s="572"/>
      <c r="F129" s="572"/>
      <c r="G129" s="572"/>
      <c r="H129" s="572"/>
      <c r="I129" s="572"/>
      <c r="J129" s="572"/>
      <c r="K129" s="572"/>
      <c r="L129" s="572"/>
      <c r="M129" s="572"/>
      <c r="N129" s="572"/>
      <c r="O129" s="572"/>
      <c r="P129" s="572"/>
      <c r="Q129" s="572"/>
      <c r="R129" s="572"/>
      <c r="S129" s="572"/>
      <c r="T129" s="572"/>
      <c r="U129" s="572"/>
      <c r="V129" s="572"/>
      <c r="W129" s="572"/>
      <c r="X129" s="572"/>
      <c r="Y129" s="572"/>
      <c r="Z129" s="572"/>
    </row>
    <row r="130" spans="1:26" ht="12.75" customHeight="1" x14ac:dyDescent="0.3">
      <c r="A130" s="572"/>
      <c r="B130" s="572"/>
      <c r="C130" s="572"/>
      <c r="D130" s="572"/>
      <c r="E130" s="572"/>
      <c r="F130" s="572"/>
      <c r="G130" s="572"/>
      <c r="H130" s="572"/>
      <c r="I130" s="572"/>
      <c r="J130" s="572"/>
      <c r="K130" s="572"/>
      <c r="L130" s="572"/>
      <c r="M130" s="572"/>
      <c r="N130" s="572"/>
      <c r="O130" s="572"/>
      <c r="P130" s="572"/>
      <c r="Q130" s="572"/>
      <c r="R130" s="572"/>
      <c r="S130" s="572"/>
      <c r="T130" s="572"/>
      <c r="U130" s="572"/>
      <c r="V130" s="572"/>
      <c r="W130" s="572"/>
      <c r="X130" s="572"/>
      <c r="Y130" s="572"/>
      <c r="Z130" s="572"/>
    </row>
    <row r="131" spans="1:26" ht="12.75" customHeight="1" x14ac:dyDescent="0.3">
      <c r="A131" s="572"/>
      <c r="B131" s="572"/>
      <c r="C131" s="572"/>
      <c r="D131" s="572"/>
      <c r="E131" s="572"/>
      <c r="F131" s="572"/>
      <c r="G131" s="572"/>
      <c r="H131" s="572"/>
      <c r="I131" s="572"/>
      <c r="J131" s="572"/>
      <c r="K131" s="572"/>
      <c r="L131" s="572"/>
      <c r="M131" s="572"/>
      <c r="N131" s="572"/>
      <c r="O131" s="572"/>
      <c r="P131" s="572"/>
      <c r="Q131" s="572"/>
      <c r="R131" s="572"/>
      <c r="S131" s="572"/>
      <c r="T131" s="572"/>
      <c r="U131" s="572"/>
      <c r="V131" s="572"/>
      <c r="W131" s="572"/>
      <c r="X131" s="572"/>
      <c r="Y131" s="572"/>
      <c r="Z131" s="572"/>
    </row>
    <row r="132" spans="1:26" ht="12.75" customHeight="1" x14ac:dyDescent="0.3">
      <c r="A132" s="572"/>
      <c r="B132" s="572"/>
      <c r="C132" s="572"/>
      <c r="D132" s="572"/>
      <c r="E132" s="572"/>
      <c r="F132" s="572"/>
      <c r="G132" s="572"/>
      <c r="H132" s="572"/>
      <c r="I132" s="572"/>
      <c r="J132" s="572"/>
      <c r="K132" s="572"/>
      <c r="L132" s="572"/>
      <c r="M132" s="572"/>
      <c r="N132" s="572"/>
      <c r="O132" s="572"/>
      <c r="P132" s="572"/>
      <c r="Q132" s="572"/>
      <c r="R132" s="572"/>
      <c r="S132" s="572"/>
      <c r="T132" s="572"/>
      <c r="U132" s="572"/>
      <c r="V132" s="572"/>
      <c r="W132" s="572"/>
      <c r="X132" s="572"/>
      <c r="Y132" s="572"/>
      <c r="Z132" s="572"/>
    </row>
    <row r="133" spans="1:26" ht="12.75" customHeight="1" x14ac:dyDescent="0.3">
      <c r="A133" s="572"/>
      <c r="B133" s="572"/>
      <c r="C133" s="572"/>
      <c r="D133" s="572"/>
      <c r="E133" s="572"/>
      <c r="F133" s="572"/>
      <c r="G133" s="572"/>
      <c r="H133" s="572"/>
      <c r="I133" s="572"/>
      <c r="J133" s="572"/>
      <c r="K133" s="572"/>
      <c r="L133" s="572"/>
      <c r="M133" s="572"/>
      <c r="N133" s="572"/>
      <c r="O133" s="572"/>
      <c r="P133" s="572"/>
      <c r="Q133" s="572"/>
      <c r="R133" s="572"/>
      <c r="S133" s="572"/>
      <c r="T133" s="572"/>
      <c r="U133" s="572"/>
      <c r="V133" s="572"/>
      <c r="W133" s="572"/>
      <c r="X133" s="572"/>
      <c r="Y133" s="572"/>
      <c r="Z133" s="572"/>
    </row>
    <row r="134" spans="1:26" ht="12.75" customHeight="1" x14ac:dyDescent="0.3">
      <c r="A134" s="572"/>
      <c r="B134" s="572"/>
      <c r="C134" s="572"/>
      <c r="D134" s="572"/>
      <c r="E134" s="572"/>
      <c r="F134" s="572"/>
      <c r="G134" s="572"/>
      <c r="H134" s="572"/>
      <c r="I134" s="572"/>
      <c r="J134" s="572"/>
      <c r="K134" s="572"/>
      <c r="L134" s="572"/>
      <c r="M134" s="572"/>
      <c r="N134" s="572"/>
      <c r="O134" s="572"/>
      <c r="P134" s="572"/>
      <c r="Q134" s="572"/>
      <c r="R134" s="572"/>
      <c r="S134" s="572"/>
      <c r="T134" s="572"/>
      <c r="U134" s="572"/>
      <c r="V134" s="572"/>
      <c r="W134" s="572"/>
      <c r="X134" s="572"/>
      <c r="Y134" s="572"/>
      <c r="Z134" s="572"/>
    </row>
    <row r="135" spans="1:26" ht="12.75" customHeight="1" x14ac:dyDescent="0.3">
      <c r="A135" s="572"/>
      <c r="B135" s="572"/>
      <c r="C135" s="572"/>
      <c r="D135" s="572"/>
      <c r="E135" s="572"/>
      <c r="F135" s="572"/>
      <c r="G135" s="572"/>
      <c r="H135" s="572"/>
      <c r="I135" s="572"/>
      <c r="J135" s="572"/>
      <c r="K135" s="572"/>
      <c r="L135" s="572"/>
      <c r="M135" s="572"/>
      <c r="N135" s="572"/>
      <c r="O135" s="572"/>
      <c r="P135" s="572"/>
      <c r="Q135" s="572"/>
      <c r="R135" s="572"/>
      <c r="S135" s="572"/>
      <c r="T135" s="572"/>
      <c r="U135" s="572"/>
      <c r="V135" s="572"/>
      <c r="W135" s="572"/>
      <c r="X135" s="572"/>
      <c r="Y135" s="572"/>
      <c r="Z135" s="572"/>
    </row>
    <row r="136" spans="1:26" ht="12.75" customHeight="1" x14ac:dyDescent="0.3">
      <c r="A136" s="572"/>
      <c r="B136" s="572"/>
      <c r="C136" s="572"/>
      <c r="D136" s="572"/>
      <c r="E136" s="572"/>
      <c r="F136" s="572"/>
      <c r="G136" s="572"/>
      <c r="H136" s="572"/>
      <c r="I136" s="572"/>
      <c r="J136" s="572"/>
      <c r="K136" s="572"/>
      <c r="L136" s="572"/>
      <c r="M136" s="572"/>
      <c r="N136" s="572"/>
      <c r="O136" s="572"/>
      <c r="P136" s="572"/>
      <c r="Q136" s="572"/>
      <c r="R136" s="572"/>
      <c r="S136" s="572"/>
      <c r="T136" s="572"/>
      <c r="U136" s="572"/>
      <c r="V136" s="572"/>
      <c r="W136" s="572"/>
      <c r="X136" s="572"/>
      <c r="Y136" s="572"/>
      <c r="Z136" s="572"/>
    </row>
    <row r="137" spans="1:26" ht="12.75" customHeight="1" x14ac:dyDescent="0.3">
      <c r="A137" s="572"/>
      <c r="B137" s="572"/>
      <c r="C137" s="572"/>
      <c r="D137" s="572"/>
      <c r="E137" s="572"/>
      <c r="F137" s="572"/>
      <c r="G137" s="572"/>
      <c r="H137" s="572"/>
      <c r="I137" s="572"/>
      <c r="J137" s="572"/>
      <c r="K137" s="572"/>
      <c r="L137" s="572"/>
      <c r="M137" s="572"/>
      <c r="N137" s="572"/>
      <c r="O137" s="572"/>
      <c r="P137" s="572"/>
      <c r="Q137" s="572"/>
      <c r="R137" s="572"/>
      <c r="S137" s="572"/>
      <c r="T137" s="572"/>
      <c r="U137" s="572"/>
      <c r="V137" s="572"/>
      <c r="W137" s="572"/>
      <c r="X137" s="572"/>
      <c r="Y137" s="572"/>
      <c r="Z137" s="572"/>
    </row>
    <row r="138" spans="1:26" ht="12.75" customHeight="1" x14ac:dyDescent="0.3">
      <c r="A138" s="572"/>
      <c r="B138" s="572"/>
      <c r="C138" s="572"/>
      <c r="D138" s="572"/>
      <c r="E138" s="572"/>
      <c r="F138" s="572"/>
      <c r="G138" s="572"/>
      <c r="H138" s="572"/>
      <c r="I138" s="572"/>
      <c r="J138" s="572"/>
      <c r="K138" s="572"/>
      <c r="L138" s="572"/>
      <c r="M138" s="572"/>
      <c r="N138" s="572"/>
      <c r="O138" s="572"/>
      <c r="P138" s="572"/>
      <c r="Q138" s="572"/>
      <c r="R138" s="572"/>
      <c r="S138" s="572"/>
      <c r="T138" s="572"/>
      <c r="U138" s="572"/>
      <c r="V138" s="572"/>
      <c r="W138" s="572"/>
      <c r="X138" s="572"/>
      <c r="Y138" s="572"/>
      <c r="Z138" s="572"/>
    </row>
    <row r="139" spans="1:26" ht="12.75" customHeight="1" x14ac:dyDescent="0.3">
      <c r="A139" s="572"/>
      <c r="B139" s="572"/>
      <c r="C139" s="572"/>
      <c r="D139" s="572"/>
      <c r="E139" s="572"/>
      <c r="F139" s="572"/>
      <c r="G139" s="572"/>
      <c r="H139" s="572"/>
      <c r="I139" s="572"/>
      <c r="J139" s="572"/>
      <c r="K139" s="572"/>
      <c r="L139" s="572"/>
      <c r="M139" s="572"/>
      <c r="N139" s="572"/>
      <c r="O139" s="572"/>
      <c r="P139" s="572"/>
      <c r="Q139" s="572"/>
      <c r="R139" s="572"/>
      <c r="S139" s="572"/>
      <c r="T139" s="572"/>
      <c r="U139" s="572"/>
      <c r="V139" s="572"/>
      <c r="W139" s="572"/>
      <c r="X139" s="572"/>
      <c r="Y139" s="572"/>
      <c r="Z139" s="572"/>
    </row>
    <row r="140" spans="1:26" ht="12.75" customHeight="1" x14ac:dyDescent="0.3">
      <c r="A140" s="572"/>
      <c r="B140" s="572"/>
      <c r="C140" s="572"/>
      <c r="D140" s="572"/>
      <c r="E140" s="572"/>
      <c r="F140" s="572"/>
      <c r="G140" s="572"/>
      <c r="H140" s="572"/>
      <c r="I140" s="572"/>
      <c r="J140" s="572"/>
      <c r="K140" s="572"/>
      <c r="L140" s="572"/>
      <c r="M140" s="572"/>
      <c r="N140" s="572"/>
      <c r="O140" s="572"/>
      <c r="P140" s="572"/>
      <c r="Q140" s="572"/>
      <c r="R140" s="572"/>
      <c r="S140" s="572"/>
      <c r="T140" s="572"/>
      <c r="U140" s="572"/>
      <c r="V140" s="572"/>
      <c r="W140" s="572"/>
      <c r="X140" s="572"/>
      <c r="Y140" s="572"/>
      <c r="Z140" s="572"/>
    </row>
    <row r="141" spans="1:26" ht="12.75" customHeight="1" x14ac:dyDescent="0.3">
      <c r="A141" s="572"/>
      <c r="B141" s="572"/>
      <c r="C141" s="572"/>
      <c r="D141" s="572"/>
      <c r="E141" s="572"/>
      <c r="F141" s="572"/>
      <c r="G141" s="572"/>
      <c r="H141" s="572"/>
      <c r="I141" s="572"/>
      <c r="J141" s="572"/>
      <c r="K141" s="572"/>
      <c r="L141" s="572"/>
      <c r="M141" s="572"/>
      <c r="N141" s="572"/>
      <c r="O141" s="572"/>
      <c r="P141" s="572"/>
      <c r="Q141" s="572"/>
      <c r="R141" s="572"/>
      <c r="S141" s="572"/>
      <c r="T141" s="572"/>
      <c r="U141" s="572"/>
      <c r="V141" s="572"/>
      <c r="W141" s="572"/>
      <c r="X141" s="572"/>
      <c r="Y141" s="572"/>
      <c r="Z141" s="572"/>
    </row>
    <row r="142" spans="1:26" ht="12.75" customHeight="1" x14ac:dyDescent="0.3">
      <c r="A142" s="572"/>
      <c r="B142" s="572"/>
      <c r="C142" s="572"/>
      <c r="D142" s="572"/>
      <c r="E142" s="572"/>
      <c r="F142" s="572"/>
      <c r="G142" s="572"/>
      <c r="H142" s="572"/>
      <c r="I142" s="572"/>
      <c r="J142" s="572"/>
      <c r="K142" s="572"/>
      <c r="L142" s="572"/>
      <c r="M142" s="572"/>
      <c r="N142" s="572"/>
      <c r="O142" s="572"/>
      <c r="P142" s="572"/>
      <c r="Q142" s="572"/>
      <c r="R142" s="572"/>
      <c r="S142" s="572"/>
      <c r="T142" s="572"/>
      <c r="U142" s="572"/>
      <c r="V142" s="572"/>
      <c r="W142" s="572"/>
      <c r="X142" s="572"/>
      <c r="Y142" s="572"/>
      <c r="Z142" s="572"/>
    </row>
    <row r="143" spans="1:26" ht="12.75" customHeight="1" x14ac:dyDescent="0.3">
      <c r="A143" s="572"/>
      <c r="B143" s="572"/>
      <c r="C143" s="572"/>
      <c r="D143" s="572"/>
      <c r="E143" s="572"/>
      <c r="F143" s="572"/>
      <c r="G143" s="572"/>
      <c r="H143" s="572"/>
      <c r="I143" s="572"/>
      <c r="J143" s="572"/>
      <c r="K143" s="572"/>
      <c r="L143" s="572"/>
      <c r="M143" s="572"/>
      <c r="N143" s="572"/>
      <c r="O143" s="572"/>
      <c r="P143" s="572"/>
      <c r="Q143" s="572"/>
      <c r="R143" s="572"/>
      <c r="S143" s="572"/>
      <c r="T143" s="572"/>
      <c r="U143" s="572"/>
      <c r="V143" s="572"/>
      <c r="W143" s="572"/>
      <c r="X143" s="572"/>
      <c r="Y143" s="572"/>
      <c r="Z143" s="572"/>
    </row>
    <row r="144" spans="1:26" ht="12.75" customHeight="1" x14ac:dyDescent="0.3">
      <c r="A144" s="572"/>
      <c r="B144" s="572"/>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572"/>
      <c r="Y144" s="572"/>
      <c r="Z144" s="572"/>
    </row>
    <row r="145" spans="1:26" ht="12.75" customHeight="1" x14ac:dyDescent="0.3">
      <c r="A145" s="572"/>
      <c r="B145" s="572"/>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572"/>
      <c r="Y145" s="572"/>
      <c r="Z145" s="572"/>
    </row>
    <row r="146" spans="1:26" ht="12.75" customHeight="1" x14ac:dyDescent="0.3">
      <c r="A146" s="572"/>
      <c r="B146" s="572"/>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572"/>
      <c r="Y146" s="572"/>
      <c r="Z146" s="572"/>
    </row>
    <row r="147" spans="1:26" ht="12.75" customHeight="1" x14ac:dyDescent="0.3">
      <c r="A147" s="572"/>
      <c r="B147" s="572"/>
      <c r="C147" s="572"/>
      <c r="D147" s="572"/>
      <c r="E147" s="572"/>
      <c r="F147" s="572"/>
      <c r="G147" s="572"/>
      <c r="H147" s="572"/>
      <c r="I147" s="572"/>
      <c r="J147" s="572"/>
      <c r="K147" s="572"/>
      <c r="L147" s="572"/>
      <c r="M147" s="572"/>
      <c r="N147" s="572"/>
      <c r="O147" s="572"/>
      <c r="P147" s="572"/>
      <c r="Q147" s="572"/>
      <c r="R147" s="572"/>
      <c r="S147" s="572"/>
      <c r="T147" s="572"/>
      <c r="U147" s="572"/>
      <c r="V147" s="572"/>
      <c r="W147" s="572"/>
      <c r="X147" s="572"/>
      <c r="Y147" s="572"/>
      <c r="Z147" s="572"/>
    </row>
    <row r="148" spans="1:26" ht="12.75" customHeight="1" x14ac:dyDescent="0.3">
      <c r="A148" s="572"/>
      <c r="B148" s="572"/>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572"/>
      <c r="Y148" s="572"/>
      <c r="Z148" s="572"/>
    </row>
    <row r="149" spans="1:26" ht="12.75" customHeight="1" x14ac:dyDescent="0.3">
      <c r="A149" s="572"/>
      <c r="B149" s="572"/>
      <c r="C149" s="572"/>
      <c r="D149" s="572"/>
      <c r="E149" s="572"/>
      <c r="F149" s="572"/>
      <c r="G149" s="572"/>
      <c r="H149" s="572"/>
      <c r="I149" s="572"/>
      <c r="J149" s="572"/>
      <c r="K149" s="572"/>
      <c r="L149" s="572"/>
      <c r="M149" s="572"/>
      <c r="N149" s="572"/>
      <c r="O149" s="572"/>
      <c r="P149" s="572"/>
      <c r="Q149" s="572"/>
      <c r="R149" s="572"/>
      <c r="S149" s="572"/>
      <c r="T149" s="572"/>
      <c r="U149" s="572"/>
      <c r="V149" s="572"/>
      <c r="W149" s="572"/>
      <c r="X149" s="572"/>
      <c r="Y149" s="572"/>
      <c r="Z149" s="572"/>
    </row>
    <row r="150" spans="1:26" ht="12.75" customHeight="1" x14ac:dyDescent="0.3">
      <c r="A150" s="572"/>
      <c r="B150" s="572"/>
      <c r="C150" s="572"/>
      <c r="D150" s="572"/>
      <c r="E150" s="572"/>
      <c r="F150" s="572"/>
      <c r="G150" s="572"/>
      <c r="H150" s="572"/>
      <c r="I150" s="572"/>
      <c r="J150" s="572"/>
      <c r="K150" s="572"/>
      <c r="L150" s="572"/>
      <c r="M150" s="572"/>
      <c r="N150" s="572"/>
      <c r="O150" s="572"/>
      <c r="P150" s="572"/>
      <c r="Q150" s="572"/>
      <c r="R150" s="572"/>
      <c r="S150" s="572"/>
      <c r="T150" s="572"/>
      <c r="U150" s="572"/>
      <c r="V150" s="572"/>
      <c r="W150" s="572"/>
      <c r="X150" s="572"/>
      <c r="Y150" s="572"/>
      <c r="Z150" s="572"/>
    </row>
    <row r="151" spans="1:26" ht="12.75" customHeight="1" x14ac:dyDescent="0.3">
      <c r="A151" s="572"/>
      <c r="B151" s="572"/>
      <c r="C151" s="572"/>
      <c r="D151" s="572"/>
      <c r="E151" s="572"/>
      <c r="F151" s="572"/>
      <c r="G151" s="572"/>
      <c r="H151" s="572"/>
      <c r="I151" s="572"/>
      <c r="J151" s="572"/>
      <c r="K151" s="572"/>
      <c r="L151" s="572"/>
      <c r="M151" s="572"/>
      <c r="N151" s="572"/>
      <c r="O151" s="572"/>
      <c r="P151" s="572"/>
      <c r="Q151" s="572"/>
      <c r="R151" s="572"/>
      <c r="S151" s="572"/>
      <c r="T151" s="572"/>
      <c r="U151" s="572"/>
      <c r="V151" s="572"/>
      <c r="W151" s="572"/>
      <c r="X151" s="572"/>
      <c r="Y151" s="572"/>
      <c r="Z151" s="572"/>
    </row>
    <row r="152" spans="1:26" ht="12.75" customHeight="1" x14ac:dyDescent="0.3">
      <c r="A152" s="572"/>
      <c r="B152" s="572"/>
      <c r="C152" s="572"/>
      <c r="D152" s="572"/>
      <c r="E152" s="572"/>
      <c r="F152" s="572"/>
      <c r="G152" s="572"/>
      <c r="H152" s="572"/>
      <c r="I152" s="572"/>
      <c r="J152" s="572"/>
      <c r="K152" s="572"/>
      <c r="L152" s="572"/>
      <c r="M152" s="572"/>
      <c r="N152" s="572"/>
      <c r="O152" s="572"/>
      <c r="P152" s="572"/>
      <c r="Q152" s="572"/>
      <c r="R152" s="572"/>
      <c r="S152" s="572"/>
      <c r="T152" s="572"/>
      <c r="U152" s="572"/>
      <c r="V152" s="572"/>
      <c r="W152" s="572"/>
      <c r="X152" s="572"/>
      <c r="Y152" s="572"/>
      <c r="Z152" s="572"/>
    </row>
    <row r="153" spans="1:26" ht="12.75" customHeight="1" x14ac:dyDescent="0.3">
      <c r="A153" s="572"/>
      <c r="B153" s="572"/>
      <c r="C153" s="572"/>
      <c r="D153" s="572"/>
      <c r="E153" s="572"/>
      <c r="F153" s="572"/>
      <c r="G153" s="572"/>
      <c r="H153" s="572"/>
      <c r="I153" s="572"/>
      <c r="J153" s="572"/>
      <c r="K153" s="572"/>
      <c r="L153" s="572"/>
      <c r="M153" s="572"/>
      <c r="N153" s="572"/>
      <c r="O153" s="572"/>
      <c r="P153" s="572"/>
      <c r="Q153" s="572"/>
      <c r="R153" s="572"/>
      <c r="S153" s="572"/>
      <c r="T153" s="572"/>
      <c r="U153" s="572"/>
      <c r="V153" s="572"/>
      <c r="W153" s="572"/>
      <c r="X153" s="572"/>
      <c r="Y153" s="572"/>
      <c r="Z153" s="572"/>
    </row>
    <row r="154" spans="1:26" ht="12.75" customHeight="1" x14ac:dyDescent="0.3">
      <c r="A154" s="572"/>
      <c r="B154" s="572"/>
      <c r="C154" s="572"/>
      <c r="D154" s="572"/>
      <c r="E154" s="572"/>
      <c r="F154" s="572"/>
      <c r="G154" s="572"/>
      <c r="H154" s="572"/>
      <c r="I154" s="572"/>
      <c r="J154" s="572"/>
      <c r="K154" s="572"/>
      <c r="L154" s="572"/>
      <c r="M154" s="572"/>
      <c r="N154" s="572"/>
      <c r="O154" s="572"/>
      <c r="P154" s="572"/>
      <c r="Q154" s="572"/>
      <c r="R154" s="572"/>
      <c r="S154" s="572"/>
      <c r="T154" s="572"/>
      <c r="U154" s="572"/>
      <c r="V154" s="572"/>
      <c r="W154" s="572"/>
      <c r="X154" s="572"/>
      <c r="Y154" s="572"/>
      <c r="Z154" s="572"/>
    </row>
    <row r="155" spans="1:26" ht="12.75" customHeight="1" x14ac:dyDescent="0.3">
      <c r="A155" s="572"/>
      <c r="B155" s="572"/>
      <c r="C155" s="572"/>
      <c r="D155" s="572"/>
      <c r="E155" s="572"/>
      <c r="F155" s="572"/>
      <c r="G155" s="572"/>
      <c r="H155" s="572"/>
      <c r="I155" s="572"/>
      <c r="J155" s="572"/>
      <c r="K155" s="572"/>
      <c r="L155" s="572"/>
      <c r="M155" s="572"/>
      <c r="N155" s="572"/>
      <c r="O155" s="572"/>
      <c r="P155" s="572"/>
      <c r="Q155" s="572"/>
      <c r="R155" s="572"/>
      <c r="S155" s="572"/>
      <c r="T155" s="572"/>
      <c r="U155" s="572"/>
      <c r="V155" s="572"/>
      <c r="W155" s="572"/>
      <c r="X155" s="572"/>
      <c r="Y155" s="572"/>
      <c r="Z155" s="572"/>
    </row>
    <row r="156" spans="1:26" ht="12.75" customHeight="1" x14ac:dyDescent="0.3">
      <c r="A156" s="572"/>
      <c r="B156" s="572"/>
      <c r="C156" s="572"/>
      <c r="D156" s="572"/>
      <c r="E156" s="572"/>
      <c r="F156" s="572"/>
      <c r="G156" s="572"/>
      <c r="H156" s="572"/>
      <c r="I156" s="572"/>
      <c r="J156" s="572"/>
      <c r="K156" s="572"/>
      <c r="L156" s="572"/>
      <c r="M156" s="572"/>
      <c r="N156" s="572"/>
      <c r="O156" s="572"/>
      <c r="P156" s="572"/>
      <c r="Q156" s="572"/>
      <c r="R156" s="572"/>
      <c r="S156" s="572"/>
      <c r="T156" s="572"/>
      <c r="U156" s="572"/>
      <c r="V156" s="572"/>
      <c r="W156" s="572"/>
      <c r="X156" s="572"/>
      <c r="Y156" s="572"/>
      <c r="Z156" s="572"/>
    </row>
    <row r="157" spans="1:26" ht="12.75" customHeight="1" x14ac:dyDescent="0.3">
      <c r="A157" s="572"/>
      <c r="B157" s="572"/>
      <c r="C157" s="572"/>
      <c r="D157" s="572"/>
      <c r="E157" s="572"/>
      <c r="F157" s="572"/>
      <c r="G157" s="572"/>
      <c r="H157" s="572"/>
      <c r="I157" s="572"/>
      <c r="J157" s="572"/>
      <c r="K157" s="572"/>
      <c r="L157" s="572"/>
      <c r="M157" s="572"/>
      <c r="N157" s="572"/>
      <c r="O157" s="572"/>
      <c r="P157" s="572"/>
      <c r="Q157" s="572"/>
      <c r="R157" s="572"/>
      <c r="S157" s="572"/>
      <c r="T157" s="572"/>
      <c r="U157" s="572"/>
      <c r="V157" s="572"/>
      <c r="W157" s="572"/>
      <c r="X157" s="572"/>
      <c r="Y157" s="572"/>
      <c r="Z157" s="572"/>
    </row>
    <row r="158" spans="1:26" ht="12.75" customHeight="1" x14ac:dyDescent="0.3">
      <c r="A158" s="572"/>
      <c r="B158" s="572"/>
      <c r="C158" s="572"/>
      <c r="D158" s="572"/>
      <c r="E158" s="572"/>
      <c r="F158" s="572"/>
      <c r="G158" s="572"/>
      <c r="H158" s="572"/>
      <c r="I158" s="572"/>
      <c r="J158" s="572"/>
      <c r="K158" s="572"/>
      <c r="L158" s="572"/>
      <c r="M158" s="572"/>
      <c r="N158" s="572"/>
      <c r="O158" s="572"/>
      <c r="P158" s="572"/>
      <c r="Q158" s="572"/>
      <c r="R158" s="572"/>
      <c r="S158" s="572"/>
      <c r="T158" s="572"/>
      <c r="U158" s="572"/>
      <c r="V158" s="572"/>
      <c r="W158" s="572"/>
      <c r="X158" s="572"/>
      <c r="Y158" s="572"/>
      <c r="Z158" s="572"/>
    </row>
    <row r="159" spans="1:26" ht="12.75" customHeight="1" x14ac:dyDescent="0.3">
      <c r="A159" s="572"/>
      <c r="B159" s="572"/>
      <c r="C159" s="572"/>
      <c r="D159" s="572"/>
      <c r="E159" s="572"/>
      <c r="F159" s="572"/>
      <c r="G159" s="572"/>
      <c r="H159" s="572"/>
      <c r="I159" s="572"/>
      <c r="J159" s="572"/>
      <c r="K159" s="572"/>
      <c r="L159" s="572"/>
      <c r="M159" s="572"/>
      <c r="N159" s="572"/>
      <c r="O159" s="572"/>
      <c r="P159" s="572"/>
      <c r="Q159" s="572"/>
      <c r="R159" s="572"/>
      <c r="S159" s="572"/>
      <c r="T159" s="572"/>
      <c r="U159" s="572"/>
      <c r="V159" s="572"/>
      <c r="W159" s="572"/>
      <c r="X159" s="572"/>
      <c r="Y159" s="572"/>
      <c r="Z159" s="572"/>
    </row>
    <row r="160" spans="1:26" ht="12.75" customHeight="1" x14ac:dyDescent="0.3">
      <c r="A160" s="572"/>
      <c r="B160" s="572"/>
      <c r="C160" s="572"/>
      <c r="D160" s="572"/>
      <c r="E160" s="572"/>
      <c r="F160" s="572"/>
      <c r="G160" s="572"/>
      <c r="H160" s="572"/>
      <c r="I160" s="572"/>
      <c r="J160" s="572"/>
      <c r="K160" s="572"/>
      <c r="L160" s="572"/>
      <c r="M160" s="572"/>
      <c r="N160" s="572"/>
      <c r="O160" s="572"/>
      <c r="P160" s="572"/>
      <c r="Q160" s="572"/>
      <c r="R160" s="572"/>
      <c r="S160" s="572"/>
      <c r="T160" s="572"/>
      <c r="U160" s="572"/>
      <c r="V160" s="572"/>
      <c r="W160" s="572"/>
      <c r="X160" s="572"/>
      <c r="Y160" s="572"/>
      <c r="Z160" s="572"/>
    </row>
    <row r="161" spans="1:26" ht="12.75" customHeight="1" x14ac:dyDescent="0.3">
      <c r="A161" s="572"/>
      <c r="B161" s="572"/>
      <c r="C161" s="572"/>
      <c r="D161" s="572"/>
      <c r="E161" s="572"/>
      <c r="F161" s="572"/>
      <c r="G161" s="572"/>
      <c r="H161" s="572"/>
      <c r="I161" s="572"/>
      <c r="J161" s="572"/>
      <c r="K161" s="572"/>
      <c r="L161" s="572"/>
      <c r="M161" s="572"/>
      <c r="N161" s="572"/>
      <c r="O161" s="572"/>
      <c r="P161" s="572"/>
      <c r="Q161" s="572"/>
      <c r="R161" s="572"/>
      <c r="S161" s="572"/>
      <c r="T161" s="572"/>
      <c r="U161" s="572"/>
      <c r="V161" s="572"/>
      <c r="W161" s="572"/>
      <c r="X161" s="572"/>
      <c r="Y161" s="572"/>
      <c r="Z161" s="572"/>
    </row>
    <row r="162" spans="1:26" ht="12.75" customHeight="1" x14ac:dyDescent="0.3">
      <c r="A162" s="572"/>
      <c r="B162" s="572"/>
      <c r="C162" s="572"/>
      <c r="D162" s="572"/>
      <c r="E162" s="572"/>
      <c r="F162" s="572"/>
      <c r="G162" s="572"/>
      <c r="H162" s="572"/>
      <c r="I162" s="572"/>
      <c r="J162" s="572"/>
      <c r="K162" s="572"/>
      <c r="L162" s="572"/>
      <c r="M162" s="572"/>
      <c r="N162" s="572"/>
      <c r="O162" s="572"/>
      <c r="P162" s="572"/>
      <c r="Q162" s="572"/>
      <c r="R162" s="572"/>
      <c r="S162" s="572"/>
      <c r="T162" s="572"/>
      <c r="U162" s="572"/>
      <c r="V162" s="572"/>
      <c r="W162" s="572"/>
      <c r="X162" s="572"/>
      <c r="Y162" s="572"/>
      <c r="Z162" s="572"/>
    </row>
    <row r="163" spans="1:26" ht="12.75" customHeight="1" x14ac:dyDescent="0.3">
      <c r="A163" s="572"/>
      <c r="B163" s="572"/>
      <c r="C163" s="572"/>
      <c r="D163" s="572"/>
      <c r="E163" s="572"/>
      <c r="F163" s="572"/>
      <c r="G163" s="572"/>
      <c r="H163" s="572"/>
      <c r="I163" s="572"/>
      <c r="J163" s="572"/>
      <c r="K163" s="572"/>
      <c r="L163" s="572"/>
      <c r="M163" s="572"/>
      <c r="N163" s="572"/>
      <c r="O163" s="572"/>
      <c r="P163" s="572"/>
      <c r="Q163" s="572"/>
      <c r="R163" s="572"/>
      <c r="S163" s="572"/>
      <c r="T163" s="572"/>
      <c r="U163" s="572"/>
      <c r="V163" s="572"/>
      <c r="W163" s="572"/>
      <c r="X163" s="572"/>
      <c r="Y163" s="572"/>
      <c r="Z163" s="572"/>
    </row>
    <row r="164" spans="1:26" ht="12.75" customHeight="1" x14ac:dyDescent="0.3">
      <c r="A164" s="572"/>
      <c r="B164" s="572"/>
      <c r="C164" s="572"/>
      <c r="D164" s="572"/>
      <c r="E164" s="572"/>
      <c r="F164" s="572"/>
      <c r="G164" s="572"/>
      <c r="H164" s="572"/>
      <c r="I164" s="572"/>
      <c r="J164" s="572"/>
      <c r="K164" s="572"/>
      <c r="L164" s="572"/>
      <c r="M164" s="572"/>
      <c r="N164" s="572"/>
      <c r="O164" s="572"/>
      <c r="P164" s="572"/>
      <c r="Q164" s="572"/>
      <c r="R164" s="572"/>
      <c r="S164" s="572"/>
      <c r="T164" s="572"/>
      <c r="U164" s="572"/>
      <c r="V164" s="572"/>
      <c r="W164" s="572"/>
      <c r="X164" s="572"/>
      <c r="Y164" s="572"/>
      <c r="Z164" s="572"/>
    </row>
    <row r="165" spans="1:26" ht="12.75" customHeight="1" x14ac:dyDescent="0.3">
      <c r="A165" s="572"/>
      <c r="B165" s="572"/>
      <c r="C165" s="572"/>
      <c r="D165" s="572"/>
      <c r="E165" s="572"/>
      <c r="F165" s="572"/>
      <c r="G165" s="572"/>
      <c r="H165" s="572"/>
      <c r="I165" s="572"/>
      <c r="J165" s="572"/>
      <c r="K165" s="572"/>
      <c r="L165" s="572"/>
      <c r="M165" s="572"/>
      <c r="N165" s="572"/>
      <c r="O165" s="572"/>
      <c r="P165" s="572"/>
      <c r="Q165" s="572"/>
      <c r="R165" s="572"/>
      <c r="S165" s="572"/>
      <c r="T165" s="572"/>
      <c r="U165" s="572"/>
      <c r="V165" s="572"/>
      <c r="W165" s="572"/>
      <c r="X165" s="572"/>
      <c r="Y165" s="572"/>
      <c r="Z165" s="572"/>
    </row>
    <row r="166" spans="1:26" ht="12.75" customHeight="1" x14ac:dyDescent="0.3">
      <c r="A166" s="572"/>
      <c r="B166" s="572"/>
      <c r="C166" s="572"/>
      <c r="D166" s="572"/>
      <c r="E166" s="572"/>
      <c r="F166" s="572"/>
      <c r="G166" s="572"/>
      <c r="H166" s="572"/>
      <c r="I166" s="572"/>
      <c r="J166" s="572"/>
      <c r="K166" s="572"/>
      <c r="L166" s="572"/>
      <c r="M166" s="572"/>
      <c r="N166" s="572"/>
      <c r="O166" s="572"/>
      <c r="P166" s="572"/>
      <c r="Q166" s="572"/>
      <c r="R166" s="572"/>
      <c r="S166" s="572"/>
      <c r="T166" s="572"/>
      <c r="U166" s="572"/>
      <c r="V166" s="572"/>
      <c r="W166" s="572"/>
      <c r="X166" s="572"/>
      <c r="Y166" s="572"/>
      <c r="Z166" s="572"/>
    </row>
    <row r="167" spans="1:26" ht="12.75" customHeight="1" x14ac:dyDescent="0.3">
      <c r="A167" s="572"/>
      <c r="B167" s="572"/>
      <c r="C167" s="572"/>
      <c r="D167" s="572"/>
      <c r="E167" s="572"/>
      <c r="F167" s="572"/>
      <c r="G167" s="572"/>
      <c r="H167" s="572"/>
      <c r="I167" s="572"/>
      <c r="J167" s="572"/>
      <c r="K167" s="572"/>
      <c r="L167" s="572"/>
      <c r="M167" s="572"/>
      <c r="N167" s="572"/>
      <c r="O167" s="572"/>
      <c r="P167" s="572"/>
      <c r="Q167" s="572"/>
      <c r="R167" s="572"/>
      <c r="S167" s="572"/>
      <c r="T167" s="572"/>
      <c r="U167" s="572"/>
      <c r="V167" s="572"/>
      <c r="W167" s="572"/>
      <c r="X167" s="572"/>
      <c r="Y167" s="572"/>
      <c r="Z167" s="572"/>
    </row>
    <row r="168" spans="1:26" ht="12.75" customHeight="1" x14ac:dyDescent="0.3">
      <c r="A168" s="572"/>
      <c r="B168" s="572"/>
      <c r="C168" s="572"/>
      <c r="D168" s="572"/>
      <c r="E168" s="572"/>
      <c r="F168" s="572"/>
      <c r="G168" s="572"/>
      <c r="H168" s="572"/>
      <c r="I168" s="572"/>
      <c r="J168" s="572"/>
      <c r="K168" s="572"/>
      <c r="L168" s="572"/>
      <c r="M168" s="572"/>
      <c r="N168" s="572"/>
      <c r="O168" s="572"/>
      <c r="P168" s="572"/>
      <c r="Q168" s="572"/>
      <c r="R168" s="572"/>
      <c r="S168" s="572"/>
      <c r="T168" s="572"/>
      <c r="U168" s="572"/>
      <c r="V168" s="572"/>
      <c r="W168" s="572"/>
      <c r="X168" s="572"/>
      <c r="Y168" s="572"/>
      <c r="Z168" s="572"/>
    </row>
    <row r="169" spans="1:26" ht="12.75" customHeight="1" x14ac:dyDescent="0.3">
      <c r="A169" s="572"/>
      <c r="B169" s="572"/>
      <c r="C169" s="572"/>
      <c r="D169" s="572"/>
      <c r="E169" s="572"/>
      <c r="F169" s="572"/>
      <c r="G169" s="572"/>
      <c r="H169" s="572"/>
      <c r="I169" s="572"/>
      <c r="J169" s="572"/>
      <c r="K169" s="572"/>
      <c r="L169" s="572"/>
      <c r="M169" s="572"/>
      <c r="N169" s="572"/>
      <c r="O169" s="572"/>
      <c r="P169" s="572"/>
      <c r="Q169" s="572"/>
      <c r="R169" s="572"/>
      <c r="S169" s="572"/>
      <c r="T169" s="572"/>
      <c r="U169" s="572"/>
      <c r="V169" s="572"/>
      <c r="W169" s="572"/>
      <c r="X169" s="572"/>
      <c r="Y169" s="572"/>
      <c r="Z169" s="572"/>
    </row>
    <row r="170" spans="1:26" ht="12.75" customHeight="1" x14ac:dyDescent="0.3">
      <c r="A170" s="572"/>
      <c r="B170" s="572"/>
      <c r="C170" s="572"/>
      <c r="D170" s="572"/>
      <c r="E170" s="572"/>
      <c r="F170" s="572"/>
      <c r="G170" s="572"/>
      <c r="H170" s="572"/>
      <c r="I170" s="572"/>
      <c r="J170" s="572"/>
      <c r="K170" s="572"/>
      <c r="L170" s="572"/>
      <c r="M170" s="572"/>
      <c r="N170" s="572"/>
      <c r="O170" s="572"/>
      <c r="P170" s="572"/>
      <c r="Q170" s="572"/>
      <c r="R170" s="572"/>
      <c r="S170" s="572"/>
      <c r="T170" s="572"/>
      <c r="U170" s="572"/>
      <c r="V170" s="572"/>
      <c r="W170" s="572"/>
      <c r="X170" s="572"/>
      <c r="Y170" s="572"/>
      <c r="Z170" s="572"/>
    </row>
    <row r="171" spans="1:26" ht="12.75" customHeight="1" x14ac:dyDescent="0.3">
      <c r="A171" s="572"/>
      <c r="B171" s="572"/>
      <c r="C171" s="572"/>
      <c r="D171" s="572"/>
      <c r="E171" s="572"/>
      <c r="F171" s="572"/>
      <c r="G171" s="572"/>
      <c r="H171" s="572"/>
      <c r="I171" s="572"/>
      <c r="J171" s="572"/>
      <c r="K171" s="572"/>
      <c r="L171" s="572"/>
      <c r="M171" s="572"/>
      <c r="N171" s="572"/>
      <c r="O171" s="572"/>
      <c r="P171" s="572"/>
      <c r="Q171" s="572"/>
      <c r="R171" s="572"/>
      <c r="S171" s="572"/>
      <c r="T171" s="572"/>
      <c r="U171" s="572"/>
      <c r="V171" s="572"/>
      <c r="W171" s="572"/>
      <c r="X171" s="572"/>
      <c r="Y171" s="572"/>
      <c r="Z171" s="572"/>
    </row>
    <row r="172" spans="1:26" ht="12.75" customHeight="1" x14ac:dyDescent="0.3">
      <c r="A172" s="572"/>
      <c r="B172" s="572"/>
      <c r="C172" s="572"/>
      <c r="D172" s="572"/>
      <c r="E172" s="572"/>
      <c r="F172" s="572"/>
      <c r="G172" s="572"/>
      <c r="H172" s="572"/>
      <c r="I172" s="572"/>
      <c r="J172" s="572"/>
      <c r="K172" s="572"/>
      <c r="L172" s="572"/>
      <c r="M172" s="572"/>
      <c r="N172" s="572"/>
      <c r="O172" s="572"/>
      <c r="P172" s="572"/>
      <c r="Q172" s="572"/>
      <c r="R172" s="572"/>
      <c r="S172" s="572"/>
      <c r="T172" s="572"/>
      <c r="U172" s="572"/>
      <c r="V172" s="572"/>
      <c r="W172" s="572"/>
      <c r="X172" s="572"/>
      <c r="Y172" s="572"/>
      <c r="Z172" s="572"/>
    </row>
    <row r="173" spans="1:26" ht="12.75" customHeight="1" x14ac:dyDescent="0.3">
      <c r="A173" s="572"/>
      <c r="B173" s="572"/>
      <c r="C173" s="572"/>
      <c r="D173" s="572"/>
      <c r="E173" s="572"/>
      <c r="F173" s="572"/>
      <c r="G173" s="572"/>
      <c r="H173" s="572"/>
      <c r="I173" s="572"/>
      <c r="J173" s="572"/>
      <c r="K173" s="572"/>
      <c r="L173" s="572"/>
      <c r="M173" s="572"/>
      <c r="N173" s="572"/>
      <c r="O173" s="572"/>
      <c r="P173" s="572"/>
      <c r="Q173" s="572"/>
      <c r="R173" s="572"/>
      <c r="S173" s="572"/>
      <c r="T173" s="572"/>
      <c r="U173" s="572"/>
      <c r="V173" s="572"/>
      <c r="W173" s="572"/>
      <c r="X173" s="572"/>
      <c r="Y173" s="572"/>
      <c r="Z173" s="572"/>
    </row>
    <row r="174" spans="1:26" ht="12.75" customHeight="1" x14ac:dyDescent="0.3">
      <c r="A174" s="572"/>
      <c r="B174" s="572"/>
      <c r="C174" s="572"/>
      <c r="D174" s="572"/>
      <c r="E174" s="572"/>
      <c r="F174" s="572"/>
      <c r="G174" s="572"/>
      <c r="H174" s="572"/>
      <c r="I174" s="572"/>
      <c r="J174" s="572"/>
      <c r="K174" s="572"/>
      <c r="L174" s="572"/>
      <c r="M174" s="572"/>
      <c r="N174" s="572"/>
      <c r="O174" s="572"/>
      <c r="P174" s="572"/>
      <c r="Q174" s="572"/>
      <c r="R174" s="572"/>
      <c r="S174" s="572"/>
      <c r="T174" s="572"/>
      <c r="U174" s="572"/>
      <c r="V174" s="572"/>
      <c r="W174" s="572"/>
      <c r="X174" s="572"/>
      <c r="Y174" s="572"/>
      <c r="Z174" s="572"/>
    </row>
    <row r="175" spans="1:26" ht="12.75" customHeight="1" x14ac:dyDescent="0.3">
      <c r="A175" s="572"/>
      <c r="B175" s="572"/>
      <c r="C175" s="572"/>
      <c r="D175" s="572"/>
      <c r="E175" s="572"/>
      <c r="F175" s="572"/>
      <c r="G175" s="572"/>
      <c r="H175" s="572"/>
      <c r="I175" s="572"/>
      <c r="J175" s="572"/>
      <c r="K175" s="572"/>
      <c r="L175" s="572"/>
      <c r="M175" s="572"/>
      <c r="N175" s="572"/>
      <c r="O175" s="572"/>
      <c r="P175" s="572"/>
      <c r="Q175" s="572"/>
      <c r="R175" s="572"/>
      <c r="S175" s="572"/>
      <c r="T175" s="572"/>
      <c r="U175" s="572"/>
      <c r="V175" s="572"/>
      <c r="W175" s="572"/>
      <c r="X175" s="572"/>
      <c r="Y175" s="572"/>
      <c r="Z175" s="572"/>
    </row>
    <row r="176" spans="1:26" ht="12.75" customHeight="1" x14ac:dyDescent="0.3">
      <c r="A176" s="572"/>
      <c r="B176" s="572"/>
      <c r="C176" s="572"/>
      <c r="D176" s="572"/>
      <c r="E176" s="572"/>
      <c r="F176" s="572"/>
      <c r="G176" s="572"/>
      <c r="H176" s="572"/>
      <c r="I176" s="572"/>
      <c r="J176" s="572"/>
      <c r="K176" s="572"/>
      <c r="L176" s="572"/>
      <c r="M176" s="572"/>
      <c r="N176" s="572"/>
      <c r="O176" s="572"/>
      <c r="P176" s="572"/>
      <c r="Q176" s="572"/>
      <c r="R176" s="572"/>
      <c r="S176" s="572"/>
      <c r="T176" s="572"/>
      <c r="U176" s="572"/>
      <c r="V176" s="572"/>
      <c r="W176" s="572"/>
      <c r="X176" s="572"/>
      <c r="Y176" s="572"/>
      <c r="Z176" s="572"/>
    </row>
    <row r="177" spans="1:26" ht="12.75" customHeight="1" x14ac:dyDescent="0.3">
      <c r="A177" s="572"/>
      <c r="B177" s="572"/>
      <c r="C177" s="572"/>
      <c r="D177" s="572"/>
      <c r="E177" s="572"/>
      <c r="F177" s="572"/>
      <c r="G177" s="572"/>
      <c r="H177" s="572"/>
      <c r="I177" s="572"/>
      <c r="J177" s="572"/>
      <c r="K177" s="572"/>
      <c r="L177" s="572"/>
      <c r="M177" s="572"/>
      <c r="N177" s="572"/>
      <c r="O177" s="572"/>
      <c r="P177" s="572"/>
      <c r="Q177" s="572"/>
      <c r="R177" s="572"/>
      <c r="S177" s="572"/>
      <c r="T177" s="572"/>
      <c r="U177" s="572"/>
      <c r="V177" s="572"/>
      <c r="W177" s="572"/>
      <c r="X177" s="572"/>
      <c r="Y177" s="572"/>
      <c r="Z177" s="572"/>
    </row>
    <row r="178" spans="1:26" ht="12.75" customHeight="1" x14ac:dyDescent="0.3">
      <c r="A178" s="572"/>
      <c r="B178" s="572"/>
      <c r="C178" s="572"/>
      <c r="D178" s="572"/>
      <c r="E178" s="572"/>
      <c r="F178" s="572"/>
      <c r="G178" s="572"/>
      <c r="H178" s="572"/>
      <c r="I178" s="572"/>
      <c r="J178" s="572"/>
      <c r="K178" s="572"/>
      <c r="L178" s="572"/>
      <c r="M178" s="572"/>
      <c r="N178" s="572"/>
      <c r="O178" s="572"/>
      <c r="P178" s="572"/>
      <c r="Q178" s="572"/>
      <c r="R178" s="572"/>
      <c r="S178" s="572"/>
      <c r="T178" s="572"/>
      <c r="U178" s="572"/>
      <c r="V178" s="572"/>
      <c r="W178" s="572"/>
      <c r="X178" s="572"/>
      <c r="Y178" s="572"/>
      <c r="Z178" s="572"/>
    </row>
    <row r="179" spans="1:26" ht="12.75" customHeight="1" x14ac:dyDescent="0.3">
      <c r="A179" s="572"/>
      <c r="B179" s="572"/>
      <c r="C179" s="572"/>
      <c r="D179" s="572"/>
      <c r="E179" s="572"/>
      <c r="F179" s="572"/>
      <c r="G179" s="572"/>
      <c r="H179" s="572"/>
      <c r="I179" s="572"/>
      <c r="J179" s="572"/>
      <c r="K179" s="572"/>
      <c r="L179" s="572"/>
      <c r="M179" s="572"/>
      <c r="N179" s="572"/>
      <c r="O179" s="572"/>
      <c r="P179" s="572"/>
      <c r="Q179" s="572"/>
      <c r="R179" s="572"/>
      <c r="S179" s="572"/>
      <c r="T179" s="572"/>
      <c r="U179" s="572"/>
      <c r="V179" s="572"/>
      <c r="W179" s="572"/>
      <c r="X179" s="572"/>
      <c r="Y179" s="572"/>
      <c r="Z179" s="572"/>
    </row>
    <row r="180" spans="1:26" ht="12.75" customHeight="1" x14ac:dyDescent="0.3">
      <c r="A180" s="572"/>
      <c r="B180" s="572"/>
      <c r="C180" s="572"/>
      <c r="D180" s="572"/>
      <c r="E180" s="572"/>
      <c r="F180" s="572"/>
      <c r="G180" s="572"/>
      <c r="H180" s="572"/>
      <c r="I180" s="572"/>
      <c r="J180" s="572"/>
      <c r="K180" s="572"/>
      <c r="L180" s="572"/>
      <c r="M180" s="572"/>
      <c r="N180" s="572"/>
      <c r="O180" s="572"/>
      <c r="P180" s="572"/>
      <c r="Q180" s="572"/>
      <c r="R180" s="572"/>
      <c r="S180" s="572"/>
      <c r="T180" s="572"/>
      <c r="U180" s="572"/>
      <c r="V180" s="572"/>
      <c r="W180" s="572"/>
      <c r="X180" s="572"/>
      <c r="Y180" s="572"/>
      <c r="Z180" s="572"/>
    </row>
    <row r="181" spans="1:26" ht="12.75" customHeight="1" x14ac:dyDescent="0.3">
      <c r="A181" s="572"/>
      <c r="B181" s="572"/>
      <c r="C181" s="572"/>
      <c r="D181" s="572"/>
      <c r="E181" s="572"/>
      <c r="F181" s="572"/>
      <c r="G181" s="572"/>
      <c r="H181" s="572"/>
      <c r="I181" s="572"/>
      <c r="J181" s="572"/>
      <c r="K181" s="572"/>
      <c r="L181" s="572"/>
      <c r="M181" s="572"/>
      <c r="N181" s="572"/>
      <c r="O181" s="572"/>
      <c r="P181" s="572"/>
      <c r="Q181" s="572"/>
      <c r="R181" s="572"/>
      <c r="S181" s="572"/>
      <c r="T181" s="572"/>
      <c r="U181" s="572"/>
      <c r="V181" s="572"/>
      <c r="W181" s="572"/>
      <c r="X181" s="572"/>
      <c r="Y181" s="572"/>
      <c r="Z181" s="572"/>
    </row>
    <row r="182" spans="1:26" ht="12.75" customHeight="1" x14ac:dyDescent="0.3">
      <c r="A182" s="572"/>
      <c r="B182" s="572"/>
      <c r="C182" s="572"/>
      <c r="D182" s="572"/>
      <c r="E182" s="572"/>
      <c r="F182" s="572"/>
      <c r="G182" s="572"/>
      <c r="H182" s="572"/>
      <c r="I182" s="572"/>
      <c r="J182" s="572"/>
      <c r="K182" s="572"/>
      <c r="L182" s="572"/>
      <c r="M182" s="572"/>
      <c r="N182" s="572"/>
      <c r="O182" s="572"/>
      <c r="P182" s="572"/>
      <c r="Q182" s="572"/>
      <c r="R182" s="572"/>
      <c r="S182" s="572"/>
      <c r="T182" s="572"/>
      <c r="U182" s="572"/>
      <c r="V182" s="572"/>
      <c r="W182" s="572"/>
      <c r="X182" s="572"/>
      <c r="Y182" s="572"/>
      <c r="Z182" s="572"/>
    </row>
    <row r="183" spans="1:26" ht="12.75" customHeight="1" x14ac:dyDescent="0.3">
      <c r="A183" s="572"/>
      <c r="B183" s="572"/>
      <c r="C183" s="572"/>
      <c r="D183" s="572"/>
      <c r="E183" s="572"/>
      <c r="F183" s="572"/>
      <c r="G183" s="572"/>
      <c r="H183" s="572"/>
      <c r="I183" s="572"/>
      <c r="J183" s="572"/>
      <c r="K183" s="572"/>
      <c r="L183" s="572"/>
      <c r="M183" s="572"/>
      <c r="N183" s="572"/>
      <c r="O183" s="572"/>
      <c r="P183" s="572"/>
      <c r="Q183" s="572"/>
      <c r="R183" s="572"/>
      <c r="S183" s="572"/>
      <c r="T183" s="572"/>
      <c r="U183" s="572"/>
      <c r="V183" s="572"/>
      <c r="W183" s="572"/>
      <c r="X183" s="572"/>
      <c r="Y183" s="572"/>
      <c r="Z183" s="572"/>
    </row>
    <row r="184" spans="1:26" ht="12.75" customHeight="1" x14ac:dyDescent="0.3">
      <c r="A184" s="572"/>
      <c r="B184" s="572"/>
      <c r="C184" s="572"/>
      <c r="D184" s="572"/>
      <c r="E184" s="572"/>
      <c r="F184" s="572"/>
      <c r="G184" s="572"/>
      <c r="H184" s="572"/>
      <c r="I184" s="572"/>
      <c r="J184" s="572"/>
      <c r="K184" s="572"/>
      <c r="L184" s="572"/>
      <c r="M184" s="572"/>
      <c r="N184" s="572"/>
      <c r="O184" s="572"/>
      <c r="P184" s="572"/>
      <c r="Q184" s="572"/>
      <c r="R184" s="572"/>
      <c r="S184" s="572"/>
      <c r="T184" s="572"/>
      <c r="U184" s="572"/>
      <c r="V184" s="572"/>
      <c r="W184" s="572"/>
      <c r="X184" s="572"/>
      <c r="Y184" s="572"/>
      <c r="Z184" s="572"/>
    </row>
    <row r="185" spans="1:26" ht="12.75" customHeight="1" x14ac:dyDescent="0.3">
      <c r="A185" s="572"/>
      <c r="B185" s="572"/>
      <c r="C185" s="572"/>
      <c r="D185" s="572"/>
      <c r="E185" s="572"/>
      <c r="F185" s="572"/>
      <c r="G185" s="572"/>
      <c r="H185" s="572"/>
      <c r="I185" s="572"/>
      <c r="J185" s="572"/>
      <c r="K185" s="572"/>
      <c r="L185" s="572"/>
      <c r="M185" s="572"/>
      <c r="N185" s="572"/>
      <c r="O185" s="572"/>
      <c r="P185" s="572"/>
      <c r="Q185" s="572"/>
      <c r="R185" s="572"/>
      <c r="S185" s="572"/>
      <c r="T185" s="572"/>
      <c r="U185" s="572"/>
      <c r="V185" s="572"/>
      <c r="W185" s="572"/>
      <c r="X185" s="572"/>
      <c r="Y185" s="572"/>
      <c r="Z185" s="572"/>
    </row>
    <row r="186" spans="1:26" ht="12.75" customHeight="1" x14ac:dyDescent="0.3">
      <c r="A186" s="572"/>
      <c r="B186" s="572"/>
      <c r="C186" s="572"/>
      <c r="D186" s="572"/>
      <c r="E186" s="572"/>
      <c r="F186" s="572"/>
      <c r="G186" s="572"/>
      <c r="H186" s="572"/>
      <c r="I186" s="572"/>
      <c r="J186" s="572"/>
      <c r="K186" s="572"/>
      <c r="L186" s="572"/>
      <c r="M186" s="572"/>
      <c r="N186" s="572"/>
      <c r="O186" s="572"/>
      <c r="P186" s="572"/>
      <c r="Q186" s="572"/>
      <c r="R186" s="572"/>
      <c r="S186" s="572"/>
      <c r="T186" s="572"/>
      <c r="U186" s="572"/>
      <c r="V186" s="572"/>
      <c r="W186" s="572"/>
      <c r="X186" s="572"/>
      <c r="Y186" s="572"/>
      <c r="Z186" s="572"/>
    </row>
    <row r="187" spans="1:26" ht="12.75" customHeight="1" x14ac:dyDescent="0.3">
      <c r="A187" s="572"/>
      <c r="B187" s="572"/>
      <c r="C187" s="572"/>
      <c r="D187" s="572"/>
      <c r="E187" s="572"/>
      <c r="F187" s="572"/>
      <c r="G187" s="572"/>
      <c r="H187" s="572"/>
      <c r="I187" s="572"/>
      <c r="J187" s="572"/>
      <c r="K187" s="572"/>
      <c r="L187" s="572"/>
      <c r="M187" s="572"/>
      <c r="N187" s="572"/>
      <c r="O187" s="572"/>
      <c r="P187" s="572"/>
      <c r="Q187" s="572"/>
      <c r="R187" s="572"/>
      <c r="S187" s="572"/>
      <c r="T187" s="572"/>
      <c r="U187" s="572"/>
      <c r="V187" s="572"/>
      <c r="W187" s="572"/>
      <c r="X187" s="572"/>
      <c r="Y187" s="572"/>
      <c r="Z187" s="572"/>
    </row>
    <row r="188" spans="1:26" ht="12.75" customHeight="1" x14ac:dyDescent="0.3">
      <c r="A188" s="572"/>
      <c r="B188" s="572"/>
      <c r="C188" s="572"/>
      <c r="D188" s="572"/>
      <c r="E188" s="572"/>
      <c r="F188" s="572"/>
      <c r="G188" s="572"/>
      <c r="H188" s="572"/>
      <c r="I188" s="572"/>
      <c r="J188" s="572"/>
      <c r="K188" s="572"/>
      <c r="L188" s="572"/>
      <c r="M188" s="572"/>
      <c r="N188" s="572"/>
      <c r="O188" s="572"/>
      <c r="P188" s="572"/>
      <c r="Q188" s="572"/>
      <c r="R188" s="572"/>
      <c r="S188" s="572"/>
      <c r="T188" s="572"/>
      <c r="U188" s="572"/>
      <c r="V188" s="572"/>
      <c r="W188" s="572"/>
      <c r="X188" s="572"/>
      <c r="Y188" s="572"/>
      <c r="Z188" s="572"/>
    </row>
    <row r="189" spans="1:26" ht="12.75" customHeight="1" x14ac:dyDescent="0.3">
      <c r="A189" s="572"/>
      <c r="B189" s="572"/>
      <c r="C189" s="572"/>
      <c r="D189" s="572"/>
      <c r="E189" s="572"/>
      <c r="F189" s="572"/>
      <c r="G189" s="572"/>
      <c r="H189" s="572"/>
      <c r="I189" s="572"/>
      <c r="J189" s="572"/>
      <c r="K189" s="572"/>
      <c r="L189" s="572"/>
      <c r="M189" s="572"/>
      <c r="N189" s="572"/>
      <c r="O189" s="572"/>
      <c r="P189" s="572"/>
      <c r="Q189" s="572"/>
      <c r="R189" s="572"/>
      <c r="S189" s="572"/>
      <c r="T189" s="572"/>
      <c r="U189" s="572"/>
      <c r="V189" s="572"/>
      <c r="W189" s="572"/>
      <c r="X189" s="572"/>
      <c r="Y189" s="572"/>
      <c r="Z189" s="572"/>
    </row>
    <row r="190" spans="1:26" ht="12.75" customHeight="1" x14ac:dyDescent="0.3">
      <c r="A190" s="572"/>
      <c r="B190" s="572"/>
      <c r="C190" s="572"/>
      <c r="D190" s="572"/>
      <c r="E190" s="572"/>
      <c r="F190" s="572"/>
      <c r="G190" s="572"/>
      <c r="H190" s="572"/>
      <c r="I190" s="572"/>
      <c r="J190" s="572"/>
      <c r="K190" s="572"/>
      <c r="L190" s="572"/>
      <c r="M190" s="572"/>
      <c r="N190" s="572"/>
      <c r="O190" s="572"/>
      <c r="P190" s="572"/>
      <c r="Q190" s="572"/>
      <c r="R190" s="572"/>
      <c r="S190" s="572"/>
      <c r="T190" s="572"/>
      <c r="U190" s="572"/>
      <c r="V190" s="572"/>
      <c r="W190" s="572"/>
      <c r="X190" s="572"/>
      <c r="Y190" s="572"/>
      <c r="Z190" s="572"/>
    </row>
    <row r="191" spans="1:26" ht="12.75" customHeight="1" x14ac:dyDescent="0.3">
      <c r="A191" s="572"/>
      <c r="B191" s="572"/>
      <c r="C191" s="572"/>
      <c r="D191" s="572"/>
      <c r="E191" s="572"/>
      <c r="F191" s="572"/>
      <c r="G191" s="572"/>
      <c r="H191" s="572"/>
      <c r="I191" s="572"/>
      <c r="J191" s="572"/>
      <c r="K191" s="572"/>
      <c r="L191" s="572"/>
      <c r="M191" s="572"/>
      <c r="N191" s="572"/>
      <c r="O191" s="572"/>
      <c r="P191" s="572"/>
      <c r="Q191" s="572"/>
      <c r="R191" s="572"/>
      <c r="S191" s="572"/>
      <c r="T191" s="572"/>
      <c r="U191" s="572"/>
      <c r="V191" s="572"/>
      <c r="W191" s="572"/>
      <c r="X191" s="572"/>
      <c r="Y191" s="572"/>
      <c r="Z191" s="572"/>
    </row>
    <row r="192" spans="1:26" ht="12.75" customHeight="1" x14ac:dyDescent="0.3">
      <c r="A192" s="572"/>
      <c r="B192" s="572"/>
      <c r="C192" s="572"/>
      <c r="D192" s="572"/>
      <c r="E192" s="572"/>
      <c r="F192" s="572"/>
      <c r="G192" s="572"/>
      <c r="H192" s="572"/>
      <c r="I192" s="572"/>
      <c r="J192" s="572"/>
      <c r="K192" s="572"/>
      <c r="L192" s="572"/>
      <c r="M192" s="572"/>
      <c r="N192" s="572"/>
      <c r="O192" s="572"/>
      <c r="P192" s="572"/>
      <c r="Q192" s="572"/>
      <c r="R192" s="572"/>
      <c r="S192" s="572"/>
      <c r="T192" s="572"/>
      <c r="U192" s="572"/>
      <c r="V192" s="572"/>
      <c r="W192" s="572"/>
      <c r="X192" s="572"/>
      <c r="Y192" s="572"/>
      <c r="Z192" s="572"/>
    </row>
    <row r="193" spans="1:26" ht="12.75" customHeight="1" x14ac:dyDescent="0.3">
      <c r="A193" s="572"/>
      <c r="B193" s="572"/>
      <c r="C193" s="572"/>
      <c r="D193" s="572"/>
      <c r="E193" s="572"/>
      <c r="F193" s="572"/>
      <c r="G193" s="572"/>
      <c r="H193" s="572"/>
      <c r="I193" s="572"/>
      <c r="J193" s="572"/>
      <c r="K193" s="572"/>
      <c r="L193" s="572"/>
      <c r="M193" s="572"/>
      <c r="N193" s="572"/>
      <c r="O193" s="572"/>
      <c r="P193" s="572"/>
      <c r="Q193" s="572"/>
      <c r="R193" s="572"/>
      <c r="S193" s="572"/>
      <c r="T193" s="572"/>
      <c r="U193" s="572"/>
      <c r="V193" s="572"/>
      <c r="W193" s="572"/>
      <c r="X193" s="572"/>
      <c r="Y193" s="572"/>
      <c r="Z193" s="572"/>
    </row>
    <row r="194" spans="1:26" ht="12.75" customHeight="1" x14ac:dyDescent="0.3">
      <c r="A194" s="572"/>
      <c r="B194" s="572"/>
      <c r="C194" s="572"/>
      <c r="D194" s="572"/>
      <c r="E194" s="572"/>
      <c r="F194" s="572"/>
      <c r="G194" s="572"/>
      <c r="H194" s="572"/>
      <c r="I194" s="572"/>
      <c r="J194" s="572"/>
      <c r="K194" s="572"/>
      <c r="L194" s="572"/>
      <c r="M194" s="572"/>
      <c r="N194" s="572"/>
      <c r="O194" s="572"/>
      <c r="P194" s="572"/>
      <c r="Q194" s="572"/>
      <c r="R194" s="572"/>
      <c r="S194" s="572"/>
      <c r="T194" s="572"/>
      <c r="U194" s="572"/>
      <c r="V194" s="572"/>
      <c r="W194" s="572"/>
      <c r="X194" s="572"/>
      <c r="Y194" s="572"/>
      <c r="Z194" s="572"/>
    </row>
    <row r="195" spans="1:26" ht="12.75" customHeight="1" x14ac:dyDescent="0.3">
      <c r="A195" s="572"/>
      <c r="B195" s="572"/>
      <c r="C195" s="572"/>
      <c r="D195" s="572"/>
      <c r="E195" s="572"/>
      <c r="F195" s="572"/>
      <c r="G195" s="572"/>
      <c r="H195" s="572"/>
      <c r="I195" s="572"/>
      <c r="J195" s="572"/>
      <c r="K195" s="572"/>
      <c r="L195" s="572"/>
      <c r="M195" s="572"/>
      <c r="N195" s="572"/>
      <c r="O195" s="572"/>
      <c r="P195" s="572"/>
      <c r="Q195" s="572"/>
      <c r="R195" s="572"/>
      <c r="S195" s="572"/>
      <c r="T195" s="572"/>
      <c r="U195" s="572"/>
      <c r="V195" s="572"/>
      <c r="W195" s="572"/>
      <c r="X195" s="572"/>
      <c r="Y195" s="572"/>
      <c r="Z195" s="572"/>
    </row>
    <row r="196" spans="1:26" ht="12.75" customHeight="1" x14ac:dyDescent="0.3">
      <c r="A196" s="572"/>
      <c r="B196" s="572"/>
      <c r="C196" s="572"/>
      <c r="D196" s="572"/>
      <c r="E196" s="572"/>
      <c r="F196" s="572"/>
      <c r="G196" s="572"/>
      <c r="H196" s="572"/>
      <c r="I196" s="572"/>
      <c r="J196" s="572"/>
      <c r="K196" s="572"/>
      <c r="L196" s="572"/>
      <c r="M196" s="572"/>
      <c r="N196" s="572"/>
      <c r="O196" s="572"/>
      <c r="P196" s="572"/>
      <c r="Q196" s="572"/>
      <c r="R196" s="572"/>
      <c r="S196" s="572"/>
      <c r="T196" s="572"/>
      <c r="U196" s="572"/>
      <c r="V196" s="572"/>
      <c r="W196" s="572"/>
      <c r="X196" s="572"/>
      <c r="Y196" s="572"/>
      <c r="Z196" s="572"/>
    </row>
    <row r="197" spans="1:26" ht="12.75" customHeight="1" x14ac:dyDescent="0.3">
      <c r="A197" s="572"/>
      <c r="B197" s="572"/>
      <c r="C197" s="572"/>
      <c r="D197" s="572"/>
      <c r="E197" s="572"/>
      <c r="F197" s="572"/>
      <c r="G197" s="572"/>
      <c r="H197" s="572"/>
      <c r="I197" s="572"/>
      <c r="J197" s="572"/>
      <c r="K197" s="572"/>
      <c r="L197" s="572"/>
      <c r="M197" s="572"/>
      <c r="N197" s="572"/>
      <c r="O197" s="572"/>
      <c r="P197" s="572"/>
      <c r="Q197" s="572"/>
      <c r="R197" s="572"/>
      <c r="S197" s="572"/>
      <c r="T197" s="572"/>
      <c r="U197" s="572"/>
      <c r="V197" s="572"/>
      <c r="W197" s="572"/>
      <c r="X197" s="572"/>
      <c r="Y197" s="572"/>
      <c r="Z197" s="572"/>
    </row>
    <row r="198" spans="1:26" ht="12.75" customHeight="1" x14ac:dyDescent="0.3">
      <c r="A198" s="572"/>
      <c r="B198" s="572"/>
      <c r="C198" s="572"/>
      <c r="D198" s="572"/>
      <c r="E198" s="572"/>
      <c r="F198" s="572"/>
      <c r="G198" s="572"/>
      <c r="H198" s="572"/>
      <c r="I198" s="572"/>
      <c r="J198" s="572"/>
      <c r="K198" s="572"/>
      <c r="L198" s="572"/>
      <c r="M198" s="572"/>
      <c r="N198" s="572"/>
      <c r="O198" s="572"/>
      <c r="P198" s="572"/>
      <c r="Q198" s="572"/>
      <c r="R198" s="572"/>
      <c r="S198" s="572"/>
      <c r="T198" s="572"/>
      <c r="U198" s="572"/>
      <c r="V198" s="572"/>
      <c r="W198" s="572"/>
      <c r="X198" s="572"/>
      <c r="Y198" s="572"/>
      <c r="Z198" s="572"/>
    </row>
    <row r="199" spans="1:26" ht="12.75" customHeight="1" x14ac:dyDescent="0.3">
      <c r="A199" s="572"/>
      <c r="B199" s="572"/>
      <c r="C199" s="572"/>
      <c r="D199" s="572"/>
      <c r="E199" s="572"/>
      <c r="F199" s="572"/>
      <c r="G199" s="572"/>
      <c r="H199" s="572"/>
      <c r="I199" s="572"/>
      <c r="J199" s="572"/>
      <c r="K199" s="572"/>
      <c r="L199" s="572"/>
      <c r="M199" s="572"/>
      <c r="N199" s="572"/>
      <c r="O199" s="572"/>
      <c r="P199" s="572"/>
      <c r="Q199" s="572"/>
      <c r="R199" s="572"/>
      <c r="S199" s="572"/>
      <c r="T199" s="572"/>
      <c r="U199" s="572"/>
      <c r="V199" s="572"/>
      <c r="W199" s="572"/>
      <c r="X199" s="572"/>
      <c r="Y199" s="572"/>
      <c r="Z199" s="572"/>
    </row>
    <row r="200" spans="1:26" ht="12.75" customHeight="1" x14ac:dyDescent="0.3">
      <c r="A200" s="572"/>
      <c r="B200" s="572"/>
      <c r="C200" s="572"/>
      <c r="D200" s="572"/>
      <c r="E200" s="572"/>
      <c r="F200" s="572"/>
      <c r="G200" s="572"/>
      <c r="H200" s="572"/>
      <c r="I200" s="572"/>
      <c r="J200" s="572"/>
      <c r="K200" s="572"/>
      <c r="L200" s="572"/>
      <c r="M200" s="572"/>
      <c r="N200" s="572"/>
      <c r="O200" s="572"/>
      <c r="P200" s="572"/>
      <c r="Q200" s="572"/>
      <c r="R200" s="572"/>
      <c r="S200" s="572"/>
      <c r="T200" s="572"/>
      <c r="U200" s="572"/>
      <c r="V200" s="572"/>
      <c r="W200" s="572"/>
      <c r="X200" s="572"/>
      <c r="Y200" s="572"/>
      <c r="Z200" s="572"/>
    </row>
    <row r="201" spans="1:26" ht="12.75" customHeight="1" x14ac:dyDescent="0.3">
      <c r="A201" s="572"/>
      <c r="B201" s="572"/>
      <c r="C201" s="572"/>
      <c r="D201" s="572"/>
      <c r="E201" s="572"/>
      <c r="F201" s="572"/>
      <c r="G201" s="572"/>
      <c r="H201" s="572"/>
      <c r="I201" s="572"/>
      <c r="J201" s="572"/>
      <c r="K201" s="572"/>
      <c r="L201" s="572"/>
      <c r="M201" s="572"/>
      <c r="N201" s="572"/>
      <c r="O201" s="572"/>
      <c r="P201" s="572"/>
      <c r="Q201" s="572"/>
      <c r="R201" s="572"/>
      <c r="S201" s="572"/>
      <c r="T201" s="572"/>
      <c r="U201" s="572"/>
      <c r="V201" s="572"/>
      <c r="W201" s="572"/>
      <c r="X201" s="572"/>
      <c r="Y201" s="572"/>
      <c r="Z201" s="572"/>
    </row>
    <row r="202" spans="1:26" ht="12.75" customHeight="1" x14ac:dyDescent="0.3">
      <c r="A202" s="572"/>
      <c r="B202" s="572"/>
      <c r="C202" s="572"/>
      <c r="D202" s="572"/>
      <c r="E202" s="572"/>
      <c r="F202" s="572"/>
      <c r="G202" s="572"/>
      <c r="H202" s="572"/>
      <c r="I202" s="572"/>
      <c r="J202" s="572"/>
      <c r="K202" s="572"/>
      <c r="L202" s="572"/>
      <c r="M202" s="572"/>
      <c r="N202" s="572"/>
      <c r="O202" s="572"/>
      <c r="P202" s="572"/>
      <c r="Q202" s="572"/>
      <c r="R202" s="572"/>
      <c r="S202" s="572"/>
      <c r="T202" s="572"/>
      <c r="U202" s="572"/>
      <c r="V202" s="572"/>
      <c r="W202" s="572"/>
      <c r="X202" s="572"/>
      <c r="Y202" s="572"/>
      <c r="Z202" s="572"/>
    </row>
    <row r="203" spans="1:26" ht="12.75" customHeight="1" x14ac:dyDescent="0.3">
      <c r="A203" s="572"/>
      <c r="B203" s="572"/>
      <c r="C203" s="572"/>
      <c r="D203" s="572"/>
      <c r="E203" s="572"/>
      <c r="F203" s="572"/>
      <c r="G203" s="572"/>
      <c r="H203" s="572"/>
      <c r="I203" s="572"/>
      <c r="J203" s="572"/>
      <c r="K203" s="572"/>
      <c r="L203" s="572"/>
      <c r="M203" s="572"/>
      <c r="N203" s="572"/>
      <c r="O203" s="572"/>
      <c r="P203" s="572"/>
      <c r="Q203" s="572"/>
      <c r="R203" s="572"/>
      <c r="S203" s="572"/>
      <c r="T203" s="572"/>
      <c r="U203" s="572"/>
      <c r="V203" s="572"/>
      <c r="W203" s="572"/>
      <c r="X203" s="572"/>
      <c r="Y203" s="572"/>
      <c r="Z203" s="572"/>
    </row>
    <row r="204" spans="1:26" ht="12.75" customHeight="1" x14ac:dyDescent="0.3">
      <c r="A204" s="572"/>
      <c r="B204" s="572"/>
      <c r="C204" s="572"/>
      <c r="D204" s="572"/>
      <c r="E204" s="572"/>
      <c r="F204" s="572"/>
      <c r="G204" s="572"/>
      <c r="H204" s="572"/>
      <c r="I204" s="572"/>
      <c r="J204" s="572"/>
      <c r="K204" s="572"/>
      <c r="L204" s="572"/>
      <c r="M204" s="572"/>
      <c r="N204" s="572"/>
      <c r="O204" s="572"/>
      <c r="P204" s="572"/>
      <c r="Q204" s="572"/>
      <c r="R204" s="572"/>
      <c r="S204" s="572"/>
      <c r="T204" s="572"/>
      <c r="U204" s="572"/>
      <c r="V204" s="572"/>
      <c r="W204" s="572"/>
      <c r="X204" s="572"/>
      <c r="Y204" s="572"/>
      <c r="Z204" s="572"/>
    </row>
    <row r="205" spans="1:26" ht="12.75" customHeight="1" x14ac:dyDescent="0.3">
      <c r="A205" s="572"/>
      <c r="B205" s="572"/>
      <c r="C205" s="572"/>
      <c r="D205" s="572"/>
      <c r="E205" s="572"/>
      <c r="F205" s="572"/>
      <c r="G205" s="572"/>
      <c r="H205" s="572"/>
      <c r="I205" s="572"/>
      <c r="J205" s="572"/>
      <c r="K205" s="572"/>
      <c r="L205" s="572"/>
      <c r="M205" s="572"/>
      <c r="N205" s="572"/>
      <c r="O205" s="572"/>
      <c r="P205" s="572"/>
      <c r="Q205" s="572"/>
      <c r="R205" s="572"/>
      <c r="S205" s="572"/>
      <c r="T205" s="572"/>
      <c r="U205" s="572"/>
      <c r="V205" s="572"/>
      <c r="W205" s="572"/>
      <c r="X205" s="572"/>
      <c r="Y205" s="572"/>
      <c r="Z205" s="572"/>
    </row>
    <row r="206" spans="1:26" ht="12.75" customHeight="1" x14ac:dyDescent="0.3">
      <c r="A206" s="572"/>
      <c r="B206" s="572"/>
      <c r="C206" s="572"/>
      <c r="D206" s="572"/>
      <c r="E206" s="572"/>
      <c r="F206" s="572"/>
      <c r="G206" s="572"/>
      <c r="H206" s="572"/>
      <c r="I206" s="572"/>
      <c r="J206" s="572"/>
      <c r="K206" s="572"/>
      <c r="L206" s="572"/>
      <c r="M206" s="572"/>
      <c r="N206" s="572"/>
      <c r="O206" s="572"/>
      <c r="P206" s="572"/>
      <c r="Q206" s="572"/>
      <c r="R206" s="572"/>
      <c r="S206" s="572"/>
      <c r="T206" s="572"/>
      <c r="U206" s="572"/>
      <c r="V206" s="572"/>
      <c r="W206" s="572"/>
      <c r="X206" s="572"/>
      <c r="Y206" s="572"/>
      <c r="Z206" s="572"/>
    </row>
    <row r="207" spans="1:26" ht="12.75" customHeight="1" x14ac:dyDescent="0.3">
      <c r="A207" s="572"/>
      <c r="B207" s="572"/>
      <c r="C207" s="572"/>
      <c r="D207" s="572"/>
      <c r="E207" s="572"/>
      <c r="F207" s="572"/>
      <c r="G207" s="572"/>
      <c r="H207" s="572"/>
      <c r="I207" s="572"/>
      <c r="J207" s="572"/>
      <c r="K207" s="572"/>
      <c r="L207" s="572"/>
      <c r="M207" s="572"/>
      <c r="N207" s="572"/>
      <c r="O207" s="572"/>
      <c r="P207" s="572"/>
      <c r="Q207" s="572"/>
      <c r="R207" s="572"/>
      <c r="S207" s="572"/>
      <c r="T207" s="572"/>
      <c r="U207" s="572"/>
      <c r="V207" s="572"/>
      <c r="W207" s="572"/>
      <c r="X207" s="572"/>
      <c r="Y207" s="572"/>
      <c r="Z207" s="572"/>
    </row>
    <row r="208" spans="1:26" ht="12.75" customHeight="1" x14ac:dyDescent="0.3">
      <c r="A208" s="572"/>
      <c r="B208" s="572"/>
      <c r="C208" s="572"/>
      <c r="D208" s="572"/>
      <c r="E208" s="572"/>
      <c r="F208" s="572"/>
      <c r="G208" s="572"/>
      <c r="H208" s="572"/>
      <c r="I208" s="572"/>
      <c r="J208" s="572"/>
      <c r="K208" s="572"/>
      <c r="L208" s="572"/>
      <c r="M208" s="572"/>
      <c r="N208" s="572"/>
      <c r="O208" s="572"/>
      <c r="P208" s="572"/>
      <c r="Q208" s="572"/>
      <c r="R208" s="572"/>
      <c r="S208" s="572"/>
      <c r="T208" s="572"/>
      <c r="U208" s="572"/>
      <c r="V208" s="572"/>
      <c r="W208" s="572"/>
      <c r="X208" s="572"/>
      <c r="Y208" s="572"/>
      <c r="Z208" s="572"/>
    </row>
    <row r="209" spans="1:26" ht="12.75" customHeight="1" x14ac:dyDescent="0.3">
      <c r="A209" s="572"/>
      <c r="B209" s="572"/>
      <c r="C209" s="572"/>
      <c r="D209" s="572"/>
      <c r="E209" s="572"/>
      <c r="F209" s="572"/>
      <c r="G209" s="572"/>
      <c r="H209" s="572"/>
      <c r="I209" s="572"/>
      <c r="J209" s="572"/>
      <c r="K209" s="572"/>
      <c r="L209" s="572"/>
      <c r="M209" s="572"/>
      <c r="N209" s="572"/>
      <c r="O209" s="572"/>
      <c r="P209" s="572"/>
      <c r="Q209" s="572"/>
      <c r="R209" s="572"/>
      <c r="S209" s="572"/>
      <c r="T209" s="572"/>
      <c r="U209" s="572"/>
      <c r="V209" s="572"/>
      <c r="W209" s="572"/>
      <c r="X209" s="572"/>
      <c r="Y209" s="572"/>
      <c r="Z209" s="572"/>
    </row>
    <row r="210" spans="1:26" ht="12.75" customHeight="1" x14ac:dyDescent="0.3">
      <c r="A210" s="572"/>
      <c r="B210" s="572"/>
      <c r="C210" s="572"/>
      <c r="D210" s="572"/>
      <c r="E210" s="572"/>
      <c r="F210" s="572"/>
      <c r="G210" s="572"/>
      <c r="H210" s="572"/>
      <c r="I210" s="572"/>
      <c r="J210" s="572"/>
      <c r="K210" s="572"/>
      <c r="L210" s="572"/>
      <c r="M210" s="572"/>
      <c r="N210" s="572"/>
      <c r="O210" s="572"/>
      <c r="P210" s="572"/>
      <c r="Q210" s="572"/>
      <c r="R210" s="572"/>
      <c r="S210" s="572"/>
      <c r="T210" s="572"/>
      <c r="U210" s="572"/>
      <c r="V210" s="572"/>
      <c r="W210" s="572"/>
      <c r="X210" s="572"/>
      <c r="Y210" s="572"/>
      <c r="Z210" s="572"/>
    </row>
    <row r="211" spans="1:26" ht="12.75" customHeight="1" x14ac:dyDescent="0.3">
      <c r="A211" s="572"/>
      <c r="B211" s="572"/>
      <c r="C211" s="572"/>
      <c r="D211" s="572"/>
      <c r="E211" s="572"/>
      <c r="F211" s="572"/>
      <c r="G211" s="572"/>
      <c r="H211" s="572"/>
      <c r="I211" s="572"/>
      <c r="J211" s="572"/>
      <c r="K211" s="572"/>
      <c r="L211" s="572"/>
      <c r="M211" s="572"/>
      <c r="N211" s="572"/>
      <c r="O211" s="572"/>
      <c r="P211" s="572"/>
      <c r="Q211" s="572"/>
      <c r="R211" s="572"/>
      <c r="S211" s="572"/>
      <c r="T211" s="572"/>
      <c r="U211" s="572"/>
      <c r="V211" s="572"/>
      <c r="W211" s="572"/>
      <c r="X211" s="572"/>
      <c r="Y211" s="572"/>
      <c r="Z211" s="572"/>
    </row>
    <row r="212" spans="1:26" ht="12.75" customHeight="1" x14ac:dyDescent="0.3">
      <c r="A212" s="572"/>
      <c r="B212" s="572"/>
      <c r="C212" s="572"/>
      <c r="D212" s="572"/>
      <c r="E212" s="572"/>
      <c r="F212" s="572"/>
      <c r="G212" s="572"/>
      <c r="H212" s="572"/>
      <c r="I212" s="572"/>
      <c r="J212" s="572"/>
      <c r="K212" s="572"/>
      <c r="L212" s="572"/>
      <c r="M212" s="572"/>
      <c r="N212" s="572"/>
      <c r="O212" s="572"/>
      <c r="P212" s="572"/>
      <c r="Q212" s="572"/>
      <c r="R212" s="572"/>
      <c r="S212" s="572"/>
      <c r="T212" s="572"/>
      <c r="U212" s="572"/>
      <c r="V212" s="572"/>
      <c r="W212" s="572"/>
      <c r="X212" s="572"/>
      <c r="Y212" s="572"/>
      <c r="Z212" s="572"/>
    </row>
    <row r="213" spans="1:26" ht="12.75" customHeight="1" x14ac:dyDescent="0.3">
      <c r="A213" s="572"/>
      <c r="B213" s="572"/>
      <c r="C213" s="572"/>
      <c r="D213" s="572"/>
      <c r="E213" s="572"/>
      <c r="F213" s="572"/>
      <c r="G213" s="572"/>
      <c r="H213" s="572"/>
      <c r="I213" s="572"/>
      <c r="J213" s="572"/>
      <c r="K213" s="572"/>
      <c r="L213" s="572"/>
      <c r="M213" s="572"/>
      <c r="N213" s="572"/>
      <c r="O213" s="572"/>
      <c r="P213" s="572"/>
      <c r="Q213" s="572"/>
      <c r="R213" s="572"/>
      <c r="S213" s="572"/>
      <c r="T213" s="572"/>
      <c r="U213" s="572"/>
      <c r="V213" s="572"/>
      <c r="W213" s="572"/>
      <c r="X213" s="572"/>
      <c r="Y213" s="572"/>
      <c r="Z213" s="572"/>
    </row>
    <row r="214" spans="1:26" ht="12.75" customHeight="1" x14ac:dyDescent="0.3">
      <c r="A214" s="572"/>
      <c r="B214" s="572"/>
      <c r="C214" s="572"/>
      <c r="D214" s="572"/>
      <c r="E214" s="572"/>
      <c r="F214" s="572"/>
      <c r="G214" s="572"/>
      <c r="H214" s="572"/>
      <c r="I214" s="572"/>
      <c r="J214" s="572"/>
      <c r="K214" s="572"/>
      <c r="L214" s="572"/>
      <c r="M214" s="572"/>
      <c r="N214" s="572"/>
      <c r="O214" s="572"/>
      <c r="P214" s="572"/>
      <c r="Q214" s="572"/>
      <c r="R214" s="572"/>
      <c r="S214" s="572"/>
      <c r="T214" s="572"/>
      <c r="U214" s="572"/>
      <c r="V214" s="572"/>
      <c r="W214" s="572"/>
      <c r="X214" s="572"/>
      <c r="Y214" s="572"/>
      <c r="Z214" s="572"/>
    </row>
    <row r="215" spans="1:26" ht="12.75" customHeight="1" x14ac:dyDescent="0.3">
      <c r="A215" s="572"/>
      <c r="B215" s="572"/>
      <c r="C215" s="572"/>
      <c r="D215" s="572"/>
      <c r="E215" s="572"/>
      <c r="F215" s="572"/>
      <c r="G215" s="572"/>
      <c r="H215" s="572"/>
      <c r="I215" s="572"/>
      <c r="J215" s="572"/>
      <c r="K215" s="572"/>
      <c r="L215" s="572"/>
      <c r="M215" s="572"/>
      <c r="N215" s="572"/>
      <c r="O215" s="572"/>
      <c r="P215" s="572"/>
      <c r="Q215" s="572"/>
      <c r="R215" s="572"/>
      <c r="S215" s="572"/>
      <c r="T215" s="572"/>
      <c r="U215" s="572"/>
      <c r="V215" s="572"/>
      <c r="W215" s="572"/>
      <c r="X215" s="572"/>
      <c r="Y215" s="572"/>
      <c r="Z215" s="572"/>
    </row>
    <row r="216" spans="1:26" ht="12.75" customHeight="1" x14ac:dyDescent="0.3">
      <c r="A216" s="572"/>
      <c r="B216" s="572"/>
      <c r="C216" s="572"/>
      <c r="D216" s="572"/>
      <c r="E216" s="572"/>
      <c r="F216" s="572"/>
      <c r="G216" s="572"/>
      <c r="H216" s="572"/>
      <c r="I216" s="572"/>
      <c r="J216" s="572"/>
      <c r="K216" s="572"/>
      <c r="L216" s="572"/>
      <c r="M216" s="572"/>
      <c r="N216" s="572"/>
      <c r="O216" s="572"/>
      <c r="P216" s="572"/>
      <c r="Q216" s="572"/>
      <c r="R216" s="572"/>
      <c r="S216" s="572"/>
      <c r="T216" s="572"/>
      <c r="U216" s="572"/>
      <c r="V216" s="572"/>
      <c r="W216" s="572"/>
      <c r="X216" s="572"/>
      <c r="Y216" s="572"/>
      <c r="Z216" s="572"/>
    </row>
    <row r="217" spans="1:26" ht="12.75" customHeight="1" x14ac:dyDescent="0.3">
      <c r="A217" s="572"/>
      <c r="B217" s="572"/>
      <c r="C217" s="572"/>
      <c r="D217" s="572"/>
      <c r="E217" s="572"/>
      <c r="F217" s="572"/>
      <c r="G217" s="572"/>
      <c r="H217" s="572"/>
      <c r="I217" s="572"/>
      <c r="J217" s="572"/>
      <c r="K217" s="572"/>
      <c r="L217" s="572"/>
      <c r="M217" s="572"/>
      <c r="N217" s="572"/>
      <c r="O217" s="572"/>
      <c r="P217" s="572"/>
      <c r="Q217" s="572"/>
      <c r="R217" s="572"/>
      <c r="S217" s="572"/>
      <c r="T217" s="572"/>
      <c r="U217" s="572"/>
      <c r="V217" s="572"/>
      <c r="W217" s="572"/>
      <c r="X217" s="572"/>
      <c r="Y217" s="572"/>
      <c r="Z217" s="572"/>
    </row>
    <row r="218" spans="1:26" ht="12.75" customHeight="1" x14ac:dyDescent="0.3">
      <c r="A218" s="572"/>
      <c r="B218" s="572"/>
      <c r="C218" s="572"/>
      <c r="D218" s="572"/>
      <c r="E218" s="572"/>
      <c r="F218" s="572"/>
      <c r="G218" s="572"/>
      <c r="H218" s="572"/>
      <c r="I218" s="572"/>
      <c r="J218" s="572"/>
      <c r="K218" s="572"/>
      <c r="L218" s="572"/>
      <c r="M218" s="572"/>
      <c r="N218" s="572"/>
      <c r="O218" s="572"/>
      <c r="P218" s="572"/>
      <c r="Q218" s="572"/>
      <c r="R218" s="572"/>
      <c r="S218" s="572"/>
      <c r="T218" s="572"/>
      <c r="U218" s="572"/>
      <c r="V218" s="572"/>
      <c r="W218" s="572"/>
      <c r="X218" s="572"/>
      <c r="Y218" s="572"/>
      <c r="Z218" s="572"/>
    </row>
    <row r="219" spans="1:26" ht="12.75" customHeight="1" x14ac:dyDescent="0.3">
      <c r="A219" s="572"/>
      <c r="B219" s="572"/>
      <c r="C219" s="572"/>
      <c r="D219" s="572"/>
      <c r="E219" s="572"/>
      <c r="F219" s="572"/>
      <c r="G219" s="572"/>
      <c r="H219" s="572"/>
      <c r="I219" s="572"/>
      <c r="J219" s="572"/>
      <c r="K219" s="572"/>
      <c r="L219" s="572"/>
      <c r="M219" s="572"/>
      <c r="N219" s="572"/>
      <c r="O219" s="572"/>
      <c r="P219" s="572"/>
      <c r="Q219" s="572"/>
      <c r="R219" s="572"/>
      <c r="S219" s="572"/>
      <c r="T219" s="572"/>
      <c r="U219" s="572"/>
      <c r="V219" s="572"/>
      <c r="W219" s="572"/>
      <c r="X219" s="572"/>
      <c r="Y219" s="572"/>
      <c r="Z219" s="572"/>
    </row>
    <row r="220" spans="1:26" ht="12.75" customHeight="1" x14ac:dyDescent="0.3">
      <c r="A220" s="572"/>
      <c r="B220" s="572"/>
      <c r="C220" s="572"/>
      <c r="D220" s="572"/>
      <c r="E220" s="572"/>
      <c r="F220" s="572"/>
      <c r="G220" s="572"/>
      <c r="H220" s="572"/>
      <c r="I220" s="572"/>
      <c r="J220" s="572"/>
      <c r="K220" s="572"/>
      <c r="L220" s="572"/>
      <c r="M220" s="572"/>
      <c r="N220" s="572"/>
      <c r="O220" s="572"/>
      <c r="P220" s="572"/>
      <c r="Q220" s="572"/>
      <c r="R220" s="572"/>
      <c r="S220" s="572"/>
      <c r="T220" s="572"/>
      <c r="U220" s="572"/>
      <c r="V220" s="572"/>
      <c r="W220" s="572"/>
      <c r="X220" s="572"/>
      <c r="Y220" s="572"/>
      <c r="Z220" s="572"/>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2:E2"/>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heetViews>
  <sheetFormatPr baseColWidth="10" defaultColWidth="12.6640625" defaultRowHeight="15" customHeight="1" x14ac:dyDescent="0.3"/>
  <cols>
    <col min="1" max="1" width="16.44140625" customWidth="1"/>
    <col min="2" max="2" width="11.44140625" customWidth="1"/>
    <col min="3" max="3" width="13.88671875" customWidth="1"/>
    <col min="4" max="4" width="8.44140625" customWidth="1"/>
    <col min="5" max="5" width="13.6640625" customWidth="1"/>
    <col min="6" max="20" width="10.44140625" customWidth="1"/>
    <col min="21" max="21" width="11.44140625" customWidth="1"/>
    <col min="22" max="26" width="10.6640625" customWidth="1"/>
  </cols>
  <sheetData>
    <row r="1" spans="1:26" ht="12.75" customHeight="1" x14ac:dyDescent="0.3">
      <c r="A1" s="572"/>
      <c r="B1" s="572"/>
      <c r="C1" s="572"/>
      <c r="D1" s="572"/>
      <c r="E1" s="572"/>
      <c r="F1" s="572"/>
      <c r="G1" s="572"/>
      <c r="H1" s="572"/>
      <c r="I1" s="572"/>
      <c r="J1" s="572"/>
      <c r="K1" s="572"/>
      <c r="L1" s="572"/>
      <c r="M1" s="572"/>
      <c r="N1" s="572"/>
      <c r="O1" s="572"/>
      <c r="P1" s="572"/>
      <c r="Q1" s="572"/>
      <c r="R1" s="572"/>
      <c r="S1" s="572"/>
      <c r="T1" s="572"/>
      <c r="U1" s="572"/>
      <c r="V1" s="572"/>
      <c r="W1" s="572"/>
      <c r="X1" s="572"/>
      <c r="Y1" s="572"/>
      <c r="Z1" s="572"/>
    </row>
    <row r="2" spans="1:26" ht="12.75" customHeight="1" x14ac:dyDescent="0.3">
      <c r="A2" s="572"/>
      <c r="B2" s="1102" t="s">
        <v>1900</v>
      </c>
      <c r="C2" s="1103"/>
      <c r="D2" s="1103"/>
      <c r="E2" s="1104"/>
      <c r="F2" s="392">
        <v>45957</v>
      </c>
      <c r="G2" s="392">
        <f>+F2+30</f>
        <v>45987</v>
      </c>
      <c r="H2" s="392">
        <f>+G2+30</f>
        <v>46017</v>
      </c>
      <c r="I2" s="392">
        <v>46023</v>
      </c>
      <c r="J2" s="392">
        <v>46054</v>
      </c>
      <c r="K2" s="392">
        <v>46112</v>
      </c>
      <c r="L2" s="392">
        <v>46142</v>
      </c>
      <c r="M2" s="392">
        <v>46172</v>
      </c>
      <c r="N2" s="392">
        <v>46202</v>
      </c>
      <c r="O2" s="392">
        <v>46232</v>
      </c>
      <c r="P2" s="392">
        <v>46262</v>
      </c>
      <c r="Q2" s="392">
        <v>46292</v>
      </c>
      <c r="R2" s="392">
        <v>46322</v>
      </c>
      <c r="S2" s="425">
        <v>46352</v>
      </c>
      <c r="T2" s="392">
        <v>46382</v>
      </c>
      <c r="U2" s="572"/>
      <c r="V2" s="572"/>
      <c r="W2" s="572"/>
      <c r="X2" s="572"/>
      <c r="Y2" s="572"/>
      <c r="Z2" s="572"/>
    </row>
    <row r="3" spans="1:26" ht="12.75" customHeight="1" x14ac:dyDescent="0.3">
      <c r="A3" s="572"/>
      <c r="B3" s="572"/>
      <c r="C3" s="572"/>
      <c r="D3" s="572"/>
      <c r="E3" s="572"/>
      <c r="F3" s="572"/>
      <c r="G3" s="572"/>
      <c r="H3" s="572"/>
      <c r="I3" s="572"/>
      <c r="J3" s="572"/>
      <c r="K3" s="572"/>
      <c r="L3" s="572"/>
      <c r="M3" s="572"/>
      <c r="N3" s="572"/>
      <c r="O3" s="572"/>
      <c r="P3" s="572"/>
      <c r="Q3" s="572"/>
      <c r="R3" s="572"/>
      <c r="S3" s="572"/>
      <c r="T3" s="572"/>
      <c r="U3" s="572"/>
      <c r="V3" s="572"/>
      <c r="W3" s="572"/>
      <c r="X3" s="572"/>
      <c r="Y3" s="572"/>
      <c r="Z3" s="572"/>
    </row>
    <row r="4" spans="1:26" ht="12.75" customHeight="1" x14ac:dyDescent="0.3">
      <c r="A4" s="572"/>
      <c r="B4" s="572"/>
      <c r="C4" s="572" t="s">
        <v>1898</v>
      </c>
      <c r="D4" s="572"/>
      <c r="E4" s="572"/>
      <c r="F4" s="579">
        <f>+E4*(1+F7)</f>
        <v>0</v>
      </c>
      <c r="G4" s="579">
        <f>+F4*(1+G7)</f>
        <v>0</v>
      </c>
      <c r="H4" s="582">
        <v>345000</v>
      </c>
      <c r="I4" s="579">
        <f>+H4*(I6)</f>
        <v>367193.57399999991</v>
      </c>
      <c r="J4" s="579">
        <f>+I4</f>
        <v>367193.57399999991</v>
      </c>
      <c r="K4" s="579">
        <f>+J4</f>
        <v>367193.57399999991</v>
      </c>
      <c r="L4" s="579">
        <f>+K4*(L6)</f>
        <v>402018.79786471685</v>
      </c>
      <c r="M4" s="579">
        <f>+L4</f>
        <v>402018.79786471685</v>
      </c>
      <c r="N4" s="579">
        <f>+M4</f>
        <v>402018.79786471685</v>
      </c>
      <c r="O4" s="579">
        <f>+N4*(O6)</f>
        <v>433346.04595320439</v>
      </c>
      <c r="P4" s="579">
        <f>+O4</f>
        <v>433346.04595320439</v>
      </c>
      <c r="Q4" s="579">
        <f>+P4</f>
        <v>433346.04595320439</v>
      </c>
      <c r="R4" s="579">
        <f>+Q4*(R6)</f>
        <v>472151.0529017878</v>
      </c>
      <c r="S4" s="579">
        <f>+R4</f>
        <v>472151.0529017878</v>
      </c>
      <c r="T4" s="579">
        <f>+S4</f>
        <v>472151.0529017878</v>
      </c>
      <c r="U4" s="580">
        <f>SUM(I4:T4)</f>
        <v>5024128.4121591272</v>
      </c>
      <c r="V4" s="572"/>
      <c r="W4" s="572"/>
      <c r="X4" s="572"/>
      <c r="Y4" s="572"/>
      <c r="Z4" s="572"/>
    </row>
    <row r="5" spans="1:26" ht="12.75" customHeight="1" x14ac:dyDescent="0.3">
      <c r="A5" s="572"/>
      <c r="B5" s="572"/>
      <c r="C5" s="324" t="s">
        <v>1901</v>
      </c>
      <c r="D5" s="572"/>
      <c r="E5" s="572"/>
      <c r="F5" s="572"/>
      <c r="G5" s="572"/>
      <c r="H5" s="572"/>
      <c r="I5" s="572"/>
      <c r="J5" s="572"/>
      <c r="K5" s="572"/>
      <c r="L5" s="572"/>
      <c r="M5" s="572"/>
      <c r="N5" s="572"/>
      <c r="O5" s="572"/>
      <c r="P5" s="572"/>
      <c r="Q5" s="572"/>
      <c r="R5" s="572"/>
      <c r="S5" s="572"/>
      <c r="T5" s="572"/>
      <c r="U5" s="572"/>
      <c r="V5" s="572"/>
      <c r="W5" s="572"/>
      <c r="X5" s="572"/>
      <c r="Y5" s="572"/>
      <c r="Z5" s="572"/>
    </row>
    <row r="6" spans="1:26" ht="12.75" customHeight="1" x14ac:dyDescent="0.3">
      <c r="A6" s="572"/>
      <c r="B6" s="572"/>
      <c r="C6" s="324"/>
      <c r="D6" s="572"/>
      <c r="E6" s="572"/>
      <c r="F6" s="572"/>
      <c r="G6" s="572"/>
      <c r="H6" s="572"/>
      <c r="I6" s="583">
        <f>1*(1+F7)*(1+G7)*(1+H7)</f>
        <v>1.0643291999999998</v>
      </c>
      <c r="J6" s="572"/>
      <c r="K6" s="572"/>
      <c r="L6" s="583">
        <f>1*(1+I7)*(1+J7)*(1+K7)</f>
        <v>1.094841594</v>
      </c>
      <c r="M6" s="572"/>
      <c r="N6" s="572"/>
      <c r="O6" s="583">
        <f>1*(1+L7)*(1+M7)*(1+N7)</f>
        <v>1.0779248339999998</v>
      </c>
      <c r="P6" s="572"/>
      <c r="Q6" s="572"/>
      <c r="R6" s="583">
        <f>1*(1+O7)*(1+P7)*(1+Q7)</f>
        <v>1.0895473889999998</v>
      </c>
      <c r="S6" s="572"/>
      <c r="T6" s="572"/>
      <c r="U6" s="572"/>
      <c r="V6" s="572"/>
      <c r="W6" s="572"/>
      <c r="X6" s="572"/>
      <c r="Y6" s="572"/>
      <c r="Z6" s="572"/>
    </row>
    <row r="7" spans="1:26" ht="12.75" customHeight="1" x14ac:dyDescent="0.3">
      <c r="A7" s="572"/>
      <c r="B7" s="572"/>
      <c r="C7" s="412"/>
      <c r="D7" s="412"/>
      <c r="E7" s="412" t="s">
        <v>1894</v>
      </c>
      <c r="F7" s="414">
        <f>+Flk!K34</f>
        <v>2.3E-2</v>
      </c>
      <c r="G7" s="414">
        <f>+Flk!L34</f>
        <v>0.02</v>
      </c>
      <c r="H7" s="414">
        <f>+Flk!M34</f>
        <v>0.02</v>
      </c>
      <c r="I7" s="414">
        <f>+Flk!B71</f>
        <v>2.9000000000000001E-2</v>
      </c>
      <c r="J7" s="414">
        <f>+Flk!C71</f>
        <v>2.9000000000000001E-2</v>
      </c>
      <c r="K7" s="414">
        <f>+Flk!D71</f>
        <v>3.4000000000000002E-2</v>
      </c>
      <c r="L7" s="414">
        <f>+Flk!E71</f>
        <v>2.5999999999999999E-2</v>
      </c>
      <c r="M7" s="414">
        <f>+Flk!F71</f>
        <v>2.1000000000000001E-2</v>
      </c>
      <c r="N7" s="414">
        <f>+Flk!G71</f>
        <v>2.9000000000000001E-2</v>
      </c>
      <c r="O7" s="414">
        <f>+Flk!H71</f>
        <v>2.9000000000000001E-2</v>
      </c>
      <c r="P7" s="414">
        <f>+Flk!I71</f>
        <v>2.9000000000000001E-2</v>
      </c>
      <c r="Q7" s="414">
        <f>+Flk!J71</f>
        <v>2.9000000000000001E-2</v>
      </c>
      <c r="R7" s="414">
        <f>+Flk!K71</f>
        <v>2.9000000000000001E-2</v>
      </c>
      <c r="S7" s="414">
        <f>+Flk!L71</f>
        <v>2.9000000000000001E-2</v>
      </c>
      <c r="T7" s="414">
        <f>+Flk!M71</f>
        <v>2.9000000000000001E-2</v>
      </c>
      <c r="U7" s="572"/>
      <c r="V7" s="572"/>
      <c r="W7" s="572"/>
      <c r="X7" s="572"/>
      <c r="Y7" s="572"/>
      <c r="Z7" s="572"/>
    </row>
    <row r="8" spans="1:26" ht="12.75" customHeight="1" x14ac:dyDescent="0.3">
      <c r="A8" s="572"/>
      <c r="B8" s="572"/>
      <c r="C8" s="572"/>
      <c r="D8" s="572"/>
      <c r="E8" s="572"/>
      <c r="F8" s="572"/>
      <c r="G8" s="572"/>
      <c r="H8" s="572"/>
      <c r="I8" s="572"/>
      <c r="J8" s="572"/>
      <c r="K8" s="572"/>
      <c r="L8" s="572"/>
      <c r="M8" s="572"/>
      <c r="N8" s="572"/>
      <c r="O8" s="572"/>
      <c r="P8" s="572"/>
      <c r="Q8" s="572"/>
      <c r="R8" s="572"/>
      <c r="S8" s="572"/>
      <c r="T8" s="572"/>
      <c r="U8" s="572"/>
      <c r="V8" s="572"/>
      <c r="W8" s="572"/>
      <c r="X8" s="572"/>
      <c r="Y8" s="572"/>
      <c r="Z8" s="572"/>
    </row>
    <row r="9" spans="1:26" ht="12.75" customHeight="1" x14ac:dyDescent="0.3">
      <c r="A9" s="572"/>
      <c r="B9" s="572"/>
      <c r="C9" s="572"/>
      <c r="D9" s="572"/>
      <c r="E9" s="572"/>
      <c r="F9" s="572"/>
      <c r="G9" s="572"/>
      <c r="H9" s="572"/>
      <c r="I9" s="572"/>
      <c r="J9" s="572"/>
      <c r="K9" s="572"/>
      <c r="L9" s="572"/>
      <c r="M9" s="572"/>
      <c r="N9" s="572"/>
      <c r="O9" s="572"/>
      <c r="P9" s="572"/>
      <c r="Q9" s="572"/>
      <c r="R9" s="572"/>
      <c r="S9" s="572"/>
      <c r="T9" s="572"/>
      <c r="U9" s="572"/>
      <c r="V9" s="572"/>
      <c r="W9" s="572"/>
      <c r="X9" s="572"/>
      <c r="Y9" s="572"/>
      <c r="Z9" s="572"/>
    </row>
    <row r="10" spans="1:26" ht="12.75" customHeight="1" x14ac:dyDescent="0.3">
      <c r="A10" s="572"/>
      <c r="B10" s="572"/>
      <c r="C10" s="572"/>
      <c r="D10" s="572"/>
      <c r="E10" s="572"/>
      <c r="F10" s="572"/>
      <c r="G10" s="572"/>
      <c r="H10" s="572"/>
      <c r="I10" s="572"/>
      <c r="J10" s="572"/>
      <c r="K10" s="572"/>
      <c r="L10" s="572"/>
      <c r="M10" s="572"/>
      <c r="N10" s="572"/>
      <c r="O10" s="572"/>
      <c r="P10" s="572"/>
      <c r="Q10" s="572"/>
      <c r="R10" s="572"/>
      <c r="S10" s="572"/>
      <c r="T10" s="572"/>
      <c r="U10" s="572"/>
      <c r="V10" s="572"/>
      <c r="W10" s="572"/>
      <c r="X10" s="572"/>
      <c r="Y10" s="572"/>
      <c r="Z10" s="572"/>
    </row>
    <row r="11" spans="1:26" ht="12.75" customHeight="1" x14ac:dyDescent="0.3">
      <c r="A11" s="581"/>
      <c r="B11" s="572"/>
      <c r="C11" s="572"/>
      <c r="D11" s="572"/>
      <c r="E11" s="572"/>
      <c r="F11" s="572"/>
      <c r="G11" s="572"/>
      <c r="H11" s="572"/>
      <c r="I11" s="572"/>
      <c r="J11" s="572"/>
      <c r="K11" s="572"/>
      <c r="L11" s="572"/>
      <c r="M11" s="572"/>
      <c r="N11" s="572"/>
      <c r="O11" s="572"/>
      <c r="P11" s="572"/>
      <c r="Q11" s="572"/>
      <c r="R11" s="572"/>
      <c r="S11" s="572"/>
      <c r="T11" s="572"/>
      <c r="U11" s="572"/>
      <c r="V11" s="572"/>
      <c r="W11" s="572"/>
      <c r="X11" s="572"/>
      <c r="Y11" s="572"/>
      <c r="Z11" s="572"/>
    </row>
    <row r="12" spans="1:26" ht="12.75" customHeight="1" x14ac:dyDescent="0.3">
      <c r="A12" s="572"/>
      <c r="B12" s="572"/>
      <c r="C12" s="572"/>
      <c r="D12" s="572"/>
      <c r="E12" s="572"/>
      <c r="F12" s="572"/>
      <c r="G12" s="572"/>
      <c r="H12" s="572"/>
      <c r="I12" s="572"/>
      <c r="J12" s="572"/>
      <c r="K12" s="572"/>
      <c r="L12" s="572"/>
      <c r="M12" s="572"/>
      <c r="N12" s="572"/>
      <c r="O12" s="572"/>
      <c r="P12" s="572"/>
      <c r="Q12" s="572"/>
      <c r="R12" s="572"/>
      <c r="S12" s="572"/>
      <c r="T12" s="572"/>
      <c r="U12" s="572"/>
      <c r="V12" s="572"/>
      <c r="W12" s="572"/>
      <c r="X12" s="572"/>
      <c r="Y12" s="572"/>
      <c r="Z12" s="572"/>
    </row>
    <row r="13" spans="1:26" ht="12.75" customHeight="1" x14ac:dyDescent="0.3">
      <c r="A13" s="572"/>
      <c r="B13" s="572"/>
      <c r="C13" s="572"/>
      <c r="D13" s="572"/>
      <c r="E13" s="572"/>
      <c r="F13" s="572"/>
      <c r="G13" s="572"/>
      <c r="H13" s="572"/>
      <c r="I13" s="572"/>
      <c r="J13" s="572"/>
      <c r="K13" s="572"/>
      <c r="L13" s="572"/>
      <c r="M13" s="572"/>
      <c r="N13" s="572"/>
      <c r="O13" s="572"/>
      <c r="P13" s="572"/>
      <c r="Q13" s="572"/>
      <c r="R13" s="572"/>
      <c r="S13" s="572"/>
      <c r="T13" s="572"/>
      <c r="U13" s="572"/>
      <c r="V13" s="572"/>
      <c r="W13" s="572"/>
      <c r="X13" s="572"/>
      <c r="Y13" s="572"/>
      <c r="Z13" s="572"/>
    </row>
    <row r="14" spans="1:26" ht="12.75" customHeight="1" x14ac:dyDescent="0.3">
      <c r="A14" s="572"/>
      <c r="B14" s="572"/>
      <c r="C14" s="572"/>
      <c r="D14" s="572"/>
      <c r="E14" s="572"/>
      <c r="F14" s="572"/>
      <c r="G14" s="572"/>
      <c r="H14" s="572"/>
      <c r="I14" s="572"/>
      <c r="J14" s="572"/>
      <c r="K14" s="572"/>
      <c r="L14" s="572"/>
      <c r="M14" s="572"/>
      <c r="N14" s="572"/>
      <c r="O14" s="572"/>
      <c r="P14" s="572"/>
      <c r="Q14" s="572"/>
      <c r="R14" s="572"/>
      <c r="S14" s="572"/>
      <c r="T14" s="572"/>
      <c r="U14" s="572"/>
      <c r="V14" s="572"/>
      <c r="W14" s="572"/>
      <c r="X14" s="572"/>
      <c r="Y14" s="572"/>
      <c r="Z14" s="572"/>
    </row>
    <row r="15" spans="1:26" ht="12.75" customHeight="1" x14ac:dyDescent="0.3">
      <c r="A15" s="572"/>
      <c r="B15" s="572"/>
      <c r="C15" s="572"/>
      <c r="D15" s="572"/>
      <c r="E15" s="572"/>
      <c r="F15" s="572"/>
      <c r="G15" s="572"/>
      <c r="H15" s="572"/>
      <c r="I15" s="572"/>
      <c r="J15" s="572"/>
      <c r="K15" s="572"/>
      <c r="L15" s="572"/>
      <c r="M15" s="572"/>
      <c r="N15" s="572"/>
      <c r="O15" s="572"/>
      <c r="P15" s="572"/>
      <c r="Q15" s="572"/>
      <c r="R15" s="572"/>
      <c r="S15" s="572"/>
      <c r="T15" s="572"/>
      <c r="U15" s="572"/>
      <c r="V15" s="572"/>
      <c r="W15" s="572"/>
      <c r="X15" s="572"/>
      <c r="Y15" s="572"/>
      <c r="Z15" s="572"/>
    </row>
    <row r="16" spans="1:26" ht="12.75" customHeight="1" x14ac:dyDescent="0.3">
      <c r="A16" s="572"/>
      <c r="B16" s="572"/>
      <c r="C16" s="572"/>
      <c r="D16" s="572"/>
      <c r="E16" s="572"/>
      <c r="F16" s="572"/>
      <c r="G16" s="572"/>
      <c r="H16" s="572"/>
      <c r="I16" s="572"/>
      <c r="J16" s="572"/>
      <c r="K16" s="572"/>
      <c r="L16" s="572"/>
      <c r="M16" s="572"/>
      <c r="N16" s="572"/>
      <c r="O16" s="572"/>
      <c r="P16" s="572"/>
      <c r="Q16" s="572"/>
      <c r="R16" s="572"/>
      <c r="S16" s="572"/>
      <c r="T16" s="572"/>
      <c r="U16" s="572"/>
      <c r="V16" s="572"/>
      <c r="W16" s="572"/>
      <c r="X16" s="572"/>
      <c r="Y16" s="572"/>
      <c r="Z16" s="572"/>
    </row>
    <row r="17" spans="1:26" ht="12.75" customHeight="1" x14ac:dyDescent="0.3">
      <c r="A17" s="572"/>
      <c r="B17" s="572"/>
      <c r="C17" s="572"/>
      <c r="D17" s="572"/>
      <c r="E17" s="572"/>
      <c r="F17" s="572"/>
      <c r="G17" s="572"/>
      <c r="H17" s="572"/>
      <c r="I17" s="572"/>
      <c r="J17" s="572"/>
      <c r="K17" s="572"/>
      <c r="L17" s="572"/>
      <c r="M17" s="572"/>
      <c r="N17" s="572"/>
      <c r="O17" s="572"/>
      <c r="P17" s="572"/>
      <c r="Q17" s="572"/>
      <c r="R17" s="572"/>
      <c r="S17" s="572"/>
      <c r="T17" s="572"/>
      <c r="U17" s="572"/>
      <c r="V17" s="572"/>
      <c r="W17" s="572"/>
      <c r="X17" s="572"/>
      <c r="Y17" s="572"/>
      <c r="Z17" s="572"/>
    </row>
    <row r="18" spans="1:26" ht="12.75" customHeight="1" x14ac:dyDescent="0.3">
      <c r="A18" s="572"/>
      <c r="B18" s="572"/>
      <c r="C18" s="572"/>
      <c r="D18" s="572"/>
      <c r="E18" s="572"/>
      <c r="F18" s="572"/>
      <c r="G18" s="572"/>
      <c r="H18" s="572"/>
      <c r="I18" s="572"/>
      <c r="J18" s="572"/>
      <c r="K18" s="572"/>
      <c r="L18" s="572"/>
      <c r="M18" s="572"/>
      <c r="N18" s="572"/>
      <c r="O18" s="572"/>
      <c r="P18" s="572"/>
      <c r="Q18" s="572"/>
      <c r="R18" s="572"/>
      <c r="S18" s="572"/>
      <c r="T18" s="572"/>
      <c r="U18" s="572"/>
      <c r="V18" s="572"/>
      <c r="W18" s="572"/>
      <c r="X18" s="572"/>
      <c r="Y18" s="572"/>
      <c r="Z18" s="572"/>
    </row>
    <row r="19" spans="1:26" ht="12.75" customHeight="1" x14ac:dyDescent="0.3">
      <c r="A19" s="572"/>
      <c r="B19" s="572"/>
      <c r="C19" s="572"/>
      <c r="D19" s="572"/>
      <c r="E19" s="572"/>
      <c r="F19" s="572"/>
      <c r="G19" s="572"/>
      <c r="H19" s="572"/>
      <c r="I19" s="572"/>
      <c r="J19" s="572"/>
      <c r="K19" s="572"/>
      <c r="L19" s="572"/>
      <c r="M19" s="572"/>
      <c r="N19" s="572"/>
      <c r="O19" s="572"/>
      <c r="P19" s="572"/>
      <c r="Q19" s="572"/>
      <c r="R19" s="572"/>
      <c r="S19" s="572"/>
      <c r="T19" s="572"/>
      <c r="U19" s="572"/>
      <c r="V19" s="572"/>
      <c r="W19" s="572"/>
      <c r="X19" s="572"/>
      <c r="Y19" s="572"/>
      <c r="Z19" s="572"/>
    </row>
    <row r="20" spans="1:26" ht="12.75" customHeight="1" x14ac:dyDescent="0.3">
      <c r="A20" s="572"/>
      <c r="B20" s="572"/>
      <c r="C20" s="572"/>
      <c r="D20" s="572"/>
      <c r="E20" s="572"/>
      <c r="F20" s="572"/>
      <c r="G20" s="572"/>
      <c r="H20" s="572"/>
      <c r="I20" s="572"/>
      <c r="J20" s="572"/>
      <c r="K20" s="572"/>
      <c r="L20" s="572"/>
      <c r="M20" s="572"/>
      <c r="N20" s="572"/>
      <c r="O20" s="572"/>
      <c r="P20" s="572"/>
      <c r="Q20" s="572"/>
      <c r="R20" s="572"/>
      <c r="S20" s="572"/>
      <c r="T20" s="572"/>
      <c r="U20" s="572"/>
      <c r="V20" s="572"/>
      <c r="W20" s="572"/>
      <c r="X20" s="572"/>
      <c r="Y20" s="572"/>
      <c r="Z20" s="572"/>
    </row>
    <row r="21" spans="1:26" ht="12.75" customHeight="1" x14ac:dyDescent="0.3">
      <c r="A21" s="572"/>
      <c r="B21" s="572"/>
      <c r="C21" s="572"/>
      <c r="D21" s="572"/>
      <c r="E21" s="572"/>
      <c r="F21" s="572"/>
      <c r="G21" s="572"/>
      <c r="H21" s="572"/>
      <c r="I21" s="572"/>
      <c r="J21" s="572"/>
      <c r="K21" s="572"/>
      <c r="L21" s="572"/>
      <c r="M21" s="572"/>
      <c r="N21" s="572"/>
      <c r="O21" s="572"/>
      <c r="P21" s="572"/>
      <c r="Q21" s="572"/>
      <c r="R21" s="572"/>
      <c r="S21" s="572"/>
      <c r="T21" s="572"/>
      <c r="U21" s="572"/>
      <c r="V21" s="572"/>
      <c r="W21" s="572"/>
      <c r="X21" s="572"/>
      <c r="Y21" s="572"/>
      <c r="Z21" s="572"/>
    </row>
    <row r="22" spans="1:26" ht="12.75" customHeight="1" x14ac:dyDescent="0.3">
      <c r="A22" s="572"/>
      <c r="B22" s="572"/>
      <c r="C22" s="572"/>
      <c r="D22" s="572"/>
      <c r="E22" s="572"/>
      <c r="F22" s="572"/>
      <c r="G22" s="572"/>
      <c r="H22" s="572"/>
      <c r="I22" s="572"/>
      <c r="J22" s="572"/>
      <c r="K22" s="572"/>
      <c r="L22" s="572"/>
      <c r="M22" s="572"/>
      <c r="N22" s="572"/>
      <c r="O22" s="572"/>
      <c r="P22" s="572"/>
      <c r="Q22" s="572"/>
      <c r="R22" s="572"/>
      <c r="S22" s="572"/>
      <c r="T22" s="572"/>
      <c r="U22" s="572"/>
      <c r="V22" s="572"/>
      <c r="W22" s="572"/>
      <c r="X22" s="572"/>
      <c r="Y22" s="572"/>
      <c r="Z22" s="572"/>
    </row>
    <row r="23" spans="1:26" ht="12.75" customHeight="1" x14ac:dyDescent="0.3">
      <c r="A23" s="572"/>
      <c r="B23" s="572"/>
      <c r="C23" s="572"/>
      <c r="D23" s="572"/>
      <c r="E23" s="572"/>
      <c r="F23" s="572"/>
      <c r="G23" s="572"/>
      <c r="H23" s="572"/>
      <c r="I23" s="572"/>
      <c r="J23" s="572"/>
      <c r="K23" s="572"/>
      <c r="L23" s="572"/>
      <c r="M23" s="572"/>
      <c r="N23" s="572"/>
      <c r="O23" s="572"/>
      <c r="P23" s="572"/>
      <c r="Q23" s="572"/>
      <c r="R23" s="572"/>
      <c r="S23" s="572"/>
      <c r="T23" s="572"/>
      <c r="U23" s="572"/>
      <c r="V23" s="572"/>
      <c r="W23" s="572"/>
      <c r="X23" s="572"/>
      <c r="Y23" s="572"/>
      <c r="Z23" s="572"/>
    </row>
    <row r="24" spans="1:26" ht="12.75" customHeight="1" x14ac:dyDescent="0.3">
      <c r="A24" s="572"/>
      <c r="B24" s="572"/>
      <c r="C24" s="572"/>
      <c r="D24" s="572"/>
      <c r="E24" s="572"/>
      <c r="F24" s="572"/>
      <c r="G24" s="572"/>
      <c r="H24" s="572"/>
      <c r="I24" s="572"/>
      <c r="J24" s="572"/>
      <c r="K24" s="572"/>
      <c r="L24" s="572"/>
      <c r="M24" s="572"/>
      <c r="N24" s="572"/>
      <c r="O24" s="572"/>
      <c r="P24" s="572"/>
      <c r="Q24" s="572"/>
      <c r="R24" s="572"/>
      <c r="S24" s="572"/>
      <c r="T24" s="572"/>
      <c r="U24" s="572"/>
      <c r="V24" s="572"/>
      <c r="W24" s="572"/>
      <c r="X24" s="572"/>
      <c r="Y24" s="572"/>
      <c r="Z24" s="572"/>
    </row>
    <row r="25" spans="1:26" ht="12.75" customHeight="1" x14ac:dyDescent="0.3">
      <c r="A25" s="572"/>
      <c r="B25" s="572"/>
      <c r="C25" s="572"/>
      <c r="D25" s="572"/>
      <c r="E25" s="572"/>
      <c r="F25" s="572"/>
      <c r="G25" s="572"/>
      <c r="H25" s="572"/>
      <c r="I25" s="572"/>
      <c r="J25" s="572"/>
      <c r="K25" s="572"/>
      <c r="L25" s="572"/>
      <c r="M25" s="572"/>
      <c r="N25" s="572"/>
      <c r="O25" s="572"/>
      <c r="P25" s="572"/>
      <c r="Q25" s="572"/>
      <c r="R25" s="572"/>
      <c r="S25" s="572"/>
      <c r="T25" s="572"/>
      <c r="U25" s="572"/>
      <c r="V25" s="572"/>
      <c r="W25" s="572"/>
      <c r="X25" s="572"/>
      <c r="Y25" s="572"/>
      <c r="Z25" s="572"/>
    </row>
    <row r="26" spans="1:26" ht="12.75" customHeight="1" x14ac:dyDescent="0.3">
      <c r="A26" s="572"/>
      <c r="B26" s="572"/>
      <c r="C26" s="572"/>
      <c r="D26" s="572"/>
      <c r="E26" s="572"/>
      <c r="F26" s="572"/>
      <c r="G26" s="572"/>
      <c r="H26" s="572"/>
      <c r="I26" s="572"/>
      <c r="J26" s="572"/>
      <c r="K26" s="572"/>
      <c r="L26" s="572"/>
      <c r="M26" s="572"/>
      <c r="N26" s="572"/>
      <c r="O26" s="572"/>
      <c r="P26" s="572"/>
      <c r="Q26" s="572"/>
      <c r="R26" s="572"/>
      <c r="S26" s="572"/>
      <c r="T26" s="572"/>
      <c r="U26" s="572"/>
      <c r="V26" s="572"/>
      <c r="W26" s="572"/>
      <c r="X26" s="572"/>
      <c r="Y26" s="572"/>
      <c r="Z26" s="572"/>
    </row>
    <row r="27" spans="1:26" ht="12.75" customHeight="1" x14ac:dyDescent="0.3">
      <c r="A27" s="572"/>
      <c r="B27" s="572"/>
      <c r="C27" s="572"/>
      <c r="D27" s="572"/>
      <c r="E27" s="572"/>
      <c r="F27" s="572"/>
      <c r="G27" s="572"/>
      <c r="H27" s="572"/>
      <c r="I27" s="572"/>
      <c r="J27" s="572"/>
      <c r="K27" s="572"/>
      <c r="L27" s="572"/>
      <c r="M27" s="572"/>
      <c r="N27" s="572"/>
      <c r="O27" s="572"/>
      <c r="P27" s="572"/>
      <c r="Q27" s="572"/>
      <c r="R27" s="572"/>
      <c r="S27" s="572"/>
      <c r="T27" s="572"/>
      <c r="U27" s="572"/>
      <c r="V27" s="572"/>
      <c r="W27" s="572"/>
      <c r="X27" s="572"/>
      <c r="Y27" s="572"/>
      <c r="Z27" s="572"/>
    </row>
    <row r="28" spans="1:26" ht="12.75" customHeight="1" x14ac:dyDescent="0.3">
      <c r="A28" s="572"/>
      <c r="B28" s="572"/>
      <c r="C28" s="572"/>
      <c r="D28" s="572"/>
      <c r="E28" s="572"/>
      <c r="F28" s="572"/>
      <c r="G28" s="572"/>
      <c r="H28" s="572"/>
      <c r="I28" s="572"/>
      <c r="J28" s="572"/>
      <c r="K28" s="572"/>
      <c r="L28" s="572"/>
      <c r="M28" s="572"/>
      <c r="N28" s="572"/>
      <c r="O28" s="572"/>
      <c r="P28" s="572"/>
      <c r="Q28" s="572"/>
      <c r="R28" s="572"/>
      <c r="S28" s="572"/>
      <c r="T28" s="572"/>
      <c r="U28" s="572"/>
      <c r="V28" s="572"/>
      <c r="W28" s="572"/>
      <c r="X28" s="572"/>
      <c r="Y28" s="572"/>
      <c r="Z28" s="572"/>
    </row>
    <row r="29" spans="1:26" ht="12.75" customHeight="1" x14ac:dyDescent="0.3">
      <c r="A29" s="572"/>
      <c r="B29" s="572"/>
      <c r="C29" s="572"/>
      <c r="D29" s="572"/>
      <c r="E29" s="572"/>
      <c r="F29" s="572"/>
      <c r="G29" s="572"/>
      <c r="H29" s="572"/>
      <c r="I29" s="572"/>
      <c r="J29" s="572"/>
      <c r="K29" s="572"/>
      <c r="L29" s="572"/>
      <c r="M29" s="572"/>
      <c r="N29" s="572"/>
      <c r="O29" s="572"/>
      <c r="P29" s="572"/>
      <c r="Q29" s="572"/>
      <c r="R29" s="572"/>
      <c r="S29" s="572"/>
      <c r="T29" s="572"/>
      <c r="U29" s="572"/>
      <c r="V29" s="572"/>
      <c r="W29" s="572"/>
      <c r="X29" s="572"/>
      <c r="Y29" s="572"/>
      <c r="Z29" s="572"/>
    </row>
    <row r="30" spans="1:26" ht="12.75" customHeight="1" x14ac:dyDescent="0.3">
      <c r="A30" s="572"/>
      <c r="B30" s="572"/>
      <c r="C30" s="572"/>
      <c r="D30" s="572"/>
      <c r="E30" s="572"/>
      <c r="F30" s="572"/>
      <c r="G30" s="572"/>
      <c r="H30" s="572"/>
      <c r="I30" s="572"/>
      <c r="J30" s="572"/>
      <c r="K30" s="572"/>
      <c r="L30" s="572"/>
      <c r="M30" s="572"/>
      <c r="N30" s="572"/>
      <c r="O30" s="572"/>
      <c r="P30" s="572"/>
      <c r="Q30" s="572"/>
      <c r="R30" s="572"/>
      <c r="S30" s="572"/>
      <c r="T30" s="572"/>
      <c r="U30" s="572"/>
      <c r="V30" s="572"/>
      <c r="W30" s="572"/>
      <c r="X30" s="572"/>
      <c r="Y30" s="572"/>
      <c r="Z30" s="572"/>
    </row>
    <row r="31" spans="1:26" ht="12.75" customHeight="1" x14ac:dyDescent="0.3">
      <c r="A31" s="572"/>
      <c r="B31" s="572"/>
      <c r="C31" s="572"/>
      <c r="D31" s="572"/>
      <c r="E31" s="572"/>
      <c r="F31" s="572"/>
      <c r="G31" s="572"/>
      <c r="H31" s="572"/>
      <c r="I31" s="572"/>
      <c r="J31" s="572"/>
      <c r="K31" s="572"/>
      <c r="L31" s="572"/>
      <c r="M31" s="572"/>
      <c r="N31" s="572"/>
      <c r="O31" s="572"/>
      <c r="P31" s="572"/>
      <c r="Q31" s="572"/>
      <c r="R31" s="572"/>
      <c r="S31" s="572"/>
      <c r="T31" s="572"/>
      <c r="U31" s="572"/>
      <c r="V31" s="572"/>
      <c r="W31" s="572"/>
      <c r="X31" s="572"/>
      <c r="Y31" s="572"/>
      <c r="Z31" s="572"/>
    </row>
    <row r="32" spans="1:26" ht="12.75" customHeight="1" x14ac:dyDescent="0.3">
      <c r="A32" s="572"/>
      <c r="B32" s="572"/>
      <c r="C32" s="572"/>
      <c r="D32" s="572"/>
      <c r="E32" s="572"/>
      <c r="F32" s="572"/>
      <c r="G32" s="572"/>
      <c r="H32" s="572"/>
      <c r="I32" s="572"/>
      <c r="J32" s="572"/>
      <c r="K32" s="572"/>
      <c r="L32" s="572"/>
      <c r="M32" s="572"/>
      <c r="N32" s="572"/>
      <c r="O32" s="572"/>
      <c r="P32" s="572"/>
      <c r="Q32" s="572"/>
      <c r="R32" s="572"/>
      <c r="S32" s="572"/>
      <c r="T32" s="572"/>
      <c r="U32" s="572"/>
      <c r="V32" s="572"/>
      <c r="W32" s="572"/>
      <c r="X32" s="572"/>
      <c r="Y32" s="572"/>
      <c r="Z32" s="572"/>
    </row>
    <row r="33" spans="1:26" ht="12.75" customHeight="1" x14ac:dyDescent="0.3">
      <c r="A33" s="572"/>
      <c r="B33" s="572"/>
      <c r="C33" s="572"/>
      <c r="D33" s="572"/>
      <c r="E33" s="572"/>
      <c r="F33" s="572"/>
      <c r="G33" s="572"/>
      <c r="H33" s="572"/>
      <c r="I33" s="572"/>
      <c r="J33" s="572"/>
      <c r="K33" s="572"/>
      <c r="L33" s="572"/>
      <c r="M33" s="572"/>
      <c r="N33" s="572"/>
      <c r="O33" s="572"/>
      <c r="P33" s="572"/>
      <c r="Q33" s="572"/>
      <c r="R33" s="572"/>
      <c r="S33" s="572"/>
      <c r="T33" s="572"/>
      <c r="U33" s="572"/>
      <c r="V33" s="572"/>
      <c r="W33" s="572"/>
      <c r="X33" s="572"/>
      <c r="Y33" s="572"/>
      <c r="Z33" s="572"/>
    </row>
    <row r="34" spans="1:26" ht="12.75" customHeight="1" x14ac:dyDescent="0.3">
      <c r="A34" s="572"/>
      <c r="B34" s="572"/>
      <c r="C34" s="572"/>
      <c r="D34" s="572"/>
      <c r="E34" s="572"/>
      <c r="F34" s="572"/>
      <c r="G34" s="572"/>
      <c r="H34" s="572"/>
      <c r="I34" s="572"/>
      <c r="J34" s="572"/>
      <c r="K34" s="572"/>
      <c r="L34" s="572"/>
      <c r="M34" s="572"/>
      <c r="N34" s="572"/>
      <c r="O34" s="572"/>
      <c r="P34" s="572"/>
      <c r="Q34" s="572"/>
      <c r="R34" s="572"/>
      <c r="S34" s="572"/>
      <c r="T34" s="572"/>
      <c r="U34" s="572"/>
      <c r="V34" s="572"/>
      <c r="W34" s="572"/>
      <c r="X34" s="572"/>
      <c r="Y34" s="572"/>
      <c r="Z34" s="572"/>
    </row>
    <row r="35" spans="1:26" ht="12.75" customHeight="1" x14ac:dyDescent="0.3">
      <c r="A35" s="572"/>
      <c r="B35" s="572"/>
      <c r="C35" s="572"/>
      <c r="D35" s="572"/>
      <c r="E35" s="572"/>
      <c r="F35" s="572"/>
      <c r="G35" s="572"/>
      <c r="H35" s="572"/>
      <c r="I35" s="572"/>
      <c r="J35" s="572"/>
      <c r="K35" s="572"/>
      <c r="L35" s="572"/>
      <c r="M35" s="572"/>
      <c r="N35" s="572"/>
      <c r="O35" s="572"/>
      <c r="P35" s="572"/>
      <c r="Q35" s="572"/>
      <c r="R35" s="572"/>
      <c r="S35" s="572"/>
      <c r="T35" s="572"/>
      <c r="U35" s="572"/>
      <c r="V35" s="572"/>
      <c r="W35" s="572"/>
      <c r="X35" s="572"/>
      <c r="Y35" s="572"/>
      <c r="Z35" s="572"/>
    </row>
    <row r="36" spans="1:26" ht="12.75" customHeight="1" x14ac:dyDescent="0.3">
      <c r="A36" s="572"/>
      <c r="B36" s="572"/>
      <c r="C36" s="572"/>
      <c r="D36" s="572"/>
      <c r="E36" s="572"/>
      <c r="F36" s="572"/>
      <c r="G36" s="572"/>
      <c r="H36" s="572"/>
      <c r="I36" s="572"/>
      <c r="J36" s="572"/>
      <c r="K36" s="572"/>
      <c r="L36" s="572"/>
      <c r="M36" s="572"/>
      <c r="N36" s="572"/>
      <c r="O36" s="572"/>
      <c r="P36" s="572"/>
      <c r="Q36" s="572"/>
      <c r="R36" s="572"/>
      <c r="S36" s="572"/>
      <c r="T36" s="572"/>
      <c r="U36" s="572"/>
      <c r="V36" s="572"/>
      <c r="W36" s="572"/>
      <c r="X36" s="572"/>
      <c r="Y36" s="572"/>
      <c r="Z36" s="572"/>
    </row>
    <row r="37" spans="1:26" ht="12.75" customHeight="1" x14ac:dyDescent="0.3">
      <c r="A37" s="572"/>
      <c r="B37" s="572"/>
      <c r="C37" s="572"/>
      <c r="D37" s="572"/>
      <c r="E37" s="572"/>
      <c r="F37" s="572"/>
      <c r="G37" s="572"/>
      <c r="H37" s="572"/>
      <c r="I37" s="572"/>
      <c r="J37" s="572"/>
      <c r="K37" s="572"/>
      <c r="L37" s="572"/>
      <c r="M37" s="572"/>
      <c r="N37" s="572"/>
      <c r="O37" s="572"/>
      <c r="P37" s="572"/>
      <c r="Q37" s="572"/>
      <c r="R37" s="572"/>
      <c r="S37" s="572"/>
      <c r="T37" s="572"/>
      <c r="U37" s="572"/>
      <c r="V37" s="572"/>
      <c r="W37" s="572"/>
      <c r="X37" s="572"/>
      <c r="Y37" s="572"/>
      <c r="Z37" s="572"/>
    </row>
    <row r="38" spans="1:26" ht="12.75" customHeight="1" x14ac:dyDescent="0.3">
      <c r="A38" s="572"/>
      <c r="B38" s="572"/>
      <c r="C38" s="572"/>
      <c r="D38" s="572"/>
      <c r="E38" s="572"/>
      <c r="F38" s="572"/>
      <c r="G38" s="572"/>
      <c r="H38" s="572"/>
      <c r="I38" s="572"/>
      <c r="J38" s="572"/>
      <c r="K38" s="572"/>
      <c r="L38" s="572"/>
      <c r="M38" s="572"/>
      <c r="N38" s="572"/>
      <c r="O38" s="572"/>
      <c r="P38" s="572"/>
      <c r="Q38" s="572"/>
      <c r="R38" s="572"/>
      <c r="S38" s="572"/>
      <c r="T38" s="572"/>
      <c r="U38" s="572"/>
      <c r="V38" s="572"/>
      <c r="W38" s="572"/>
      <c r="X38" s="572"/>
      <c r="Y38" s="572"/>
      <c r="Z38" s="572"/>
    </row>
    <row r="39" spans="1:26" ht="12.75" customHeight="1" x14ac:dyDescent="0.3">
      <c r="A39" s="572"/>
      <c r="B39" s="572"/>
      <c r="C39" s="572"/>
      <c r="D39" s="572"/>
      <c r="E39" s="572"/>
      <c r="F39" s="572"/>
      <c r="G39" s="572"/>
      <c r="H39" s="572"/>
      <c r="I39" s="572"/>
      <c r="J39" s="572"/>
      <c r="K39" s="572"/>
      <c r="L39" s="572"/>
      <c r="M39" s="572"/>
      <c r="N39" s="572"/>
      <c r="O39" s="572"/>
      <c r="P39" s="572"/>
      <c r="Q39" s="572"/>
      <c r="R39" s="572"/>
      <c r="S39" s="572"/>
      <c r="T39" s="572"/>
      <c r="U39" s="572"/>
      <c r="V39" s="572"/>
      <c r="W39" s="572"/>
      <c r="X39" s="572"/>
      <c r="Y39" s="572"/>
      <c r="Z39" s="572"/>
    </row>
    <row r="40" spans="1:26" ht="12.75" customHeight="1" x14ac:dyDescent="0.3">
      <c r="A40" s="572"/>
      <c r="B40" s="572"/>
      <c r="C40" s="572"/>
      <c r="D40" s="572"/>
      <c r="E40" s="572"/>
      <c r="F40" s="572"/>
      <c r="G40" s="572"/>
      <c r="H40" s="572"/>
      <c r="I40" s="572"/>
      <c r="J40" s="572"/>
      <c r="K40" s="572"/>
      <c r="L40" s="572"/>
      <c r="M40" s="572"/>
      <c r="N40" s="572"/>
      <c r="O40" s="572"/>
      <c r="P40" s="572"/>
      <c r="Q40" s="572"/>
      <c r="R40" s="572"/>
      <c r="S40" s="572"/>
      <c r="T40" s="572"/>
      <c r="U40" s="572"/>
      <c r="V40" s="572"/>
      <c r="W40" s="572"/>
      <c r="X40" s="572"/>
      <c r="Y40" s="572"/>
      <c r="Z40" s="572"/>
    </row>
    <row r="41" spans="1:26" ht="12.75" customHeight="1" x14ac:dyDescent="0.3">
      <c r="A41" s="572"/>
      <c r="B41" s="572"/>
      <c r="C41" s="572"/>
      <c r="D41" s="572"/>
      <c r="E41" s="572"/>
      <c r="F41" s="572"/>
      <c r="G41" s="572"/>
      <c r="H41" s="572"/>
      <c r="I41" s="572"/>
      <c r="J41" s="572"/>
      <c r="K41" s="572"/>
      <c r="L41" s="572"/>
      <c r="M41" s="572"/>
      <c r="N41" s="572"/>
      <c r="O41" s="572"/>
      <c r="P41" s="572"/>
      <c r="Q41" s="572"/>
      <c r="R41" s="572"/>
      <c r="S41" s="572"/>
      <c r="T41" s="572"/>
      <c r="U41" s="572"/>
      <c r="V41" s="572"/>
      <c r="W41" s="572"/>
      <c r="X41" s="572"/>
      <c r="Y41" s="572"/>
      <c r="Z41" s="572"/>
    </row>
    <row r="42" spans="1:26" ht="12.75" customHeight="1" x14ac:dyDescent="0.3">
      <c r="A42" s="572"/>
      <c r="B42" s="572"/>
      <c r="C42" s="572"/>
      <c r="D42" s="572"/>
      <c r="E42" s="572"/>
      <c r="F42" s="572"/>
      <c r="G42" s="572"/>
      <c r="H42" s="572"/>
      <c r="I42" s="572"/>
      <c r="J42" s="572"/>
      <c r="K42" s="572"/>
      <c r="L42" s="572"/>
      <c r="M42" s="572"/>
      <c r="N42" s="572"/>
      <c r="O42" s="572"/>
      <c r="P42" s="572"/>
      <c r="Q42" s="572"/>
      <c r="R42" s="572"/>
      <c r="S42" s="572"/>
      <c r="T42" s="572"/>
      <c r="U42" s="572"/>
      <c r="V42" s="572"/>
      <c r="W42" s="572"/>
      <c r="X42" s="572"/>
      <c r="Y42" s="572"/>
      <c r="Z42" s="572"/>
    </row>
    <row r="43" spans="1:26" ht="12.75" customHeight="1" x14ac:dyDescent="0.3">
      <c r="A43" s="572"/>
      <c r="B43" s="572"/>
      <c r="C43" s="572"/>
      <c r="D43" s="572"/>
      <c r="E43" s="572"/>
      <c r="F43" s="572"/>
      <c r="G43" s="572"/>
      <c r="H43" s="572"/>
      <c r="I43" s="572"/>
      <c r="J43" s="572"/>
      <c r="K43" s="572"/>
      <c r="L43" s="572"/>
      <c r="M43" s="572"/>
      <c r="N43" s="572"/>
      <c r="O43" s="572"/>
      <c r="P43" s="572"/>
      <c r="Q43" s="572"/>
      <c r="R43" s="572"/>
      <c r="S43" s="572"/>
      <c r="T43" s="572"/>
      <c r="U43" s="572"/>
      <c r="V43" s="572"/>
      <c r="W43" s="572"/>
      <c r="X43" s="572"/>
      <c r="Y43" s="572"/>
      <c r="Z43" s="572"/>
    </row>
    <row r="44" spans="1:26" ht="12.75" customHeight="1" x14ac:dyDescent="0.3">
      <c r="A44" s="572"/>
      <c r="B44" s="572"/>
      <c r="C44" s="572"/>
      <c r="D44" s="572"/>
      <c r="E44" s="572"/>
      <c r="F44" s="572"/>
      <c r="G44" s="572"/>
      <c r="H44" s="572"/>
      <c r="I44" s="572"/>
      <c r="J44" s="572"/>
      <c r="K44" s="572"/>
      <c r="L44" s="572"/>
      <c r="M44" s="572"/>
      <c r="N44" s="572"/>
      <c r="O44" s="572"/>
      <c r="P44" s="572"/>
      <c r="Q44" s="572"/>
      <c r="R44" s="572"/>
      <c r="S44" s="572"/>
      <c r="T44" s="572"/>
      <c r="U44" s="572"/>
      <c r="V44" s="572"/>
      <c r="W44" s="572"/>
      <c r="X44" s="572"/>
      <c r="Y44" s="572"/>
      <c r="Z44" s="572"/>
    </row>
    <row r="45" spans="1:26" ht="12.75" customHeight="1" x14ac:dyDescent="0.3">
      <c r="A45" s="572"/>
      <c r="B45" s="572"/>
      <c r="C45" s="572"/>
      <c r="D45" s="572"/>
      <c r="E45" s="572"/>
      <c r="F45" s="572"/>
      <c r="G45" s="572"/>
      <c r="H45" s="572"/>
      <c r="I45" s="572"/>
      <c r="J45" s="572"/>
      <c r="K45" s="572"/>
      <c r="L45" s="572"/>
      <c r="M45" s="572"/>
      <c r="N45" s="572"/>
      <c r="O45" s="572"/>
      <c r="P45" s="572"/>
      <c r="Q45" s="572"/>
      <c r="R45" s="572"/>
      <c r="S45" s="572"/>
      <c r="T45" s="572"/>
      <c r="U45" s="572"/>
      <c r="V45" s="572"/>
      <c r="W45" s="572"/>
      <c r="X45" s="572"/>
      <c r="Y45" s="572"/>
      <c r="Z45" s="572"/>
    </row>
    <row r="46" spans="1:26" ht="12.75" customHeight="1" x14ac:dyDescent="0.3">
      <c r="A46" s="572"/>
      <c r="B46" s="572"/>
      <c r="C46" s="572"/>
      <c r="D46" s="572"/>
      <c r="E46" s="572"/>
      <c r="F46" s="572"/>
      <c r="G46" s="572"/>
      <c r="H46" s="572"/>
      <c r="I46" s="572"/>
      <c r="J46" s="572"/>
      <c r="K46" s="572"/>
      <c r="L46" s="572"/>
      <c r="M46" s="572"/>
      <c r="N46" s="572"/>
      <c r="O46" s="572"/>
      <c r="P46" s="572"/>
      <c r="Q46" s="572"/>
      <c r="R46" s="572"/>
      <c r="S46" s="572"/>
      <c r="T46" s="572"/>
      <c r="U46" s="572"/>
      <c r="V46" s="572"/>
      <c r="W46" s="572"/>
      <c r="X46" s="572"/>
      <c r="Y46" s="572"/>
      <c r="Z46" s="572"/>
    </row>
    <row r="47" spans="1:26" ht="12.75" customHeight="1" x14ac:dyDescent="0.3">
      <c r="A47" s="572"/>
      <c r="B47" s="572"/>
      <c r="C47" s="572"/>
      <c r="D47" s="572"/>
      <c r="E47" s="572"/>
      <c r="F47" s="572"/>
      <c r="G47" s="572"/>
      <c r="H47" s="572"/>
      <c r="I47" s="572"/>
      <c r="J47" s="572"/>
      <c r="K47" s="572"/>
      <c r="L47" s="572"/>
      <c r="M47" s="572"/>
      <c r="N47" s="572"/>
      <c r="O47" s="572"/>
      <c r="P47" s="572"/>
      <c r="Q47" s="572"/>
      <c r="R47" s="572"/>
      <c r="S47" s="572"/>
      <c r="T47" s="572"/>
      <c r="U47" s="572"/>
      <c r="V47" s="572"/>
      <c r="W47" s="572"/>
      <c r="X47" s="572"/>
      <c r="Y47" s="572"/>
      <c r="Z47" s="572"/>
    </row>
    <row r="48" spans="1:26" ht="12.75" customHeight="1" x14ac:dyDescent="0.3">
      <c r="A48" s="572"/>
      <c r="B48" s="572"/>
      <c r="C48" s="572"/>
      <c r="D48" s="572"/>
      <c r="E48" s="572"/>
      <c r="F48" s="572"/>
      <c r="G48" s="572"/>
      <c r="H48" s="572"/>
      <c r="I48" s="572"/>
      <c r="J48" s="572"/>
      <c r="K48" s="572"/>
      <c r="L48" s="572"/>
      <c r="M48" s="572"/>
      <c r="N48" s="572"/>
      <c r="O48" s="572"/>
      <c r="P48" s="572"/>
      <c r="Q48" s="572"/>
      <c r="R48" s="572"/>
      <c r="S48" s="572"/>
      <c r="T48" s="572"/>
      <c r="U48" s="572"/>
      <c r="V48" s="572"/>
      <c r="W48" s="572"/>
      <c r="X48" s="572"/>
      <c r="Y48" s="572"/>
      <c r="Z48" s="572"/>
    </row>
    <row r="49" spans="1:26" ht="12.75" customHeight="1" x14ac:dyDescent="0.3">
      <c r="A49" s="572"/>
      <c r="B49" s="572"/>
      <c r="C49" s="572"/>
      <c r="D49" s="572"/>
      <c r="E49" s="572"/>
      <c r="F49" s="572"/>
      <c r="G49" s="572"/>
      <c r="H49" s="572"/>
      <c r="I49" s="572"/>
      <c r="J49" s="572"/>
      <c r="K49" s="572"/>
      <c r="L49" s="572"/>
      <c r="M49" s="572"/>
      <c r="N49" s="572"/>
      <c r="O49" s="572"/>
      <c r="P49" s="572"/>
      <c r="Q49" s="572"/>
      <c r="R49" s="572"/>
      <c r="S49" s="572"/>
      <c r="T49" s="572"/>
      <c r="U49" s="572"/>
      <c r="V49" s="572"/>
      <c r="W49" s="572"/>
      <c r="X49" s="572"/>
      <c r="Y49" s="572"/>
      <c r="Z49" s="572"/>
    </row>
    <row r="50" spans="1:26" ht="12.75" customHeight="1" x14ac:dyDescent="0.3">
      <c r="A50" s="572"/>
      <c r="B50" s="572"/>
      <c r="C50" s="572"/>
      <c r="D50" s="572"/>
      <c r="E50" s="572"/>
      <c r="F50" s="572"/>
      <c r="G50" s="572"/>
      <c r="H50" s="572"/>
      <c r="I50" s="572"/>
      <c r="J50" s="572"/>
      <c r="K50" s="572"/>
      <c r="L50" s="572"/>
      <c r="M50" s="572"/>
      <c r="N50" s="572"/>
      <c r="O50" s="572"/>
      <c r="P50" s="572"/>
      <c r="Q50" s="572"/>
      <c r="R50" s="572"/>
      <c r="S50" s="572"/>
      <c r="T50" s="572"/>
      <c r="U50" s="572"/>
      <c r="V50" s="572"/>
      <c r="W50" s="572"/>
      <c r="X50" s="572"/>
      <c r="Y50" s="572"/>
      <c r="Z50" s="572"/>
    </row>
    <row r="51" spans="1:26" ht="12.75" customHeight="1" x14ac:dyDescent="0.3">
      <c r="A51" s="572"/>
      <c r="B51" s="572"/>
      <c r="C51" s="572"/>
      <c r="D51" s="572"/>
      <c r="E51" s="572"/>
      <c r="F51" s="572"/>
      <c r="G51" s="572"/>
      <c r="H51" s="572"/>
      <c r="I51" s="572"/>
      <c r="J51" s="572"/>
      <c r="K51" s="572"/>
      <c r="L51" s="572"/>
      <c r="M51" s="572"/>
      <c r="N51" s="572"/>
      <c r="O51" s="572"/>
      <c r="P51" s="572"/>
      <c r="Q51" s="572"/>
      <c r="R51" s="572"/>
      <c r="S51" s="572"/>
      <c r="T51" s="572"/>
      <c r="U51" s="572"/>
      <c r="V51" s="572"/>
      <c r="W51" s="572"/>
      <c r="X51" s="572"/>
      <c r="Y51" s="572"/>
      <c r="Z51" s="572"/>
    </row>
    <row r="52" spans="1:26" ht="12.75" customHeight="1" x14ac:dyDescent="0.3">
      <c r="A52" s="572"/>
      <c r="B52" s="572"/>
      <c r="C52" s="572"/>
      <c r="D52" s="572"/>
      <c r="E52" s="572"/>
      <c r="F52" s="572"/>
      <c r="G52" s="572"/>
      <c r="H52" s="572"/>
      <c r="I52" s="572"/>
      <c r="J52" s="572"/>
      <c r="K52" s="572"/>
      <c r="L52" s="572"/>
      <c r="M52" s="572"/>
      <c r="N52" s="572"/>
      <c r="O52" s="572"/>
      <c r="P52" s="572"/>
      <c r="Q52" s="572"/>
      <c r="R52" s="572"/>
      <c r="S52" s="572"/>
      <c r="T52" s="572"/>
      <c r="U52" s="572"/>
      <c r="V52" s="572"/>
      <c r="W52" s="572"/>
      <c r="X52" s="572"/>
      <c r="Y52" s="572"/>
      <c r="Z52" s="572"/>
    </row>
    <row r="53" spans="1:26" ht="12.75" customHeight="1" x14ac:dyDescent="0.3">
      <c r="A53" s="572"/>
      <c r="B53" s="572"/>
      <c r="C53" s="572"/>
      <c r="D53" s="572"/>
      <c r="E53" s="572"/>
      <c r="F53" s="572"/>
      <c r="G53" s="572"/>
      <c r="H53" s="572"/>
      <c r="I53" s="572"/>
      <c r="J53" s="572"/>
      <c r="K53" s="572"/>
      <c r="L53" s="572"/>
      <c r="M53" s="572"/>
      <c r="N53" s="572"/>
      <c r="O53" s="572"/>
      <c r="P53" s="572"/>
      <c r="Q53" s="572"/>
      <c r="R53" s="572"/>
      <c r="S53" s="572"/>
      <c r="T53" s="572"/>
      <c r="U53" s="572"/>
      <c r="V53" s="572"/>
      <c r="W53" s="572"/>
      <c r="X53" s="572"/>
      <c r="Y53" s="572"/>
      <c r="Z53" s="572"/>
    </row>
    <row r="54" spans="1:26" ht="12.75" customHeight="1" x14ac:dyDescent="0.3">
      <c r="A54" s="572"/>
      <c r="B54" s="572"/>
      <c r="C54" s="572"/>
      <c r="D54" s="572"/>
      <c r="E54" s="572"/>
      <c r="F54" s="572"/>
      <c r="G54" s="572"/>
      <c r="H54" s="572"/>
      <c r="I54" s="572"/>
      <c r="J54" s="572"/>
      <c r="K54" s="572"/>
      <c r="L54" s="572"/>
      <c r="M54" s="572"/>
      <c r="N54" s="572"/>
      <c r="O54" s="572"/>
      <c r="P54" s="572"/>
      <c r="Q54" s="572"/>
      <c r="R54" s="572"/>
      <c r="S54" s="572"/>
      <c r="T54" s="572"/>
      <c r="U54" s="572"/>
      <c r="V54" s="572"/>
      <c r="W54" s="572"/>
      <c r="X54" s="572"/>
      <c r="Y54" s="572"/>
      <c r="Z54" s="572"/>
    </row>
    <row r="55" spans="1:26" ht="12.75" customHeight="1" x14ac:dyDescent="0.3">
      <c r="A55" s="572"/>
      <c r="B55" s="572"/>
      <c r="C55" s="572"/>
      <c r="D55" s="572"/>
      <c r="E55" s="572"/>
      <c r="F55" s="572"/>
      <c r="G55" s="572"/>
      <c r="H55" s="572"/>
      <c r="I55" s="572"/>
      <c r="J55" s="572"/>
      <c r="K55" s="572"/>
      <c r="L55" s="572"/>
      <c r="M55" s="572"/>
      <c r="N55" s="572"/>
      <c r="O55" s="572"/>
      <c r="P55" s="572"/>
      <c r="Q55" s="572"/>
      <c r="R55" s="572"/>
      <c r="S55" s="572"/>
      <c r="T55" s="572"/>
      <c r="U55" s="572"/>
      <c r="V55" s="572"/>
      <c r="W55" s="572"/>
      <c r="X55" s="572"/>
      <c r="Y55" s="572"/>
      <c r="Z55" s="572"/>
    </row>
    <row r="56" spans="1:26" ht="12.75" customHeight="1" x14ac:dyDescent="0.3">
      <c r="A56" s="572"/>
      <c r="B56" s="572"/>
      <c r="C56" s="572"/>
      <c r="D56" s="572"/>
      <c r="E56" s="572"/>
      <c r="F56" s="572"/>
      <c r="G56" s="572"/>
      <c r="H56" s="572"/>
      <c r="I56" s="572"/>
      <c r="J56" s="572"/>
      <c r="K56" s="572"/>
      <c r="L56" s="572"/>
      <c r="M56" s="572"/>
      <c r="N56" s="572"/>
      <c r="O56" s="572"/>
      <c r="P56" s="572"/>
      <c r="Q56" s="572"/>
      <c r="R56" s="572"/>
      <c r="S56" s="572"/>
      <c r="T56" s="572"/>
      <c r="U56" s="572"/>
      <c r="V56" s="572"/>
      <c r="W56" s="572"/>
      <c r="X56" s="572"/>
      <c r="Y56" s="572"/>
      <c r="Z56" s="572"/>
    </row>
    <row r="57" spans="1:26" ht="12.75" customHeight="1" x14ac:dyDescent="0.3">
      <c r="A57" s="572"/>
      <c r="B57" s="572"/>
      <c r="C57" s="572"/>
      <c r="D57" s="572"/>
      <c r="E57" s="572"/>
      <c r="F57" s="572"/>
      <c r="G57" s="572"/>
      <c r="H57" s="572"/>
      <c r="I57" s="572"/>
      <c r="J57" s="572"/>
      <c r="K57" s="572"/>
      <c r="L57" s="572"/>
      <c r="M57" s="572"/>
      <c r="N57" s="572"/>
      <c r="O57" s="572"/>
      <c r="P57" s="572"/>
      <c r="Q57" s="572"/>
      <c r="R57" s="572"/>
      <c r="S57" s="572"/>
      <c r="T57" s="572"/>
      <c r="U57" s="572"/>
      <c r="V57" s="572"/>
      <c r="W57" s="572"/>
      <c r="X57" s="572"/>
      <c r="Y57" s="572"/>
      <c r="Z57" s="572"/>
    </row>
    <row r="58" spans="1:26" ht="12.75" customHeight="1" x14ac:dyDescent="0.3">
      <c r="A58" s="572"/>
      <c r="B58" s="572"/>
      <c r="C58" s="572"/>
      <c r="D58" s="572"/>
      <c r="E58" s="572"/>
      <c r="F58" s="572"/>
      <c r="G58" s="572"/>
      <c r="H58" s="572"/>
      <c r="I58" s="572"/>
      <c r="J58" s="572"/>
      <c r="K58" s="572"/>
      <c r="L58" s="572"/>
      <c r="M58" s="572"/>
      <c r="N58" s="572"/>
      <c r="O58" s="572"/>
      <c r="P58" s="572"/>
      <c r="Q58" s="572"/>
      <c r="R58" s="572"/>
      <c r="S58" s="572"/>
      <c r="T58" s="572"/>
      <c r="U58" s="572"/>
      <c r="V58" s="572"/>
      <c r="W58" s="572"/>
      <c r="X58" s="572"/>
      <c r="Y58" s="572"/>
      <c r="Z58" s="572"/>
    </row>
    <row r="59" spans="1:26" ht="12.75" customHeight="1" x14ac:dyDescent="0.3">
      <c r="A59" s="572"/>
      <c r="B59" s="572"/>
      <c r="C59" s="572"/>
      <c r="D59" s="572"/>
      <c r="E59" s="572"/>
      <c r="F59" s="572"/>
      <c r="G59" s="572"/>
      <c r="H59" s="572"/>
      <c r="I59" s="572"/>
      <c r="J59" s="572"/>
      <c r="K59" s="572"/>
      <c r="L59" s="572"/>
      <c r="M59" s="572"/>
      <c r="N59" s="572"/>
      <c r="O59" s="572"/>
      <c r="P59" s="572"/>
      <c r="Q59" s="572"/>
      <c r="R59" s="572"/>
      <c r="S59" s="572"/>
      <c r="T59" s="572"/>
      <c r="U59" s="572"/>
      <c r="V59" s="572"/>
      <c r="W59" s="572"/>
      <c r="X59" s="572"/>
      <c r="Y59" s="572"/>
      <c r="Z59" s="572"/>
    </row>
    <row r="60" spans="1:26" ht="12.75" customHeight="1" x14ac:dyDescent="0.3">
      <c r="A60" s="572"/>
      <c r="B60" s="572"/>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row>
    <row r="61" spans="1:26" ht="12.75" customHeight="1" x14ac:dyDescent="0.3">
      <c r="A61" s="572"/>
      <c r="B61" s="572"/>
      <c r="C61" s="572"/>
      <c r="D61" s="572"/>
      <c r="E61" s="572"/>
      <c r="F61" s="572"/>
      <c r="G61" s="572"/>
      <c r="H61" s="572"/>
      <c r="I61" s="572"/>
      <c r="J61" s="572"/>
      <c r="K61" s="572"/>
      <c r="L61" s="572"/>
      <c r="M61" s="572"/>
      <c r="N61" s="572"/>
      <c r="O61" s="572"/>
      <c r="P61" s="572"/>
      <c r="Q61" s="572"/>
      <c r="R61" s="572"/>
      <c r="S61" s="572"/>
      <c r="T61" s="572"/>
      <c r="U61" s="572"/>
      <c r="V61" s="572"/>
      <c r="W61" s="572"/>
      <c r="X61" s="572"/>
      <c r="Y61" s="572"/>
      <c r="Z61" s="572"/>
    </row>
    <row r="62" spans="1:26" ht="12.75" customHeight="1" x14ac:dyDescent="0.3">
      <c r="A62" s="572"/>
      <c r="B62" s="572"/>
      <c r="C62" s="572"/>
      <c r="D62" s="572"/>
      <c r="E62" s="572"/>
      <c r="F62" s="572"/>
      <c r="G62" s="572"/>
      <c r="H62" s="572"/>
      <c r="I62" s="572"/>
      <c r="J62" s="572"/>
      <c r="K62" s="572"/>
      <c r="L62" s="572"/>
      <c r="M62" s="572"/>
      <c r="N62" s="572"/>
      <c r="O62" s="572"/>
      <c r="P62" s="572"/>
      <c r="Q62" s="572"/>
      <c r="R62" s="572"/>
      <c r="S62" s="572"/>
      <c r="T62" s="572"/>
      <c r="U62" s="572"/>
      <c r="V62" s="572"/>
      <c r="W62" s="572"/>
      <c r="X62" s="572"/>
      <c r="Y62" s="572"/>
      <c r="Z62" s="572"/>
    </row>
    <row r="63" spans="1:26" ht="12.75" customHeight="1" x14ac:dyDescent="0.3">
      <c r="A63" s="572"/>
      <c r="B63" s="572"/>
      <c r="C63" s="572"/>
      <c r="D63" s="572"/>
      <c r="E63" s="572"/>
      <c r="F63" s="572"/>
      <c r="G63" s="572"/>
      <c r="H63" s="572"/>
      <c r="I63" s="572"/>
      <c r="J63" s="572"/>
      <c r="K63" s="572"/>
      <c r="L63" s="572"/>
      <c r="M63" s="572"/>
      <c r="N63" s="572"/>
      <c r="O63" s="572"/>
      <c r="P63" s="572"/>
      <c r="Q63" s="572"/>
      <c r="R63" s="572"/>
      <c r="S63" s="572"/>
      <c r="T63" s="572"/>
      <c r="U63" s="572"/>
      <c r="V63" s="572"/>
      <c r="W63" s="572"/>
      <c r="X63" s="572"/>
      <c r="Y63" s="572"/>
      <c r="Z63" s="572"/>
    </row>
    <row r="64" spans="1:26" ht="12.75" customHeight="1" x14ac:dyDescent="0.3">
      <c r="A64" s="572"/>
      <c r="B64" s="572"/>
      <c r="C64" s="572"/>
      <c r="D64" s="572"/>
      <c r="E64" s="572"/>
      <c r="F64" s="572"/>
      <c r="G64" s="572"/>
      <c r="H64" s="572"/>
      <c r="I64" s="572"/>
      <c r="J64" s="572"/>
      <c r="K64" s="572"/>
      <c r="L64" s="572"/>
      <c r="M64" s="572"/>
      <c r="N64" s="572"/>
      <c r="O64" s="572"/>
      <c r="P64" s="572"/>
      <c r="Q64" s="572"/>
      <c r="R64" s="572"/>
      <c r="S64" s="572"/>
      <c r="T64" s="572"/>
      <c r="U64" s="572"/>
      <c r="V64" s="572"/>
      <c r="W64" s="572"/>
      <c r="X64" s="572"/>
      <c r="Y64" s="572"/>
      <c r="Z64" s="572"/>
    </row>
    <row r="65" spans="1:26" ht="12.75" customHeight="1" x14ac:dyDescent="0.3">
      <c r="A65" s="572"/>
      <c r="B65" s="572"/>
      <c r="C65" s="572"/>
      <c r="D65" s="572"/>
      <c r="E65" s="572"/>
      <c r="F65" s="572"/>
      <c r="G65" s="572"/>
      <c r="H65" s="572"/>
      <c r="I65" s="572"/>
      <c r="J65" s="572"/>
      <c r="K65" s="572"/>
      <c r="L65" s="572"/>
      <c r="M65" s="572"/>
      <c r="N65" s="572"/>
      <c r="O65" s="572"/>
      <c r="P65" s="572"/>
      <c r="Q65" s="572"/>
      <c r="R65" s="572"/>
      <c r="S65" s="572"/>
      <c r="T65" s="572"/>
      <c r="U65" s="572"/>
      <c r="V65" s="572"/>
      <c r="W65" s="572"/>
      <c r="X65" s="572"/>
      <c r="Y65" s="572"/>
      <c r="Z65" s="572"/>
    </row>
    <row r="66" spans="1:26" ht="12.75" customHeight="1" x14ac:dyDescent="0.3">
      <c r="A66" s="572"/>
      <c r="B66" s="572"/>
      <c r="C66" s="572"/>
      <c r="D66" s="572"/>
      <c r="E66" s="572"/>
      <c r="F66" s="572"/>
      <c r="G66" s="572"/>
      <c r="H66" s="572"/>
      <c r="I66" s="572"/>
      <c r="J66" s="572"/>
      <c r="K66" s="572"/>
      <c r="L66" s="572"/>
      <c r="M66" s="572"/>
      <c r="N66" s="572"/>
      <c r="O66" s="572"/>
      <c r="P66" s="572"/>
      <c r="Q66" s="572"/>
      <c r="R66" s="572"/>
      <c r="S66" s="572"/>
      <c r="T66" s="572"/>
      <c r="U66" s="572"/>
      <c r="V66" s="572"/>
      <c r="W66" s="572"/>
      <c r="X66" s="572"/>
      <c r="Y66" s="572"/>
      <c r="Z66" s="572"/>
    </row>
    <row r="67" spans="1:26" ht="12.75" customHeight="1" x14ac:dyDescent="0.3">
      <c r="A67" s="572"/>
      <c r="B67" s="572"/>
      <c r="C67" s="572"/>
      <c r="D67" s="572"/>
      <c r="E67" s="572"/>
      <c r="F67" s="572"/>
      <c r="G67" s="572"/>
      <c r="H67" s="572"/>
      <c r="I67" s="572"/>
      <c r="J67" s="572"/>
      <c r="K67" s="572"/>
      <c r="L67" s="572"/>
      <c r="M67" s="572"/>
      <c r="N67" s="572"/>
      <c r="O67" s="572"/>
      <c r="P67" s="572"/>
      <c r="Q67" s="572"/>
      <c r="R67" s="572"/>
      <c r="S67" s="572"/>
      <c r="T67" s="572"/>
      <c r="U67" s="572"/>
      <c r="V67" s="572"/>
      <c r="W67" s="572"/>
      <c r="X67" s="572"/>
      <c r="Y67" s="572"/>
      <c r="Z67" s="572"/>
    </row>
    <row r="68" spans="1:26" ht="12.75" customHeight="1" x14ac:dyDescent="0.3">
      <c r="A68" s="572"/>
      <c r="B68" s="572"/>
      <c r="C68" s="572"/>
      <c r="D68" s="572"/>
      <c r="E68" s="572"/>
      <c r="F68" s="572"/>
      <c r="G68" s="572"/>
      <c r="H68" s="572"/>
      <c r="I68" s="572"/>
      <c r="J68" s="572"/>
      <c r="K68" s="572"/>
      <c r="L68" s="572"/>
      <c r="M68" s="572"/>
      <c r="N68" s="572"/>
      <c r="O68" s="572"/>
      <c r="P68" s="572"/>
      <c r="Q68" s="572"/>
      <c r="R68" s="572"/>
      <c r="S68" s="572"/>
      <c r="T68" s="572"/>
      <c r="U68" s="572"/>
      <c r="V68" s="572"/>
      <c r="W68" s="572"/>
      <c r="X68" s="572"/>
      <c r="Y68" s="572"/>
      <c r="Z68" s="572"/>
    </row>
    <row r="69" spans="1:26" ht="12.75" customHeight="1" x14ac:dyDescent="0.3">
      <c r="A69" s="572"/>
      <c r="B69" s="572"/>
      <c r="C69" s="572"/>
      <c r="D69" s="572"/>
      <c r="E69" s="572"/>
      <c r="F69" s="572"/>
      <c r="G69" s="572"/>
      <c r="H69" s="572"/>
      <c r="I69" s="572"/>
      <c r="J69" s="572"/>
      <c r="K69" s="572"/>
      <c r="L69" s="572"/>
      <c r="M69" s="572"/>
      <c r="N69" s="572"/>
      <c r="O69" s="572"/>
      <c r="P69" s="572"/>
      <c r="Q69" s="572"/>
      <c r="R69" s="572"/>
      <c r="S69" s="572"/>
      <c r="T69" s="572"/>
      <c r="U69" s="572"/>
      <c r="V69" s="572"/>
      <c r="W69" s="572"/>
      <c r="X69" s="572"/>
      <c r="Y69" s="572"/>
      <c r="Z69" s="572"/>
    </row>
    <row r="70" spans="1:26" ht="12.75" customHeight="1" x14ac:dyDescent="0.3">
      <c r="A70" s="572"/>
      <c r="B70" s="572"/>
      <c r="C70" s="572"/>
      <c r="D70" s="572"/>
      <c r="E70" s="572"/>
      <c r="F70" s="572"/>
      <c r="G70" s="572"/>
      <c r="H70" s="572"/>
      <c r="I70" s="572"/>
      <c r="J70" s="572"/>
      <c r="K70" s="572"/>
      <c r="L70" s="572"/>
      <c r="M70" s="572"/>
      <c r="N70" s="572"/>
      <c r="O70" s="572"/>
      <c r="P70" s="572"/>
      <c r="Q70" s="572"/>
      <c r="R70" s="572"/>
      <c r="S70" s="572"/>
      <c r="T70" s="572"/>
      <c r="U70" s="572"/>
      <c r="V70" s="572"/>
      <c r="W70" s="572"/>
      <c r="X70" s="572"/>
      <c r="Y70" s="572"/>
      <c r="Z70" s="572"/>
    </row>
    <row r="71" spans="1:26" ht="12.75" customHeight="1" x14ac:dyDescent="0.3">
      <c r="A71" s="572"/>
      <c r="B71" s="572"/>
      <c r="C71" s="572"/>
      <c r="D71" s="572"/>
      <c r="E71" s="572"/>
      <c r="F71" s="572"/>
      <c r="G71" s="572"/>
      <c r="H71" s="572"/>
      <c r="I71" s="572"/>
      <c r="J71" s="572"/>
      <c r="K71" s="572"/>
      <c r="L71" s="572"/>
      <c r="M71" s="572"/>
      <c r="N71" s="572"/>
      <c r="O71" s="572"/>
      <c r="P71" s="572"/>
      <c r="Q71" s="572"/>
      <c r="R71" s="572"/>
      <c r="S71" s="572"/>
      <c r="T71" s="572"/>
      <c r="U71" s="572"/>
      <c r="V71" s="572"/>
      <c r="W71" s="572"/>
      <c r="X71" s="572"/>
      <c r="Y71" s="572"/>
      <c r="Z71" s="572"/>
    </row>
    <row r="72" spans="1:26" ht="12.75" customHeight="1" x14ac:dyDescent="0.3">
      <c r="A72" s="572"/>
      <c r="B72" s="572"/>
      <c r="C72" s="572"/>
      <c r="D72" s="572"/>
      <c r="E72" s="572"/>
      <c r="F72" s="572"/>
      <c r="G72" s="572"/>
      <c r="H72" s="572"/>
      <c r="I72" s="572"/>
      <c r="J72" s="572"/>
      <c r="K72" s="572"/>
      <c r="L72" s="572"/>
      <c r="M72" s="572"/>
      <c r="N72" s="572"/>
      <c r="O72" s="572"/>
      <c r="P72" s="572"/>
      <c r="Q72" s="572"/>
      <c r="R72" s="572"/>
      <c r="S72" s="572"/>
      <c r="T72" s="572"/>
      <c r="U72" s="572"/>
      <c r="V72" s="572"/>
      <c r="W72" s="572"/>
      <c r="X72" s="572"/>
      <c r="Y72" s="572"/>
      <c r="Z72" s="572"/>
    </row>
    <row r="73" spans="1:26" ht="12.75" customHeight="1" x14ac:dyDescent="0.3">
      <c r="A73" s="572"/>
      <c r="B73" s="572"/>
      <c r="C73" s="572"/>
      <c r="D73" s="572"/>
      <c r="E73" s="572"/>
      <c r="F73" s="572"/>
      <c r="G73" s="572"/>
      <c r="H73" s="572"/>
      <c r="I73" s="572"/>
      <c r="J73" s="572"/>
      <c r="K73" s="572"/>
      <c r="L73" s="572"/>
      <c r="M73" s="572"/>
      <c r="N73" s="572"/>
      <c r="O73" s="572"/>
      <c r="P73" s="572"/>
      <c r="Q73" s="572"/>
      <c r="R73" s="572"/>
      <c r="S73" s="572"/>
      <c r="T73" s="572"/>
      <c r="U73" s="572"/>
      <c r="V73" s="572"/>
      <c r="W73" s="572"/>
      <c r="X73" s="572"/>
      <c r="Y73" s="572"/>
      <c r="Z73" s="572"/>
    </row>
    <row r="74" spans="1:26" ht="12.75" customHeight="1" x14ac:dyDescent="0.3">
      <c r="A74" s="572"/>
      <c r="B74" s="572"/>
      <c r="C74" s="572"/>
      <c r="D74" s="572"/>
      <c r="E74" s="572"/>
      <c r="F74" s="572"/>
      <c r="G74" s="572"/>
      <c r="H74" s="572"/>
      <c r="I74" s="572"/>
      <c r="J74" s="572"/>
      <c r="K74" s="572"/>
      <c r="L74" s="572"/>
      <c r="M74" s="572"/>
      <c r="N74" s="572"/>
      <c r="O74" s="572"/>
      <c r="P74" s="572"/>
      <c r="Q74" s="572"/>
      <c r="R74" s="572"/>
      <c r="S74" s="572"/>
      <c r="T74" s="572"/>
      <c r="U74" s="572"/>
      <c r="V74" s="572"/>
      <c r="W74" s="572"/>
      <c r="X74" s="572"/>
      <c r="Y74" s="572"/>
      <c r="Z74" s="572"/>
    </row>
    <row r="75" spans="1:26" ht="12.75" customHeight="1" x14ac:dyDescent="0.3">
      <c r="A75" s="572"/>
      <c r="B75" s="572"/>
      <c r="C75" s="572"/>
      <c r="D75" s="572"/>
      <c r="E75" s="572"/>
      <c r="F75" s="572"/>
      <c r="G75" s="572"/>
      <c r="H75" s="572"/>
      <c r="I75" s="572"/>
      <c r="J75" s="572"/>
      <c r="K75" s="572"/>
      <c r="L75" s="572"/>
      <c r="M75" s="572"/>
      <c r="N75" s="572"/>
      <c r="O75" s="572"/>
      <c r="P75" s="572"/>
      <c r="Q75" s="572"/>
      <c r="R75" s="572"/>
      <c r="S75" s="572"/>
      <c r="T75" s="572"/>
      <c r="U75" s="572"/>
      <c r="V75" s="572"/>
      <c r="W75" s="572"/>
      <c r="X75" s="572"/>
      <c r="Y75" s="572"/>
      <c r="Z75" s="572"/>
    </row>
    <row r="76" spans="1:26" ht="12.75" customHeight="1" x14ac:dyDescent="0.3">
      <c r="A76" s="572"/>
      <c r="B76" s="572"/>
      <c r="C76" s="572"/>
      <c r="D76" s="572"/>
      <c r="E76" s="572"/>
      <c r="F76" s="572"/>
      <c r="G76" s="572"/>
      <c r="H76" s="572"/>
      <c r="I76" s="572"/>
      <c r="J76" s="572"/>
      <c r="K76" s="572"/>
      <c r="L76" s="572"/>
      <c r="M76" s="572"/>
      <c r="N76" s="572"/>
      <c r="O76" s="572"/>
      <c r="P76" s="572"/>
      <c r="Q76" s="572"/>
      <c r="R76" s="572"/>
      <c r="S76" s="572"/>
      <c r="T76" s="572"/>
      <c r="U76" s="572"/>
      <c r="V76" s="572"/>
      <c r="W76" s="572"/>
      <c r="X76" s="572"/>
      <c r="Y76" s="572"/>
      <c r="Z76" s="572"/>
    </row>
    <row r="77" spans="1:26" ht="12.75" customHeight="1" x14ac:dyDescent="0.3">
      <c r="A77" s="572"/>
      <c r="B77" s="572"/>
      <c r="C77" s="572"/>
      <c r="D77" s="572"/>
      <c r="E77" s="572"/>
      <c r="F77" s="572"/>
      <c r="G77" s="572"/>
      <c r="H77" s="572"/>
      <c r="I77" s="572"/>
      <c r="J77" s="572"/>
      <c r="K77" s="572"/>
      <c r="L77" s="572"/>
      <c r="M77" s="572"/>
      <c r="N77" s="572"/>
      <c r="O77" s="572"/>
      <c r="P77" s="572"/>
      <c r="Q77" s="572"/>
      <c r="R77" s="572"/>
      <c r="S77" s="572"/>
      <c r="T77" s="572"/>
      <c r="U77" s="572"/>
      <c r="V77" s="572"/>
      <c r="W77" s="572"/>
      <c r="X77" s="572"/>
      <c r="Y77" s="572"/>
      <c r="Z77" s="572"/>
    </row>
    <row r="78" spans="1:26" ht="12.75" customHeight="1" x14ac:dyDescent="0.3">
      <c r="A78" s="572"/>
      <c r="B78" s="572"/>
      <c r="C78" s="572"/>
      <c r="D78" s="572"/>
      <c r="E78" s="572"/>
      <c r="F78" s="572"/>
      <c r="G78" s="572"/>
      <c r="H78" s="572"/>
      <c r="I78" s="572"/>
      <c r="J78" s="572"/>
      <c r="K78" s="572"/>
      <c r="L78" s="572"/>
      <c r="M78" s="572"/>
      <c r="N78" s="572"/>
      <c r="O78" s="572"/>
      <c r="P78" s="572"/>
      <c r="Q78" s="572"/>
      <c r="R78" s="572"/>
      <c r="S78" s="572"/>
      <c r="T78" s="572"/>
      <c r="U78" s="572"/>
      <c r="V78" s="572"/>
      <c r="W78" s="572"/>
      <c r="X78" s="572"/>
      <c r="Y78" s="572"/>
      <c r="Z78" s="572"/>
    </row>
    <row r="79" spans="1:26" ht="12.75" customHeight="1" x14ac:dyDescent="0.3">
      <c r="A79" s="572"/>
      <c r="B79" s="572"/>
      <c r="C79" s="572"/>
      <c r="D79" s="572"/>
      <c r="E79" s="572"/>
      <c r="F79" s="572"/>
      <c r="G79" s="572"/>
      <c r="H79" s="572"/>
      <c r="I79" s="572"/>
      <c r="J79" s="572"/>
      <c r="K79" s="572"/>
      <c r="L79" s="572"/>
      <c r="M79" s="572"/>
      <c r="N79" s="572"/>
      <c r="O79" s="572"/>
      <c r="P79" s="572"/>
      <c r="Q79" s="572"/>
      <c r="R79" s="572"/>
      <c r="S79" s="572"/>
      <c r="T79" s="572"/>
      <c r="U79" s="572"/>
      <c r="V79" s="572"/>
      <c r="W79" s="572"/>
      <c r="X79" s="572"/>
      <c r="Y79" s="572"/>
      <c r="Z79" s="572"/>
    </row>
    <row r="80" spans="1:26" ht="12.75" customHeight="1" x14ac:dyDescent="0.3">
      <c r="A80" s="572"/>
      <c r="B80" s="572"/>
      <c r="C80" s="572"/>
      <c r="D80" s="572"/>
      <c r="E80" s="572"/>
      <c r="F80" s="572"/>
      <c r="G80" s="572"/>
      <c r="H80" s="572"/>
      <c r="I80" s="572"/>
      <c r="J80" s="572"/>
      <c r="K80" s="572"/>
      <c r="L80" s="572"/>
      <c r="M80" s="572"/>
      <c r="N80" s="572"/>
      <c r="O80" s="572"/>
      <c r="P80" s="572"/>
      <c r="Q80" s="572"/>
      <c r="R80" s="572"/>
      <c r="S80" s="572"/>
      <c r="T80" s="572"/>
      <c r="U80" s="572"/>
      <c r="V80" s="572"/>
      <c r="W80" s="572"/>
      <c r="X80" s="572"/>
      <c r="Y80" s="572"/>
      <c r="Z80" s="572"/>
    </row>
    <row r="81" spans="1:26" ht="12.75" customHeight="1" x14ac:dyDescent="0.3">
      <c r="A81" s="572"/>
      <c r="B81" s="572"/>
      <c r="C81" s="572"/>
      <c r="D81" s="572"/>
      <c r="E81" s="572"/>
      <c r="F81" s="572"/>
      <c r="G81" s="572"/>
      <c r="H81" s="572"/>
      <c r="I81" s="572"/>
      <c r="J81" s="572"/>
      <c r="K81" s="572"/>
      <c r="L81" s="572"/>
      <c r="M81" s="572"/>
      <c r="N81" s="572"/>
      <c r="O81" s="572"/>
      <c r="P81" s="572"/>
      <c r="Q81" s="572"/>
      <c r="R81" s="572"/>
      <c r="S81" s="572"/>
      <c r="T81" s="572"/>
      <c r="U81" s="572"/>
      <c r="V81" s="572"/>
      <c r="W81" s="572"/>
      <c r="X81" s="572"/>
      <c r="Y81" s="572"/>
      <c r="Z81" s="572"/>
    </row>
    <row r="82" spans="1:26" ht="12.75" customHeight="1" x14ac:dyDescent="0.3">
      <c r="A82" s="572"/>
      <c r="B82" s="572"/>
      <c r="C82" s="572"/>
      <c r="D82" s="572"/>
      <c r="E82" s="572"/>
      <c r="F82" s="572"/>
      <c r="G82" s="572"/>
      <c r="H82" s="572"/>
      <c r="I82" s="572"/>
      <c r="J82" s="572"/>
      <c r="K82" s="572"/>
      <c r="L82" s="572"/>
      <c r="M82" s="572"/>
      <c r="N82" s="572"/>
      <c r="O82" s="572"/>
      <c r="P82" s="572"/>
      <c r="Q82" s="572"/>
      <c r="R82" s="572"/>
      <c r="S82" s="572"/>
      <c r="T82" s="572"/>
      <c r="U82" s="572"/>
      <c r="V82" s="572"/>
      <c r="W82" s="572"/>
      <c r="X82" s="572"/>
      <c r="Y82" s="572"/>
      <c r="Z82" s="572"/>
    </row>
    <row r="83" spans="1:26" ht="12.75" customHeight="1" x14ac:dyDescent="0.3">
      <c r="A83" s="572"/>
      <c r="B83" s="572"/>
      <c r="C83" s="572"/>
      <c r="D83" s="572"/>
      <c r="E83" s="572"/>
      <c r="F83" s="572"/>
      <c r="G83" s="572"/>
      <c r="H83" s="572"/>
      <c r="I83" s="572"/>
      <c r="J83" s="572"/>
      <c r="K83" s="572"/>
      <c r="L83" s="572"/>
      <c r="M83" s="572"/>
      <c r="N83" s="572"/>
      <c r="O83" s="572"/>
      <c r="P83" s="572"/>
      <c r="Q83" s="572"/>
      <c r="R83" s="572"/>
      <c r="S83" s="572"/>
      <c r="T83" s="572"/>
      <c r="U83" s="572"/>
      <c r="V83" s="572"/>
      <c r="W83" s="572"/>
      <c r="X83" s="572"/>
      <c r="Y83" s="572"/>
      <c r="Z83" s="572"/>
    </row>
    <row r="84" spans="1:26" ht="12.75" customHeight="1" x14ac:dyDescent="0.3">
      <c r="A84" s="572"/>
      <c r="B84" s="572"/>
      <c r="C84" s="572"/>
      <c r="D84" s="572"/>
      <c r="E84" s="572"/>
      <c r="F84" s="572"/>
      <c r="G84" s="572"/>
      <c r="H84" s="572"/>
      <c r="I84" s="572"/>
      <c r="J84" s="572"/>
      <c r="K84" s="572"/>
      <c r="L84" s="572"/>
      <c r="M84" s="572"/>
      <c r="N84" s="572"/>
      <c r="O84" s="572"/>
      <c r="P84" s="572"/>
      <c r="Q84" s="572"/>
      <c r="R84" s="572"/>
      <c r="S84" s="572"/>
      <c r="T84" s="572"/>
      <c r="U84" s="572"/>
      <c r="V84" s="572"/>
      <c r="W84" s="572"/>
      <c r="X84" s="572"/>
      <c r="Y84" s="572"/>
      <c r="Z84" s="572"/>
    </row>
    <row r="85" spans="1:26" ht="12.75" customHeight="1" x14ac:dyDescent="0.3">
      <c r="A85" s="572"/>
      <c r="B85" s="572"/>
      <c r="C85" s="572"/>
      <c r="D85" s="572"/>
      <c r="E85" s="572"/>
      <c r="F85" s="572"/>
      <c r="G85" s="572"/>
      <c r="H85" s="572"/>
      <c r="I85" s="572"/>
      <c r="J85" s="572"/>
      <c r="K85" s="572"/>
      <c r="L85" s="572"/>
      <c r="M85" s="572"/>
      <c r="N85" s="572"/>
      <c r="O85" s="572"/>
      <c r="P85" s="572"/>
      <c r="Q85" s="572"/>
      <c r="R85" s="572"/>
      <c r="S85" s="572"/>
      <c r="T85" s="572"/>
      <c r="U85" s="572"/>
      <c r="V85" s="572"/>
      <c r="W85" s="572"/>
      <c r="X85" s="572"/>
      <c r="Y85" s="572"/>
      <c r="Z85" s="572"/>
    </row>
    <row r="86" spans="1:26" ht="12.75" customHeight="1" x14ac:dyDescent="0.3">
      <c r="A86" s="572"/>
      <c r="B86" s="572"/>
      <c r="C86" s="572"/>
      <c r="D86" s="572"/>
      <c r="E86" s="572"/>
      <c r="F86" s="572"/>
      <c r="G86" s="572"/>
      <c r="H86" s="572"/>
      <c r="I86" s="572"/>
      <c r="J86" s="572"/>
      <c r="K86" s="572"/>
      <c r="L86" s="572"/>
      <c r="M86" s="572"/>
      <c r="N86" s="572"/>
      <c r="O86" s="572"/>
      <c r="P86" s="572"/>
      <c r="Q86" s="572"/>
      <c r="R86" s="572"/>
      <c r="S86" s="572"/>
      <c r="T86" s="572"/>
      <c r="U86" s="572"/>
      <c r="V86" s="572"/>
      <c r="W86" s="572"/>
      <c r="X86" s="572"/>
      <c r="Y86" s="572"/>
      <c r="Z86" s="572"/>
    </row>
    <row r="87" spans="1:26" ht="12.75" customHeight="1" x14ac:dyDescent="0.3">
      <c r="A87" s="572"/>
      <c r="B87" s="572"/>
      <c r="C87" s="572"/>
      <c r="D87" s="572"/>
      <c r="E87" s="572"/>
      <c r="F87" s="572"/>
      <c r="G87" s="572"/>
      <c r="H87" s="572"/>
      <c r="I87" s="572"/>
      <c r="J87" s="572"/>
      <c r="K87" s="572"/>
      <c r="L87" s="572"/>
      <c r="M87" s="572"/>
      <c r="N87" s="572"/>
      <c r="O87" s="572"/>
      <c r="P87" s="572"/>
      <c r="Q87" s="572"/>
      <c r="R87" s="572"/>
      <c r="S87" s="572"/>
      <c r="T87" s="572"/>
      <c r="U87" s="572"/>
      <c r="V87" s="572"/>
      <c r="W87" s="572"/>
      <c r="X87" s="572"/>
      <c r="Y87" s="572"/>
      <c r="Z87" s="572"/>
    </row>
    <row r="88" spans="1:26" ht="12.75" customHeight="1" x14ac:dyDescent="0.3">
      <c r="A88" s="572"/>
      <c r="B88" s="572"/>
      <c r="C88" s="572"/>
      <c r="D88" s="572"/>
      <c r="E88" s="572"/>
      <c r="F88" s="572"/>
      <c r="G88" s="572"/>
      <c r="H88" s="572"/>
      <c r="I88" s="572"/>
      <c r="J88" s="572"/>
      <c r="K88" s="572"/>
      <c r="L88" s="572"/>
      <c r="M88" s="572"/>
      <c r="N88" s="572"/>
      <c r="O88" s="572"/>
      <c r="P88" s="572"/>
      <c r="Q88" s="572"/>
      <c r="R88" s="572"/>
      <c r="S88" s="572"/>
      <c r="T88" s="572"/>
      <c r="U88" s="572"/>
      <c r="V88" s="572"/>
      <c r="W88" s="572"/>
      <c r="X88" s="572"/>
      <c r="Y88" s="572"/>
      <c r="Z88" s="572"/>
    </row>
    <row r="89" spans="1:26" ht="12.75" customHeight="1" x14ac:dyDescent="0.3">
      <c r="A89" s="572"/>
      <c r="B89" s="572"/>
      <c r="C89" s="572"/>
      <c r="D89" s="572"/>
      <c r="E89" s="572"/>
      <c r="F89" s="572"/>
      <c r="G89" s="572"/>
      <c r="H89" s="572"/>
      <c r="I89" s="572"/>
      <c r="J89" s="572"/>
      <c r="K89" s="572"/>
      <c r="L89" s="572"/>
      <c r="M89" s="572"/>
      <c r="N89" s="572"/>
      <c r="O89" s="572"/>
      <c r="P89" s="572"/>
      <c r="Q89" s="572"/>
      <c r="R89" s="572"/>
      <c r="S89" s="572"/>
      <c r="T89" s="572"/>
      <c r="U89" s="572"/>
      <c r="V89" s="572"/>
      <c r="W89" s="572"/>
      <c r="X89" s="572"/>
      <c r="Y89" s="572"/>
      <c r="Z89" s="572"/>
    </row>
    <row r="90" spans="1:26" ht="12.75" customHeight="1" x14ac:dyDescent="0.3">
      <c r="A90" s="572"/>
      <c r="B90" s="572"/>
      <c r="C90" s="572"/>
      <c r="D90" s="572"/>
      <c r="E90" s="572"/>
      <c r="F90" s="572"/>
      <c r="G90" s="572"/>
      <c r="H90" s="572"/>
      <c r="I90" s="572"/>
      <c r="J90" s="572"/>
      <c r="K90" s="572"/>
      <c r="L90" s="572"/>
      <c r="M90" s="572"/>
      <c r="N90" s="572"/>
      <c r="O90" s="572"/>
      <c r="P90" s="572"/>
      <c r="Q90" s="572"/>
      <c r="R90" s="572"/>
      <c r="S90" s="572"/>
      <c r="T90" s="572"/>
      <c r="U90" s="572"/>
      <c r="V90" s="572"/>
      <c r="W90" s="572"/>
      <c r="X90" s="572"/>
      <c r="Y90" s="572"/>
      <c r="Z90" s="572"/>
    </row>
    <row r="91" spans="1:26" ht="12.75" customHeight="1" x14ac:dyDescent="0.3">
      <c r="A91" s="572"/>
      <c r="B91" s="572"/>
      <c r="C91" s="572"/>
      <c r="D91" s="572"/>
      <c r="E91" s="572"/>
      <c r="F91" s="572"/>
      <c r="G91" s="572"/>
      <c r="H91" s="572"/>
      <c r="I91" s="572"/>
      <c r="J91" s="572"/>
      <c r="K91" s="572"/>
      <c r="L91" s="572"/>
      <c r="M91" s="572"/>
      <c r="N91" s="572"/>
      <c r="O91" s="572"/>
      <c r="P91" s="572"/>
      <c r="Q91" s="572"/>
      <c r="R91" s="572"/>
      <c r="S91" s="572"/>
      <c r="T91" s="572"/>
      <c r="U91" s="572"/>
      <c r="V91" s="572"/>
      <c r="W91" s="572"/>
      <c r="X91" s="572"/>
      <c r="Y91" s="572"/>
      <c r="Z91" s="572"/>
    </row>
    <row r="92" spans="1:26" ht="12.75" customHeight="1" x14ac:dyDescent="0.3">
      <c r="A92" s="572"/>
      <c r="B92" s="572"/>
      <c r="C92" s="572"/>
      <c r="D92" s="572"/>
      <c r="E92" s="572"/>
      <c r="F92" s="572"/>
      <c r="G92" s="572"/>
      <c r="H92" s="572"/>
      <c r="I92" s="572"/>
      <c r="J92" s="572"/>
      <c r="K92" s="572"/>
      <c r="L92" s="572"/>
      <c r="M92" s="572"/>
      <c r="N92" s="572"/>
      <c r="O92" s="572"/>
      <c r="P92" s="572"/>
      <c r="Q92" s="572"/>
      <c r="R92" s="572"/>
      <c r="S92" s="572"/>
      <c r="T92" s="572"/>
      <c r="U92" s="572"/>
      <c r="V92" s="572"/>
      <c r="W92" s="572"/>
      <c r="X92" s="572"/>
      <c r="Y92" s="572"/>
      <c r="Z92" s="572"/>
    </row>
    <row r="93" spans="1:26" ht="12.75" customHeight="1" x14ac:dyDescent="0.3">
      <c r="A93" s="572"/>
      <c r="B93" s="572"/>
      <c r="C93" s="572"/>
      <c r="D93" s="572"/>
      <c r="E93" s="572"/>
      <c r="F93" s="572"/>
      <c r="G93" s="572"/>
      <c r="H93" s="572"/>
      <c r="I93" s="572"/>
      <c r="J93" s="572"/>
      <c r="K93" s="572"/>
      <c r="L93" s="572"/>
      <c r="M93" s="572"/>
      <c r="N93" s="572"/>
      <c r="O93" s="572"/>
      <c r="P93" s="572"/>
      <c r="Q93" s="572"/>
      <c r="R93" s="572"/>
      <c r="S93" s="572"/>
      <c r="T93" s="572"/>
      <c r="U93" s="572"/>
      <c r="V93" s="572"/>
      <c r="W93" s="572"/>
      <c r="X93" s="572"/>
      <c r="Y93" s="572"/>
      <c r="Z93" s="572"/>
    </row>
    <row r="94" spans="1:26" ht="12.75" customHeight="1" x14ac:dyDescent="0.3">
      <c r="A94" s="572"/>
      <c r="B94" s="572"/>
      <c r="C94" s="572"/>
      <c r="D94" s="572"/>
      <c r="E94" s="572"/>
      <c r="F94" s="572"/>
      <c r="G94" s="572"/>
      <c r="H94" s="572"/>
      <c r="I94" s="572"/>
      <c r="J94" s="572"/>
      <c r="K94" s="572"/>
      <c r="L94" s="572"/>
      <c r="M94" s="572"/>
      <c r="N94" s="572"/>
      <c r="O94" s="572"/>
      <c r="P94" s="572"/>
      <c r="Q94" s="572"/>
      <c r="R94" s="572"/>
      <c r="S94" s="572"/>
      <c r="T94" s="572"/>
      <c r="U94" s="572"/>
      <c r="V94" s="572"/>
      <c r="W94" s="572"/>
      <c r="X94" s="572"/>
      <c r="Y94" s="572"/>
      <c r="Z94" s="572"/>
    </row>
    <row r="95" spans="1:26" ht="12.75" customHeight="1" x14ac:dyDescent="0.3">
      <c r="A95" s="572"/>
      <c r="B95" s="572"/>
      <c r="C95" s="572"/>
      <c r="D95" s="572"/>
      <c r="E95" s="572"/>
      <c r="F95" s="572"/>
      <c r="G95" s="572"/>
      <c r="H95" s="572"/>
      <c r="I95" s="572"/>
      <c r="J95" s="572"/>
      <c r="K95" s="572"/>
      <c r="L95" s="572"/>
      <c r="M95" s="572"/>
      <c r="N95" s="572"/>
      <c r="O95" s="572"/>
      <c r="P95" s="572"/>
      <c r="Q95" s="572"/>
      <c r="R95" s="572"/>
      <c r="S95" s="572"/>
      <c r="T95" s="572"/>
      <c r="U95" s="572"/>
      <c r="V95" s="572"/>
      <c r="W95" s="572"/>
      <c r="X95" s="572"/>
      <c r="Y95" s="572"/>
      <c r="Z95" s="572"/>
    </row>
    <row r="96" spans="1:26" ht="12.75" customHeight="1" x14ac:dyDescent="0.3">
      <c r="A96" s="572"/>
      <c r="B96" s="572"/>
      <c r="C96" s="572"/>
      <c r="D96" s="572"/>
      <c r="E96" s="572"/>
      <c r="F96" s="572"/>
      <c r="G96" s="572"/>
      <c r="H96" s="572"/>
      <c r="I96" s="572"/>
      <c r="J96" s="572"/>
      <c r="K96" s="572"/>
      <c r="L96" s="572"/>
      <c r="M96" s="572"/>
      <c r="N96" s="572"/>
      <c r="O96" s="572"/>
      <c r="P96" s="572"/>
      <c r="Q96" s="572"/>
      <c r="R96" s="572"/>
      <c r="S96" s="572"/>
      <c r="T96" s="572"/>
      <c r="U96" s="572"/>
      <c r="V96" s="572"/>
      <c r="W96" s="572"/>
      <c r="X96" s="572"/>
      <c r="Y96" s="572"/>
      <c r="Z96" s="572"/>
    </row>
    <row r="97" spans="1:26" ht="12.75" customHeight="1" x14ac:dyDescent="0.3">
      <c r="A97" s="572"/>
      <c r="B97" s="572"/>
      <c r="C97" s="572"/>
      <c r="D97" s="572"/>
      <c r="E97" s="572"/>
      <c r="F97" s="572"/>
      <c r="G97" s="572"/>
      <c r="H97" s="572"/>
      <c r="I97" s="572"/>
      <c r="J97" s="572"/>
      <c r="K97" s="572"/>
      <c r="L97" s="572"/>
      <c r="M97" s="572"/>
      <c r="N97" s="572"/>
      <c r="O97" s="572"/>
      <c r="P97" s="572"/>
      <c r="Q97" s="572"/>
      <c r="R97" s="572"/>
      <c r="S97" s="572"/>
      <c r="T97" s="572"/>
      <c r="U97" s="572"/>
      <c r="V97" s="572"/>
      <c r="W97" s="572"/>
      <c r="X97" s="572"/>
      <c r="Y97" s="572"/>
      <c r="Z97" s="572"/>
    </row>
    <row r="98" spans="1:26" ht="12.75" customHeight="1" x14ac:dyDescent="0.3">
      <c r="A98" s="572"/>
      <c r="B98" s="572"/>
      <c r="C98" s="572"/>
      <c r="D98" s="572"/>
      <c r="E98" s="572"/>
      <c r="F98" s="572"/>
      <c r="G98" s="572"/>
      <c r="H98" s="572"/>
      <c r="I98" s="572"/>
      <c r="J98" s="572"/>
      <c r="K98" s="572"/>
      <c r="L98" s="572"/>
      <c r="M98" s="572"/>
      <c r="N98" s="572"/>
      <c r="O98" s="572"/>
      <c r="P98" s="572"/>
      <c r="Q98" s="572"/>
      <c r="R98" s="572"/>
      <c r="S98" s="572"/>
      <c r="T98" s="572"/>
      <c r="U98" s="572"/>
      <c r="V98" s="572"/>
      <c r="W98" s="572"/>
      <c r="X98" s="572"/>
      <c r="Y98" s="572"/>
      <c r="Z98" s="572"/>
    </row>
    <row r="99" spans="1:26" ht="12.75" customHeight="1" x14ac:dyDescent="0.3">
      <c r="A99" s="572"/>
      <c r="B99" s="572"/>
      <c r="C99" s="572"/>
      <c r="D99" s="572"/>
      <c r="E99" s="572"/>
      <c r="F99" s="572"/>
      <c r="G99" s="572"/>
      <c r="H99" s="572"/>
      <c r="I99" s="572"/>
      <c r="J99" s="572"/>
      <c r="K99" s="572"/>
      <c r="L99" s="572"/>
      <c r="M99" s="572"/>
      <c r="N99" s="572"/>
      <c r="O99" s="572"/>
      <c r="P99" s="572"/>
      <c r="Q99" s="572"/>
      <c r="R99" s="572"/>
      <c r="S99" s="572"/>
      <c r="T99" s="572"/>
      <c r="U99" s="572"/>
      <c r="V99" s="572"/>
      <c r="W99" s="572"/>
      <c r="X99" s="572"/>
      <c r="Y99" s="572"/>
      <c r="Z99" s="572"/>
    </row>
    <row r="100" spans="1:26" ht="12.75" customHeight="1" x14ac:dyDescent="0.3">
      <c r="A100" s="572"/>
      <c r="B100" s="572"/>
      <c r="C100" s="572"/>
      <c r="D100" s="572"/>
      <c r="E100" s="572"/>
      <c r="F100" s="572"/>
      <c r="G100" s="572"/>
      <c r="H100" s="572"/>
      <c r="I100" s="572"/>
      <c r="J100" s="572"/>
      <c r="K100" s="572"/>
      <c r="L100" s="572"/>
      <c r="M100" s="572"/>
      <c r="N100" s="572"/>
      <c r="O100" s="572"/>
      <c r="P100" s="572"/>
      <c r="Q100" s="572"/>
      <c r="R100" s="572"/>
      <c r="S100" s="572"/>
      <c r="T100" s="572"/>
      <c r="U100" s="572"/>
      <c r="V100" s="572"/>
      <c r="W100" s="572"/>
      <c r="X100" s="572"/>
      <c r="Y100" s="572"/>
      <c r="Z100" s="572"/>
    </row>
    <row r="101" spans="1:26" ht="12.75" customHeight="1" x14ac:dyDescent="0.3">
      <c r="A101" s="572"/>
      <c r="B101" s="572"/>
      <c r="C101" s="572"/>
      <c r="D101" s="572"/>
      <c r="E101" s="572"/>
      <c r="F101" s="572"/>
      <c r="G101" s="572"/>
      <c r="H101" s="572"/>
      <c r="I101" s="572"/>
      <c r="J101" s="572"/>
      <c r="K101" s="572"/>
      <c r="L101" s="572"/>
      <c r="M101" s="572"/>
      <c r="N101" s="572"/>
      <c r="O101" s="572"/>
      <c r="P101" s="572"/>
      <c r="Q101" s="572"/>
      <c r="R101" s="572"/>
      <c r="S101" s="572"/>
      <c r="T101" s="572"/>
      <c r="U101" s="572"/>
      <c r="V101" s="572"/>
      <c r="W101" s="572"/>
      <c r="X101" s="572"/>
      <c r="Y101" s="572"/>
      <c r="Z101" s="572"/>
    </row>
    <row r="102" spans="1:26" ht="12.75" customHeight="1" x14ac:dyDescent="0.3">
      <c r="A102" s="572"/>
      <c r="B102" s="572"/>
      <c r="C102" s="572"/>
      <c r="D102" s="572"/>
      <c r="E102" s="572"/>
      <c r="F102" s="572"/>
      <c r="G102" s="572"/>
      <c r="H102" s="572"/>
      <c r="I102" s="572"/>
      <c r="J102" s="572"/>
      <c r="K102" s="572"/>
      <c r="L102" s="572"/>
      <c r="M102" s="572"/>
      <c r="N102" s="572"/>
      <c r="O102" s="572"/>
      <c r="P102" s="572"/>
      <c r="Q102" s="572"/>
      <c r="R102" s="572"/>
      <c r="S102" s="572"/>
      <c r="T102" s="572"/>
      <c r="U102" s="572"/>
      <c r="V102" s="572"/>
      <c r="W102" s="572"/>
      <c r="X102" s="572"/>
      <c r="Y102" s="572"/>
      <c r="Z102" s="572"/>
    </row>
    <row r="103" spans="1:26" ht="12.75" customHeight="1" x14ac:dyDescent="0.3">
      <c r="A103" s="572"/>
      <c r="B103" s="572"/>
      <c r="C103" s="572"/>
      <c r="D103" s="572"/>
      <c r="E103" s="572"/>
      <c r="F103" s="572"/>
      <c r="G103" s="572"/>
      <c r="H103" s="572"/>
      <c r="I103" s="572"/>
      <c r="J103" s="572"/>
      <c r="K103" s="572"/>
      <c r="L103" s="572"/>
      <c r="M103" s="572"/>
      <c r="N103" s="572"/>
      <c r="O103" s="572"/>
      <c r="P103" s="572"/>
      <c r="Q103" s="572"/>
      <c r="R103" s="572"/>
      <c r="S103" s="572"/>
      <c r="T103" s="572"/>
      <c r="U103" s="572"/>
      <c r="V103" s="572"/>
      <c r="W103" s="572"/>
      <c r="X103" s="572"/>
      <c r="Y103" s="572"/>
      <c r="Z103" s="572"/>
    </row>
    <row r="104" spans="1:26" ht="12.75" customHeight="1" x14ac:dyDescent="0.3">
      <c r="A104" s="572"/>
      <c r="B104" s="572"/>
      <c r="C104" s="572"/>
      <c r="D104" s="572"/>
      <c r="E104" s="572"/>
      <c r="F104" s="572"/>
      <c r="G104" s="572"/>
      <c r="H104" s="572"/>
      <c r="I104" s="572"/>
      <c r="J104" s="572"/>
      <c r="K104" s="572"/>
      <c r="L104" s="572"/>
      <c r="M104" s="572"/>
      <c r="N104" s="572"/>
      <c r="O104" s="572"/>
      <c r="P104" s="572"/>
      <c r="Q104" s="572"/>
      <c r="R104" s="572"/>
      <c r="S104" s="572"/>
      <c r="T104" s="572"/>
      <c r="U104" s="572"/>
      <c r="V104" s="572"/>
      <c r="W104" s="572"/>
      <c r="X104" s="572"/>
      <c r="Y104" s="572"/>
      <c r="Z104" s="572"/>
    </row>
    <row r="105" spans="1:26" ht="12.75" customHeight="1" x14ac:dyDescent="0.3">
      <c r="A105" s="572"/>
      <c r="B105" s="572"/>
      <c r="C105" s="572"/>
      <c r="D105" s="572"/>
      <c r="E105" s="572"/>
      <c r="F105" s="572"/>
      <c r="G105" s="572"/>
      <c r="H105" s="572"/>
      <c r="I105" s="572"/>
      <c r="J105" s="572"/>
      <c r="K105" s="572"/>
      <c r="L105" s="572"/>
      <c r="M105" s="572"/>
      <c r="N105" s="572"/>
      <c r="O105" s="572"/>
      <c r="P105" s="572"/>
      <c r="Q105" s="572"/>
      <c r="R105" s="572"/>
      <c r="S105" s="572"/>
      <c r="T105" s="572"/>
      <c r="U105" s="572"/>
      <c r="V105" s="572"/>
      <c r="W105" s="572"/>
      <c r="X105" s="572"/>
      <c r="Y105" s="572"/>
      <c r="Z105" s="572"/>
    </row>
    <row r="106" spans="1:26" ht="12.75" customHeight="1" x14ac:dyDescent="0.3">
      <c r="A106" s="572"/>
      <c r="B106" s="572"/>
      <c r="C106" s="572"/>
      <c r="D106" s="572"/>
      <c r="E106" s="572"/>
      <c r="F106" s="572"/>
      <c r="G106" s="572"/>
      <c r="H106" s="572"/>
      <c r="I106" s="572"/>
      <c r="J106" s="572"/>
      <c r="K106" s="572"/>
      <c r="L106" s="572"/>
      <c r="M106" s="572"/>
      <c r="N106" s="572"/>
      <c r="O106" s="572"/>
      <c r="P106" s="572"/>
      <c r="Q106" s="572"/>
      <c r="R106" s="572"/>
      <c r="S106" s="572"/>
      <c r="T106" s="572"/>
      <c r="U106" s="572"/>
      <c r="V106" s="572"/>
      <c r="W106" s="572"/>
      <c r="X106" s="572"/>
      <c r="Y106" s="572"/>
      <c r="Z106" s="572"/>
    </row>
    <row r="107" spans="1:26" ht="12.75" customHeight="1" x14ac:dyDescent="0.3">
      <c r="A107" s="572"/>
      <c r="B107" s="572"/>
      <c r="C107" s="572"/>
      <c r="D107" s="572"/>
      <c r="E107" s="572"/>
      <c r="F107" s="572"/>
      <c r="G107" s="572"/>
      <c r="H107" s="572"/>
      <c r="I107" s="572"/>
      <c r="J107" s="572"/>
      <c r="K107" s="572"/>
      <c r="L107" s="572"/>
      <c r="M107" s="572"/>
      <c r="N107" s="572"/>
      <c r="O107" s="572"/>
      <c r="P107" s="572"/>
      <c r="Q107" s="572"/>
      <c r="R107" s="572"/>
      <c r="S107" s="572"/>
      <c r="T107" s="572"/>
      <c r="U107" s="572"/>
      <c r="V107" s="572"/>
      <c r="W107" s="572"/>
      <c r="X107" s="572"/>
      <c r="Y107" s="572"/>
      <c r="Z107" s="572"/>
    </row>
    <row r="108" spans="1:26" ht="12.75" customHeight="1" x14ac:dyDescent="0.3">
      <c r="A108" s="572"/>
      <c r="B108" s="572"/>
      <c r="C108" s="572"/>
      <c r="D108" s="572"/>
      <c r="E108" s="572"/>
      <c r="F108" s="572"/>
      <c r="G108" s="572"/>
      <c r="H108" s="572"/>
      <c r="I108" s="572"/>
      <c r="J108" s="572"/>
      <c r="K108" s="572"/>
      <c r="L108" s="572"/>
      <c r="M108" s="572"/>
      <c r="N108" s="572"/>
      <c r="O108" s="572"/>
      <c r="P108" s="572"/>
      <c r="Q108" s="572"/>
      <c r="R108" s="572"/>
      <c r="S108" s="572"/>
      <c r="T108" s="572"/>
      <c r="U108" s="572"/>
      <c r="V108" s="572"/>
      <c r="W108" s="572"/>
      <c r="X108" s="572"/>
      <c r="Y108" s="572"/>
      <c r="Z108" s="572"/>
    </row>
    <row r="109" spans="1:26" ht="12.75" customHeight="1" x14ac:dyDescent="0.3">
      <c r="A109" s="572"/>
      <c r="B109" s="572"/>
      <c r="C109" s="572"/>
      <c r="D109" s="572"/>
      <c r="E109" s="572"/>
      <c r="F109" s="572"/>
      <c r="G109" s="572"/>
      <c r="H109" s="572"/>
      <c r="I109" s="572"/>
      <c r="J109" s="572"/>
      <c r="K109" s="572"/>
      <c r="L109" s="572"/>
      <c r="M109" s="572"/>
      <c r="N109" s="572"/>
      <c r="O109" s="572"/>
      <c r="P109" s="572"/>
      <c r="Q109" s="572"/>
      <c r="R109" s="572"/>
      <c r="S109" s="572"/>
      <c r="T109" s="572"/>
      <c r="U109" s="572"/>
      <c r="V109" s="572"/>
      <c r="W109" s="572"/>
      <c r="X109" s="572"/>
      <c r="Y109" s="572"/>
      <c r="Z109" s="572"/>
    </row>
    <row r="110" spans="1:26" ht="12.75" customHeight="1" x14ac:dyDescent="0.3">
      <c r="A110" s="572"/>
      <c r="B110" s="572"/>
      <c r="C110" s="572"/>
      <c r="D110" s="572"/>
      <c r="E110" s="572"/>
      <c r="F110" s="572"/>
      <c r="G110" s="572"/>
      <c r="H110" s="572"/>
      <c r="I110" s="572"/>
      <c r="J110" s="572"/>
      <c r="K110" s="572"/>
      <c r="L110" s="572"/>
      <c r="M110" s="572"/>
      <c r="N110" s="572"/>
      <c r="O110" s="572"/>
      <c r="P110" s="572"/>
      <c r="Q110" s="572"/>
      <c r="R110" s="572"/>
      <c r="S110" s="572"/>
      <c r="T110" s="572"/>
      <c r="U110" s="572"/>
      <c r="V110" s="572"/>
      <c r="W110" s="572"/>
      <c r="X110" s="572"/>
      <c r="Y110" s="572"/>
      <c r="Z110" s="572"/>
    </row>
    <row r="111" spans="1:26" ht="12.75" customHeight="1" x14ac:dyDescent="0.3">
      <c r="A111" s="572"/>
      <c r="B111" s="572"/>
      <c r="C111" s="572"/>
      <c r="D111" s="572"/>
      <c r="E111" s="572"/>
      <c r="F111" s="572"/>
      <c r="G111" s="572"/>
      <c r="H111" s="572"/>
      <c r="I111" s="572"/>
      <c r="J111" s="572"/>
      <c r="K111" s="572"/>
      <c r="L111" s="572"/>
      <c r="M111" s="572"/>
      <c r="N111" s="572"/>
      <c r="O111" s="572"/>
      <c r="P111" s="572"/>
      <c r="Q111" s="572"/>
      <c r="R111" s="572"/>
      <c r="S111" s="572"/>
      <c r="T111" s="572"/>
      <c r="U111" s="572"/>
      <c r="V111" s="572"/>
      <c r="W111" s="572"/>
      <c r="X111" s="572"/>
      <c r="Y111" s="572"/>
      <c r="Z111" s="572"/>
    </row>
    <row r="112" spans="1:26" ht="12.75" customHeight="1" x14ac:dyDescent="0.3">
      <c r="A112" s="572"/>
      <c r="B112" s="572"/>
      <c r="C112" s="572"/>
      <c r="D112" s="572"/>
      <c r="E112" s="572"/>
      <c r="F112" s="572"/>
      <c r="G112" s="572"/>
      <c r="H112" s="572"/>
      <c r="I112" s="572"/>
      <c r="J112" s="572"/>
      <c r="K112" s="572"/>
      <c r="L112" s="572"/>
      <c r="M112" s="572"/>
      <c r="N112" s="572"/>
      <c r="O112" s="572"/>
      <c r="P112" s="572"/>
      <c r="Q112" s="572"/>
      <c r="R112" s="572"/>
      <c r="S112" s="572"/>
      <c r="T112" s="572"/>
      <c r="U112" s="572"/>
      <c r="V112" s="572"/>
      <c r="W112" s="572"/>
      <c r="X112" s="572"/>
      <c r="Y112" s="572"/>
      <c r="Z112" s="572"/>
    </row>
    <row r="113" spans="1:26" ht="12.75" customHeight="1" x14ac:dyDescent="0.3">
      <c r="A113" s="572"/>
      <c r="B113" s="572"/>
      <c r="C113" s="572"/>
      <c r="D113" s="572"/>
      <c r="E113" s="572"/>
      <c r="F113" s="572"/>
      <c r="G113" s="572"/>
      <c r="H113" s="572"/>
      <c r="I113" s="572"/>
      <c r="J113" s="572"/>
      <c r="K113" s="572"/>
      <c r="L113" s="572"/>
      <c r="M113" s="572"/>
      <c r="N113" s="572"/>
      <c r="O113" s="572"/>
      <c r="P113" s="572"/>
      <c r="Q113" s="572"/>
      <c r="R113" s="572"/>
      <c r="S113" s="572"/>
      <c r="T113" s="572"/>
      <c r="U113" s="572"/>
      <c r="V113" s="572"/>
      <c r="W113" s="572"/>
      <c r="X113" s="572"/>
      <c r="Y113" s="572"/>
      <c r="Z113" s="572"/>
    </row>
    <row r="114" spans="1:26" ht="12.75" customHeight="1" x14ac:dyDescent="0.3">
      <c r="A114" s="572"/>
      <c r="B114" s="572"/>
      <c r="C114" s="572"/>
      <c r="D114" s="572"/>
      <c r="E114" s="572"/>
      <c r="F114" s="572"/>
      <c r="G114" s="572"/>
      <c r="H114" s="572"/>
      <c r="I114" s="572"/>
      <c r="J114" s="572"/>
      <c r="K114" s="572"/>
      <c r="L114" s="572"/>
      <c r="M114" s="572"/>
      <c r="N114" s="572"/>
      <c r="O114" s="572"/>
      <c r="P114" s="572"/>
      <c r="Q114" s="572"/>
      <c r="R114" s="572"/>
      <c r="S114" s="572"/>
      <c r="T114" s="572"/>
      <c r="U114" s="572"/>
      <c r="V114" s="572"/>
      <c r="W114" s="572"/>
      <c r="X114" s="572"/>
      <c r="Y114" s="572"/>
      <c r="Z114" s="572"/>
    </row>
    <row r="115" spans="1:26" ht="12.75" customHeight="1" x14ac:dyDescent="0.3">
      <c r="A115" s="572"/>
      <c r="B115" s="572"/>
      <c r="C115" s="572"/>
      <c r="D115" s="572"/>
      <c r="E115" s="572"/>
      <c r="F115" s="572"/>
      <c r="G115" s="572"/>
      <c r="H115" s="572"/>
      <c r="I115" s="572"/>
      <c r="J115" s="572"/>
      <c r="K115" s="572"/>
      <c r="L115" s="572"/>
      <c r="M115" s="572"/>
      <c r="N115" s="572"/>
      <c r="O115" s="572"/>
      <c r="P115" s="572"/>
      <c r="Q115" s="572"/>
      <c r="R115" s="572"/>
      <c r="S115" s="572"/>
      <c r="T115" s="572"/>
      <c r="U115" s="572"/>
      <c r="V115" s="572"/>
      <c r="W115" s="572"/>
      <c r="X115" s="572"/>
      <c r="Y115" s="572"/>
      <c r="Z115" s="572"/>
    </row>
    <row r="116" spans="1:26" ht="12.75" customHeight="1" x14ac:dyDescent="0.3">
      <c r="A116" s="572"/>
      <c r="B116" s="572"/>
      <c r="C116" s="572"/>
      <c r="D116" s="572"/>
      <c r="E116" s="572"/>
      <c r="F116" s="572"/>
      <c r="G116" s="572"/>
      <c r="H116" s="572"/>
      <c r="I116" s="572"/>
      <c r="J116" s="572"/>
      <c r="K116" s="572"/>
      <c r="L116" s="572"/>
      <c r="M116" s="572"/>
      <c r="N116" s="572"/>
      <c r="O116" s="572"/>
      <c r="P116" s="572"/>
      <c r="Q116" s="572"/>
      <c r="R116" s="572"/>
      <c r="S116" s="572"/>
      <c r="T116" s="572"/>
      <c r="U116" s="572"/>
      <c r="V116" s="572"/>
      <c r="W116" s="572"/>
      <c r="X116" s="572"/>
      <c r="Y116" s="572"/>
      <c r="Z116" s="572"/>
    </row>
    <row r="117" spans="1:26" ht="12.75" customHeight="1" x14ac:dyDescent="0.3">
      <c r="A117" s="572"/>
      <c r="B117" s="572"/>
      <c r="C117" s="572"/>
      <c r="D117" s="572"/>
      <c r="E117" s="572"/>
      <c r="F117" s="572"/>
      <c r="G117" s="572"/>
      <c r="H117" s="572"/>
      <c r="I117" s="572"/>
      <c r="J117" s="572"/>
      <c r="K117" s="572"/>
      <c r="L117" s="572"/>
      <c r="M117" s="572"/>
      <c r="N117" s="572"/>
      <c r="O117" s="572"/>
      <c r="P117" s="572"/>
      <c r="Q117" s="572"/>
      <c r="R117" s="572"/>
      <c r="S117" s="572"/>
      <c r="T117" s="572"/>
      <c r="U117" s="572"/>
      <c r="V117" s="572"/>
      <c r="W117" s="572"/>
      <c r="X117" s="572"/>
      <c r="Y117" s="572"/>
      <c r="Z117" s="572"/>
    </row>
    <row r="118" spans="1:26" ht="12.75" customHeight="1" x14ac:dyDescent="0.3">
      <c r="A118" s="572"/>
      <c r="B118" s="572"/>
      <c r="C118" s="572"/>
      <c r="D118" s="572"/>
      <c r="E118" s="572"/>
      <c r="F118" s="572"/>
      <c r="G118" s="572"/>
      <c r="H118" s="572"/>
      <c r="I118" s="572"/>
      <c r="J118" s="572"/>
      <c r="K118" s="572"/>
      <c r="L118" s="572"/>
      <c r="M118" s="572"/>
      <c r="N118" s="572"/>
      <c r="O118" s="572"/>
      <c r="P118" s="572"/>
      <c r="Q118" s="572"/>
      <c r="R118" s="572"/>
      <c r="S118" s="572"/>
      <c r="T118" s="572"/>
      <c r="U118" s="572"/>
      <c r="V118" s="572"/>
      <c r="W118" s="572"/>
      <c r="X118" s="572"/>
      <c r="Y118" s="572"/>
      <c r="Z118" s="572"/>
    </row>
    <row r="119" spans="1:26" ht="12.75" customHeight="1" x14ac:dyDescent="0.3">
      <c r="A119" s="572"/>
      <c r="B119" s="572"/>
      <c r="C119" s="572"/>
      <c r="D119" s="572"/>
      <c r="E119" s="572"/>
      <c r="F119" s="572"/>
      <c r="G119" s="572"/>
      <c r="H119" s="572"/>
      <c r="I119" s="572"/>
      <c r="J119" s="572"/>
      <c r="K119" s="572"/>
      <c r="L119" s="572"/>
      <c r="M119" s="572"/>
      <c r="N119" s="572"/>
      <c r="O119" s="572"/>
      <c r="P119" s="572"/>
      <c r="Q119" s="572"/>
      <c r="R119" s="572"/>
      <c r="S119" s="572"/>
      <c r="T119" s="572"/>
      <c r="U119" s="572"/>
      <c r="V119" s="572"/>
      <c r="W119" s="572"/>
      <c r="X119" s="572"/>
      <c r="Y119" s="572"/>
      <c r="Z119" s="572"/>
    </row>
    <row r="120" spans="1:26" ht="12.75" customHeight="1" x14ac:dyDescent="0.3">
      <c r="A120" s="572"/>
      <c r="B120" s="572"/>
      <c r="C120" s="572"/>
      <c r="D120" s="572"/>
      <c r="E120" s="572"/>
      <c r="F120" s="572"/>
      <c r="G120" s="572"/>
      <c r="H120" s="572"/>
      <c r="I120" s="572"/>
      <c r="J120" s="572"/>
      <c r="K120" s="572"/>
      <c r="L120" s="572"/>
      <c r="M120" s="572"/>
      <c r="N120" s="572"/>
      <c r="O120" s="572"/>
      <c r="P120" s="572"/>
      <c r="Q120" s="572"/>
      <c r="R120" s="572"/>
      <c r="S120" s="572"/>
      <c r="T120" s="572"/>
      <c r="U120" s="572"/>
      <c r="V120" s="572"/>
      <c r="W120" s="572"/>
      <c r="X120" s="572"/>
      <c r="Y120" s="572"/>
      <c r="Z120" s="572"/>
    </row>
    <row r="121" spans="1:26" ht="12.75" customHeight="1" x14ac:dyDescent="0.3">
      <c r="A121" s="572"/>
      <c r="B121" s="572"/>
      <c r="C121" s="572"/>
      <c r="D121" s="572"/>
      <c r="E121" s="572"/>
      <c r="F121" s="572"/>
      <c r="G121" s="572"/>
      <c r="H121" s="572"/>
      <c r="I121" s="572"/>
      <c r="J121" s="572"/>
      <c r="K121" s="572"/>
      <c r="L121" s="572"/>
      <c r="M121" s="572"/>
      <c r="N121" s="572"/>
      <c r="O121" s="572"/>
      <c r="P121" s="572"/>
      <c r="Q121" s="572"/>
      <c r="R121" s="572"/>
      <c r="S121" s="572"/>
      <c r="T121" s="572"/>
      <c r="U121" s="572"/>
      <c r="V121" s="572"/>
      <c r="W121" s="572"/>
      <c r="X121" s="572"/>
      <c r="Y121" s="572"/>
      <c r="Z121" s="572"/>
    </row>
    <row r="122" spans="1:26" ht="12.75" customHeight="1" x14ac:dyDescent="0.3">
      <c r="A122" s="572"/>
      <c r="B122" s="572"/>
      <c r="C122" s="572"/>
      <c r="D122" s="572"/>
      <c r="E122" s="572"/>
      <c r="F122" s="572"/>
      <c r="G122" s="572"/>
      <c r="H122" s="572"/>
      <c r="I122" s="572"/>
      <c r="J122" s="572"/>
      <c r="K122" s="572"/>
      <c r="L122" s="572"/>
      <c r="M122" s="572"/>
      <c r="N122" s="572"/>
      <c r="O122" s="572"/>
      <c r="P122" s="572"/>
      <c r="Q122" s="572"/>
      <c r="R122" s="572"/>
      <c r="S122" s="572"/>
      <c r="T122" s="572"/>
      <c r="U122" s="572"/>
      <c r="V122" s="572"/>
      <c r="W122" s="572"/>
      <c r="X122" s="572"/>
      <c r="Y122" s="572"/>
      <c r="Z122" s="572"/>
    </row>
    <row r="123" spans="1:26" ht="12.75" customHeight="1" x14ac:dyDescent="0.3">
      <c r="A123" s="572"/>
      <c r="B123" s="572"/>
      <c r="C123" s="572"/>
      <c r="D123" s="572"/>
      <c r="E123" s="572"/>
      <c r="F123" s="572"/>
      <c r="G123" s="572"/>
      <c r="H123" s="572"/>
      <c r="I123" s="572"/>
      <c r="J123" s="572"/>
      <c r="K123" s="572"/>
      <c r="L123" s="572"/>
      <c r="M123" s="572"/>
      <c r="N123" s="572"/>
      <c r="O123" s="572"/>
      <c r="P123" s="572"/>
      <c r="Q123" s="572"/>
      <c r="R123" s="572"/>
      <c r="S123" s="572"/>
      <c r="T123" s="572"/>
      <c r="U123" s="572"/>
      <c r="V123" s="572"/>
      <c r="W123" s="572"/>
      <c r="X123" s="572"/>
      <c r="Y123" s="572"/>
      <c r="Z123" s="572"/>
    </row>
    <row r="124" spans="1:26" ht="12.75" customHeight="1" x14ac:dyDescent="0.3">
      <c r="A124" s="572"/>
      <c r="B124" s="572"/>
      <c r="C124" s="572"/>
      <c r="D124" s="572"/>
      <c r="E124" s="572"/>
      <c r="F124" s="572"/>
      <c r="G124" s="572"/>
      <c r="H124" s="572"/>
      <c r="I124" s="572"/>
      <c r="J124" s="572"/>
      <c r="K124" s="572"/>
      <c r="L124" s="572"/>
      <c r="M124" s="572"/>
      <c r="N124" s="572"/>
      <c r="O124" s="572"/>
      <c r="P124" s="572"/>
      <c r="Q124" s="572"/>
      <c r="R124" s="572"/>
      <c r="S124" s="572"/>
      <c r="T124" s="572"/>
      <c r="U124" s="572"/>
      <c r="V124" s="572"/>
      <c r="W124" s="572"/>
      <c r="X124" s="572"/>
      <c r="Y124" s="572"/>
      <c r="Z124" s="572"/>
    </row>
    <row r="125" spans="1:26" ht="12.75" customHeight="1" x14ac:dyDescent="0.3">
      <c r="A125" s="572"/>
      <c r="B125" s="572"/>
      <c r="C125" s="572"/>
      <c r="D125" s="572"/>
      <c r="E125" s="572"/>
      <c r="F125" s="572"/>
      <c r="G125" s="572"/>
      <c r="H125" s="572"/>
      <c r="I125" s="572"/>
      <c r="J125" s="572"/>
      <c r="K125" s="572"/>
      <c r="L125" s="572"/>
      <c r="M125" s="572"/>
      <c r="N125" s="572"/>
      <c r="O125" s="572"/>
      <c r="P125" s="572"/>
      <c r="Q125" s="572"/>
      <c r="R125" s="572"/>
      <c r="S125" s="572"/>
      <c r="T125" s="572"/>
      <c r="U125" s="572"/>
      <c r="V125" s="572"/>
      <c r="W125" s="572"/>
      <c r="X125" s="572"/>
      <c r="Y125" s="572"/>
      <c r="Z125" s="572"/>
    </row>
    <row r="126" spans="1:26" ht="12.75" customHeight="1" x14ac:dyDescent="0.3">
      <c r="A126" s="572"/>
      <c r="B126" s="572"/>
      <c r="C126" s="572"/>
      <c r="D126" s="572"/>
      <c r="E126" s="572"/>
      <c r="F126" s="572"/>
      <c r="G126" s="572"/>
      <c r="H126" s="572"/>
      <c r="I126" s="572"/>
      <c r="J126" s="572"/>
      <c r="K126" s="572"/>
      <c r="L126" s="572"/>
      <c r="M126" s="572"/>
      <c r="N126" s="572"/>
      <c r="O126" s="572"/>
      <c r="P126" s="572"/>
      <c r="Q126" s="572"/>
      <c r="R126" s="572"/>
      <c r="S126" s="572"/>
      <c r="T126" s="572"/>
      <c r="U126" s="572"/>
      <c r="V126" s="572"/>
      <c r="W126" s="572"/>
      <c r="X126" s="572"/>
      <c r="Y126" s="572"/>
      <c r="Z126" s="572"/>
    </row>
    <row r="127" spans="1:26" ht="12.75" customHeight="1" x14ac:dyDescent="0.3">
      <c r="A127" s="572"/>
      <c r="B127" s="572"/>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2"/>
    </row>
    <row r="128" spans="1:26" ht="12.75" customHeight="1" x14ac:dyDescent="0.3">
      <c r="A128" s="572"/>
      <c r="B128" s="572"/>
      <c r="C128" s="572"/>
      <c r="D128" s="572"/>
      <c r="E128" s="572"/>
      <c r="F128" s="572"/>
      <c r="G128" s="572"/>
      <c r="H128" s="572"/>
      <c r="I128" s="572"/>
      <c r="J128" s="572"/>
      <c r="K128" s="572"/>
      <c r="L128" s="572"/>
      <c r="M128" s="572"/>
      <c r="N128" s="572"/>
      <c r="O128" s="572"/>
      <c r="P128" s="572"/>
      <c r="Q128" s="572"/>
      <c r="R128" s="572"/>
      <c r="S128" s="572"/>
      <c r="T128" s="572"/>
      <c r="U128" s="572"/>
      <c r="V128" s="572"/>
      <c r="W128" s="572"/>
      <c r="X128" s="572"/>
      <c r="Y128" s="572"/>
      <c r="Z128" s="572"/>
    </row>
    <row r="129" spans="1:26" ht="12.75" customHeight="1" x14ac:dyDescent="0.3">
      <c r="A129" s="572"/>
      <c r="B129" s="572"/>
      <c r="C129" s="572"/>
      <c r="D129" s="572"/>
      <c r="E129" s="572"/>
      <c r="F129" s="572"/>
      <c r="G129" s="572"/>
      <c r="H129" s="572"/>
      <c r="I129" s="572"/>
      <c r="J129" s="572"/>
      <c r="K129" s="572"/>
      <c r="L129" s="572"/>
      <c r="M129" s="572"/>
      <c r="N129" s="572"/>
      <c r="O129" s="572"/>
      <c r="P129" s="572"/>
      <c r="Q129" s="572"/>
      <c r="R129" s="572"/>
      <c r="S129" s="572"/>
      <c r="T129" s="572"/>
      <c r="U129" s="572"/>
      <c r="V129" s="572"/>
      <c r="W129" s="572"/>
      <c r="X129" s="572"/>
      <c r="Y129" s="572"/>
      <c r="Z129" s="572"/>
    </row>
    <row r="130" spans="1:26" ht="12.75" customHeight="1" x14ac:dyDescent="0.3">
      <c r="A130" s="572"/>
      <c r="B130" s="572"/>
      <c r="C130" s="572"/>
      <c r="D130" s="572"/>
      <c r="E130" s="572"/>
      <c r="F130" s="572"/>
      <c r="G130" s="572"/>
      <c r="H130" s="572"/>
      <c r="I130" s="572"/>
      <c r="J130" s="572"/>
      <c r="K130" s="572"/>
      <c r="L130" s="572"/>
      <c r="M130" s="572"/>
      <c r="N130" s="572"/>
      <c r="O130" s="572"/>
      <c r="P130" s="572"/>
      <c r="Q130" s="572"/>
      <c r="R130" s="572"/>
      <c r="S130" s="572"/>
      <c r="T130" s="572"/>
      <c r="U130" s="572"/>
      <c r="V130" s="572"/>
      <c r="W130" s="572"/>
      <c r="X130" s="572"/>
      <c r="Y130" s="572"/>
      <c r="Z130" s="572"/>
    </row>
    <row r="131" spans="1:26" ht="12.75" customHeight="1" x14ac:dyDescent="0.3">
      <c r="A131" s="572"/>
      <c r="B131" s="572"/>
      <c r="C131" s="572"/>
      <c r="D131" s="572"/>
      <c r="E131" s="572"/>
      <c r="F131" s="572"/>
      <c r="G131" s="572"/>
      <c r="H131" s="572"/>
      <c r="I131" s="572"/>
      <c r="J131" s="572"/>
      <c r="K131" s="572"/>
      <c r="L131" s="572"/>
      <c r="M131" s="572"/>
      <c r="N131" s="572"/>
      <c r="O131" s="572"/>
      <c r="P131" s="572"/>
      <c r="Q131" s="572"/>
      <c r="R131" s="572"/>
      <c r="S131" s="572"/>
      <c r="T131" s="572"/>
      <c r="U131" s="572"/>
      <c r="V131" s="572"/>
      <c r="W131" s="572"/>
      <c r="X131" s="572"/>
      <c r="Y131" s="572"/>
      <c r="Z131" s="572"/>
    </row>
    <row r="132" spans="1:26" ht="12.75" customHeight="1" x14ac:dyDescent="0.3">
      <c r="A132" s="572"/>
      <c r="B132" s="572"/>
      <c r="C132" s="572"/>
      <c r="D132" s="572"/>
      <c r="E132" s="572"/>
      <c r="F132" s="572"/>
      <c r="G132" s="572"/>
      <c r="H132" s="572"/>
      <c r="I132" s="572"/>
      <c r="J132" s="572"/>
      <c r="K132" s="572"/>
      <c r="L132" s="572"/>
      <c r="M132" s="572"/>
      <c r="N132" s="572"/>
      <c r="O132" s="572"/>
      <c r="P132" s="572"/>
      <c r="Q132" s="572"/>
      <c r="R132" s="572"/>
      <c r="S132" s="572"/>
      <c r="T132" s="572"/>
      <c r="U132" s="572"/>
      <c r="V132" s="572"/>
      <c r="W132" s="572"/>
      <c r="X132" s="572"/>
      <c r="Y132" s="572"/>
      <c r="Z132" s="572"/>
    </row>
    <row r="133" spans="1:26" ht="12.75" customHeight="1" x14ac:dyDescent="0.3">
      <c r="A133" s="572"/>
      <c r="B133" s="572"/>
      <c r="C133" s="572"/>
      <c r="D133" s="572"/>
      <c r="E133" s="572"/>
      <c r="F133" s="572"/>
      <c r="G133" s="572"/>
      <c r="H133" s="572"/>
      <c r="I133" s="572"/>
      <c r="J133" s="572"/>
      <c r="K133" s="572"/>
      <c r="L133" s="572"/>
      <c r="M133" s="572"/>
      <c r="N133" s="572"/>
      <c r="O133" s="572"/>
      <c r="P133" s="572"/>
      <c r="Q133" s="572"/>
      <c r="R133" s="572"/>
      <c r="S133" s="572"/>
      <c r="T133" s="572"/>
      <c r="U133" s="572"/>
      <c r="V133" s="572"/>
      <c r="W133" s="572"/>
      <c r="X133" s="572"/>
      <c r="Y133" s="572"/>
      <c r="Z133" s="572"/>
    </row>
    <row r="134" spans="1:26" ht="12.75" customHeight="1" x14ac:dyDescent="0.3">
      <c r="A134" s="572"/>
      <c r="B134" s="572"/>
      <c r="C134" s="572"/>
      <c r="D134" s="572"/>
      <c r="E134" s="572"/>
      <c r="F134" s="572"/>
      <c r="G134" s="572"/>
      <c r="H134" s="572"/>
      <c r="I134" s="572"/>
      <c r="J134" s="572"/>
      <c r="K134" s="572"/>
      <c r="L134" s="572"/>
      <c r="M134" s="572"/>
      <c r="N134" s="572"/>
      <c r="O134" s="572"/>
      <c r="P134" s="572"/>
      <c r="Q134" s="572"/>
      <c r="R134" s="572"/>
      <c r="S134" s="572"/>
      <c r="T134" s="572"/>
      <c r="U134" s="572"/>
      <c r="V134" s="572"/>
      <c r="W134" s="572"/>
      <c r="X134" s="572"/>
      <c r="Y134" s="572"/>
      <c r="Z134" s="572"/>
    </row>
    <row r="135" spans="1:26" ht="12.75" customHeight="1" x14ac:dyDescent="0.3">
      <c r="A135" s="572"/>
      <c r="B135" s="572"/>
      <c r="C135" s="572"/>
      <c r="D135" s="572"/>
      <c r="E135" s="572"/>
      <c r="F135" s="572"/>
      <c r="G135" s="572"/>
      <c r="H135" s="572"/>
      <c r="I135" s="572"/>
      <c r="J135" s="572"/>
      <c r="K135" s="572"/>
      <c r="L135" s="572"/>
      <c r="M135" s="572"/>
      <c r="N135" s="572"/>
      <c r="O135" s="572"/>
      <c r="P135" s="572"/>
      <c r="Q135" s="572"/>
      <c r="R135" s="572"/>
      <c r="S135" s="572"/>
      <c r="T135" s="572"/>
      <c r="U135" s="572"/>
      <c r="V135" s="572"/>
      <c r="W135" s="572"/>
      <c r="X135" s="572"/>
      <c r="Y135" s="572"/>
      <c r="Z135" s="572"/>
    </row>
    <row r="136" spans="1:26" ht="12.75" customHeight="1" x14ac:dyDescent="0.3">
      <c r="A136" s="572"/>
      <c r="B136" s="572"/>
      <c r="C136" s="572"/>
      <c r="D136" s="572"/>
      <c r="E136" s="572"/>
      <c r="F136" s="572"/>
      <c r="G136" s="572"/>
      <c r="H136" s="572"/>
      <c r="I136" s="572"/>
      <c r="J136" s="572"/>
      <c r="K136" s="572"/>
      <c r="L136" s="572"/>
      <c r="M136" s="572"/>
      <c r="N136" s="572"/>
      <c r="O136" s="572"/>
      <c r="P136" s="572"/>
      <c r="Q136" s="572"/>
      <c r="R136" s="572"/>
      <c r="S136" s="572"/>
      <c r="T136" s="572"/>
      <c r="U136" s="572"/>
      <c r="V136" s="572"/>
      <c r="W136" s="572"/>
      <c r="X136" s="572"/>
      <c r="Y136" s="572"/>
      <c r="Z136" s="572"/>
    </row>
    <row r="137" spans="1:26" ht="12.75" customHeight="1" x14ac:dyDescent="0.3">
      <c r="A137" s="572"/>
      <c r="B137" s="572"/>
      <c r="C137" s="572"/>
      <c r="D137" s="572"/>
      <c r="E137" s="572"/>
      <c r="F137" s="572"/>
      <c r="G137" s="572"/>
      <c r="H137" s="572"/>
      <c r="I137" s="572"/>
      <c r="J137" s="572"/>
      <c r="K137" s="572"/>
      <c r="L137" s="572"/>
      <c r="M137" s="572"/>
      <c r="N137" s="572"/>
      <c r="O137" s="572"/>
      <c r="P137" s="572"/>
      <c r="Q137" s="572"/>
      <c r="R137" s="572"/>
      <c r="S137" s="572"/>
      <c r="T137" s="572"/>
      <c r="U137" s="572"/>
      <c r="V137" s="572"/>
      <c r="W137" s="572"/>
      <c r="X137" s="572"/>
      <c r="Y137" s="572"/>
      <c r="Z137" s="572"/>
    </row>
    <row r="138" spans="1:26" ht="12.75" customHeight="1" x14ac:dyDescent="0.3">
      <c r="A138" s="572"/>
      <c r="B138" s="572"/>
      <c r="C138" s="572"/>
      <c r="D138" s="572"/>
      <c r="E138" s="572"/>
      <c r="F138" s="572"/>
      <c r="G138" s="572"/>
      <c r="H138" s="572"/>
      <c r="I138" s="572"/>
      <c r="J138" s="572"/>
      <c r="K138" s="572"/>
      <c r="L138" s="572"/>
      <c r="M138" s="572"/>
      <c r="N138" s="572"/>
      <c r="O138" s="572"/>
      <c r="P138" s="572"/>
      <c r="Q138" s="572"/>
      <c r="R138" s="572"/>
      <c r="S138" s="572"/>
      <c r="T138" s="572"/>
      <c r="U138" s="572"/>
      <c r="V138" s="572"/>
      <c r="W138" s="572"/>
      <c r="X138" s="572"/>
      <c r="Y138" s="572"/>
      <c r="Z138" s="572"/>
    </row>
    <row r="139" spans="1:26" ht="12.75" customHeight="1" x14ac:dyDescent="0.3">
      <c r="A139" s="572"/>
      <c r="B139" s="572"/>
      <c r="C139" s="572"/>
      <c r="D139" s="572"/>
      <c r="E139" s="572"/>
      <c r="F139" s="572"/>
      <c r="G139" s="572"/>
      <c r="H139" s="572"/>
      <c r="I139" s="572"/>
      <c r="J139" s="572"/>
      <c r="K139" s="572"/>
      <c r="L139" s="572"/>
      <c r="M139" s="572"/>
      <c r="N139" s="572"/>
      <c r="O139" s="572"/>
      <c r="P139" s="572"/>
      <c r="Q139" s="572"/>
      <c r="R139" s="572"/>
      <c r="S139" s="572"/>
      <c r="T139" s="572"/>
      <c r="U139" s="572"/>
      <c r="V139" s="572"/>
      <c r="W139" s="572"/>
      <c r="X139" s="572"/>
      <c r="Y139" s="572"/>
      <c r="Z139" s="572"/>
    </row>
    <row r="140" spans="1:26" ht="12.75" customHeight="1" x14ac:dyDescent="0.3">
      <c r="A140" s="572"/>
      <c r="B140" s="572"/>
      <c r="C140" s="572"/>
      <c r="D140" s="572"/>
      <c r="E140" s="572"/>
      <c r="F140" s="572"/>
      <c r="G140" s="572"/>
      <c r="H140" s="572"/>
      <c r="I140" s="572"/>
      <c r="J140" s="572"/>
      <c r="K140" s="572"/>
      <c r="L140" s="572"/>
      <c r="M140" s="572"/>
      <c r="N140" s="572"/>
      <c r="O140" s="572"/>
      <c r="P140" s="572"/>
      <c r="Q140" s="572"/>
      <c r="R140" s="572"/>
      <c r="S140" s="572"/>
      <c r="T140" s="572"/>
      <c r="U140" s="572"/>
      <c r="V140" s="572"/>
      <c r="W140" s="572"/>
      <c r="X140" s="572"/>
      <c r="Y140" s="572"/>
      <c r="Z140" s="572"/>
    </row>
    <row r="141" spans="1:26" ht="12.75" customHeight="1" x14ac:dyDescent="0.3">
      <c r="A141" s="572"/>
      <c r="B141" s="572"/>
      <c r="C141" s="572"/>
      <c r="D141" s="572"/>
      <c r="E141" s="572"/>
      <c r="F141" s="572"/>
      <c r="G141" s="572"/>
      <c r="H141" s="572"/>
      <c r="I141" s="572"/>
      <c r="J141" s="572"/>
      <c r="K141" s="572"/>
      <c r="L141" s="572"/>
      <c r="M141" s="572"/>
      <c r="N141" s="572"/>
      <c r="O141" s="572"/>
      <c r="P141" s="572"/>
      <c r="Q141" s="572"/>
      <c r="R141" s="572"/>
      <c r="S141" s="572"/>
      <c r="T141" s="572"/>
      <c r="U141" s="572"/>
      <c r="V141" s="572"/>
      <c r="W141" s="572"/>
      <c r="X141" s="572"/>
      <c r="Y141" s="572"/>
      <c r="Z141" s="572"/>
    </row>
    <row r="142" spans="1:26" ht="12.75" customHeight="1" x14ac:dyDescent="0.3">
      <c r="A142" s="572"/>
      <c r="B142" s="572"/>
      <c r="C142" s="572"/>
      <c r="D142" s="572"/>
      <c r="E142" s="572"/>
      <c r="F142" s="572"/>
      <c r="G142" s="572"/>
      <c r="H142" s="572"/>
      <c r="I142" s="572"/>
      <c r="J142" s="572"/>
      <c r="K142" s="572"/>
      <c r="L142" s="572"/>
      <c r="M142" s="572"/>
      <c r="N142" s="572"/>
      <c r="O142" s="572"/>
      <c r="P142" s="572"/>
      <c r="Q142" s="572"/>
      <c r="R142" s="572"/>
      <c r="S142" s="572"/>
      <c r="T142" s="572"/>
      <c r="U142" s="572"/>
      <c r="V142" s="572"/>
      <c r="W142" s="572"/>
      <c r="X142" s="572"/>
      <c r="Y142" s="572"/>
      <c r="Z142" s="572"/>
    </row>
    <row r="143" spans="1:26" ht="12.75" customHeight="1" x14ac:dyDescent="0.3">
      <c r="A143" s="572"/>
      <c r="B143" s="572"/>
      <c r="C143" s="572"/>
      <c r="D143" s="572"/>
      <c r="E143" s="572"/>
      <c r="F143" s="572"/>
      <c r="G143" s="572"/>
      <c r="H143" s="572"/>
      <c r="I143" s="572"/>
      <c r="J143" s="572"/>
      <c r="K143" s="572"/>
      <c r="L143" s="572"/>
      <c r="M143" s="572"/>
      <c r="N143" s="572"/>
      <c r="O143" s="572"/>
      <c r="P143" s="572"/>
      <c r="Q143" s="572"/>
      <c r="R143" s="572"/>
      <c r="S143" s="572"/>
      <c r="T143" s="572"/>
      <c r="U143" s="572"/>
      <c r="V143" s="572"/>
      <c r="W143" s="572"/>
      <c r="X143" s="572"/>
      <c r="Y143" s="572"/>
      <c r="Z143" s="572"/>
    </row>
    <row r="144" spans="1:26" ht="12.75" customHeight="1" x14ac:dyDescent="0.3">
      <c r="A144" s="572"/>
      <c r="B144" s="572"/>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572"/>
      <c r="Y144" s="572"/>
      <c r="Z144" s="572"/>
    </row>
    <row r="145" spans="1:26" ht="12.75" customHeight="1" x14ac:dyDescent="0.3">
      <c r="A145" s="572"/>
      <c r="B145" s="572"/>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572"/>
      <c r="Y145" s="572"/>
      <c r="Z145" s="572"/>
    </row>
    <row r="146" spans="1:26" ht="12.75" customHeight="1" x14ac:dyDescent="0.3">
      <c r="A146" s="572"/>
      <c r="B146" s="572"/>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572"/>
      <c r="Y146" s="572"/>
      <c r="Z146" s="572"/>
    </row>
    <row r="147" spans="1:26" ht="12.75" customHeight="1" x14ac:dyDescent="0.3">
      <c r="A147" s="572"/>
      <c r="B147" s="572"/>
      <c r="C147" s="572"/>
      <c r="D147" s="572"/>
      <c r="E147" s="572"/>
      <c r="F147" s="572"/>
      <c r="G147" s="572"/>
      <c r="H147" s="572"/>
      <c r="I147" s="572"/>
      <c r="J147" s="572"/>
      <c r="K147" s="572"/>
      <c r="L147" s="572"/>
      <c r="M147" s="572"/>
      <c r="N147" s="572"/>
      <c r="O147" s="572"/>
      <c r="P147" s="572"/>
      <c r="Q147" s="572"/>
      <c r="R147" s="572"/>
      <c r="S147" s="572"/>
      <c r="T147" s="572"/>
      <c r="U147" s="572"/>
      <c r="V147" s="572"/>
      <c r="W147" s="572"/>
      <c r="X147" s="572"/>
      <c r="Y147" s="572"/>
      <c r="Z147" s="572"/>
    </row>
    <row r="148" spans="1:26" ht="12.75" customHeight="1" x14ac:dyDescent="0.3">
      <c r="A148" s="572"/>
      <c r="B148" s="572"/>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572"/>
      <c r="Y148" s="572"/>
      <c r="Z148" s="572"/>
    </row>
    <row r="149" spans="1:26" ht="12.75" customHeight="1" x14ac:dyDescent="0.3">
      <c r="A149" s="572"/>
      <c r="B149" s="572"/>
      <c r="C149" s="572"/>
      <c r="D149" s="572"/>
      <c r="E149" s="572"/>
      <c r="F149" s="572"/>
      <c r="G149" s="572"/>
      <c r="H149" s="572"/>
      <c r="I149" s="572"/>
      <c r="J149" s="572"/>
      <c r="K149" s="572"/>
      <c r="L149" s="572"/>
      <c r="M149" s="572"/>
      <c r="N149" s="572"/>
      <c r="O149" s="572"/>
      <c r="P149" s="572"/>
      <c r="Q149" s="572"/>
      <c r="R149" s="572"/>
      <c r="S149" s="572"/>
      <c r="T149" s="572"/>
      <c r="U149" s="572"/>
      <c r="V149" s="572"/>
      <c r="W149" s="572"/>
      <c r="X149" s="572"/>
      <c r="Y149" s="572"/>
      <c r="Z149" s="572"/>
    </row>
    <row r="150" spans="1:26" ht="12.75" customHeight="1" x14ac:dyDescent="0.3">
      <c r="A150" s="572"/>
      <c r="B150" s="572"/>
      <c r="C150" s="572"/>
      <c r="D150" s="572"/>
      <c r="E150" s="572"/>
      <c r="F150" s="572"/>
      <c r="G150" s="572"/>
      <c r="H150" s="572"/>
      <c r="I150" s="572"/>
      <c r="J150" s="572"/>
      <c r="K150" s="572"/>
      <c r="L150" s="572"/>
      <c r="M150" s="572"/>
      <c r="N150" s="572"/>
      <c r="O150" s="572"/>
      <c r="P150" s="572"/>
      <c r="Q150" s="572"/>
      <c r="R150" s="572"/>
      <c r="S150" s="572"/>
      <c r="T150" s="572"/>
      <c r="U150" s="572"/>
      <c r="V150" s="572"/>
      <c r="W150" s="572"/>
      <c r="X150" s="572"/>
      <c r="Y150" s="572"/>
      <c r="Z150" s="572"/>
    </row>
    <row r="151" spans="1:26" ht="12.75" customHeight="1" x14ac:dyDescent="0.3">
      <c r="A151" s="572"/>
      <c r="B151" s="572"/>
      <c r="C151" s="572"/>
      <c r="D151" s="572"/>
      <c r="E151" s="572"/>
      <c r="F151" s="572"/>
      <c r="G151" s="572"/>
      <c r="H151" s="572"/>
      <c r="I151" s="572"/>
      <c r="J151" s="572"/>
      <c r="K151" s="572"/>
      <c r="L151" s="572"/>
      <c r="M151" s="572"/>
      <c r="N151" s="572"/>
      <c r="O151" s="572"/>
      <c r="P151" s="572"/>
      <c r="Q151" s="572"/>
      <c r="R151" s="572"/>
      <c r="S151" s="572"/>
      <c r="T151" s="572"/>
      <c r="U151" s="572"/>
      <c r="V151" s="572"/>
      <c r="W151" s="572"/>
      <c r="X151" s="572"/>
      <c r="Y151" s="572"/>
      <c r="Z151" s="572"/>
    </row>
    <row r="152" spans="1:26" ht="12.75" customHeight="1" x14ac:dyDescent="0.3">
      <c r="A152" s="572"/>
      <c r="B152" s="572"/>
      <c r="C152" s="572"/>
      <c r="D152" s="572"/>
      <c r="E152" s="572"/>
      <c r="F152" s="572"/>
      <c r="G152" s="572"/>
      <c r="H152" s="572"/>
      <c r="I152" s="572"/>
      <c r="J152" s="572"/>
      <c r="K152" s="572"/>
      <c r="L152" s="572"/>
      <c r="M152" s="572"/>
      <c r="N152" s="572"/>
      <c r="O152" s="572"/>
      <c r="P152" s="572"/>
      <c r="Q152" s="572"/>
      <c r="R152" s="572"/>
      <c r="S152" s="572"/>
      <c r="T152" s="572"/>
      <c r="U152" s="572"/>
      <c r="V152" s="572"/>
      <c r="W152" s="572"/>
      <c r="X152" s="572"/>
      <c r="Y152" s="572"/>
      <c r="Z152" s="572"/>
    </row>
    <row r="153" spans="1:26" ht="12.75" customHeight="1" x14ac:dyDescent="0.3">
      <c r="A153" s="572"/>
      <c r="B153" s="572"/>
      <c r="C153" s="572"/>
      <c r="D153" s="572"/>
      <c r="E153" s="572"/>
      <c r="F153" s="572"/>
      <c r="G153" s="572"/>
      <c r="H153" s="572"/>
      <c r="I153" s="572"/>
      <c r="J153" s="572"/>
      <c r="K153" s="572"/>
      <c r="L153" s="572"/>
      <c r="M153" s="572"/>
      <c r="N153" s="572"/>
      <c r="O153" s="572"/>
      <c r="P153" s="572"/>
      <c r="Q153" s="572"/>
      <c r="R153" s="572"/>
      <c r="S153" s="572"/>
      <c r="T153" s="572"/>
      <c r="U153" s="572"/>
      <c r="V153" s="572"/>
      <c r="W153" s="572"/>
      <c r="X153" s="572"/>
      <c r="Y153" s="572"/>
      <c r="Z153" s="572"/>
    </row>
    <row r="154" spans="1:26" ht="12.75" customHeight="1" x14ac:dyDescent="0.3">
      <c r="A154" s="572"/>
      <c r="B154" s="572"/>
      <c r="C154" s="572"/>
      <c r="D154" s="572"/>
      <c r="E154" s="572"/>
      <c r="F154" s="572"/>
      <c r="G154" s="572"/>
      <c r="H154" s="572"/>
      <c r="I154" s="572"/>
      <c r="J154" s="572"/>
      <c r="K154" s="572"/>
      <c r="L154" s="572"/>
      <c r="M154" s="572"/>
      <c r="N154" s="572"/>
      <c r="O154" s="572"/>
      <c r="P154" s="572"/>
      <c r="Q154" s="572"/>
      <c r="R154" s="572"/>
      <c r="S154" s="572"/>
      <c r="T154" s="572"/>
      <c r="U154" s="572"/>
      <c r="V154" s="572"/>
      <c r="W154" s="572"/>
      <c r="X154" s="572"/>
      <c r="Y154" s="572"/>
      <c r="Z154" s="572"/>
    </row>
    <row r="155" spans="1:26" ht="12.75" customHeight="1" x14ac:dyDescent="0.3">
      <c r="A155" s="572"/>
      <c r="B155" s="572"/>
      <c r="C155" s="572"/>
      <c r="D155" s="572"/>
      <c r="E155" s="572"/>
      <c r="F155" s="572"/>
      <c r="G155" s="572"/>
      <c r="H155" s="572"/>
      <c r="I155" s="572"/>
      <c r="J155" s="572"/>
      <c r="K155" s="572"/>
      <c r="L155" s="572"/>
      <c r="M155" s="572"/>
      <c r="N155" s="572"/>
      <c r="O155" s="572"/>
      <c r="P155" s="572"/>
      <c r="Q155" s="572"/>
      <c r="R155" s="572"/>
      <c r="S155" s="572"/>
      <c r="T155" s="572"/>
      <c r="U155" s="572"/>
      <c r="V155" s="572"/>
      <c r="W155" s="572"/>
      <c r="X155" s="572"/>
      <c r="Y155" s="572"/>
      <c r="Z155" s="572"/>
    </row>
    <row r="156" spans="1:26" ht="12.75" customHeight="1" x14ac:dyDescent="0.3">
      <c r="A156" s="572"/>
      <c r="B156" s="572"/>
      <c r="C156" s="572"/>
      <c r="D156" s="572"/>
      <c r="E156" s="572"/>
      <c r="F156" s="572"/>
      <c r="G156" s="572"/>
      <c r="H156" s="572"/>
      <c r="I156" s="572"/>
      <c r="J156" s="572"/>
      <c r="K156" s="572"/>
      <c r="L156" s="572"/>
      <c r="M156" s="572"/>
      <c r="N156" s="572"/>
      <c r="O156" s="572"/>
      <c r="P156" s="572"/>
      <c r="Q156" s="572"/>
      <c r="R156" s="572"/>
      <c r="S156" s="572"/>
      <c r="T156" s="572"/>
      <c r="U156" s="572"/>
      <c r="V156" s="572"/>
      <c r="W156" s="572"/>
      <c r="X156" s="572"/>
      <c r="Y156" s="572"/>
      <c r="Z156" s="572"/>
    </row>
    <row r="157" spans="1:26" ht="12.75" customHeight="1" x14ac:dyDescent="0.3">
      <c r="A157" s="572"/>
      <c r="B157" s="572"/>
      <c r="C157" s="572"/>
      <c r="D157" s="572"/>
      <c r="E157" s="572"/>
      <c r="F157" s="572"/>
      <c r="G157" s="572"/>
      <c r="H157" s="572"/>
      <c r="I157" s="572"/>
      <c r="J157" s="572"/>
      <c r="K157" s="572"/>
      <c r="L157" s="572"/>
      <c r="M157" s="572"/>
      <c r="N157" s="572"/>
      <c r="O157" s="572"/>
      <c r="P157" s="572"/>
      <c r="Q157" s="572"/>
      <c r="R157" s="572"/>
      <c r="S157" s="572"/>
      <c r="T157" s="572"/>
      <c r="U157" s="572"/>
      <c r="V157" s="572"/>
      <c r="W157" s="572"/>
      <c r="X157" s="572"/>
      <c r="Y157" s="572"/>
      <c r="Z157" s="572"/>
    </row>
    <row r="158" spans="1:26" ht="12.75" customHeight="1" x14ac:dyDescent="0.3">
      <c r="A158" s="572"/>
      <c r="B158" s="572"/>
      <c r="C158" s="572"/>
      <c r="D158" s="572"/>
      <c r="E158" s="572"/>
      <c r="F158" s="572"/>
      <c r="G158" s="572"/>
      <c r="H158" s="572"/>
      <c r="I158" s="572"/>
      <c r="J158" s="572"/>
      <c r="K158" s="572"/>
      <c r="L158" s="572"/>
      <c r="M158" s="572"/>
      <c r="N158" s="572"/>
      <c r="O158" s="572"/>
      <c r="P158" s="572"/>
      <c r="Q158" s="572"/>
      <c r="R158" s="572"/>
      <c r="S158" s="572"/>
      <c r="T158" s="572"/>
      <c r="U158" s="572"/>
      <c r="V158" s="572"/>
      <c r="W158" s="572"/>
      <c r="X158" s="572"/>
      <c r="Y158" s="572"/>
      <c r="Z158" s="572"/>
    </row>
    <row r="159" spans="1:26" ht="12.75" customHeight="1" x14ac:dyDescent="0.3">
      <c r="A159" s="572"/>
      <c r="B159" s="572"/>
      <c r="C159" s="572"/>
      <c r="D159" s="572"/>
      <c r="E159" s="572"/>
      <c r="F159" s="572"/>
      <c r="G159" s="572"/>
      <c r="H159" s="572"/>
      <c r="I159" s="572"/>
      <c r="J159" s="572"/>
      <c r="K159" s="572"/>
      <c r="L159" s="572"/>
      <c r="M159" s="572"/>
      <c r="N159" s="572"/>
      <c r="O159" s="572"/>
      <c r="P159" s="572"/>
      <c r="Q159" s="572"/>
      <c r="R159" s="572"/>
      <c r="S159" s="572"/>
      <c r="T159" s="572"/>
      <c r="U159" s="572"/>
      <c r="V159" s="572"/>
      <c r="W159" s="572"/>
      <c r="X159" s="572"/>
      <c r="Y159" s="572"/>
      <c r="Z159" s="572"/>
    </row>
    <row r="160" spans="1:26" ht="12.75" customHeight="1" x14ac:dyDescent="0.3">
      <c r="A160" s="572"/>
      <c r="B160" s="572"/>
      <c r="C160" s="572"/>
      <c r="D160" s="572"/>
      <c r="E160" s="572"/>
      <c r="F160" s="572"/>
      <c r="G160" s="572"/>
      <c r="H160" s="572"/>
      <c r="I160" s="572"/>
      <c r="J160" s="572"/>
      <c r="K160" s="572"/>
      <c r="L160" s="572"/>
      <c r="M160" s="572"/>
      <c r="N160" s="572"/>
      <c r="O160" s="572"/>
      <c r="P160" s="572"/>
      <c r="Q160" s="572"/>
      <c r="R160" s="572"/>
      <c r="S160" s="572"/>
      <c r="T160" s="572"/>
      <c r="U160" s="572"/>
      <c r="V160" s="572"/>
      <c r="W160" s="572"/>
      <c r="X160" s="572"/>
      <c r="Y160" s="572"/>
      <c r="Z160" s="572"/>
    </row>
    <row r="161" spans="1:26" ht="12.75" customHeight="1" x14ac:dyDescent="0.3">
      <c r="A161" s="572"/>
      <c r="B161" s="572"/>
      <c r="C161" s="572"/>
      <c r="D161" s="572"/>
      <c r="E161" s="572"/>
      <c r="F161" s="572"/>
      <c r="G161" s="572"/>
      <c r="H161" s="572"/>
      <c r="I161" s="572"/>
      <c r="J161" s="572"/>
      <c r="K161" s="572"/>
      <c r="L161" s="572"/>
      <c r="M161" s="572"/>
      <c r="N161" s="572"/>
      <c r="O161" s="572"/>
      <c r="P161" s="572"/>
      <c r="Q161" s="572"/>
      <c r="R161" s="572"/>
      <c r="S161" s="572"/>
      <c r="T161" s="572"/>
      <c r="U161" s="572"/>
      <c r="V161" s="572"/>
      <c r="W161" s="572"/>
      <c r="X161" s="572"/>
      <c r="Y161" s="572"/>
      <c r="Z161" s="572"/>
    </row>
    <row r="162" spans="1:26" ht="12.75" customHeight="1" x14ac:dyDescent="0.3">
      <c r="A162" s="572"/>
      <c r="B162" s="572"/>
      <c r="C162" s="572"/>
      <c r="D162" s="572"/>
      <c r="E162" s="572"/>
      <c r="F162" s="572"/>
      <c r="G162" s="572"/>
      <c r="H162" s="572"/>
      <c r="I162" s="572"/>
      <c r="J162" s="572"/>
      <c r="K162" s="572"/>
      <c r="L162" s="572"/>
      <c r="M162" s="572"/>
      <c r="N162" s="572"/>
      <c r="O162" s="572"/>
      <c r="P162" s="572"/>
      <c r="Q162" s="572"/>
      <c r="R162" s="572"/>
      <c r="S162" s="572"/>
      <c r="T162" s="572"/>
      <c r="U162" s="572"/>
      <c r="V162" s="572"/>
      <c r="W162" s="572"/>
      <c r="X162" s="572"/>
      <c r="Y162" s="572"/>
      <c r="Z162" s="572"/>
    </row>
    <row r="163" spans="1:26" ht="12.75" customHeight="1" x14ac:dyDescent="0.3">
      <c r="A163" s="572"/>
      <c r="B163" s="572"/>
      <c r="C163" s="572"/>
      <c r="D163" s="572"/>
      <c r="E163" s="572"/>
      <c r="F163" s="572"/>
      <c r="G163" s="572"/>
      <c r="H163" s="572"/>
      <c r="I163" s="572"/>
      <c r="J163" s="572"/>
      <c r="K163" s="572"/>
      <c r="L163" s="572"/>
      <c r="M163" s="572"/>
      <c r="N163" s="572"/>
      <c r="O163" s="572"/>
      <c r="P163" s="572"/>
      <c r="Q163" s="572"/>
      <c r="R163" s="572"/>
      <c r="S163" s="572"/>
      <c r="T163" s="572"/>
      <c r="U163" s="572"/>
      <c r="V163" s="572"/>
      <c r="W163" s="572"/>
      <c r="X163" s="572"/>
      <c r="Y163" s="572"/>
      <c r="Z163" s="572"/>
    </row>
    <row r="164" spans="1:26" ht="12.75" customHeight="1" x14ac:dyDescent="0.3">
      <c r="A164" s="572"/>
      <c r="B164" s="572"/>
      <c r="C164" s="572"/>
      <c r="D164" s="572"/>
      <c r="E164" s="572"/>
      <c r="F164" s="572"/>
      <c r="G164" s="572"/>
      <c r="H164" s="572"/>
      <c r="I164" s="572"/>
      <c r="J164" s="572"/>
      <c r="K164" s="572"/>
      <c r="L164" s="572"/>
      <c r="M164" s="572"/>
      <c r="N164" s="572"/>
      <c r="O164" s="572"/>
      <c r="P164" s="572"/>
      <c r="Q164" s="572"/>
      <c r="R164" s="572"/>
      <c r="S164" s="572"/>
      <c r="T164" s="572"/>
      <c r="U164" s="572"/>
      <c r="V164" s="572"/>
      <c r="W164" s="572"/>
      <c r="X164" s="572"/>
      <c r="Y164" s="572"/>
      <c r="Z164" s="572"/>
    </row>
    <row r="165" spans="1:26" ht="12.75" customHeight="1" x14ac:dyDescent="0.3">
      <c r="A165" s="572"/>
      <c r="B165" s="572"/>
      <c r="C165" s="572"/>
      <c r="D165" s="572"/>
      <c r="E165" s="572"/>
      <c r="F165" s="572"/>
      <c r="G165" s="572"/>
      <c r="H165" s="572"/>
      <c r="I165" s="572"/>
      <c r="J165" s="572"/>
      <c r="K165" s="572"/>
      <c r="L165" s="572"/>
      <c r="M165" s="572"/>
      <c r="N165" s="572"/>
      <c r="O165" s="572"/>
      <c r="P165" s="572"/>
      <c r="Q165" s="572"/>
      <c r="R165" s="572"/>
      <c r="S165" s="572"/>
      <c r="T165" s="572"/>
      <c r="U165" s="572"/>
      <c r="V165" s="572"/>
      <c r="W165" s="572"/>
      <c r="X165" s="572"/>
      <c r="Y165" s="572"/>
      <c r="Z165" s="572"/>
    </row>
    <row r="166" spans="1:26" ht="12.75" customHeight="1" x14ac:dyDescent="0.3">
      <c r="A166" s="572"/>
      <c r="B166" s="572"/>
      <c r="C166" s="572"/>
      <c r="D166" s="572"/>
      <c r="E166" s="572"/>
      <c r="F166" s="572"/>
      <c r="G166" s="572"/>
      <c r="H166" s="572"/>
      <c r="I166" s="572"/>
      <c r="J166" s="572"/>
      <c r="K166" s="572"/>
      <c r="L166" s="572"/>
      <c r="M166" s="572"/>
      <c r="N166" s="572"/>
      <c r="O166" s="572"/>
      <c r="P166" s="572"/>
      <c r="Q166" s="572"/>
      <c r="R166" s="572"/>
      <c r="S166" s="572"/>
      <c r="T166" s="572"/>
      <c r="U166" s="572"/>
      <c r="V166" s="572"/>
      <c r="W166" s="572"/>
      <c r="X166" s="572"/>
      <c r="Y166" s="572"/>
      <c r="Z166" s="572"/>
    </row>
    <row r="167" spans="1:26" ht="12.75" customHeight="1" x14ac:dyDescent="0.3">
      <c r="A167" s="572"/>
      <c r="B167" s="572"/>
      <c r="C167" s="572"/>
      <c r="D167" s="572"/>
      <c r="E167" s="572"/>
      <c r="F167" s="572"/>
      <c r="G167" s="572"/>
      <c r="H167" s="572"/>
      <c r="I167" s="572"/>
      <c r="J167" s="572"/>
      <c r="K167" s="572"/>
      <c r="L167" s="572"/>
      <c r="M167" s="572"/>
      <c r="N167" s="572"/>
      <c r="O167" s="572"/>
      <c r="P167" s="572"/>
      <c r="Q167" s="572"/>
      <c r="R167" s="572"/>
      <c r="S167" s="572"/>
      <c r="T167" s="572"/>
      <c r="U167" s="572"/>
      <c r="V167" s="572"/>
      <c r="W167" s="572"/>
      <c r="X167" s="572"/>
      <c r="Y167" s="572"/>
      <c r="Z167" s="572"/>
    </row>
    <row r="168" spans="1:26" ht="12.75" customHeight="1" x14ac:dyDescent="0.3">
      <c r="A168" s="572"/>
      <c r="B168" s="572"/>
      <c r="C168" s="572"/>
      <c r="D168" s="572"/>
      <c r="E168" s="572"/>
      <c r="F168" s="572"/>
      <c r="G168" s="572"/>
      <c r="H168" s="572"/>
      <c r="I168" s="572"/>
      <c r="J168" s="572"/>
      <c r="K168" s="572"/>
      <c r="L168" s="572"/>
      <c r="M168" s="572"/>
      <c r="N168" s="572"/>
      <c r="O168" s="572"/>
      <c r="P168" s="572"/>
      <c r="Q168" s="572"/>
      <c r="R168" s="572"/>
      <c r="S168" s="572"/>
      <c r="T168" s="572"/>
      <c r="U168" s="572"/>
      <c r="V168" s="572"/>
      <c r="W168" s="572"/>
      <c r="X168" s="572"/>
      <c r="Y168" s="572"/>
      <c r="Z168" s="572"/>
    </row>
    <row r="169" spans="1:26" ht="12.75" customHeight="1" x14ac:dyDescent="0.3">
      <c r="A169" s="572"/>
      <c r="B169" s="572"/>
      <c r="C169" s="572"/>
      <c r="D169" s="572"/>
      <c r="E169" s="572"/>
      <c r="F169" s="572"/>
      <c r="G169" s="572"/>
      <c r="H169" s="572"/>
      <c r="I169" s="572"/>
      <c r="J169" s="572"/>
      <c r="K169" s="572"/>
      <c r="L169" s="572"/>
      <c r="M169" s="572"/>
      <c r="N169" s="572"/>
      <c r="O169" s="572"/>
      <c r="P169" s="572"/>
      <c r="Q169" s="572"/>
      <c r="R169" s="572"/>
      <c r="S169" s="572"/>
      <c r="T169" s="572"/>
      <c r="U169" s="572"/>
      <c r="V169" s="572"/>
      <c r="W169" s="572"/>
      <c r="X169" s="572"/>
      <c r="Y169" s="572"/>
      <c r="Z169" s="572"/>
    </row>
    <row r="170" spans="1:26" ht="12.75" customHeight="1" x14ac:dyDescent="0.3">
      <c r="A170" s="572"/>
      <c r="B170" s="572"/>
      <c r="C170" s="572"/>
      <c r="D170" s="572"/>
      <c r="E170" s="572"/>
      <c r="F170" s="572"/>
      <c r="G170" s="572"/>
      <c r="H170" s="572"/>
      <c r="I170" s="572"/>
      <c r="J170" s="572"/>
      <c r="K170" s="572"/>
      <c r="L170" s="572"/>
      <c r="M170" s="572"/>
      <c r="N170" s="572"/>
      <c r="O170" s="572"/>
      <c r="P170" s="572"/>
      <c r="Q170" s="572"/>
      <c r="R170" s="572"/>
      <c r="S170" s="572"/>
      <c r="T170" s="572"/>
      <c r="U170" s="572"/>
      <c r="V170" s="572"/>
      <c r="W170" s="572"/>
      <c r="X170" s="572"/>
      <c r="Y170" s="572"/>
      <c r="Z170" s="572"/>
    </row>
    <row r="171" spans="1:26" ht="12.75" customHeight="1" x14ac:dyDescent="0.3">
      <c r="A171" s="572"/>
      <c r="B171" s="572"/>
      <c r="C171" s="572"/>
      <c r="D171" s="572"/>
      <c r="E171" s="572"/>
      <c r="F171" s="572"/>
      <c r="G171" s="572"/>
      <c r="H171" s="572"/>
      <c r="I171" s="572"/>
      <c r="J171" s="572"/>
      <c r="K171" s="572"/>
      <c r="L171" s="572"/>
      <c r="M171" s="572"/>
      <c r="N171" s="572"/>
      <c r="O171" s="572"/>
      <c r="P171" s="572"/>
      <c r="Q171" s="572"/>
      <c r="R171" s="572"/>
      <c r="S171" s="572"/>
      <c r="T171" s="572"/>
      <c r="U171" s="572"/>
      <c r="V171" s="572"/>
      <c r="W171" s="572"/>
      <c r="X171" s="572"/>
      <c r="Y171" s="572"/>
      <c r="Z171" s="572"/>
    </row>
    <row r="172" spans="1:26" ht="12.75" customHeight="1" x14ac:dyDescent="0.3">
      <c r="A172" s="572"/>
      <c r="B172" s="572"/>
      <c r="C172" s="572"/>
      <c r="D172" s="572"/>
      <c r="E172" s="572"/>
      <c r="F172" s="572"/>
      <c r="G172" s="572"/>
      <c r="H172" s="572"/>
      <c r="I172" s="572"/>
      <c r="J172" s="572"/>
      <c r="K172" s="572"/>
      <c r="L172" s="572"/>
      <c r="M172" s="572"/>
      <c r="N172" s="572"/>
      <c r="O172" s="572"/>
      <c r="P172" s="572"/>
      <c r="Q172" s="572"/>
      <c r="R172" s="572"/>
      <c r="S172" s="572"/>
      <c r="T172" s="572"/>
      <c r="U172" s="572"/>
      <c r="V172" s="572"/>
      <c r="W172" s="572"/>
      <c r="X172" s="572"/>
      <c r="Y172" s="572"/>
      <c r="Z172" s="572"/>
    </row>
    <row r="173" spans="1:26" ht="12.75" customHeight="1" x14ac:dyDescent="0.3">
      <c r="A173" s="572"/>
      <c r="B173" s="572"/>
      <c r="C173" s="572"/>
      <c r="D173" s="572"/>
      <c r="E173" s="572"/>
      <c r="F173" s="572"/>
      <c r="G173" s="572"/>
      <c r="H173" s="572"/>
      <c r="I173" s="572"/>
      <c r="J173" s="572"/>
      <c r="K173" s="572"/>
      <c r="L173" s="572"/>
      <c r="M173" s="572"/>
      <c r="N173" s="572"/>
      <c r="O173" s="572"/>
      <c r="P173" s="572"/>
      <c r="Q173" s="572"/>
      <c r="R173" s="572"/>
      <c r="S173" s="572"/>
      <c r="T173" s="572"/>
      <c r="U173" s="572"/>
      <c r="V173" s="572"/>
      <c r="W173" s="572"/>
      <c r="X173" s="572"/>
      <c r="Y173" s="572"/>
      <c r="Z173" s="572"/>
    </row>
    <row r="174" spans="1:26" ht="12.75" customHeight="1" x14ac:dyDescent="0.3">
      <c r="A174" s="572"/>
      <c r="B174" s="572"/>
      <c r="C174" s="572"/>
      <c r="D174" s="572"/>
      <c r="E174" s="572"/>
      <c r="F174" s="572"/>
      <c r="G174" s="572"/>
      <c r="H174" s="572"/>
      <c r="I174" s="572"/>
      <c r="J174" s="572"/>
      <c r="K174" s="572"/>
      <c r="L174" s="572"/>
      <c r="M174" s="572"/>
      <c r="N174" s="572"/>
      <c r="O174" s="572"/>
      <c r="P174" s="572"/>
      <c r="Q174" s="572"/>
      <c r="R174" s="572"/>
      <c r="S174" s="572"/>
      <c r="T174" s="572"/>
      <c r="U174" s="572"/>
      <c r="V174" s="572"/>
      <c r="W174" s="572"/>
      <c r="X174" s="572"/>
      <c r="Y174" s="572"/>
      <c r="Z174" s="572"/>
    </row>
    <row r="175" spans="1:26" ht="12.75" customHeight="1" x14ac:dyDescent="0.3">
      <c r="A175" s="572"/>
      <c r="B175" s="572"/>
      <c r="C175" s="572"/>
      <c r="D175" s="572"/>
      <c r="E175" s="572"/>
      <c r="F175" s="572"/>
      <c r="G175" s="572"/>
      <c r="H175" s="572"/>
      <c r="I175" s="572"/>
      <c r="J175" s="572"/>
      <c r="K175" s="572"/>
      <c r="L175" s="572"/>
      <c r="M175" s="572"/>
      <c r="N175" s="572"/>
      <c r="O175" s="572"/>
      <c r="P175" s="572"/>
      <c r="Q175" s="572"/>
      <c r="R175" s="572"/>
      <c r="S175" s="572"/>
      <c r="T175" s="572"/>
      <c r="U175" s="572"/>
      <c r="V175" s="572"/>
      <c r="W175" s="572"/>
      <c r="X175" s="572"/>
      <c r="Y175" s="572"/>
      <c r="Z175" s="572"/>
    </row>
    <row r="176" spans="1:26" ht="12.75" customHeight="1" x14ac:dyDescent="0.3">
      <c r="A176" s="572"/>
      <c r="B176" s="572"/>
      <c r="C176" s="572"/>
      <c r="D176" s="572"/>
      <c r="E176" s="572"/>
      <c r="F176" s="572"/>
      <c r="G176" s="572"/>
      <c r="H176" s="572"/>
      <c r="I176" s="572"/>
      <c r="J176" s="572"/>
      <c r="K176" s="572"/>
      <c r="L176" s="572"/>
      <c r="M176" s="572"/>
      <c r="N176" s="572"/>
      <c r="O176" s="572"/>
      <c r="P176" s="572"/>
      <c r="Q176" s="572"/>
      <c r="R176" s="572"/>
      <c r="S176" s="572"/>
      <c r="T176" s="572"/>
      <c r="U176" s="572"/>
      <c r="V176" s="572"/>
      <c r="W176" s="572"/>
      <c r="X176" s="572"/>
      <c r="Y176" s="572"/>
      <c r="Z176" s="572"/>
    </row>
    <row r="177" spans="1:26" ht="12.75" customHeight="1" x14ac:dyDescent="0.3">
      <c r="A177" s="572"/>
      <c r="B177" s="572"/>
      <c r="C177" s="572"/>
      <c r="D177" s="572"/>
      <c r="E177" s="572"/>
      <c r="F177" s="572"/>
      <c r="G177" s="572"/>
      <c r="H177" s="572"/>
      <c r="I177" s="572"/>
      <c r="J177" s="572"/>
      <c r="K177" s="572"/>
      <c r="L177" s="572"/>
      <c r="M177" s="572"/>
      <c r="N177" s="572"/>
      <c r="O177" s="572"/>
      <c r="P177" s="572"/>
      <c r="Q177" s="572"/>
      <c r="R177" s="572"/>
      <c r="S177" s="572"/>
      <c r="T177" s="572"/>
      <c r="U177" s="572"/>
      <c r="V177" s="572"/>
      <c r="W177" s="572"/>
      <c r="X177" s="572"/>
      <c r="Y177" s="572"/>
      <c r="Z177" s="572"/>
    </row>
    <row r="178" spans="1:26" ht="12.75" customHeight="1" x14ac:dyDescent="0.3">
      <c r="A178" s="572"/>
      <c r="B178" s="572"/>
      <c r="C178" s="572"/>
      <c r="D178" s="572"/>
      <c r="E178" s="572"/>
      <c r="F178" s="572"/>
      <c r="G178" s="572"/>
      <c r="H178" s="572"/>
      <c r="I178" s="572"/>
      <c r="J178" s="572"/>
      <c r="K178" s="572"/>
      <c r="L178" s="572"/>
      <c r="M178" s="572"/>
      <c r="N178" s="572"/>
      <c r="O178" s="572"/>
      <c r="P178" s="572"/>
      <c r="Q178" s="572"/>
      <c r="R178" s="572"/>
      <c r="S178" s="572"/>
      <c r="T178" s="572"/>
      <c r="U178" s="572"/>
      <c r="V178" s="572"/>
      <c r="W178" s="572"/>
      <c r="X178" s="572"/>
      <c r="Y178" s="572"/>
      <c r="Z178" s="572"/>
    </row>
    <row r="179" spans="1:26" ht="12.75" customHeight="1" x14ac:dyDescent="0.3">
      <c r="A179" s="572"/>
      <c r="B179" s="572"/>
      <c r="C179" s="572"/>
      <c r="D179" s="572"/>
      <c r="E179" s="572"/>
      <c r="F179" s="572"/>
      <c r="G179" s="572"/>
      <c r="H179" s="572"/>
      <c r="I179" s="572"/>
      <c r="J179" s="572"/>
      <c r="K179" s="572"/>
      <c r="L179" s="572"/>
      <c r="M179" s="572"/>
      <c r="N179" s="572"/>
      <c r="O179" s="572"/>
      <c r="P179" s="572"/>
      <c r="Q179" s="572"/>
      <c r="R179" s="572"/>
      <c r="S179" s="572"/>
      <c r="T179" s="572"/>
      <c r="U179" s="572"/>
      <c r="V179" s="572"/>
      <c r="W179" s="572"/>
      <c r="X179" s="572"/>
      <c r="Y179" s="572"/>
      <c r="Z179" s="572"/>
    </row>
    <row r="180" spans="1:26" ht="12.75" customHeight="1" x14ac:dyDescent="0.3">
      <c r="A180" s="572"/>
      <c r="B180" s="572"/>
      <c r="C180" s="572"/>
      <c r="D180" s="572"/>
      <c r="E180" s="572"/>
      <c r="F180" s="572"/>
      <c r="G180" s="572"/>
      <c r="H180" s="572"/>
      <c r="I180" s="572"/>
      <c r="J180" s="572"/>
      <c r="K180" s="572"/>
      <c r="L180" s="572"/>
      <c r="M180" s="572"/>
      <c r="N180" s="572"/>
      <c r="O180" s="572"/>
      <c r="P180" s="572"/>
      <c r="Q180" s="572"/>
      <c r="R180" s="572"/>
      <c r="S180" s="572"/>
      <c r="T180" s="572"/>
      <c r="U180" s="572"/>
      <c r="V180" s="572"/>
      <c r="W180" s="572"/>
      <c r="X180" s="572"/>
      <c r="Y180" s="572"/>
      <c r="Z180" s="572"/>
    </row>
    <row r="181" spans="1:26" ht="12.75" customHeight="1" x14ac:dyDescent="0.3">
      <c r="A181" s="572"/>
      <c r="B181" s="572"/>
      <c r="C181" s="572"/>
      <c r="D181" s="572"/>
      <c r="E181" s="572"/>
      <c r="F181" s="572"/>
      <c r="G181" s="572"/>
      <c r="H181" s="572"/>
      <c r="I181" s="572"/>
      <c r="J181" s="572"/>
      <c r="K181" s="572"/>
      <c r="L181" s="572"/>
      <c r="M181" s="572"/>
      <c r="N181" s="572"/>
      <c r="O181" s="572"/>
      <c r="P181" s="572"/>
      <c r="Q181" s="572"/>
      <c r="R181" s="572"/>
      <c r="S181" s="572"/>
      <c r="T181" s="572"/>
      <c r="U181" s="572"/>
      <c r="V181" s="572"/>
      <c r="W181" s="572"/>
      <c r="X181" s="572"/>
      <c r="Y181" s="572"/>
      <c r="Z181" s="572"/>
    </row>
    <row r="182" spans="1:26" ht="12.75" customHeight="1" x14ac:dyDescent="0.3">
      <c r="A182" s="572"/>
      <c r="B182" s="572"/>
      <c r="C182" s="572"/>
      <c r="D182" s="572"/>
      <c r="E182" s="572"/>
      <c r="F182" s="572"/>
      <c r="G182" s="572"/>
      <c r="H182" s="572"/>
      <c r="I182" s="572"/>
      <c r="J182" s="572"/>
      <c r="K182" s="572"/>
      <c r="L182" s="572"/>
      <c r="M182" s="572"/>
      <c r="N182" s="572"/>
      <c r="O182" s="572"/>
      <c r="P182" s="572"/>
      <c r="Q182" s="572"/>
      <c r="R182" s="572"/>
      <c r="S182" s="572"/>
      <c r="T182" s="572"/>
      <c r="U182" s="572"/>
      <c r="V182" s="572"/>
      <c r="W182" s="572"/>
      <c r="X182" s="572"/>
      <c r="Y182" s="572"/>
      <c r="Z182" s="572"/>
    </row>
    <row r="183" spans="1:26" ht="12.75" customHeight="1" x14ac:dyDescent="0.3">
      <c r="A183" s="572"/>
      <c r="B183" s="572"/>
      <c r="C183" s="572"/>
      <c r="D183" s="572"/>
      <c r="E183" s="572"/>
      <c r="F183" s="572"/>
      <c r="G183" s="572"/>
      <c r="H183" s="572"/>
      <c r="I183" s="572"/>
      <c r="J183" s="572"/>
      <c r="K183" s="572"/>
      <c r="L183" s="572"/>
      <c r="M183" s="572"/>
      <c r="N183" s="572"/>
      <c r="O183" s="572"/>
      <c r="P183" s="572"/>
      <c r="Q183" s="572"/>
      <c r="R183" s="572"/>
      <c r="S183" s="572"/>
      <c r="T183" s="572"/>
      <c r="U183" s="572"/>
      <c r="V183" s="572"/>
      <c r="W183" s="572"/>
      <c r="X183" s="572"/>
      <c r="Y183" s="572"/>
      <c r="Z183" s="572"/>
    </row>
    <row r="184" spans="1:26" ht="12.75" customHeight="1" x14ac:dyDescent="0.3">
      <c r="A184" s="572"/>
      <c r="B184" s="572"/>
      <c r="C184" s="572"/>
      <c r="D184" s="572"/>
      <c r="E184" s="572"/>
      <c r="F184" s="572"/>
      <c r="G184" s="572"/>
      <c r="H184" s="572"/>
      <c r="I184" s="572"/>
      <c r="J184" s="572"/>
      <c r="K184" s="572"/>
      <c r="L184" s="572"/>
      <c r="M184" s="572"/>
      <c r="N184" s="572"/>
      <c r="O184" s="572"/>
      <c r="P184" s="572"/>
      <c r="Q184" s="572"/>
      <c r="R184" s="572"/>
      <c r="S184" s="572"/>
      <c r="T184" s="572"/>
      <c r="U184" s="572"/>
      <c r="V184" s="572"/>
      <c r="W184" s="572"/>
      <c r="X184" s="572"/>
      <c r="Y184" s="572"/>
      <c r="Z184" s="572"/>
    </row>
    <row r="185" spans="1:26" ht="12.75" customHeight="1" x14ac:dyDescent="0.3">
      <c r="A185" s="572"/>
      <c r="B185" s="572"/>
      <c r="C185" s="572"/>
      <c r="D185" s="572"/>
      <c r="E185" s="572"/>
      <c r="F185" s="572"/>
      <c r="G185" s="572"/>
      <c r="H185" s="572"/>
      <c r="I185" s="572"/>
      <c r="J185" s="572"/>
      <c r="K185" s="572"/>
      <c r="L185" s="572"/>
      <c r="M185" s="572"/>
      <c r="N185" s="572"/>
      <c r="O185" s="572"/>
      <c r="P185" s="572"/>
      <c r="Q185" s="572"/>
      <c r="R185" s="572"/>
      <c r="S185" s="572"/>
      <c r="T185" s="572"/>
      <c r="U185" s="572"/>
      <c r="V185" s="572"/>
      <c r="W185" s="572"/>
      <c r="X185" s="572"/>
      <c r="Y185" s="572"/>
      <c r="Z185" s="572"/>
    </row>
    <row r="186" spans="1:26" ht="12.75" customHeight="1" x14ac:dyDescent="0.3">
      <c r="A186" s="572"/>
      <c r="B186" s="572"/>
      <c r="C186" s="572"/>
      <c r="D186" s="572"/>
      <c r="E186" s="572"/>
      <c r="F186" s="572"/>
      <c r="G186" s="572"/>
      <c r="H186" s="572"/>
      <c r="I186" s="572"/>
      <c r="J186" s="572"/>
      <c r="K186" s="572"/>
      <c r="L186" s="572"/>
      <c r="M186" s="572"/>
      <c r="N186" s="572"/>
      <c r="O186" s="572"/>
      <c r="P186" s="572"/>
      <c r="Q186" s="572"/>
      <c r="R186" s="572"/>
      <c r="S186" s="572"/>
      <c r="T186" s="572"/>
      <c r="U186" s="572"/>
      <c r="V186" s="572"/>
      <c r="W186" s="572"/>
      <c r="X186" s="572"/>
      <c r="Y186" s="572"/>
      <c r="Z186" s="572"/>
    </row>
    <row r="187" spans="1:26" ht="12.75" customHeight="1" x14ac:dyDescent="0.3">
      <c r="A187" s="572"/>
      <c r="B187" s="572"/>
      <c r="C187" s="572"/>
      <c r="D187" s="572"/>
      <c r="E187" s="572"/>
      <c r="F187" s="572"/>
      <c r="G187" s="572"/>
      <c r="H187" s="572"/>
      <c r="I187" s="572"/>
      <c r="J187" s="572"/>
      <c r="K187" s="572"/>
      <c r="L187" s="572"/>
      <c r="M187" s="572"/>
      <c r="N187" s="572"/>
      <c r="O187" s="572"/>
      <c r="P187" s="572"/>
      <c r="Q187" s="572"/>
      <c r="R187" s="572"/>
      <c r="S187" s="572"/>
      <c r="T187" s="572"/>
      <c r="U187" s="572"/>
      <c r="V187" s="572"/>
      <c r="W187" s="572"/>
      <c r="X187" s="572"/>
      <c r="Y187" s="572"/>
      <c r="Z187" s="572"/>
    </row>
    <row r="188" spans="1:26" ht="12.75" customHeight="1" x14ac:dyDescent="0.3">
      <c r="A188" s="572"/>
      <c r="B188" s="572"/>
      <c r="C188" s="572"/>
      <c r="D188" s="572"/>
      <c r="E188" s="572"/>
      <c r="F188" s="572"/>
      <c r="G188" s="572"/>
      <c r="H188" s="572"/>
      <c r="I188" s="572"/>
      <c r="J188" s="572"/>
      <c r="K188" s="572"/>
      <c r="L188" s="572"/>
      <c r="M188" s="572"/>
      <c r="N188" s="572"/>
      <c r="O188" s="572"/>
      <c r="P188" s="572"/>
      <c r="Q188" s="572"/>
      <c r="R188" s="572"/>
      <c r="S188" s="572"/>
      <c r="T188" s="572"/>
      <c r="U188" s="572"/>
      <c r="V188" s="572"/>
      <c r="W188" s="572"/>
      <c r="X188" s="572"/>
      <c r="Y188" s="572"/>
      <c r="Z188" s="572"/>
    </row>
    <row r="189" spans="1:26" ht="12.75" customHeight="1" x14ac:dyDescent="0.3">
      <c r="A189" s="572"/>
      <c r="B189" s="572"/>
      <c r="C189" s="572"/>
      <c r="D189" s="572"/>
      <c r="E189" s="572"/>
      <c r="F189" s="572"/>
      <c r="G189" s="572"/>
      <c r="H189" s="572"/>
      <c r="I189" s="572"/>
      <c r="J189" s="572"/>
      <c r="K189" s="572"/>
      <c r="L189" s="572"/>
      <c r="M189" s="572"/>
      <c r="N189" s="572"/>
      <c r="O189" s="572"/>
      <c r="P189" s="572"/>
      <c r="Q189" s="572"/>
      <c r="R189" s="572"/>
      <c r="S189" s="572"/>
      <c r="T189" s="572"/>
      <c r="U189" s="572"/>
      <c r="V189" s="572"/>
      <c r="W189" s="572"/>
      <c r="X189" s="572"/>
      <c r="Y189" s="572"/>
      <c r="Z189" s="572"/>
    </row>
    <row r="190" spans="1:26" ht="12.75" customHeight="1" x14ac:dyDescent="0.3">
      <c r="A190" s="572"/>
      <c r="B190" s="572"/>
      <c r="C190" s="572"/>
      <c r="D190" s="572"/>
      <c r="E190" s="572"/>
      <c r="F190" s="572"/>
      <c r="G190" s="572"/>
      <c r="H190" s="572"/>
      <c r="I190" s="572"/>
      <c r="J190" s="572"/>
      <c r="K190" s="572"/>
      <c r="L190" s="572"/>
      <c r="M190" s="572"/>
      <c r="N190" s="572"/>
      <c r="O190" s="572"/>
      <c r="P190" s="572"/>
      <c r="Q190" s="572"/>
      <c r="R190" s="572"/>
      <c r="S190" s="572"/>
      <c r="T190" s="572"/>
      <c r="U190" s="572"/>
      <c r="V190" s="572"/>
      <c r="W190" s="572"/>
      <c r="X190" s="572"/>
      <c r="Y190" s="572"/>
      <c r="Z190" s="572"/>
    </row>
    <row r="191" spans="1:26" ht="12.75" customHeight="1" x14ac:dyDescent="0.3">
      <c r="A191" s="572"/>
      <c r="B191" s="572"/>
      <c r="C191" s="572"/>
      <c r="D191" s="572"/>
      <c r="E191" s="572"/>
      <c r="F191" s="572"/>
      <c r="G191" s="572"/>
      <c r="H191" s="572"/>
      <c r="I191" s="572"/>
      <c r="J191" s="572"/>
      <c r="K191" s="572"/>
      <c r="L191" s="572"/>
      <c r="M191" s="572"/>
      <c r="N191" s="572"/>
      <c r="O191" s="572"/>
      <c r="P191" s="572"/>
      <c r="Q191" s="572"/>
      <c r="R191" s="572"/>
      <c r="S191" s="572"/>
      <c r="T191" s="572"/>
      <c r="U191" s="572"/>
      <c r="V191" s="572"/>
      <c r="W191" s="572"/>
      <c r="X191" s="572"/>
      <c r="Y191" s="572"/>
      <c r="Z191" s="572"/>
    </row>
    <row r="192" spans="1:26" ht="12.75" customHeight="1" x14ac:dyDescent="0.3">
      <c r="A192" s="572"/>
      <c r="B192" s="572"/>
      <c r="C192" s="572"/>
      <c r="D192" s="572"/>
      <c r="E192" s="572"/>
      <c r="F192" s="572"/>
      <c r="G192" s="572"/>
      <c r="H192" s="572"/>
      <c r="I192" s="572"/>
      <c r="J192" s="572"/>
      <c r="K192" s="572"/>
      <c r="L192" s="572"/>
      <c r="M192" s="572"/>
      <c r="N192" s="572"/>
      <c r="O192" s="572"/>
      <c r="P192" s="572"/>
      <c r="Q192" s="572"/>
      <c r="R192" s="572"/>
      <c r="S192" s="572"/>
      <c r="T192" s="572"/>
      <c r="U192" s="572"/>
      <c r="V192" s="572"/>
      <c r="W192" s="572"/>
      <c r="X192" s="572"/>
      <c r="Y192" s="572"/>
      <c r="Z192" s="572"/>
    </row>
    <row r="193" spans="1:26" ht="12.75" customHeight="1" x14ac:dyDescent="0.3">
      <c r="A193" s="572"/>
      <c r="B193" s="572"/>
      <c r="C193" s="572"/>
      <c r="D193" s="572"/>
      <c r="E193" s="572"/>
      <c r="F193" s="572"/>
      <c r="G193" s="572"/>
      <c r="H193" s="572"/>
      <c r="I193" s="572"/>
      <c r="J193" s="572"/>
      <c r="K193" s="572"/>
      <c r="L193" s="572"/>
      <c r="M193" s="572"/>
      <c r="N193" s="572"/>
      <c r="O193" s="572"/>
      <c r="P193" s="572"/>
      <c r="Q193" s="572"/>
      <c r="R193" s="572"/>
      <c r="S193" s="572"/>
      <c r="T193" s="572"/>
      <c r="U193" s="572"/>
      <c r="V193" s="572"/>
      <c r="W193" s="572"/>
      <c r="X193" s="572"/>
      <c r="Y193" s="572"/>
      <c r="Z193" s="572"/>
    </row>
    <row r="194" spans="1:26" ht="12.75" customHeight="1" x14ac:dyDescent="0.3">
      <c r="A194" s="572"/>
      <c r="B194" s="572"/>
      <c r="C194" s="572"/>
      <c r="D194" s="572"/>
      <c r="E194" s="572"/>
      <c r="F194" s="572"/>
      <c r="G194" s="572"/>
      <c r="H194" s="572"/>
      <c r="I194" s="572"/>
      <c r="J194" s="572"/>
      <c r="K194" s="572"/>
      <c r="L194" s="572"/>
      <c r="M194" s="572"/>
      <c r="N194" s="572"/>
      <c r="O194" s="572"/>
      <c r="P194" s="572"/>
      <c r="Q194" s="572"/>
      <c r="R194" s="572"/>
      <c r="S194" s="572"/>
      <c r="T194" s="572"/>
      <c r="U194" s="572"/>
      <c r="V194" s="572"/>
      <c r="W194" s="572"/>
      <c r="X194" s="572"/>
      <c r="Y194" s="572"/>
      <c r="Z194" s="572"/>
    </row>
    <row r="195" spans="1:26" ht="12.75" customHeight="1" x14ac:dyDescent="0.3">
      <c r="A195" s="572"/>
      <c r="B195" s="572"/>
      <c r="C195" s="572"/>
      <c r="D195" s="572"/>
      <c r="E195" s="572"/>
      <c r="F195" s="572"/>
      <c r="G195" s="572"/>
      <c r="H195" s="572"/>
      <c r="I195" s="572"/>
      <c r="J195" s="572"/>
      <c r="K195" s="572"/>
      <c r="L195" s="572"/>
      <c r="M195" s="572"/>
      <c r="N195" s="572"/>
      <c r="O195" s="572"/>
      <c r="P195" s="572"/>
      <c r="Q195" s="572"/>
      <c r="R195" s="572"/>
      <c r="S195" s="572"/>
      <c r="T195" s="572"/>
      <c r="U195" s="572"/>
      <c r="V195" s="572"/>
      <c r="W195" s="572"/>
      <c r="X195" s="572"/>
      <c r="Y195" s="572"/>
      <c r="Z195" s="572"/>
    </row>
    <row r="196" spans="1:26" ht="12.75" customHeight="1" x14ac:dyDescent="0.3">
      <c r="A196" s="572"/>
      <c r="B196" s="572"/>
      <c r="C196" s="572"/>
      <c r="D196" s="572"/>
      <c r="E196" s="572"/>
      <c r="F196" s="572"/>
      <c r="G196" s="572"/>
      <c r="H196" s="572"/>
      <c r="I196" s="572"/>
      <c r="J196" s="572"/>
      <c r="K196" s="572"/>
      <c r="L196" s="572"/>
      <c r="M196" s="572"/>
      <c r="N196" s="572"/>
      <c r="O196" s="572"/>
      <c r="P196" s="572"/>
      <c r="Q196" s="572"/>
      <c r="R196" s="572"/>
      <c r="S196" s="572"/>
      <c r="T196" s="572"/>
      <c r="U196" s="572"/>
      <c r="V196" s="572"/>
      <c r="W196" s="572"/>
      <c r="X196" s="572"/>
      <c r="Y196" s="572"/>
      <c r="Z196" s="572"/>
    </row>
    <row r="197" spans="1:26" ht="12.75" customHeight="1" x14ac:dyDescent="0.3">
      <c r="A197" s="572"/>
      <c r="B197" s="572"/>
      <c r="C197" s="572"/>
      <c r="D197" s="572"/>
      <c r="E197" s="572"/>
      <c r="F197" s="572"/>
      <c r="G197" s="572"/>
      <c r="H197" s="572"/>
      <c r="I197" s="572"/>
      <c r="J197" s="572"/>
      <c r="K197" s="572"/>
      <c r="L197" s="572"/>
      <c r="M197" s="572"/>
      <c r="N197" s="572"/>
      <c r="O197" s="572"/>
      <c r="P197" s="572"/>
      <c r="Q197" s="572"/>
      <c r="R197" s="572"/>
      <c r="S197" s="572"/>
      <c r="T197" s="572"/>
      <c r="U197" s="572"/>
      <c r="V197" s="572"/>
      <c r="W197" s="572"/>
      <c r="X197" s="572"/>
      <c r="Y197" s="572"/>
      <c r="Z197" s="572"/>
    </row>
    <row r="198" spans="1:26" ht="12.75" customHeight="1" x14ac:dyDescent="0.3">
      <c r="A198" s="572"/>
      <c r="B198" s="572"/>
      <c r="C198" s="572"/>
      <c r="D198" s="572"/>
      <c r="E198" s="572"/>
      <c r="F198" s="572"/>
      <c r="G198" s="572"/>
      <c r="H198" s="572"/>
      <c r="I198" s="572"/>
      <c r="J198" s="572"/>
      <c r="K198" s="572"/>
      <c r="L198" s="572"/>
      <c r="M198" s="572"/>
      <c r="N198" s="572"/>
      <c r="O198" s="572"/>
      <c r="P198" s="572"/>
      <c r="Q198" s="572"/>
      <c r="R198" s="572"/>
      <c r="S198" s="572"/>
      <c r="T198" s="572"/>
      <c r="U198" s="572"/>
      <c r="V198" s="572"/>
      <c r="W198" s="572"/>
      <c r="X198" s="572"/>
      <c r="Y198" s="572"/>
      <c r="Z198" s="572"/>
    </row>
    <row r="199" spans="1:26" ht="12.75" customHeight="1" x14ac:dyDescent="0.3">
      <c r="A199" s="572"/>
      <c r="B199" s="572"/>
      <c r="C199" s="572"/>
      <c r="D199" s="572"/>
      <c r="E199" s="572"/>
      <c r="F199" s="572"/>
      <c r="G199" s="572"/>
      <c r="H199" s="572"/>
      <c r="I199" s="572"/>
      <c r="J199" s="572"/>
      <c r="K199" s="572"/>
      <c r="L199" s="572"/>
      <c r="M199" s="572"/>
      <c r="N199" s="572"/>
      <c r="O199" s="572"/>
      <c r="P199" s="572"/>
      <c r="Q199" s="572"/>
      <c r="R199" s="572"/>
      <c r="S199" s="572"/>
      <c r="T199" s="572"/>
      <c r="U199" s="572"/>
      <c r="V199" s="572"/>
      <c r="W199" s="572"/>
      <c r="X199" s="572"/>
      <c r="Y199" s="572"/>
      <c r="Z199" s="572"/>
    </row>
    <row r="200" spans="1:26" ht="12.75" customHeight="1" x14ac:dyDescent="0.3">
      <c r="A200" s="572"/>
      <c r="B200" s="572"/>
      <c r="C200" s="572"/>
      <c r="D200" s="572"/>
      <c r="E200" s="572"/>
      <c r="F200" s="572"/>
      <c r="G200" s="572"/>
      <c r="H200" s="572"/>
      <c r="I200" s="572"/>
      <c r="J200" s="572"/>
      <c r="K200" s="572"/>
      <c r="L200" s="572"/>
      <c r="M200" s="572"/>
      <c r="N200" s="572"/>
      <c r="O200" s="572"/>
      <c r="P200" s="572"/>
      <c r="Q200" s="572"/>
      <c r="R200" s="572"/>
      <c r="S200" s="572"/>
      <c r="T200" s="572"/>
      <c r="U200" s="572"/>
      <c r="V200" s="572"/>
      <c r="W200" s="572"/>
      <c r="X200" s="572"/>
      <c r="Y200" s="572"/>
      <c r="Z200" s="572"/>
    </row>
    <row r="201" spans="1:26" ht="12.75" customHeight="1" x14ac:dyDescent="0.3">
      <c r="A201" s="572"/>
      <c r="B201" s="572"/>
      <c r="C201" s="572"/>
      <c r="D201" s="572"/>
      <c r="E201" s="572"/>
      <c r="F201" s="572"/>
      <c r="G201" s="572"/>
      <c r="H201" s="572"/>
      <c r="I201" s="572"/>
      <c r="J201" s="572"/>
      <c r="K201" s="572"/>
      <c r="L201" s="572"/>
      <c r="M201" s="572"/>
      <c r="N201" s="572"/>
      <c r="O201" s="572"/>
      <c r="P201" s="572"/>
      <c r="Q201" s="572"/>
      <c r="R201" s="572"/>
      <c r="S201" s="572"/>
      <c r="T201" s="572"/>
      <c r="U201" s="572"/>
      <c r="V201" s="572"/>
      <c r="W201" s="572"/>
      <c r="X201" s="572"/>
      <c r="Y201" s="572"/>
      <c r="Z201" s="572"/>
    </row>
    <row r="202" spans="1:26" ht="12.75" customHeight="1" x14ac:dyDescent="0.3">
      <c r="A202" s="572"/>
      <c r="B202" s="572"/>
      <c r="C202" s="572"/>
      <c r="D202" s="572"/>
      <c r="E202" s="572"/>
      <c r="F202" s="572"/>
      <c r="G202" s="572"/>
      <c r="H202" s="572"/>
      <c r="I202" s="572"/>
      <c r="J202" s="572"/>
      <c r="K202" s="572"/>
      <c r="L202" s="572"/>
      <c r="M202" s="572"/>
      <c r="N202" s="572"/>
      <c r="O202" s="572"/>
      <c r="P202" s="572"/>
      <c r="Q202" s="572"/>
      <c r="R202" s="572"/>
      <c r="S202" s="572"/>
      <c r="T202" s="572"/>
      <c r="U202" s="572"/>
      <c r="V202" s="572"/>
      <c r="W202" s="572"/>
      <c r="X202" s="572"/>
      <c r="Y202" s="572"/>
      <c r="Z202" s="572"/>
    </row>
    <row r="203" spans="1:26" ht="12.75" customHeight="1" x14ac:dyDescent="0.3">
      <c r="A203" s="572"/>
      <c r="B203" s="572"/>
      <c r="C203" s="572"/>
      <c r="D203" s="572"/>
      <c r="E203" s="572"/>
      <c r="F203" s="572"/>
      <c r="G203" s="572"/>
      <c r="H203" s="572"/>
      <c r="I203" s="572"/>
      <c r="J203" s="572"/>
      <c r="K203" s="572"/>
      <c r="L203" s="572"/>
      <c r="M203" s="572"/>
      <c r="N203" s="572"/>
      <c r="O203" s="572"/>
      <c r="P203" s="572"/>
      <c r="Q203" s="572"/>
      <c r="R203" s="572"/>
      <c r="S203" s="572"/>
      <c r="T203" s="572"/>
      <c r="U203" s="572"/>
      <c r="V203" s="572"/>
      <c r="W203" s="572"/>
      <c r="X203" s="572"/>
      <c r="Y203" s="572"/>
      <c r="Z203" s="572"/>
    </row>
    <row r="204" spans="1:26" ht="12.75" customHeight="1" x14ac:dyDescent="0.3">
      <c r="A204" s="572"/>
      <c r="B204" s="572"/>
      <c r="C204" s="572"/>
      <c r="D204" s="572"/>
      <c r="E204" s="572"/>
      <c r="F204" s="572"/>
      <c r="G204" s="572"/>
      <c r="H204" s="572"/>
      <c r="I204" s="572"/>
      <c r="J204" s="572"/>
      <c r="K204" s="572"/>
      <c r="L204" s="572"/>
      <c r="M204" s="572"/>
      <c r="N204" s="572"/>
      <c r="O204" s="572"/>
      <c r="P204" s="572"/>
      <c r="Q204" s="572"/>
      <c r="R204" s="572"/>
      <c r="S204" s="572"/>
      <c r="T204" s="572"/>
      <c r="U204" s="572"/>
      <c r="V204" s="572"/>
      <c r="W204" s="572"/>
      <c r="X204" s="572"/>
      <c r="Y204" s="572"/>
      <c r="Z204" s="572"/>
    </row>
    <row r="205" spans="1:26" ht="12.75" customHeight="1" x14ac:dyDescent="0.3">
      <c r="A205" s="572"/>
      <c r="B205" s="572"/>
      <c r="C205" s="572"/>
      <c r="D205" s="572"/>
      <c r="E205" s="572"/>
      <c r="F205" s="572"/>
      <c r="G205" s="572"/>
      <c r="H205" s="572"/>
      <c r="I205" s="572"/>
      <c r="J205" s="572"/>
      <c r="K205" s="572"/>
      <c r="L205" s="572"/>
      <c r="M205" s="572"/>
      <c r="N205" s="572"/>
      <c r="O205" s="572"/>
      <c r="P205" s="572"/>
      <c r="Q205" s="572"/>
      <c r="R205" s="572"/>
      <c r="S205" s="572"/>
      <c r="T205" s="572"/>
      <c r="U205" s="572"/>
      <c r="V205" s="572"/>
      <c r="W205" s="572"/>
      <c r="X205" s="572"/>
      <c r="Y205" s="572"/>
      <c r="Z205" s="572"/>
    </row>
    <row r="206" spans="1:26" ht="12.75" customHeight="1" x14ac:dyDescent="0.3">
      <c r="A206" s="572"/>
      <c r="B206" s="572"/>
      <c r="C206" s="572"/>
      <c r="D206" s="572"/>
      <c r="E206" s="572"/>
      <c r="F206" s="572"/>
      <c r="G206" s="572"/>
      <c r="H206" s="572"/>
      <c r="I206" s="572"/>
      <c r="J206" s="572"/>
      <c r="K206" s="572"/>
      <c r="L206" s="572"/>
      <c r="M206" s="572"/>
      <c r="N206" s="572"/>
      <c r="O206" s="572"/>
      <c r="P206" s="572"/>
      <c r="Q206" s="572"/>
      <c r="R206" s="572"/>
      <c r="S206" s="572"/>
      <c r="T206" s="572"/>
      <c r="U206" s="572"/>
      <c r="V206" s="572"/>
      <c r="W206" s="572"/>
      <c r="X206" s="572"/>
      <c r="Y206" s="572"/>
      <c r="Z206" s="572"/>
    </row>
    <row r="207" spans="1:26" ht="12.75" customHeight="1" x14ac:dyDescent="0.3">
      <c r="A207" s="572"/>
      <c r="B207" s="572"/>
      <c r="C207" s="572"/>
      <c r="D207" s="572"/>
      <c r="E207" s="572"/>
      <c r="F207" s="572"/>
      <c r="G207" s="572"/>
      <c r="H207" s="572"/>
      <c r="I207" s="572"/>
      <c r="J207" s="572"/>
      <c r="K207" s="572"/>
      <c r="L207" s="572"/>
      <c r="M207" s="572"/>
      <c r="N207" s="572"/>
      <c r="O207" s="572"/>
      <c r="P207" s="572"/>
      <c r="Q207" s="572"/>
      <c r="R207" s="572"/>
      <c r="S207" s="572"/>
      <c r="T207" s="572"/>
      <c r="U207" s="572"/>
      <c r="V207" s="572"/>
      <c r="W207" s="572"/>
      <c r="X207" s="572"/>
      <c r="Y207" s="572"/>
      <c r="Z207" s="572"/>
    </row>
    <row r="208" spans="1:26" ht="12.75" customHeight="1" x14ac:dyDescent="0.3">
      <c r="A208" s="572"/>
      <c r="B208" s="572"/>
      <c r="C208" s="572"/>
      <c r="D208" s="572"/>
      <c r="E208" s="572"/>
      <c r="F208" s="572"/>
      <c r="G208" s="572"/>
      <c r="H208" s="572"/>
      <c r="I208" s="572"/>
      <c r="J208" s="572"/>
      <c r="K208" s="572"/>
      <c r="L208" s="572"/>
      <c r="M208" s="572"/>
      <c r="N208" s="572"/>
      <c r="O208" s="572"/>
      <c r="P208" s="572"/>
      <c r="Q208" s="572"/>
      <c r="R208" s="572"/>
      <c r="S208" s="572"/>
      <c r="T208" s="572"/>
      <c r="U208" s="572"/>
      <c r="V208" s="572"/>
      <c r="W208" s="572"/>
      <c r="X208" s="572"/>
      <c r="Y208" s="572"/>
      <c r="Z208" s="572"/>
    </row>
    <row r="209" spans="1:26" ht="12.75" customHeight="1" x14ac:dyDescent="0.3">
      <c r="A209" s="572"/>
      <c r="B209" s="572"/>
      <c r="C209" s="572"/>
      <c r="D209" s="572"/>
      <c r="E209" s="572"/>
      <c r="F209" s="572"/>
      <c r="G209" s="572"/>
      <c r="H209" s="572"/>
      <c r="I209" s="572"/>
      <c r="J209" s="572"/>
      <c r="K209" s="572"/>
      <c r="L209" s="572"/>
      <c r="M209" s="572"/>
      <c r="N209" s="572"/>
      <c r="O209" s="572"/>
      <c r="P209" s="572"/>
      <c r="Q209" s="572"/>
      <c r="R209" s="572"/>
      <c r="S209" s="572"/>
      <c r="T209" s="572"/>
      <c r="U209" s="572"/>
      <c r="V209" s="572"/>
      <c r="W209" s="572"/>
      <c r="X209" s="572"/>
      <c r="Y209" s="572"/>
      <c r="Z209" s="572"/>
    </row>
    <row r="210" spans="1:26" ht="12.75" customHeight="1" x14ac:dyDescent="0.3">
      <c r="A210" s="572"/>
      <c r="B210" s="572"/>
      <c r="C210" s="572"/>
      <c r="D210" s="572"/>
      <c r="E210" s="572"/>
      <c r="F210" s="572"/>
      <c r="G210" s="572"/>
      <c r="H210" s="572"/>
      <c r="I210" s="572"/>
      <c r="J210" s="572"/>
      <c r="K210" s="572"/>
      <c r="L210" s="572"/>
      <c r="M210" s="572"/>
      <c r="N210" s="572"/>
      <c r="O210" s="572"/>
      <c r="P210" s="572"/>
      <c r="Q210" s="572"/>
      <c r="R210" s="572"/>
      <c r="S210" s="572"/>
      <c r="T210" s="572"/>
      <c r="U210" s="572"/>
      <c r="V210" s="572"/>
      <c r="W210" s="572"/>
      <c r="X210" s="572"/>
      <c r="Y210" s="572"/>
      <c r="Z210" s="572"/>
    </row>
    <row r="211" spans="1:26" ht="12.75" customHeight="1" x14ac:dyDescent="0.3">
      <c r="A211" s="572"/>
      <c r="B211" s="572"/>
      <c r="C211" s="572"/>
      <c r="D211" s="572"/>
      <c r="E211" s="572"/>
      <c r="F211" s="572"/>
      <c r="G211" s="572"/>
      <c r="H211" s="572"/>
      <c r="I211" s="572"/>
      <c r="J211" s="572"/>
      <c r="K211" s="572"/>
      <c r="L211" s="572"/>
      <c r="M211" s="572"/>
      <c r="N211" s="572"/>
      <c r="O211" s="572"/>
      <c r="P211" s="572"/>
      <c r="Q211" s="572"/>
      <c r="R211" s="572"/>
      <c r="S211" s="572"/>
      <c r="T211" s="572"/>
      <c r="U211" s="572"/>
      <c r="V211" s="572"/>
      <c r="W211" s="572"/>
      <c r="X211" s="572"/>
      <c r="Y211" s="572"/>
      <c r="Z211" s="572"/>
    </row>
    <row r="212" spans="1:26" ht="12.75" customHeight="1" x14ac:dyDescent="0.3">
      <c r="A212" s="572"/>
      <c r="B212" s="572"/>
      <c r="C212" s="572"/>
      <c r="D212" s="572"/>
      <c r="E212" s="572"/>
      <c r="F212" s="572"/>
      <c r="G212" s="572"/>
      <c r="H212" s="572"/>
      <c r="I212" s="572"/>
      <c r="J212" s="572"/>
      <c r="K212" s="572"/>
      <c r="L212" s="572"/>
      <c r="M212" s="572"/>
      <c r="N212" s="572"/>
      <c r="O212" s="572"/>
      <c r="P212" s="572"/>
      <c r="Q212" s="572"/>
      <c r="R212" s="572"/>
      <c r="S212" s="572"/>
      <c r="T212" s="572"/>
      <c r="U212" s="572"/>
      <c r="V212" s="572"/>
      <c r="W212" s="572"/>
      <c r="X212" s="572"/>
      <c r="Y212" s="572"/>
      <c r="Z212" s="572"/>
    </row>
    <row r="213" spans="1:26" ht="12.75" customHeight="1" x14ac:dyDescent="0.3">
      <c r="A213" s="572"/>
      <c r="B213" s="572"/>
      <c r="C213" s="572"/>
      <c r="D213" s="572"/>
      <c r="E213" s="572"/>
      <c r="F213" s="572"/>
      <c r="G213" s="572"/>
      <c r="H213" s="572"/>
      <c r="I213" s="572"/>
      <c r="J213" s="572"/>
      <c r="K213" s="572"/>
      <c r="L213" s="572"/>
      <c r="M213" s="572"/>
      <c r="N213" s="572"/>
      <c r="O213" s="572"/>
      <c r="P213" s="572"/>
      <c r="Q213" s="572"/>
      <c r="R213" s="572"/>
      <c r="S213" s="572"/>
      <c r="T213" s="572"/>
      <c r="U213" s="572"/>
      <c r="V213" s="572"/>
      <c r="W213" s="572"/>
      <c r="X213" s="572"/>
      <c r="Y213" s="572"/>
      <c r="Z213" s="572"/>
    </row>
    <row r="214" spans="1:26" ht="12.75" customHeight="1" x14ac:dyDescent="0.3">
      <c r="A214" s="572"/>
      <c r="B214" s="572"/>
      <c r="C214" s="572"/>
      <c r="D214" s="572"/>
      <c r="E214" s="572"/>
      <c r="F214" s="572"/>
      <c r="G214" s="572"/>
      <c r="H214" s="572"/>
      <c r="I214" s="572"/>
      <c r="J214" s="572"/>
      <c r="K214" s="572"/>
      <c r="L214" s="572"/>
      <c r="M214" s="572"/>
      <c r="N214" s="572"/>
      <c r="O214" s="572"/>
      <c r="P214" s="572"/>
      <c r="Q214" s="572"/>
      <c r="R214" s="572"/>
      <c r="S214" s="572"/>
      <c r="T214" s="572"/>
      <c r="U214" s="572"/>
      <c r="V214" s="572"/>
      <c r="W214" s="572"/>
      <c r="X214" s="572"/>
      <c r="Y214" s="572"/>
      <c r="Z214" s="572"/>
    </row>
    <row r="215" spans="1:26" ht="12.75" customHeight="1" x14ac:dyDescent="0.3">
      <c r="A215" s="572"/>
      <c r="B215" s="572"/>
      <c r="C215" s="572"/>
      <c r="D215" s="572"/>
      <c r="E215" s="572"/>
      <c r="F215" s="572"/>
      <c r="G215" s="572"/>
      <c r="H215" s="572"/>
      <c r="I215" s="572"/>
      <c r="J215" s="572"/>
      <c r="K215" s="572"/>
      <c r="L215" s="572"/>
      <c r="M215" s="572"/>
      <c r="N215" s="572"/>
      <c r="O215" s="572"/>
      <c r="P215" s="572"/>
      <c r="Q215" s="572"/>
      <c r="R215" s="572"/>
      <c r="S215" s="572"/>
      <c r="T215" s="572"/>
      <c r="U215" s="572"/>
      <c r="V215" s="572"/>
      <c r="W215" s="572"/>
      <c r="X215" s="572"/>
      <c r="Y215" s="572"/>
      <c r="Z215" s="572"/>
    </row>
    <row r="216" spans="1:26" ht="12.75" customHeight="1" x14ac:dyDescent="0.3">
      <c r="A216" s="572"/>
      <c r="B216" s="572"/>
      <c r="C216" s="572"/>
      <c r="D216" s="572"/>
      <c r="E216" s="572"/>
      <c r="F216" s="572"/>
      <c r="G216" s="572"/>
      <c r="H216" s="572"/>
      <c r="I216" s="572"/>
      <c r="J216" s="572"/>
      <c r="K216" s="572"/>
      <c r="L216" s="572"/>
      <c r="M216" s="572"/>
      <c r="N216" s="572"/>
      <c r="O216" s="572"/>
      <c r="P216" s="572"/>
      <c r="Q216" s="572"/>
      <c r="R216" s="572"/>
      <c r="S216" s="572"/>
      <c r="T216" s="572"/>
      <c r="U216" s="572"/>
      <c r="V216" s="572"/>
      <c r="W216" s="572"/>
      <c r="X216" s="572"/>
      <c r="Y216" s="572"/>
      <c r="Z216" s="572"/>
    </row>
    <row r="217" spans="1:26" ht="12.75" customHeight="1" x14ac:dyDescent="0.3">
      <c r="A217" s="572"/>
      <c r="B217" s="572"/>
      <c r="C217" s="572"/>
      <c r="D217" s="572"/>
      <c r="E217" s="572"/>
      <c r="F217" s="572"/>
      <c r="G217" s="572"/>
      <c r="H217" s="572"/>
      <c r="I217" s="572"/>
      <c r="J217" s="572"/>
      <c r="K217" s="572"/>
      <c r="L217" s="572"/>
      <c r="M217" s="572"/>
      <c r="N217" s="572"/>
      <c r="O217" s="572"/>
      <c r="P217" s="572"/>
      <c r="Q217" s="572"/>
      <c r="R217" s="572"/>
      <c r="S217" s="572"/>
      <c r="T217" s="572"/>
      <c r="U217" s="572"/>
      <c r="V217" s="572"/>
      <c r="W217" s="572"/>
      <c r="X217" s="572"/>
      <c r="Y217" s="572"/>
      <c r="Z217" s="572"/>
    </row>
    <row r="218" spans="1:26" ht="12.75" customHeight="1" x14ac:dyDescent="0.3">
      <c r="A218" s="572"/>
      <c r="B218" s="572"/>
      <c r="C218" s="572"/>
      <c r="D218" s="572"/>
      <c r="E218" s="572"/>
      <c r="F218" s="572"/>
      <c r="G218" s="572"/>
      <c r="H218" s="572"/>
      <c r="I218" s="572"/>
      <c r="J218" s="572"/>
      <c r="K218" s="572"/>
      <c r="L218" s="572"/>
      <c r="M218" s="572"/>
      <c r="N218" s="572"/>
      <c r="O218" s="572"/>
      <c r="P218" s="572"/>
      <c r="Q218" s="572"/>
      <c r="R218" s="572"/>
      <c r="S218" s="572"/>
      <c r="T218" s="572"/>
      <c r="U218" s="572"/>
      <c r="V218" s="572"/>
      <c r="W218" s="572"/>
      <c r="X218" s="572"/>
      <c r="Y218" s="572"/>
      <c r="Z218" s="572"/>
    </row>
    <row r="219" spans="1:26" ht="12.75" customHeight="1" x14ac:dyDescent="0.3">
      <c r="A219" s="572"/>
      <c r="B219" s="572"/>
      <c r="C219" s="572"/>
      <c r="D219" s="572"/>
      <c r="E219" s="572"/>
      <c r="F219" s="572"/>
      <c r="G219" s="572"/>
      <c r="H219" s="572"/>
      <c r="I219" s="572"/>
      <c r="J219" s="572"/>
      <c r="K219" s="572"/>
      <c r="L219" s="572"/>
      <c r="M219" s="572"/>
      <c r="N219" s="572"/>
      <c r="O219" s="572"/>
      <c r="P219" s="572"/>
      <c r="Q219" s="572"/>
      <c r="R219" s="572"/>
      <c r="S219" s="572"/>
      <c r="T219" s="572"/>
      <c r="U219" s="572"/>
      <c r="V219" s="572"/>
      <c r="W219" s="572"/>
      <c r="X219" s="572"/>
      <c r="Y219" s="572"/>
      <c r="Z219" s="572"/>
    </row>
    <row r="220" spans="1:26" ht="12.75" customHeight="1" x14ac:dyDescent="0.3">
      <c r="A220" s="572"/>
      <c r="B220" s="572"/>
      <c r="C220" s="572"/>
      <c r="D220" s="572"/>
      <c r="E220" s="572"/>
      <c r="F220" s="572"/>
      <c r="G220" s="572"/>
      <c r="H220" s="572"/>
      <c r="I220" s="572"/>
      <c r="J220" s="572"/>
      <c r="K220" s="572"/>
      <c r="L220" s="572"/>
      <c r="M220" s="572"/>
      <c r="N220" s="572"/>
      <c r="O220" s="572"/>
      <c r="P220" s="572"/>
      <c r="Q220" s="572"/>
      <c r="R220" s="572"/>
      <c r="S220" s="572"/>
      <c r="T220" s="572"/>
      <c r="U220" s="572"/>
      <c r="V220" s="572"/>
      <c r="W220" s="572"/>
      <c r="X220" s="572"/>
      <c r="Y220" s="572"/>
      <c r="Z220" s="572"/>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2:E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heetViews>
  <sheetFormatPr baseColWidth="10" defaultColWidth="12.6640625" defaultRowHeight="15" customHeight="1" x14ac:dyDescent="0.3"/>
  <cols>
    <col min="1" max="1" width="5.88671875" customWidth="1"/>
    <col min="2" max="2" width="29.33203125" customWidth="1"/>
    <col min="3" max="3" width="10.6640625" customWidth="1"/>
    <col min="4" max="4" width="14.21875" customWidth="1"/>
    <col min="5" max="5" width="13.6640625" customWidth="1"/>
    <col min="6" max="6" width="7.109375" customWidth="1"/>
    <col min="7" max="7" width="18" customWidth="1"/>
    <col min="8" max="8" width="11.21875" customWidth="1"/>
    <col min="9" max="23" width="11.44140625" customWidth="1"/>
    <col min="24" max="26" width="10.6640625" customWidth="1"/>
  </cols>
  <sheetData>
    <row r="1" spans="1:26" ht="11.25" customHeight="1" x14ac:dyDescent="0.3">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row>
    <row r="2" spans="1:26" ht="11.25" customHeight="1" x14ac:dyDescent="0.3">
      <c r="A2" s="1105" t="s">
        <v>1902</v>
      </c>
      <c r="B2" s="1105" t="s">
        <v>1903</v>
      </c>
      <c r="C2" s="1108" t="s">
        <v>1904</v>
      </c>
      <c r="D2" s="1087"/>
      <c r="E2" s="1087"/>
      <c r="F2" s="1087"/>
      <c r="G2" s="1088"/>
      <c r="H2" s="584" t="s">
        <v>1905</v>
      </c>
      <c r="I2" s="585"/>
      <c r="J2" s="585"/>
      <c r="K2" s="585"/>
      <c r="L2" s="585"/>
      <c r="M2" s="586" t="s">
        <v>1906</v>
      </c>
      <c r="N2" s="587"/>
      <c r="O2" s="587"/>
      <c r="P2" s="587"/>
      <c r="Q2" s="587"/>
      <c r="R2" s="587"/>
      <c r="S2" s="587"/>
      <c r="T2" s="587"/>
      <c r="U2" s="587"/>
      <c r="V2" s="587"/>
      <c r="W2" s="383"/>
      <c r="X2" s="383"/>
      <c r="Y2" s="383"/>
      <c r="Z2" s="383"/>
    </row>
    <row r="3" spans="1:26" ht="11.25" customHeight="1" x14ac:dyDescent="0.3">
      <c r="A3" s="1106"/>
      <c r="B3" s="1106"/>
      <c r="C3" s="1110">
        <v>45901</v>
      </c>
      <c r="D3" s="1087"/>
      <c r="E3" s="1087"/>
      <c r="F3" s="1087"/>
      <c r="G3" s="1088"/>
      <c r="H3" s="588" t="s">
        <v>1907</v>
      </c>
      <c r="I3" s="588" t="s">
        <v>1908</v>
      </c>
      <c r="J3" s="588" t="s">
        <v>1909</v>
      </c>
      <c r="K3" s="588" t="s">
        <v>1910</v>
      </c>
      <c r="L3" s="588" t="s">
        <v>1911</v>
      </c>
      <c r="M3" s="589"/>
      <c r="N3" s="590"/>
      <c r="O3" s="590"/>
      <c r="P3" s="590"/>
      <c r="Q3" s="590"/>
      <c r="R3" s="590"/>
      <c r="S3" s="590"/>
      <c r="T3" s="590"/>
      <c r="U3" s="590"/>
      <c r="V3" s="590"/>
      <c r="W3" s="383"/>
      <c r="X3" s="383"/>
      <c r="Y3" s="383"/>
      <c r="Z3" s="383"/>
    </row>
    <row r="4" spans="1:26" ht="33" customHeight="1" x14ac:dyDescent="0.3">
      <c r="A4" s="1107"/>
      <c r="B4" s="1107"/>
      <c r="C4" s="591" t="s">
        <v>1912</v>
      </c>
      <c r="D4" s="592" t="s">
        <v>1913</v>
      </c>
      <c r="E4" s="592" t="s">
        <v>1914</v>
      </c>
      <c r="F4" s="591" t="s">
        <v>1892</v>
      </c>
      <c r="G4" s="591" t="s">
        <v>1915</v>
      </c>
      <c r="H4" s="392">
        <v>45957</v>
      </c>
      <c r="I4" s="392">
        <f>+H4+30</f>
        <v>45987</v>
      </c>
      <c r="J4" s="392">
        <f>+I4+30</f>
        <v>46017</v>
      </c>
      <c r="K4" s="392">
        <v>46023</v>
      </c>
      <c r="L4" s="392">
        <v>46054</v>
      </c>
      <c r="M4" s="593">
        <v>46112</v>
      </c>
      <c r="N4" s="392">
        <v>46142</v>
      </c>
      <c r="O4" s="392">
        <v>46172</v>
      </c>
      <c r="P4" s="392">
        <v>46202</v>
      </c>
      <c r="Q4" s="392">
        <v>46232</v>
      </c>
      <c r="R4" s="392">
        <v>46262</v>
      </c>
      <c r="S4" s="392">
        <v>46292</v>
      </c>
      <c r="T4" s="392">
        <v>46322</v>
      </c>
      <c r="U4" s="425">
        <v>46352</v>
      </c>
      <c r="V4" s="392">
        <v>46382</v>
      </c>
      <c r="W4" s="383"/>
      <c r="X4" s="383"/>
      <c r="Y4" s="383"/>
      <c r="Z4" s="383"/>
    </row>
    <row r="5" spans="1:26" ht="11.25" customHeight="1" x14ac:dyDescent="0.3">
      <c r="A5" s="594">
        <v>5041</v>
      </c>
      <c r="B5" s="287" t="s">
        <v>1916</v>
      </c>
      <c r="C5" s="595">
        <f>SUM('[1]Soporte Transaccional'!K2:K4197)</f>
        <v>0</v>
      </c>
      <c r="D5" s="596">
        <f>SUM('[1]Soporte Transaccional'!N2:N2189)</f>
        <v>0</v>
      </c>
      <c r="E5" s="596" t="e">
        <f>D5/C5</f>
        <v>#DIV/0!</v>
      </c>
      <c r="F5" s="597">
        <v>0.01</v>
      </c>
      <c r="G5" s="598">
        <f>D5*F5</f>
        <v>0</v>
      </c>
      <c r="H5" s="572"/>
      <c r="I5" s="572"/>
      <c r="J5" s="572"/>
      <c r="K5" s="572"/>
      <c r="L5" s="572"/>
      <c r="M5" s="572"/>
      <c r="N5" s="572"/>
      <c r="O5" s="572"/>
      <c r="P5" s="572"/>
      <c r="Q5" s="572"/>
      <c r="R5" s="572"/>
      <c r="S5" s="572"/>
      <c r="T5" s="572"/>
      <c r="U5" s="572"/>
      <c r="V5" s="572"/>
      <c r="W5" s="383"/>
      <c r="X5" s="383"/>
      <c r="Y5" s="383"/>
      <c r="Z5" s="383"/>
    </row>
    <row r="6" spans="1:26" ht="11.25" customHeight="1" x14ac:dyDescent="0.3">
      <c r="A6" s="594">
        <v>5041</v>
      </c>
      <c r="B6" s="287" t="s">
        <v>1917</v>
      </c>
      <c r="C6" s="595"/>
      <c r="D6" s="596"/>
      <c r="E6" s="596"/>
      <c r="F6" s="597"/>
      <c r="G6" s="599">
        <v>766721.67</v>
      </c>
      <c r="H6" s="579">
        <f>+G6</f>
        <v>766721.67</v>
      </c>
      <c r="I6" s="579">
        <v>958402.08</v>
      </c>
      <c r="J6" s="579">
        <v>1150082.5</v>
      </c>
      <c r="K6" s="579">
        <v>1341762.92</v>
      </c>
      <c r="L6" s="579">
        <v>1533443.33</v>
      </c>
      <c r="M6" s="579">
        <f>+L6</f>
        <v>1533443.33</v>
      </c>
      <c r="N6" s="579">
        <f>+M6</f>
        <v>1533443.33</v>
      </c>
      <c r="O6" s="600">
        <f>+N6*O9</f>
        <v>1673982.8530211279</v>
      </c>
      <c r="P6" s="579">
        <f>+O6</f>
        <v>1673982.8530211279</v>
      </c>
      <c r="Q6" s="579">
        <f>+P6</f>
        <v>1673982.8530211279</v>
      </c>
      <c r="R6" s="600">
        <f>+Q6*R9</f>
        <v>1809703.7933153342</v>
      </c>
      <c r="S6" s="579">
        <f>+R6</f>
        <v>1809703.7933153342</v>
      </c>
      <c r="T6" s="579">
        <f>+S6</f>
        <v>1809703.7933153342</v>
      </c>
      <c r="U6" s="600">
        <f>+T6*U9</f>
        <v>1971758.0428701178</v>
      </c>
      <c r="V6" s="579">
        <f>+U6</f>
        <v>1971758.0428701178</v>
      </c>
      <c r="W6" s="601">
        <f>SUM(K6:V6)</f>
        <v>20336668.934749626</v>
      </c>
      <c r="X6" s="383"/>
      <c r="Y6" s="383"/>
      <c r="Z6" s="383"/>
    </row>
    <row r="7" spans="1:26" ht="11.25" customHeight="1" x14ac:dyDescent="0.3">
      <c r="A7" s="1109" t="s">
        <v>1918</v>
      </c>
      <c r="B7" s="1087"/>
      <c r="C7" s="1087"/>
      <c r="D7" s="1087"/>
      <c r="E7" s="1087"/>
      <c r="F7" s="1088"/>
      <c r="G7" s="602">
        <f>G6</f>
        <v>766721.67</v>
      </c>
      <c r="H7" s="572"/>
      <c r="I7" s="572"/>
      <c r="J7" s="572"/>
      <c r="K7" s="572"/>
      <c r="L7" s="572"/>
      <c r="M7" s="603" t="s">
        <v>1919</v>
      </c>
      <c r="N7" s="603" t="s">
        <v>1919</v>
      </c>
      <c r="O7" s="604" t="s">
        <v>1920</v>
      </c>
      <c r="P7" s="572"/>
      <c r="Q7" s="572"/>
      <c r="R7" s="604" t="s">
        <v>1921</v>
      </c>
      <c r="S7" s="572"/>
      <c r="T7" s="572"/>
      <c r="U7" s="604" t="s">
        <v>1921</v>
      </c>
      <c r="V7" s="572"/>
      <c r="W7" s="383"/>
      <c r="X7" s="383"/>
      <c r="Y7" s="383"/>
      <c r="Z7" s="383"/>
    </row>
    <row r="8" spans="1:26" ht="11.25" customHeight="1" x14ac:dyDescent="0.3">
      <c r="A8" s="383"/>
      <c r="B8" s="383"/>
      <c r="C8" s="383"/>
      <c r="D8" s="383"/>
      <c r="E8" s="383"/>
      <c r="F8" s="383"/>
      <c r="G8" s="383"/>
      <c r="H8" s="383"/>
      <c r="I8" s="383"/>
      <c r="J8" s="383"/>
      <c r="K8" s="383"/>
      <c r="L8" s="383"/>
      <c r="M8" s="383"/>
      <c r="N8" s="383"/>
      <c r="O8" s="383"/>
      <c r="P8" s="383"/>
      <c r="Q8" s="383"/>
      <c r="R8" s="383"/>
      <c r="S8" s="383"/>
      <c r="T8" s="383"/>
      <c r="U8" s="383"/>
      <c r="V8" s="383"/>
      <c r="W8" s="383"/>
      <c r="X8" s="383"/>
      <c r="Y8" s="383"/>
      <c r="Z8" s="383"/>
    </row>
    <row r="9" spans="1:26" ht="11.25" customHeight="1" x14ac:dyDescent="0.3">
      <c r="A9" s="383"/>
      <c r="B9" s="383"/>
      <c r="C9" s="383"/>
      <c r="D9" s="383"/>
      <c r="E9" s="383"/>
      <c r="F9" s="383"/>
      <c r="G9" s="383"/>
      <c r="H9" s="383"/>
      <c r="I9" s="383"/>
      <c r="J9" s="383"/>
      <c r="K9" s="383"/>
      <c r="L9" s="383"/>
      <c r="M9" s="383"/>
      <c r="N9" s="383"/>
      <c r="O9" s="583">
        <f>1*(1+L10)*(1+M10)*(1+N10)</f>
        <v>1.0916496359999999</v>
      </c>
      <c r="P9" s="383"/>
      <c r="Q9" s="383"/>
      <c r="R9" s="583">
        <f>1*(1+O10)*(1+P10)*(1+Q10)</f>
        <v>1.0810766609999998</v>
      </c>
      <c r="S9" s="383"/>
      <c r="T9" s="383"/>
      <c r="U9" s="583">
        <f>1*(1+R10)*(1+S10)*(1+T10)</f>
        <v>1.0895473889999998</v>
      </c>
      <c r="V9" s="383"/>
      <c r="W9" s="383"/>
      <c r="X9" s="383"/>
      <c r="Y9" s="383"/>
      <c r="Z9" s="383"/>
    </row>
    <row r="10" spans="1:26" ht="11.25" customHeight="1" x14ac:dyDescent="0.3">
      <c r="A10" s="383"/>
      <c r="B10" s="383"/>
      <c r="C10" s="383"/>
      <c r="D10" s="383"/>
      <c r="E10" s="412"/>
      <c r="F10" s="412"/>
      <c r="G10" s="412" t="s">
        <v>1894</v>
      </c>
      <c r="H10" s="414">
        <f>+Flk!K34</f>
        <v>2.3E-2</v>
      </c>
      <c r="I10" s="414">
        <f>+Flk!L34</f>
        <v>0.02</v>
      </c>
      <c r="J10" s="414">
        <f>+Flk!M34</f>
        <v>0.02</v>
      </c>
      <c r="K10" s="414">
        <f>+Flk!B71</f>
        <v>2.9000000000000001E-2</v>
      </c>
      <c r="L10" s="414">
        <f>+Flk!C71</f>
        <v>2.9000000000000001E-2</v>
      </c>
      <c r="M10" s="414">
        <f>+Flk!D71</f>
        <v>3.4000000000000002E-2</v>
      </c>
      <c r="N10" s="414">
        <f>+Flk!E71</f>
        <v>2.5999999999999999E-2</v>
      </c>
      <c r="O10" s="414">
        <f>+Flk!F71</f>
        <v>2.1000000000000001E-2</v>
      </c>
      <c r="P10" s="414">
        <f>+Flk!G71</f>
        <v>2.9000000000000001E-2</v>
      </c>
      <c r="Q10" s="414">
        <f>+Flk!H71</f>
        <v>2.9000000000000001E-2</v>
      </c>
      <c r="R10" s="414">
        <f>+Flk!I71</f>
        <v>2.9000000000000001E-2</v>
      </c>
      <c r="S10" s="414">
        <f>+Flk!J71</f>
        <v>2.9000000000000001E-2</v>
      </c>
      <c r="T10" s="414">
        <f>+Flk!K71</f>
        <v>2.9000000000000001E-2</v>
      </c>
      <c r="U10" s="414">
        <f>+Flk!L71</f>
        <v>2.9000000000000001E-2</v>
      </c>
      <c r="V10" s="414">
        <f>+Flk!M71</f>
        <v>2.9000000000000001E-2</v>
      </c>
      <c r="W10" s="383"/>
      <c r="X10" s="383"/>
      <c r="Y10" s="383"/>
      <c r="Z10" s="383"/>
    </row>
    <row r="11" spans="1:26" ht="11.25" customHeight="1" x14ac:dyDescent="0.3">
      <c r="A11" s="383"/>
      <c r="B11" s="383"/>
      <c r="C11" s="383"/>
      <c r="D11" s="383"/>
      <c r="E11" s="383"/>
      <c r="F11" s="383"/>
      <c r="G11" s="383"/>
      <c r="H11" s="383"/>
      <c r="I11" s="383"/>
      <c r="J11" s="383"/>
      <c r="K11" s="383"/>
      <c r="L11" s="383"/>
      <c r="M11" s="383"/>
      <c r="N11" s="383"/>
      <c r="O11" s="383"/>
      <c r="P11" s="383"/>
      <c r="Q11" s="383"/>
      <c r="R11" s="383"/>
      <c r="S11" s="383"/>
      <c r="T11" s="383"/>
      <c r="U11" s="383"/>
      <c r="V11" s="383"/>
      <c r="W11" s="383"/>
      <c r="X11" s="383"/>
      <c r="Y11" s="383"/>
      <c r="Z11" s="383"/>
    </row>
    <row r="12" spans="1:26" ht="11.25" customHeight="1" x14ac:dyDescent="0.3">
      <c r="A12" s="383"/>
      <c r="B12" s="383"/>
      <c r="C12" s="383"/>
      <c r="D12" s="383"/>
      <c r="E12" s="383"/>
      <c r="F12" s="383"/>
      <c r="G12" s="383"/>
      <c r="H12" s="383"/>
      <c r="I12" s="383"/>
      <c r="J12" s="383"/>
      <c r="K12" s="383"/>
      <c r="L12" s="383"/>
      <c r="M12" s="383"/>
      <c r="N12" s="383"/>
      <c r="O12" s="383"/>
      <c r="P12" s="383"/>
      <c r="Q12" s="383"/>
      <c r="R12" s="383"/>
      <c r="S12" s="383"/>
      <c r="T12" s="383"/>
      <c r="U12" s="383"/>
      <c r="V12" s="383"/>
      <c r="W12" s="383"/>
      <c r="X12" s="383"/>
      <c r="Y12" s="383"/>
      <c r="Z12" s="383"/>
    </row>
    <row r="13" spans="1:26" ht="15" customHeight="1" x14ac:dyDescent="0.3">
      <c r="A13" s="605" t="s">
        <v>1922</v>
      </c>
      <c r="B13" s="606"/>
      <c r="C13" s="606"/>
      <c r="D13" s="606"/>
      <c r="E13" s="383"/>
      <c r="F13" s="383"/>
      <c r="G13" s="383"/>
      <c r="H13" s="383"/>
      <c r="I13" s="383"/>
      <c r="J13" s="383"/>
      <c r="K13" s="383"/>
      <c r="L13" s="383"/>
      <c r="M13" s="383"/>
      <c r="N13" s="383"/>
      <c r="O13" s="383"/>
      <c r="P13" s="383"/>
      <c r="Q13" s="383"/>
      <c r="R13" s="383"/>
      <c r="S13" s="383"/>
      <c r="T13" s="383"/>
      <c r="U13" s="383"/>
      <c r="V13" s="383"/>
      <c r="W13" s="383"/>
      <c r="X13" s="383"/>
      <c r="Y13" s="383"/>
      <c r="Z13" s="383"/>
    </row>
    <row r="14" spans="1:26" ht="11.25" customHeight="1" x14ac:dyDescent="0.3">
      <c r="A14" s="383"/>
      <c r="B14" s="383"/>
      <c r="C14" s="383"/>
      <c r="D14" s="383"/>
      <c r="E14" s="383"/>
      <c r="F14" s="383"/>
      <c r="G14" s="383"/>
      <c r="H14" s="383"/>
      <c r="I14" s="383"/>
      <c r="J14" s="383"/>
      <c r="K14" s="383"/>
      <c r="L14" s="383"/>
      <c r="M14" s="383"/>
      <c r="N14" s="383"/>
      <c r="O14" s="383"/>
      <c r="P14" s="383"/>
      <c r="Q14" s="383"/>
      <c r="R14" s="383"/>
      <c r="S14" s="383"/>
      <c r="T14" s="383"/>
      <c r="U14" s="383"/>
      <c r="V14" s="383"/>
      <c r="W14" s="383"/>
      <c r="X14" s="383"/>
      <c r="Y14" s="383"/>
      <c r="Z14" s="383"/>
    </row>
    <row r="15" spans="1:26" ht="11.25" customHeight="1" x14ac:dyDescent="0.3">
      <c r="A15" s="383"/>
      <c r="B15" s="383"/>
      <c r="C15" s="383"/>
      <c r="D15" s="383"/>
      <c r="E15" s="383"/>
      <c r="F15" s="383"/>
      <c r="G15" s="383"/>
      <c r="H15" s="383"/>
      <c r="I15" s="383"/>
      <c r="J15" s="383"/>
      <c r="K15" s="383"/>
      <c r="L15" s="383"/>
      <c r="M15" s="383"/>
      <c r="N15" s="383"/>
      <c r="O15" s="383"/>
      <c r="P15" s="383"/>
      <c r="Q15" s="383"/>
      <c r="R15" s="383"/>
      <c r="S15" s="383"/>
      <c r="T15" s="383"/>
      <c r="U15" s="383"/>
      <c r="V15" s="383"/>
      <c r="W15" s="383"/>
      <c r="X15" s="383"/>
      <c r="Y15" s="383"/>
      <c r="Z15" s="383"/>
    </row>
    <row r="16" spans="1:26" ht="11.25" customHeight="1" x14ac:dyDescent="0.3">
      <c r="A16" s="383"/>
      <c r="B16" s="383"/>
      <c r="C16" s="383"/>
      <c r="D16" s="383"/>
      <c r="E16" s="383"/>
      <c r="F16" s="383"/>
      <c r="G16" s="383"/>
      <c r="H16" s="383"/>
      <c r="I16" s="383"/>
      <c r="J16" s="383"/>
      <c r="K16" s="383"/>
      <c r="L16" s="383"/>
      <c r="M16" s="383"/>
      <c r="N16" s="383"/>
      <c r="O16" s="383"/>
      <c r="P16" s="383"/>
      <c r="Q16" s="383"/>
      <c r="R16" s="383"/>
      <c r="S16" s="383"/>
      <c r="T16" s="383"/>
      <c r="U16" s="383"/>
      <c r="V16" s="383"/>
      <c r="W16" s="383"/>
      <c r="X16" s="383"/>
      <c r="Y16" s="383"/>
      <c r="Z16" s="383"/>
    </row>
    <row r="17" spans="1:26" ht="11.25" customHeight="1" x14ac:dyDescent="0.3">
      <c r="A17" s="383"/>
      <c r="B17" s="383"/>
      <c r="C17" s="383"/>
      <c r="D17" s="383"/>
      <c r="E17" s="383"/>
      <c r="F17" s="383"/>
      <c r="G17" s="383"/>
      <c r="H17" s="383"/>
      <c r="I17" s="383"/>
      <c r="J17" s="383"/>
      <c r="K17" s="383"/>
      <c r="L17" s="383"/>
      <c r="M17" s="383"/>
      <c r="N17" s="383"/>
      <c r="O17" s="383"/>
      <c r="P17" s="383"/>
      <c r="Q17" s="383"/>
      <c r="R17" s="383"/>
      <c r="S17" s="383"/>
      <c r="T17" s="383"/>
      <c r="U17" s="383"/>
      <c r="V17" s="383"/>
      <c r="W17" s="383"/>
      <c r="X17" s="383"/>
      <c r="Y17" s="383"/>
      <c r="Z17" s="383"/>
    </row>
    <row r="18" spans="1:26" ht="11.25" customHeight="1" x14ac:dyDescent="0.3">
      <c r="A18" s="383"/>
      <c r="B18" s="383"/>
      <c r="C18" s="383"/>
      <c r="D18" s="383"/>
      <c r="E18" s="383"/>
      <c r="F18" s="383"/>
      <c r="G18" s="383"/>
      <c r="H18" s="383"/>
      <c r="I18" s="383"/>
      <c r="J18" s="383"/>
      <c r="K18" s="383"/>
      <c r="L18" s="383"/>
      <c r="M18" s="383"/>
      <c r="N18" s="383"/>
      <c r="O18" s="383"/>
      <c r="P18" s="383"/>
      <c r="Q18" s="383"/>
      <c r="R18" s="383"/>
      <c r="S18" s="383"/>
      <c r="T18" s="383"/>
      <c r="U18" s="383"/>
      <c r="V18" s="383"/>
      <c r="W18" s="383"/>
      <c r="X18" s="383"/>
      <c r="Y18" s="383"/>
      <c r="Z18" s="383"/>
    </row>
    <row r="19" spans="1:26" ht="11.25" customHeight="1" x14ac:dyDescent="0.3">
      <c r="A19" s="383"/>
      <c r="B19" s="383"/>
      <c r="C19" s="383"/>
      <c r="D19" s="383"/>
      <c r="E19" s="383"/>
      <c r="F19" s="383"/>
      <c r="G19" s="383"/>
      <c r="H19" s="383"/>
      <c r="I19" s="383"/>
      <c r="J19" s="383"/>
      <c r="K19" s="383"/>
      <c r="L19" s="383"/>
      <c r="M19" s="383"/>
      <c r="N19" s="383"/>
      <c r="O19" s="383"/>
      <c r="P19" s="383"/>
      <c r="Q19" s="383"/>
      <c r="R19" s="383"/>
      <c r="S19" s="383"/>
      <c r="T19" s="383"/>
      <c r="U19" s="383"/>
      <c r="V19" s="383"/>
      <c r="W19" s="383"/>
      <c r="X19" s="383"/>
      <c r="Y19" s="383"/>
      <c r="Z19" s="383"/>
    </row>
    <row r="20" spans="1:26" ht="11.25" customHeight="1" x14ac:dyDescent="0.3">
      <c r="A20" s="383"/>
      <c r="B20" s="383"/>
      <c r="C20" s="383"/>
      <c r="D20" s="383"/>
      <c r="E20" s="383"/>
      <c r="F20" s="383"/>
      <c r="G20" s="383"/>
      <c r="H20" s="383"/>
      <c r="I20" s="383"/>
      <c r="J20" s="383"/>
      <c r="K20" s="383"/>
      <c r="L20" s="383"/>
      <c r="M20" s="383"/>
      <c r="N20" s="383"/>
      <c r="O20" s="383"/>
      <c r="P20" s="383"/>
      <c r="Q20" s="383"/>
      <c r="R20" s="383"/>
      <c r="S20" s="383"/>
      <c r="T20" s="383"/>
      <c r="U20" s="383"/>
      <c r="V20" s="383"/>
      <c r="W20" s="383"/>
      <c r="X20" s="383"/>
      <c r="Y20" s="383"/>
      <c r="Z20" s="383"/>
    </row>
    <row r="21" spans="1:26" ht="11.25" customHeight="1" x14ac:dyDescent="0.3">
      <c r="A21" s="383"/>
      <c r="B21" s="383"/>
      <c r="C21" s="383"/>
      <c r="D21" s="383"/>
      <c r="E21" s="383"/>
      <c r="F21" s="383"/>
      <c r="G21" s="383"/>
      <c r="H21" s="383"/>
      <c r="I21" s="383"/>
      <c r="J21" s="383"/>
      <c r="K21" s="383"/>
      <c r="L21" s="383"/>
      <c r="M21" s="383"/>
      <c r="N21" s="383"/>
      <c r="O21" s="383"/>
      <c r="P21" s="383"/>
      <c r="Q21" s="383"/>
      <c r="R21" s="383"/>
      <c r="S21" s="383"/>
      <c r="T21" s="383"/>
      <c r="U21" s="383"/>
      <c r="V21" s="383"/>
      <c r="W21" s="383"/>
      <c r="X21" s="383"/>
      <c r="Y21" s="383"/>
      <c r="Z21" s="383"/>
    </row>
    <row r="22" spans="1:26" ht="11.25" customHeight="1" x14ac:dyDescent="0.3">
      <c r="A22" s="383"/>
      <c r="B22" s="383"/>
      <c r="C22" s="383"/>
      <c r="D22" s="383"/>
      <c r="E22" s="383"/>
      <c r="F22" s="383"/>
      <c r="G22" s="383"/>
      <c r="H22" s="383"/>
      <c r="I22" s="383"/>
      <c r="J22" s="383"/>
      <c r="K22" s="383"/>
      <c r="L22" s="383"/>
      <c r="M22" s="383"/>
      <c r="N22" s="383"/>
      <c r="O22" s="383"/>
      <c r="P22" s="383"/>
      <c r="Q22" s="383"/>
      <c r="R22" s="383"/>
      <c r="S22" s="383"/>
      <c r="T22" s="383"/>
      <c r="U22" s="383"/>
      <c r="V22" s="383"/>
      <c r="W22" s="383"/>
      <c r="X22" s="383"/>
      <c r="Y22" s="383"/>
      <c r="Z22" s="383"/>
    </row>
    <row r="23" spans="1:26" ht="11.25" customHeight="1" x14ac:dyDescent="0.3">
      <c r="A23" s="383"/>
      <c r="B23" s="383"/>
      <c r="C23" s="383"/>
      <c r="D23" s="383"/>
      <c r="E23" s="383"/>
      <c r="F23" s="383"/>
      <c r="G23" s="383"/>
      <c r="H23" s="383"/>
      <c r="I23" s="383"/>
      <c r="J23" s="383"/>
      <c r="K23" s="383"/>
      <c r="L23" s="383"/>
      <c r="M23" s="383"/>
      <c r="N23" s="383"/>
      <c r="O23" s="383"/>
      <c r="P23" s="383"/>
      <c r="Q23" s="383"/>
      <c r="R23" s="383"/>
      <c r="S23" s="383"/>
      <c r="T23" s="383"/>
      <c r="U23" s="383"/>
      <c r="V23" s="383"/>
      <c r="W23" s="383"/>
      <c r="X23" s="383"/>
      <c r="Y23" s="383"/>
      <c r="Z23" s="383"/>
    </row>
    <row r="24" spans="1:26" ht="11.25" customHeight="1" x14ac:dyDescent="0.3">
      <c r="A24" s="383"/>
      <c r="B24" s="383"/>
      <c r="C24" s="383"/>
      <c r="D24" s="383"/>
      <c r="E24" s="383"/>
      <c r="F24" s="383"/>
      <c r="G24" s="383"/>
      <c r="H24" s="383"/>
      <c r="I24" s="383"/>
      <c r="J24" s="383"/>
      <c r="K24" s="383"/>
      <c r="L24" s="383"/>
      <c r="M24" s="383"/>
      <c r="N24" s="383"/>
      <c r="O24" s="383"/>
      <c r="P24" s="383"/>
      <c r="Q24" s="383"/>
      <c r="R24" s="383"/>
      <c r="S24" s="383"/>
      <c r="T24" s="383"/>
      <c r="U24" s="383"/>
      <c r="V24" s="383"/>
      <c r="W24" s="383"/>
      <c r="X24" s="383"/>
      <c r="Y24" s="383"/>
      <c r="Z24" s="383"/>
    </row>
    <row r="25" spans="1:26" ht="11.25" customHeight="1" x14ac:dyDescent="0.3">
      <c r="A25" s="383"/>
      <c r="B25" s="383"/>
      <c r="C25" s="383"/>
      <c r="D25" s="383"/>
      <c r="E25" s="383"/>
      <c r="F25" s="383"/>
      <c r="G25" s="383"/>
      <c r="H25" s="383"/>
      <c r="I25" s="383"/>
      <c r="J25" s="383"/>
      <c r="K25" s="383"/>
      <c r="L25" s="383"/>
      <c r="M25" s="383"/>
      <c r="N25" s="383"/>
      <c r="O25" s="383"/>
      <c r="P25" s="383"/>
      <c r="Q25" s="383"/>
      <c r="R25" s="383"/>
      <c r="S25" s="383"/>
      <c r="T25" s="383"/>
      <c r="U25" s="383"/>
      <c r="V25" s="383"/>
      <c r="W25" s="383"/>
      <c r="X25" s="383"/>
      <c r="Y25" s="383"/>
      <c r="Z25" s="383"/>
    </row>
    <row r="26" spans="1:26" ht="11.25" customHeight="1" x14ac:dyDescent="0.3">
      <c r="A26" s="383"/>
      <c r="B26" s="383"/>
      <c r="C26" s="383"/>
      <c r="D26" s="383"/>
      <c r="E26" s="383"/>
      <c r="F26" s="383"/>
      <c r="G26" s="383"/>
      <c r="H26" s="383"/>
      <c r="I26" s="383"/>
      <c r="J26" s="383"/>
      <c r="K26" s="383"/>
      <c r="L26" s="383"/>
      <c r="M26" s="383"/>
      <c r="N26" s="383"/>
      <c r="O26" s="383"/>
      <c r="P26" s="383"/>
      <c r="Q26" s="383"/>
      <c r="R26" s="383"/>
      <c r="S26" s="383"/>
      <c r="T26" s="383"/>
      <c r="U26" s="383"/>
      <c r="V26" s="383"/>
      <c r="W26" s="383"/>
      <c r="X26" s="383"/>
      <c r="Y26" s="383"/>
      <c r="Z26" s="383"/>
    </row>
    <row r="27" spans="1:26" ht="11.25" customHeight="1" x14ac:dyDescent="0.3">
      <c r="A27" s="383"/>
      <c r="B27" s="383"/>
      <c r="C27" s="383"/>
      <c r="D27" s="383"/>
      <c r="E27" s="383"/>
      <c r="F27" s="383"/>
      <c r="G27" s="383"/>
      <c r="H27" s="383"/>
      <c r="I27" s="383"/>
      <c r="J27" s="383"/>
      <c r="K27" s="383"/>
      <c r="L27" s="383"/>
      <c r="M27" s="383"/>
      <c r="N27" s="383"/>
      <c r="O27" s="383"/>
      <c r="P27" s="383"/>
      <c r="Q27" s="383"/>
      <c r="R27" s="383"/>
      <c r="S27" s="383"/>
      <c r="T27" s="383"/>
      <c r="U27" s="383"/>
      <c r="V27" s="383"/>
      <c r="W27" s="383"/>
      <c r="X27" s="383"/>
      <c r="Y27" s="383"/>
      <c r="Z27" s="383"/>
    </row>
    <row r="28" spans="1:26" ht="11.25" customHeight="1" x14ac:dyDescent="0.3">
      <c r="A28" s="383"/>
      <c r="B28" s="383"/>
      <c r="C28" s="383"/>
      <c r="D28" s="383"/>
      <c r="E28" s="383"/>
      <c r="F28" s="383"/>
      <c r="G28" s="383"/>
      <c r="H28" s="383"/>
      <c r="I28" s="383"/>
      <c r="J28" s="383"/>
      <c r="K28" s="383"/>
      <c r="L28" s="383"/>
      <c r="M28" s="383"/>
      <c r="N28" s="383"/>
      <c r="O28" s="383"/>
      <c r="P28" s="383"/>
      <c r="Q28" s="383"/>
      <c r="R28" s="383"/>
      <c r="S28" s="383"/>
      <c r="T28" s="383"/>
      <c r="U28" s="383"/>
      <c r="V28" s="383"/>
      <c r="W28" s="383"/>
      <c r="X28" s="383"/>
      <c r="Y28" s="383"/>
      <c r="Z28" s="383"/>
    </row>
    <row r="29" spans="1:26" ht="11.25" customHeight="1" x14ac:dyDescent="0.3">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row>
    <row r="30" spans="1:26" ht="11.25" customHeight="1" x14ac:dyDescent="0.3">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row>
    <row r="31" spans="1:26" ht="11.25" customHeight="1" x14ac:dyDescent="0.3">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row>
    <row r="32" spans="1:26" ht="11.25" customHeight="1" x14ac:dyDescent="0.3">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row>
    <row r="33" spans="1:26" ht="11.25" customHeight="1" x14ac:dyDescent="0.3">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row>
    <row r="34" spans="1:26" ht="11.25" customHeight="1" x14ac:dyDescent="0.3">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row>
    <row r="35" spans="1:26" ht="11.25" customHeight="1" x14ac:dyDescent="0.3">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row>
    <row r="36" spans="1:26" ht="11.25" customHeight="1" x14ac:dyDescent="0.3">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row>
    <row r="37" spans="1:26" ht="11.25" customHeight="1" x14ac:dyDescent="0.3">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row>
    <row r="38" spans="1:26" ht="11.25" customHeight="1" x14ac:dyDescent="0.3">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row>
    <row r="39" spans="1:26" ht="11.25" customHeight="1" x14ac:dyDescent="0.3">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row>
    <row r="40" spans="1:26" ht="11.25" customHeight="1" x14ac:dyDescent="0.3">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row>
    <row r="41" spans="1:26" ht="11.25" customHeight="1" x14ac:dyDescent="0.3">
      <c r="A41" s="383"/>
      <c r="B41" s="383"/>
      <c r="C41" s="383"/>
      <c r="D41" s="383"/>
      <c r="E41" s="383"/>
      <c r="F41" s="383"/>
      <c r="G41" s="383"/>
      <c r="H41" s="383"/>
      <c r="I41" s="383"/>
      <c r="J41" s="383"/>
      <c r="K41" s="383"/>
      <c r="L41" s="383"/>
      <c r="M41" s="383"/>
      <c r="N41" s="383"/>
      <c r="O41" s="383"/>
      <c r="P41" s="383"/>
      <c r="Q41" s="383"/>
      <c r="R41" s="383"/>
      <c r="S41" s="383"/>
      <c r="T41" s="383"/>
      <c r="U41" s="383"/>
      <c r="V41" s="383"/>
      <c r="W41" s="383"/>
      <c r="X41" s="383"/>
      <c r="Y41" s="383"/>
      <c r="Z41" s="383"/>
    </row>
    <row r="42" spans="1:26" ht="11.25" customHeight="1" x14ac:dyDescent="0.3">
      <c r="A42" s="383"/>
      <c r="B42" s="383"/>
      <c r="C42" s="383"/>
      <c r="D42" s="383"/>
      <c r="E42" s="383"/>
      <c r="F42" s="383"/>
      <c r="G42" s="383"/>
      <c r="H42" s="383"/>
      <c r="I42" s="383"/>
      <c r="J42" s="383"/>
      <c r="K42" s="383"/>
      <c r="L42" s="383"/>
      <c r="M42" s="383"/>
      <c r="N42" s="383"/>
      <c r="O42" s="383"/>
      <c r="P42" s="383"/>
      <c r="Q42" s="383"/>
      <c r="R42" s="383"/>
      <c r="S42" s="383"/>
      <c r="T42" s="383"/>
      <c r="U42" s="383"/>
      <c r="V42" s="383"/>
      <c r="W42" s="383"/>
      <c r="X42" s="383"/>
      <c r="Y42" s="383"/>
      <c r="Z42" s="383"/>
    </row>
    <row r="43" spans="1:26" ht="11.25" customHeight="1" x14ac:dyDescent="0.3">
      <c r="A43" s="383"/>
      <c r="B43" s="383"/>
      <c r="C43" s="383"/>
      <c r="D43" s="383"/>
      <c r="E43" s="383"/>
      <c r="F43" s="383"/>
      <c r="G43" s="383"/>
      <c r="H43" s="383"/>
      <c r="I43" s="383"/>
      <c r="J43" s="383"/>
      <c r="K43" s="383"/>
      <c r="L43" s="383"/>
      <c r="M43" s="383"/>
      <c r="N43" s="383"/>
      <c r="O43" s="383"/>
      <c r="P43" s="383"/>
      <c r="Q43" s="383"/>
      <c r="R43" s="383"/>
      <c r="S43" s="383"/>
      <c r="T43" s="383"/>
      <c r="U43" s="383"/>
      <c r="V43" s="383"/>
      <c r="W43" s="383"/>
      <c r="X43" s="383"/>
      <c r="Y43" s="383"/>
      <c r="Z43" s="383"/>
    </row>
    <row r="44" spans="1:26" ht="11.25" customHeight="1" x14ac:dyDescent="0.3">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row>
    <row r="45" spans="1:26" ht="11.25" customHeight="1" x14ac:dyDescent="0.3">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row>
    <row r="46" spans="1:26" ht="11.25" customHeight="1" x14ac:dyDescent="0.3">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row>
    <row r="47" spans="1:26" ht="11.25" customHeight="1" x14ac:dyDescent="0.3">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row>
    <row r="48" spans="1:26" ht="11.25" customHeight="1" x14ac:dyDescent="0.3">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row>
    <row r="49" spans="1:26" ht="11.25" customHeight="1" x14ac:dyDescent="0.3">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row>
    <row r="50" spans="1:26" ht="11.25" customHeight="1" x14ac:dyDescent="0.3">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row>
    <row r="51" spans="1:26" ht="11.25" customHeight="1" x14ac:dyDescent="0.3">
      <c r="A51" s="383"/>
      <c r="B51" s="383"/>
      <c r="C51" s="383"/>
      <c r="D51" s="383"/>
      <c r="E51" s="383"/>
      <c r="F51" s="383"/>
      <c r="G51" s="383"/>
      <c r="H51" s="383"/>
      <c r="I51" s="383"/>
      <c r="J51" s="383"/>
      <c r="K51" s="383"/>
      <c r="L51" s="383"/>
      <c r="M51" s="383"/>
      <c r="N51" s="383"/>
      <c r="O51" s="383"/>
      <c r="P51" s="383"/>
      <c r="Q51" s="383"/>
      <c r="R51" s="383"/>
      <c r="S51" s="383"/>
      <c r="T51" s="383"/>
      <c r="U51" s="383"/>
      <c r="V51" s="383"/>
      <c r="W51" s="383"/>
      <c r="X51" s="383"/>
      <c r="Y51" s="383"/>
      <c r="Z51" s="383"/>
    </row>
    <row r="52" spans="1:26" ht="11.25" customHeight="1" x14ac:dyDescent="0.3">
      <c r="A52" s="383"/>
      <c r="B52" s="383"/>
      <c r="C52" s="383"/>
      <c r="D52" s="383"/>
      <c r="E52" s="383"/>
      <c r="F52" s="383"/>
      <c r="G52" s="383"/>
      <c r="H52" s="383"/>
      <c r="I52" s="383"/>
      <c r="J52" s="383"/>
      <c r="K52" s="383"/>
      <c r="L52" s="383"/>
      <c r="M52" s="383"/>
      <c r="N52" s="383"/>
      <c r="O52" s="383"/>
      <c r="P52" s="383"/>
      <c r="Q52" s="383"/>
      <c r="R52" s="383"/>
      <c r="S52" s="383"/>
      <c r="T52" s="383"/>
      <c r="U52" s="383"/>
      <c r="V52" s="383"/>
      <c r="W52" s="383"/>
      <c r="X52" s="383"/>
      <c r="Y52" s="383"/>
      <c r="Z52" s="383"/>
    </row>
    <row r="53" spans="1:26" ht="11.25" customHeight="1" x14ac:dyDescent="0.3">
      <c r="A53" s="383"/>
      <c r="B53" s="383"/>
      <c r="C53" s="383"/>
      <c r="D53" s="383"/>
      <c r="E53" s="383"/>
      <c r="F53" s="383"/>
      <c r="G53" s="383"/>
      <c r="H53" s="383"/>
      <c r="I53" s="383"/>
      <c r="J53" s="383"/>
      <c r="K53" s="383"/>
      <c r="L53" s="383"/>
      <c r="M53" s="383"/>
      <c r="N53" s="383"/>
      <c r="O53" s="383"/>
      <c r="P53" s="383"/>
      <c r="Q53" s="383"/>
      <c r="R53" s="383"/>
      <c r="S53" s="383"/>
      <c r="T53" s="383"/>
      <c r="U53" s="383"/>
      <c r="V53" s="383"/>
      <c r="W53" s="383"/>
      <c r="X53" s="383"/>
      <c r="Y53" s="383"/>
      <c r="Z53" s="383"/>
    </row>
    <row r="54" spans="1:26" ht="11.25" customHeight="1" x14ac:dyDescent="0.3">
      <c r="A54" s="383"/>
      <c r="B54" s="383"/>
      <c r="C54" s="383"/>
      <c r="D54" s="383"/>
      <c r="E54" s="383"/>
      <c r="F54" s="383"/>
      <c r="G54" s="383"/>
      <c r="H54" s="383"/>
      <c r="I54" s="383"/>
      <c r="J54" s="383"/>
      <c r="K54" s="383"/>
      <c r="L54" s="383"/>
      <c r="M54" s="383"/>
      <c r="N54" s="383"/>
      <c r="O54" s="383"/>
      <c r="P54" s="383"/>
      <c r="Q54" s="383"/>
      <c r="R54" s="383"/>
      <c r="S54" s="383"/>
      <c r="T54" s="383"/>
      <c r="U54" s="383"/>
      <c r="V54" s="383"/>
      <c r="W54" s="383"/>
      <c r="X54" s="383"/>
      <c r="Y54" s="383"/>
      <c r="Z54" s="383"/>
    </row>
    <row r="55" spans="1:26" ht="11.25" customHeight="1" x14ac:dyDescent="0.3">
      <c r="A55" s="383"/>
      <c r="B55" s="383"/>
      <c r="C55" s="383"/>
      <c r="D55" s="383"/>
      <c r="E55" s="383"/>
      <c r="F55" s="383"/>
      <c r="G55" s="383"/>
      <c r="H55" s="383"/>
      <c r="I55" s="383"/>
      <c r="J55" s="383"/>
      <c r="K55" s="383"/>
      <c r="L55" s="383"/>
      <c r="M55" s="383"/>
      <c r="N55" s="383"/>
      <c r="O55" s="383"/>
      <c r="P55" s="383"/>
      <c r="Q55" s="383"/>
      <c r="R55" s="383"/>
      <c r="S55" s="383"/>
      <c r="T55" s="383"/>
      <c r="U55" s="383"/>
      <c r="V55" s="383"/>
      <c r="W55" s="383"/>
      <c r="X55" s="383"/>
      <c r="Y55" s="383"/>
      <c r="Z55" s="383"/>
    </row>
    <row r="56" spans="1:26" ht="11.25" customHeight="1" x14ac:dyDescent="0.3">
      <c r="A56" s="383"/>
      <c r="B56" s="383"/>
      <c r="C56" s="383"/>
      <c r="D56" s="383"/>
      <c r="E56" s="383"/>
      <c r="F56" s="383"/>
      <c r="G56" s="383"/>
      <c r="H56" s="383"/>
      <c r="I56" s="383"/>
      <c r="J56" s="383"/>
      <c r="K56" s="383"/>
      <c r="L56" s="383"/>
      <c r="M56" s="383"/>
      <c r="N56" s="383"/>
      <c r="O56" s="383"/>
      <c r="P56" s="383"/>
      <c r="Q56" s="383"/>
      <c r="R56" s="383"/>
      <c r="S56" s="383"/>
      <c r="T56" s="383"/>
      <c r="U56" s="383"/>
      <c r="V56" s="383"/>
      <c r="W56" s="383"/>
      <c r="X56" s="383"/>
      <c r="Y56" s="383"/>
      <c r="Z56" s="383"/>
    </row>
    <row r="57" spans="1:26" ht="11.25" customHeight="1" x14ac:dyDescent="0.3">
      <c r="A57" s="383"/>
      <c r="B57" s="383"/>
      <c r="C57" s="383"/>
      <c r="D57" s="383"/>
      <c r="E57" s="383"/>
      <c r="F57" s="383"/>
      <c r="G57" s="383"/>
      <c r="H57" s="383"/>
      <c r="I57" s="383"/>
      <c r="J57" s="383"/>
      <c r="K57" s="383"/>
      <c r="L57" s="383"/>
      <c r="M57" s="383"/>
      <c r="N57" s="383"/>
      <c r="O57" s="383"/>
      <c r="P57" s="383"/>
      <c r="Q57" s="383"/>
      <c r="R57" s="383"/>
      <c r="S57" s="383"/>
      <c r="T57" s="383"/>
      <c r="U57" s="383"/>
      <c r="V57" s="383"/>
      <c r="W57" s="383"/>
      <c r="X57" s="383"/>
      <c r="Y57" s="383"/>
      <c r="Z57" s="383"/>
    </row>
    <row r="58" spans="1:26" ht="11.25" customHeight="1" x14ac:dyDescent="0.3">
      <c r="A58" s="383"/>
      <c r="B58" s="383"/>
      <c r="C58" s="383"/>
      <c r="D58" s="383"/>
      <c r="E58" s="383"/>
      <c r="F58" s="383"/>
      <c r="G58" s="383"/>
      <c r="H58" s="383"/>
      <c r="I58" s="383"/>
      <c r="J58" s="383"/>
      <c r="K58" s="383"/>
      <c r="L58" s="383"/>
      <c r="M58" s="383"/>
      <c r="N58" s="383"/>
      <c r="O58" s="383"/>
      <c r="P58" s="383"/>
      <c r="Q58" s="383"/>
      <c r="R58" s="383"/>
      <c r="S58" s="383"/>
      <c r="T58" s="383"/>
      <c r="U58" s="383"/>
      <c r="V58" s="383"/>
      <c r="W58" s="383"/>
      <c r="X58" s="383"/>
      <c r="Y58" s="383"/>
      <c r="Z58" s="383"/>
    </row>
    <row r="59" spans="1:26" ht="11.25" customHeight="1" x14ac:dyDescent="0.3">
      <c r="A59" s="383"/>
      <c r="B59" s="383"/>
      <c r="C59" s="383"/>
      <c r="D59" s="383"/>
      <c r="E59" s="383"/>
      <c r="F59" s="383"/>
      <c r="G59" s="383"/>
      <c r="H59" s="383"/>
      <c r="I59" s="383"/>
      <c r="J59" s="383"/>
      <c r="K59" s="383"/>
      <c r="L59" s="383"/>
      <c r="M59" s="383"/>
      <c r="N59" s="383"/>
      <c r="O59" s="383"/>
      <c r="P59" s="383"/>
      <c r="Q59" s="383"/>
      <c r="R59" s="383"/>
      <c r="S59" s="383"/>
      <c r="T59" s="383"/>
      <c r="U59" s="383"/>
      <c r="V59" s="383"/>
      <c r="W59" s="383"/>
      <c r="X59" s="383"/>
      <c r="Y59" s="383"/>
      <c r="Z59" s="383"/>
    </row>
    <row r="60" spans="1:26" ht="11.25" customHeight="1" x14ac:dyDescent="0.3">
      <c r="A60" s="383"/>
      <c r="B60" s="383"/>
      <c r="C60" s="383"/>
      <c r="D60" s="383"/>
      <c r="E60" s="383"/>
      <c r="F60" s="383"/>
      <c r="G60" s="383"/>
      <c r="H60" s="383"/>
      <c r="I60" s="383"/>
      <c r="J60" s="383"/>
      <c r="K60" s="383"/>
      <c r="L60" s="383"/>
      <c r="M60" s="383"/>
      <c r="N60" s="383"/>
      <c r="O60" s="383"/>
      <c r="P60" s="383"/>
      <c r="Q60" s="383"/>
      <c r="R60" s="383"/>
      <c r="S60" s="383"/>
      <c r="T60" s="383"/>
      <c r="U60" s="383"/>
      <c r="V60" s="383"/>
      <c r="W60" s="383"/>
      <c r="X60" s="383"/>
      <c r="Y60" s="383"/>
      <c r="Z60" s="383"/>
    </row>
    <row r="61" spans="1:26" ht="11.25" customHeight="1" x14ac:dyDescent="0.3">
      <c r="A61" s="383"/>
      <c r="B61" s="383"/>
      <c r="C61" s="383"/>
      <c r="D61" s="383"/>
      <c r="E61" s="383"/>
      <c r="F61" s="383"/>
      <c r="G61" s="383"/>
      <c r="H61" s="383"/>
      <c r="I61" s="383"/>
      <c r="J61" s="383"/>
      <c r="K61" s="383"/>
      <c r="L61" s="383"/>
      <c r="M61" s="383"/>
      <c r="N61" s="383"/>
      <c r="O61" s="383"/>
      <c r="P61" s="383"/>
      <c r="Q61" s="383"/>
      <c r="R61" s="383"/>
      <c r="S61" s="383"/>
      <c r="T61" s="383"/>
      <c r="U61" s="383"/>
      <c r="V61" s="383"/>
      <c r="W61" s="383"/>
      <c r="X61" s="383"/>
      <c r="Y61" s="383"/>
      <c r="Z61" s="383"/>
    </row>
    <row r="62" spans="1:26" ht="11.25" customHeight="1" x14ac:dyDescent="0.3">
      <c r="A62" s="383"/>
      <c r="B62" s="383"/>
      <c r="C62" s="383"/>
      <c r="D62" s="383"/>
      <c r="E62" s="383"/>
      <c r="F62" s="383"/>
      <c r="G62" s="383"/>
      <c r="H62" s="383"/>
      <c r="I62" s="383"/>
      <c r="J62" s="383"/>
      <c r="K62" s="383"/>
      <c r="L62" s="383"/>
      <c r="M62" s="383"/>
      <c r="N62" s="383"/>
      <c r="O62" s="383"/>
      <c r="P62" s="383"/>
      <c r="Q62" s="383"/>
      <c r="R62" s="383"/>
      <c r="S62" s="383"/>
      <c r="T62" s="383"/>
      <c r="U62" s="383"/>
      <c r="V62" s="383"/>
      <c r="W62" s="383"/>
      <c r="X62" s="383"/>
      <c r="Y62" s="383"/>
      <c r="Z62" s="383"/>
    </row>
    <row r="63" spans="1:26" ht="11.25" customHeight="1" x14ac:dyDescent="0.3">
      <c r="A63" s="383"/>
      <c r="B63" s="383"/>
      <c r="C63" s="383"/>
      <c r="D63" s="383"/>
      <c r="E63" s="383"/>
      <c r="F63" s="383"/>
      <c r="G63" s="383"/>
      <c r="H63" s="383"/>
      <c r="I63" s="383"/>
      <c r="J63" s="383"/>
      <c r="K63" s="383"/>
      <c r="L63" s="383"/>
      <c r="M63" s="383"/>
      <c r="N63" s="383"/>
      <c r="O63" s="383"/>
      <c r="P63" s="383"/>
      <c r="Q63" s="383"/>
      <c r="R63" s="383"/>
      <c r="S63" s="383"/>
      <c r="T63" s="383"/>
      <c r="U63" s="383"/>
      <c r="V63" s="383"/>
      <c r="W63" s="383"/>
      <c r="X63" s="383"/>
      <c r="Y63" s="383"/>
      <c r="Z63" s="383"/>
    </row>
    <row r="64" spans="1:26" ht="11.25" customHeight="1" x14ac:dyDescent="0.3">
      <c r="A64" s="383"/>
      <c r="B64" s="383"/>
      <c r="C64" s="383"/>
      <c r="D64" s="383"/>
      <c r="E64" s="383"/>
      <c r="F64" s="383"/>
      <c r="G64" s="383"/>
      <c r="H64" s="383"/>
      <c r="I64" s="383"/>
      <c r="J64" s="383"/>
      <c r="K64" s="383"/>
      <c r="L64" s="383"/>
      <c r="M64" s="383"/>
      <c r="N64" s="383"/>
      <c r="O64" s="383"/>
      <c r="P64" s="383"/>
      <c r="Q64" s="383"/>
      <c r="R64" s="383"/>
      <c r="S64" s="383"/>
      <c r="T64" s="383"/>
      <c r="U64" s="383"/>
      <c r="V64" s="383"/>
      <c r="W64" s="383"/>
      <c r="X64" s="383"/>
      <c r="Y64" s="383"/>
      <c r="Z64" s="383"/>
    </row>
    <row r="65" spans="1:26" ht="11.25" customHeight="1" x14ac:dyDescent="0.3">
      <c r="A65" s="383"/>
      <c r="B65" s="383"/>
      <c r="C65" s="383"/>
      <c r="D65" s="383"/>
      <c r="E65" s="383"/>
      <c r="F65" s="383"/>
      <c r="G65" s="383"/>
      <c r="H65" s="383"/>
      <c r="I65" s="383"/>
      <c r="J65" s="383"/>
      <c r="K65" s="383"/>
      <c r="L65" s="383"/>
      <c r="M65" s="383"/>
      <c r="N65" s="383"/>
      <c r="O65" s="383"/>
      <c r="P65" s="383"/>
      <c r="Q65" s="383"/>
      <c r="R65" s="383"/>
      <c r="S65" s="383"/>
      <c r="T65" s="383"/>
      <c r="U65" s="383"/>
      <c r="V65" s="383"/>
      <c r="W65" s="383"/>
      <c r="X65" s="383"/>
      <c r="Y65" s="383"/>
      <c r="Z65" s="383"/>
    </row>
    <row r="66" spans="1:26" ht="11.25" customHeight="1" x14ac:dyDescent="0.3">
      <c r="A66" s="383"/>
      <c r="B66" s="383"/>
      <c r="C66" s="383"/>
      <c r="D66" s="383"/>
      <c r="E66" s="383"/>
      <c r="F66" s="383"/>
      <c r="G66" s="383"/>
      <c r="H66" s="383"/>
      <c r="I66" s="383"/>
      <c r="J66" s="383"/>
      <c r="K66" s="383"/>
      <c r="L66" s="383"/>
      <c r="M66" s="383"/>
      <c r="N66" s="383"/>
      <c r="O66" s="383"/>
      <c r="P66" s="383"/>
      <c r="Q66" s="383"/>
      <c r="R66" s="383"/>
      <c r="S66" s="383"/>
      <c r="T66" s="383"/>
      <c r="U66" s="383"/>
      <c r="V66" s="383"/>
      <c r="W66" s="383"/>
      <c r="X66" s="383"/>
      <c r="Y66" s="383"/>
      <c r="Z66" s="383"/>
    </row>
    <row r="67" spans="1:26" ht="11.25" customHeight="1" x14ac:dyDescent="0.3">
      <c r="A67" s="383"/>
      <c r="B67" s="383"/>
      <c r="C67" s="383"/>
      <c r="D67" s="383"/>
      <c r="E67" s="383"/>
      <c r="F67" s="383"/>
      <c r="G67" s="383"/>
      <c r="H67" s="383"/>
      <c r="I67" s="383"/>
      <c r="J67" s="383"/>
      <c r="K67" s="383"/>
      <c r="L67" s="383"/>
      <c r="M67" s="383"/>
      <c r="N67" s="383"/>
      <c r="O67" s="383"/>
      <c r="P67" s="383"/>
      <c r="Q67" s="383"/>
      <c r="R67" s="383"/>
      <c r="S67" s="383"/>
      <c r="T67" s="383"/>
      <c r="U67" s="383"/>
      <c r="V67" s="383"/>
      <c r="W67" s="383"/>
      <c r="X67" s="383"/>
      <c r="Y67" s="383"/>
      <c r="Z67" s="383"/>
    </row>
    <row r="68" spans="1:26" ht="11.25" customHeight="1" x14ac:dyDescent="0.3">
      <c r="A68" s="383"/>
      <c r="B68" s="383"/>
      <c r="C68" s="383"/>
      <c r="D68" s="383"/>
      <c r="E68" s="383"/>
      <c r="F68" s="383"/>
      <c r="G68" s="383"/>
      <c r="H68" s="383"/>
      <c r="I68" s="383"/>
      <c r="J68" s="383"/>
      <c r="K68" s="383"/>
      <c r="L68" s="383"/>
      <c r="M68" s="383"/>
      <c r="N68" s="383"/>
      <c r="O68" s="383"/>
      <c r="P68" s="383"/>
      <c r="Q68" s="383"/>
      <c r="R68" s="383"/>
      <c r="S68" s="383"/>
      <c r="T68" s="383"/>
      <c r="U68" s="383"/>
      <c r="V68" s="383"/>
      <c r="W68" s="383"/>
      <c r="X68" s="383"/>
      <c r="Y68" s="383"/>
      <c r="Z68" s="383"/>
    </row>
    <row r="69" spans="1:26" ht="11.25" customHeight="1" x14ac:dyDescent="0.3">
      <c r="A69" s="383"/>
      <c r="B69" s="383"/>
      <c r="C69" s="383"/>
      <c r="D69" s="383"/>
      <c r="E69" s="383"/>
      <c r="F69" s="383"/>
      <c r="G69" s="383"/>
      <c r="H69" s="383"/>
      <c r="I69" s="383"/>
      <c r="J69" s="383"/>
      <c r="K69" s="383"/>
      <c r="L69" s="383"/>
      <c r="M69" s="383"/>
      <c r="N69" s="383"/>
      <c r="O69" s="383"/>
      <c r="P69" s="383"/>
      <c r="Q69" s="383"/>
      <c r="R69" s="383"/>
      <c r="S69" s="383"/>
      <c r="T69" s="383"/>
      <c r="U69" s="383"/>
      <c r="V69" s="383"/>
      <c r="W69" s="383"/>
      <c r="X69" s="383"/>
      <c r="Y69" s="383"/>
      <c r="Z69" s="383"/>
    </row>
    <row r="70" spans="1:26" ht="11.25" customHeight="1" x14ac:dyDescent="0.3">
      <c r="A70" s="383"/>
      <c r="B70" s="383"/>
      <c r="C70" s="383"/>
      <c r="D70" s="383"/>
      <c r="E70" s="383"/>
      <c r="F70" s="383"/>
      <c r="G70" s="383"/>
      <c r="H70" s="383"/>
      <c r="I70" s="383"/>
      <c r="J70" s="383"/>
      <c r="K70" s="383"/>
      <c r="L70" s="383"/>
      <c r="M70" s="383"/>
      <c r="N70" s="383"/>
      <c r="O70" s="383"/>
      <c r="P70" s="383"/>
      <c r="Q70" s="383"/>
      <c r="R70" s="383"/>
      <c r="S70" s="383"/>
      <c r="T70" s="383"/>
      <c r="U70" s="383"/>
      <c r="V70" s="383"/>
      <c r="W70" s="383"/>
      <c r="X70" s="383"/>
      <c r="Y70" s="383"/>
      <c r="Z70" s="383"/>
    </row>
    <row r="71" spans="1:26" ht="11.25" customHeight="1" x14ac:dyDescent="0.3">
      <c r="A71" s="383"/>
      <c r="B71" s="383"/>
      <c r="C71" s="383"/>
      <c r="D71" s="383"/>
      <c r="E71" s="383"/>
      <c r="F71" s="383"/>
      <c r="G71" s="383"/>
      <c r="H71" s="383"/>
      <c r="I71" s="383"/>
      <c r="J71" s="383"/>
      <c r="K71" s="383"/>
      <c r="L71" s="383"/>
      <c r="M71" s="383"/>
      <c r="N71" s="383"/>
      <c r="O71" s="383"/>
      <c r="P71" s="383"/>
      <c r="Q71" s="383"/>
      <c r="R71" s="383"/>
      <c r="S71" s="383"/>
      <c r="T71" s="383"/>
      <c r="U71" s="383"/>
      <c r="V71" s="383"/>
      <c r="W71" s="383"/>
      <c r="X71" s="383"/>
      <c r="Y71" s="383"/>
      <c r="Z71" s="383"/>
    </row>
    <row r="72" spans="1:26" ht="11.25" customHeight="1" x14ac:dyDescent="0.3">
      <c r="A72" s="383"/>
      <c r="B72" s="383"/>
      <c r="C72" s="383"/>
      <c r="D72" s="383"/>
      <c r="E72" s="383"/>
      <c r="F72" s="383"/>
      <c r="G72" s="383"/>
      <c r="H72" s="383"/>
      <c r="I72" s="383"/>
      <c r="J72" s="383"/>
      <c r="K72" s="383"/>
      <c r="L72" s="383"/>
      <c r="M72" s="383"/>
      <c r="N72" s="383"/>
      <c r="O72" s="383"/>
      <c r="P72" s="383"/>
      <c r="Q72" s="383"/>
      <c r="R72" s="383"/>
      <c r="S72" s="383"/>
      <c r="T72" s="383"/>
      <c r="U72" s="383"/>
      <c r="V72" s="383"/>
      <c r="W72" s="383"/>
      <c r="X72" s="383"/>
      <c r="Y72" s="383"/>
      <c r="Z72" s="383"/>
    </row>
    <row r="73" spans="1:26" ht="11.25" customHeight="1" x14ac:dyDescent="0.3">
      <c r="A73" s="383"/>
      <c r="B73" s="383"/>
      <c r="C73" s="383"/>
      <c r="D73" s="383"/>
      <c r="E73" s="383"/>
      <c r="F73" s="383"/>
      <c r="G73" s="383"/>
      <c r="H73" s="383"/>
      <c r="I73" s="383"/>
      <c r="J73" s="383"/>
      <c r="K73" s="383"/>
      <c r="L73" s="383"/>
      <c r="M73" s="383"/>
      <c r="N73" s="383"/>
      <c r="O73" s="383"/>
      <c r="P73" s="383"/>
      <c r="Q73" s="383"/>
      <c r="R73" s="383"/>
      <c r="S73" s="383"/>
      <c r="T73" s="383"/>
      <c r="U73" s="383"/>
      <c r="V73" s="383"/>
      <c r="W73" s="383"/>
      <c r="X73" s="383"/>
      <c r="Y73" s="383"/>
      <c r="Z73" s="383"/>
    </row>
    <row r="74" spans="1:26" ht="11.25" customHeight="1" x14ac:dyDescent="0.3">
      <c r="A74" s="383"/>
      <c r="B74" s="383"/>
      <c r="C74" s="383"/>
      <c r="D74" s="383"/>
      <c r="E74" s="383"/>
      <c r="F74" s="383"/>
      <c r="G74" s="383"/>
      <c r="H74" s="383"/>
      <c r="I74" s="383"/>
      <c r="J74" s="383"/>
      <c r="K74" s="383"/>
      <c r="L74" s="383"/>
      <c r="M74" s="383"/>
      <c r="N74" s="383"/>
      <c r="O74" s="383"/>
      <c r="P74" s="383"/>
      <c r="Q74" s="383"/>
      <c r="R74" s="383"/>
      <c r="S74" s="383"/>
      <c r="T74" s="383"/>
      <c r="U74" s="383"/>
      <c r="V74" s="383"/>
      <c r="W74" s="383"/>
      <c r="X74" s="383"/>
      <c r="Y74" s="383"/>
      <c r="Z74" s="383"/>
    </row>
    <row r="75" spans="1:26" ht="11.25" customHeight="1" x14ac:dyDescent="0.3">
      <c r="A75" s="383"/>
      <c r="B75" s="383"/>
      <c r="C75" s="383"/>
      <c r="D75" s="383"/>
      <c r="E75" s="383"/>
      <c r="F75" s="383"/>
      <c r="G75" s="383"/>
      <c r="H75" s="383"/>
      <c r="I75" s="383"/>
      <c r="J75" s="383"/>
      <c r="K75" s="383"/>
      <c r="L75" s="383"/>
      <c r="M75" s="383"/>
      <c r="N75" s="383"/>
      <c r="O75" s="383"/>
      <c r="P75" s="383"/>
      <c r="Q75" s="383"/>
      <c r="R75" s="383"/>
      <c r="S75" s="383"/>
      <c r="T75" s="383"/>
      <c r="U75" s="383"/>
      <c r="V75" s="383"/>
      <c r="W75" s="383"/>
      <c r="X75" s="383"/>
      <c r="Y75" s="383"/>
      <c r="Z75" s="383"/>
    </row>
    <row r="76" spans="1:26" ht="11.25" customHeight="1" x14ac:dyDescent="0.3">
      <c r="A76" s="383"/>
      <c r="B76" s="383"/>
      <c r="C76" s="383"/>
      <c r="D76" s="383"/>
      <c r="E76" s="383"/>
      <c r="F76" s="383"/>
      <c r="G76" s="383"/>
      <c r="H76" s="383"/>
      <c r="I76" s="383"/>
      <c r="J76" s="383"/>
      <c r="K76" s="383"/>
      <c r="L76" s="383"/>
      <c r="M76" s="383"/>
      <c r="N76" s="383"/>
      <c r="O76" s="383"/>
      <c r="P76" s="383"/>
      <c r="Q76" s="383"/>
      <c r="R76" s="383"/>
      <c r="S76" s="383"/>
      <c r="T76" s="383"/>
      <c r="U76" s="383"/>
      <c r="V76" s="383"/>
      <c r="W76" s="383"/>
      <c r="X76" s="383"/>
      <c r="Y76" s="383"/>
      <c r="Z76" s="383"/>
    </row>
    <row r="77" spans="1:26" ht="11.25" customHeight="1" x14ac:dyDescent="0.3">
      <c r="A77" s="383"/>
      <c r="B77" s="383"/>
      <c r="C77" s="383"/>
      <c r="D77" s="383"/>
      <c r="E77" s="383"/>
      <c r="F77" s="383"/>
      <c r="G77" s="383"/>
      <c r="H77" s="383"/>
      <c r="I77" s="383"/>
      <c r="J77" s="383"/>
      <c r="K77" s="383"/>
      <c r="L77" s="383"/>
      <c r="M77" s="383"/>
      <c r="N77" s="383"/>
      <c r="O77" s="383"/>
      <c r="P77" s="383"/>
      <c r="Q77" s="383"/>
      <c r="R77" s="383"/>
      <c r="S77" s="383"/>
      <c r="T77" s="383"/>
      <c r="U77" s="383"/>
      <c r="V77" s="383"/>
      <c r="W77" s="383"/>
      <c r="X77" s="383"/>
      <c r="Y77" s="383"/>
      <c r="Z77" s="383"/>
    </row>
    <row r="78" spans="1:26" ht="11.25" customHeight="1" x14ac:dyDescent="0.3">
      <c r="A78" s="383"/>
      <c r="B78" s="383"/>
      <c r="C78" s="383"/>
      <c r="D78" s="383"/>
      <c r="E78" s="383"/>
      <c r="F78" s="383"/>
      <c r="G78" s="383"/>
      <c r="H78" s="383"/>
      <c r="I78" s="383"/>
      <c r="J78" s="383"/>
      <c r="K78" s="383"/>
      <c r="L78" s="383"/>
      <c r="M78" s="383"/>
      <c r="N78" s="383"/>
      <c r="O78" s="383"/>
      <c r="P78" s="383"/>
      <c r="Q78" s="383"/>
      <c r="R78" s="383"/>
      <c r="S78" s="383"/>
      <c r="T78" s="383"/>
      <c r="U78" s="383"/>
      <c r="V78" s="383"/>
      <c r="W78" s="383"/>
      <c r="X78" s="383"/>
      <c r="Y78" s="383"/>
      <c r="Z78" s="383"/>
    </row>
    <row r="79" spans="1:26" ht="11.25" customHeight="1" x14ac:dyDescent="0.3">
      <c r="A79" s="383"/>
      <c r="B79" s="383"/>
      <c r="C79" s="383"/>
      <c r="D79" s="383"/>
      <c r="E79" s="383"/>
      <c r="F79" s="383"/>
      <c r="G79" s="383"/>
      <c r="H79" s="383"/>
      <c r="I79" s="383"/>
      <c r="J79" s="383"/>
      <c r="K79" s="383"/>
      <c r="L79" s="383"/>
      <c r="M79" s="383"/>
      <c r="N79" s="383"/>
      <c r="O79" s="383"/>
      <c r="P79" s="383"/>
      <c r="Q79" s="383"/>
      <c r="R79" s="383"/>
      <c r="S79" s="383"/>
      <c r="T79" s="383"/>
      <c r="U79" s="383"/>
      <c r="V79" s="383"/>
      <c r="W79" s="383"/>
      <c r="X79" s="383"/>
      <c r="Y79" s="383"/>
      <c r="Z79" s="383"/>
    </row>
    <row r="80" spans="1:26" ht="11.25" customHeight="1" x14ac:dyDescent="0.3">
      <c r="A80" s="383"/>
      <c r="B80" s="383"/>
      <c r="C80" s="383"/>
      <c r="D80" s="383"/>
      <c r="E80" s="383"/>
      <c r="F80" s="383"/>
      <c r="G80" s="383"/>
      <c r="H80" s="383"/>
      <c r="I80" s="383"/>
      <c r="J80" s="383"/>
      <c r="K80" s="383"/>
      <c r="L80" s="383"/>
      <c r="M80" s="383"/>
      <c r="N80" s="383"/>
      <c r="O80" s="383"/>
      <c r="P80" s="383"/>
      <c r="Q80" s="383"/>
      <c r="R80" s="383"/>
      <c r="S80" s="383"/>
      <c r="T80" s="383"/>
      <c r="U80" s="383"/>
      <c r="V80" s="383"/>
      <c r="W80" s="383"/>
      <c r="X80" s="383"/>
      <c r="Y80" s="383"/>
      <c r="Z80" s="383"/>
    </row>
    <row r="81" spans="1:26" ht="11.25" customHeight="1" x14ac:dyDescent="0.3">
      <c r="A81" s="383"/>
      <c r="B81" s="383"/>
      <c r="C81" s="383"/>
      <c r="D81" s="383"/>
      <c r="E81" s="383"/>
      <c r="F81" s="383"/>
      <c r="G81" s="383"/>
      <c r="H81" s="383"/>
      <c r="I81" s="383"/>
      <c r="J81" s="383"/>
      <c r="K81" s="383"/>
      <c r="L81" s="383"/>
      <c r="M81" s="383"/>
      <c r="N81" s="383"/>
      <c r="O81" s="383"/>
      <c r="P81" s="383"/>
      <c r="Q81" s="383"/>
      <c r="R81" s="383"/>
      <c r="S81" s="383"/>
      <c r="T81" s="383"/>
      <c r="U81" s="383"/>
      <c r="V81" s="383"/>
      <c r="W81" s="383"/>
      <c r="X81" s="383"/>
      <c r="Y81" s="383"/>
      <c r="Z81" s="383"/>
    </row>
    <row r="82" spans="1:26" ht="11.25" customHeight="1" x14ac:dyDescent="0.3">
      <c r="A82" s="383"/>
      <c r="B82" s="383"/>
      <c r="C82" s="383"/>
      <c r="D82" s="383"/>
      <c r="E82" s="383"/>
      <c r="F82" s="383"/>
      <c r="G82" s="383"/>
      <c r="H82" s="383"/>
      <c r="I82" s="383"/>
      <c r="J82" s="383"/>
      <c r="K82" s="383"/>
      <c r="L82" s="383"/>
      <c r="M82" s="383"/>
      <c r="N82" s="383"/>
      <c r="O82" s="383"/>
      <c r="P82" s="383"/>
      <c r="Q82" s="383"/>
      <c r="R82" s="383"/>
      <c r="S82" s="383"/>
      <c r="T82" s="383"/>
      <c r="U82" s="383"/>
      <c r="V82" s="383"/>
      <c r="W82" s="383"/>
      <c r="X82" s="383"/>
      <c r="Y82" s="383"/>
      <c r="Z82" s="383"/>
    </row>
    <row r="83" spans="1:26" ht="11.25" customHeight="1" x14ac:dyDescent="0.3">
      <c r="A83" s="383"/>
      <c r="B83" s="383"/>
      <c r="C83" s="383"/>
      <c r="D83" s="383"/>
      <c r="E83" s="383"/>
      <c r="F83" s="383"/>
      <c r="G83" s="383"/>
      <c r="H83" s="383"/>
      <c r="I83" s="383"/>
      <c r="J83" s="383"/>
      <c r="K83" s="383"/>
      <c r="L83" s="383"/>
      <c r="M83" s="383"/>
      <c r="N83" s="383"/>
      <c r="O83" s="383"/>
      <c r="P83" s="383"/>
      <c r="Q83" s="383"/>
      <c r="R83" s="383"/>
      <c r="S83" s="383"/>
      <c r="T83" s="383"/>
      <c r="U83" s="383"/>
      <c r="V83" s="383"/>
      <c r="W83" s="383"/>
      <c r="X83" s="383"/>
      <c r="Y83" s="383"/>
      <c r="Z83" s="383"/>
    </row>
    <row r="84" spans="1:26" ht="11.25" customHeight="1" x14ac:dyDescent="0.3">
      <c r="A84" s="383"/>
      <c r="B84" s="383"/>
      <c r="C84" s="383"/>
      <c r="D84" s="383"/>
      <c r="E84" s="383"/>
      <c r="F84" s="383"/>
      <c r="G84" s="383"/>
      <c r="H84" s="383"/>
      <c r="I84" s="383"/>
      <c r="J84" s="383"/>
      <c r="K84" s="383"/>
      <c r="L84" s="383"/>
      <c r="M84" s="383"/>
      <c r="N84" s="383"/>
      <c r="O84" s="383"/>
      <c r="P84" s="383"/>
      <c r="Q84" s="383"/>
      <c r="R84" s="383"/>
      <c r="S84" s="383"/>
      <c r="T84" s="383"/>
      <c r="U84" s="383"/>
      <c r="V84" s="383"/>
      <c r="W84" s="383"/>
      <c r="X84" s="383"/>
      <c r="Y84" s="383"/>
      <c r="Z84" s="383"/>
    </row>
    <row r="85" spans="1:26" ht="11.25" customHeight="1" x14ac:dyDescent="0.3">
      <c r="A85" s="383"/>
      <c r="B85" s="383"/>
      <c r="C85" s="383"/>
      <c r="D85" s="383"/>
      <c r="E85" s="383"/>
      <c r="F85" s="383"/>
      <c r="G85" s="383"/>
      <c r="H85" s="383"/>
      <c r="I85" s="383"/>
      <c r="J85" s="383"/>
      <c r="K85" s="383"/>
      <c r="L85" s="383"/>
      <c r="M85" s="383"/>
      <c r="N85" s="383"/>
      <c r="O85" s="383"/>
      <c r="P85" s="383"/>
      <c r="Q85" s="383"/>
      <c r="R85" s="383"/>
      <c r="S85" s="383"/>
      <c r="T85" s="383"/>
      <c r="U85" s="383"/>
      <c r="V85" s="383"/>
      <c r="W85" s="383"/>
      <c r="X85" s="383"/>
      <c r="Y85" s="383"/>
      <c r="Z85" s="383"/>
    </row>
    <row r="86" spans="1:26" ht="11.25" customHeight="1" x14ac:dyDescent="0.3">
      <c r="A86" s="383"/>
      <c r="B86" s="383"/>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row>
    <row r="87" spans="1:26" ht="11.25" customHeight="1" x14ac:dyDescent="0.3">
      <c r="A87" s="383"/>
      <c r="B87" s="383"/>
      <c r="C87" s="383"/>
      <c r="D87" s="383"/>
      <c r="E87" s="383"/>
      <c r="F87" s="383"/>
      <c r="G87" s="383"/>
      <c r="H87" s="383"/>
      <c r="I87" s="383"/>
      <c r="J87" s="383"/>
      <c r="K87" s="383"/>
      <c r="L87" s="383"/>
      <c r="M87" s="383"/>
      <c r="N87" s="383"/>
      <c r="O87" s="383"/>
      <c r="P87" s="383"/>
      <c r="Q87" s="383"/>
      <c r="R87" s="383"/>
      <c r="S87" s="383"/>
      <c r="T87" s="383"/>
      <c r="U87" s="383"/>
      <c r="V87" s="383"/>
      <c r="W87" s="383"/>
      <c r="X87" s="383"/>
      <c r="Y87" s="383"/>
      <c r="Z87" s="383"/>
    </row>
    <row r="88" spans="1:26" ht="11.25" customHeight="1" x14ac:dyDescent="0.3">
      <c r="A88" s="383"/>
      <c r="B88" s="383"/>
      <c r="C88" s="383"/>
      <c r="D88" s="383"/>
      <c r="E88" s="383"/>
      <c r="F88" s="383"/>
      <c r="G88" s="383"/>
      <c r="H88" s="383"/>
      <c r="I88" s="383"/>
      <c r="J88" s="383"/>
      <c r="K88" s="383"/>
      <c r="L88" s="383"/>
      <c r="M88" s="383"/>
      <c r="N88" s="383"/>
      <c r="O88" s="383"/>
      <c r="P88" s="383"/>
      <c r="Q88" s="383"/>
      <c r="R88" s="383"/>
      <c r="S88" s="383"/>
      <c r="T88" s="383"/>
      <c r="U88" s="383"/>
      <c r="V88" s="383"/>
      <c r="W88" s="383"/>
      <c r="X88" s="383"/>
      <c r="Y88" s="383"/>
      <c r="Z88" s="383"/>
    </row>
    <row r="89" spans="1:26" ht="11.25" customHeight="1" x14ac:dyDescent="0.3">
      <c r="A89" s="383"/>
      <c r="B89" s="383"/>
      <c r="C89" s="383"/>
      <c r="D89" s="383"/>
      <c r="E89" s="383"/>
      <c r="F89" s="383"/>
      <c r="G89" s="383"/>
      <c r="H89" s="383"/>
      <c r="I89" s="383"/>
      <c r="J89" s="383"/>
      <c r="K89" s="383"/>
      <c r="L89" s="383"/>
      <c r="M89" s="383"/>
      <c r="N89" s="383"/>
      <c r="O89" s="383"/>
      <c r="P89" s="383"/>
      <c r="Q89" s="383"/>
      <c r="R89" s="383"/>
      <c r="S89" s="383"/>
      <c r="T89" s="383"/>
      <c r="U89" s="383"/>
      <c r="V89" s="383"/>
      <c r="W89" s="383"/>
      <c r="X89" s="383"/>
      <c r="Y89" s="383"/>
      <c r="Z89" s="383"/>
    </row>
    <row r="90" spans="1:26" ht="11.25" customHeight="1" x14ac:dyDescent="0.3">
      <c r="A90" s="383"/>
      <c r="B90" s="383"/>
      <c r="C90" s="383"/>
      <c r="D90" s="383"/>
      <c r="E90" s="383"/>
      <c r="F90" s="383"/>
      <c r="G90" s="383"/>
      <c r="H90" s="383"/>
      <c r="I90" s="383"/>
      <c r="J90" s="383"/>
      <c r="K90" s="383"/>
      <c r="L90" s="383"/>
      <c r="M90" s="383"/>
      <c r="N90" s="383"/>
      <c r="O90" s="383"/>
      <c r="P90" s="383"/>
      <c r="Q90" s="383"/>
      <c r="R90" s="383"/>
      <c r="S90" s="383"/>
      <c r="T90" s="383"/>
      <c r="U90" s="383"/>
      <c r="V90" s="383"/>
      <c r="W90" s="383"/>
      <c r="X90" s="383"/>
      <c r="Y90" s="383"/>
      <c r="Z90" s="383"/>
    </row>
    <row r="91" spans="1:26" ht="11.25" customHeight="1" x14ac:dyDescent="0.3">
      <c r="A91" s="383"/>
      <c r="B91" s="383"/>
      <c r="C91" s="383"/>
      <c r="D91" s="383"/>
      <c r="E91" s="383"/>
      <c r="F91" s="383"/>
      <c r="G91" s="383"/>
      <c r="H91" s="383"/>
      <c r="I91" s="383"/>
      <c r="J91" s="383"/>
      <c r="K91" s="383"/>
      <c r="L91" s="383"/>
      <c r="M91" s="383"/>
      <c r="N91" s="383"/>
      <c r="O91" s="383"/>
      <c r="P91" s="383"/>
      <c r="Q91" s="383"/>
      <c r="R91" s="383"/>
      <c r="S91" s="383"/>
      <c r="T91" s="383"/>
      <c r="U91" s="383"/>
      <c r="V91" s="383"/>
      <c r="W91" s="383"/>
      <c r="X91" s="383"/>
      <c r="Y91" s="383"/>
      <c r="Z91" s="383"/>
    </row>
    <row r="92" spans="1:26" ht="11.25" customHeight="1" x14ac:dyDescent="0.3">
      <c r="A92" s="383"/>
      <c r="B92" s="383"/>
      <c r="C92" s="383"/>
      <c r="D92" s="383"/>
      <c r="E92" s="383"/>
      <c r="F92" s="383"/>
      <c r="G92" s="383"/>
      <c r="H92" s="383"/>
      <c r="I92" s="383"/>
      <c r="J92" s="383"/>
      <c r="K92" s="383"/>
      <c r="L92" s="383"/>
      <c r="M92" s="383"/>
      <c r="N92" s="383"/>
      <c r="O92" s="383"/>
      <c r="P92" s="383"/>
      <c r="Q92" s="383"/>
      <c r="R92" s="383"/>
      <c r="S92" s="383"/>
      <c r="T92" s="383"/>
      <c r="U92" s="383"/>
      <c r="V92" s="383"/>
      <c r="W92" s="383"/>
      <c r="X92" s="383"/>
      <c r="Y92" s="383"/>
      <c r="Z92" s="383"/>
    </row>
    <row r="93" spans="1:26" ht="11.25" customHeight="1" x14ac:dyDescent="0.3">
      <c r="A93" s="383"/>
      <c r="B93" s="383"/>
      <c r="C93" s="383"/>
      <c r="D93" s="383"/>
      <c r="E93" s="383"/>
      <c r="F93" s="383"/>
      <c r="G93" s="383"/>
      <c r="H93" s="383"/>
      <c r="I93" s="383"/>
      <c r="J93" s="383"/>
      <c r="K93" s="383"/>
      <c r="L93" s="383"/>
      <c r="M93" s="383"/>
      <c r="N93" s="383"/>
      <c r="O93" s="383"/>
      <c r="P93" s="383"/>
      <c r="Q93" s="383"/>
      <c r="R93" s="383"/>
      <c r="S93" s="383"/>
      <c r="T93" s="383"/>
      <c r="U93" s="383"/>
      <c r="V93" s="383"/>
      <c r="W93" s="383"/>
      <c r="X93" s="383"/>
      <c r="Y93" s="383"/>
      <c r="Z93" s="383"/>
    </row>
    <row r="94" spans="1:26" ht="11.25" customHeight="1" x14ac:dyDescent="0.3">
      <c r="A94" s="383"/>
      <c r="B94" s="383"/>
      <c r="C94" s="383"/>
      <c r="D94" s="383"/>
      <c r="E94" s="383"/>
      <c r="F94" s="383"/>
      <c r="G94" s="383"/>
      <c r="H94" s="383"/>
      <c r="I94" s="383"/>
      <c r="J94" s="383"/>
      <c r="K94" s="383"/>
      <c r="L94" s="383"/>
      <c r="M94" s="383"/>
      <c r="N94" s="383"/>
      <c r="O94" s="383"/>
      <c r="P94" s="383"/>
      <c r="Q94" s="383"/>
      <c r="R94" s="383"/>
      <c r="S94" s="383"/>
      <c r="T94" s="383"/>
      <c r="U94" s="383"/>
      <c r="V94" s="383"/>
      <c r="W94" s="383"/>
      <c r="X94" s="383"/>
      <c r="Y94" s="383"/>
      <c r="Z94" s="383"/>
    </row>
    <row r="95" spans="1:26" ht="11.25" customHeight="1" x14ac:dyDescent="0.3">
      <c r="A95" s="383"/>
      <c r="B95" s="383"/>
      <c r="C95" s="383"/>
      <c r="D95" s="383"/>
      <c r="E95" s="383"/>
      <c r="F95" s="383"/>
      <c r="G95" s="383"/>
      <c r="H95" s="383"/>
      <c r="I95" s="383"/>
      <c r="J95" s="383"/>
      <c r="K95" s="383"/>
      <c r="L95" s="383"/>
      <c r="M95" s="383"/>
      <c r="N95" s="383"/>
      <c r="O95" s="383"/>
      <c r="P95" s="383"/>
      <c r="Q95" s="383"/>
      <c r="R95" s="383"/>
      <c r="S95" s="383"/>
      <c r="T95" s="383"/>
      <c r="U95" s="383"/>
      <c r="V95" s="383"/>
      <c r="W95" s="383"/>
      <c r="X95" s="383"/>
      <c r="Y95" s="383"/>
      <c r="Z95" s="383"/>
    </row>
    <row r="96" spans="1:26" ht="11.25" customHeight="1" x14ac:dyDescent="0.3">
      <c r="A96" s="383"/>
      <c r="B96" s="383"/>
      <c r="C96" s="383"/>
      <c r="D96" s="383"/>
      <c r="E96" s="383"/>
      <c r="F96" s="383"/>
      <c r="G96" s="383"/>
      <c r="H96" s="383"/>
      <c r="I96" s="383"/>
      <c r="J96" s="383"/>
      <c r="K96" s="383"/>
      <c r="L96" s="383"/>
      <c r="M96" s="383"/>
      <c r="N96" s="383"/>
      <c r="O96" s="383"/>
      <c r="P96" s="383"/>
      <c r="Q96" s="383"/>
      <c r="R96" s="383"/>
      <c r="S96" s="383"/>
      <c r="T96" s="383"/>
      <c r="U96" s="383"/>
      <c r="V96" s="383"/>
      <c r="W96" s="383"/>
      <c r="X96" s="383"/>
      <c r="Y96" s="383"/>
      <c r="Z96" s="383"/>
    </row>
    <row r="97" spans="1:26" ht="11.25" customHeight="1" x14ac:dyDescent="0.3">
      <c r="A97" s="383"/>
      <c r="B97" s="383"/>
      <c r="C97" s="383"/>
      <c r="D97" s="383"/>
      <c r="E97" s="383"/>
      <c r="F97" s="383"/>
      <c r="G97" s="383"/>
      <c r="H97" s="383"/>
      <c r="I97" s="383"/>
      <c r="J97" s="383"/>
      <c r="K97" s="383"/>
      <c r="L97" s="383"/>
      <c r="M97" s="383"/>
      <c r="N97" s="383"/>
      <c r="O97" s="383"/>
      <c r="P97" s="383"/>
      <c r="Q97" s="383"/>
      <c r="R97" s="383"/>
      <c r="S97" s="383"/>
      <c r="T97" s="383"/>
      <c r="U97" s="383"/>
      <c r="V97" s="383"/>
      <c r="W97" s="383"/>
      <c r="X97" s="383"/>
      <c r="Y97" s="383"/>
      <c r="Z97" s="383"/>
    </row>
    <row r="98" spans="1:26" ht="11.25" customHeight="1" x14ac:dyDescent="0.3">
      <c r="A98" s="383"/>
      <c r="B98" s="383"/>
      <c r="C98" s="383"/>
      <c r="D98" s="383"/>
      <c r="E98" s="383"/>
      <c r="F98" s="383"/>
      <c r="G98" s="383"/>
      <c r="H98" s="383"/>
      <c r="I98" s="383"/>
      <c r="J98" s="383"/>
      <c r="K98" s="383"/>
      <c r="L98" s="383"/>
      <c r="M98" s="383"/>
      <c r="N98" s="383"/>
      <c r="O98" s="383"/>
      <c r="P98" s="383"/>
      <c r="Q98" s="383"/>
      <c r="R98" s="383"/>
      <c r="S98" s="383"/>
      <c r="T98" s="383"/>
      <c r="U98" s="383"/>
      <c r="V98" s="383"/>
      <c r="W98" s="383"/>
      <c r="X98" s="383"/>
      <c r="Y98" s="383"/>
      <c r="Z98" s="383"/>
    </row>
    <row r="99" spans="1:26" ht="11.25" customHeight="1" x14ac:dyDescent="0.3">
      <c r="A99" s="383"/>
      <c r="B99" s="383"/>
      <c r="C99" s="383"/>
      <c r="D99" s="383"/>
      <c r="E99" s="383"/>
      <c r="F99" s="383"/>
      <c r="G99" s="383"/>
      <c r="H99" s="383"/>
      <c r="I99" s="383"/>
      <c r="J99" s="383"/>
      <c r="K99" s="383"/>
      <c r="L99" s="383"/>
      <c r="M99" s="383"/>
      <c r="N99" s="383"/>
      <c r="O99" s="383"/>
      <c r="P99" s="383"/>
      <c r="Q99" s="383"/>
      <c r="R99" s="383"/>
      <c r="S99" s="383"/>
      <c r="T99" s="383"/>
      <c r="U99" s="383"/>
      <c r="V99" s="383"/>
      <c r="W99" s="383"/>
      <c r="X99" s="383"/>
      <c r="Y99" s="383"/>
      <c r="Z99" s="383"/>
    </row>
    <row r="100" spans="1:26" ht="11.25" customHeight="1" x14ac:dyDescent="0.3">
      <c r="A100" s="383"/>
      <c r="B100" s="383"/>
      <c r="C100" s="383"/>
      <c r="D100" s="383"/>
      <c r="E100" s="383"/>
      <c r="F100" s="383"/>
      <c r="G100" s="383"/>
      <c r="H100" s="383"/>
      <c r="I100" s="383"/>
      <c r="J100" s="383"/>
      <c r="K100" s="383"/>
      <c r="L100" s="383"/>
      <c r="M100" s="383"/>
      <c r="N100" s="383"/>
      <c r="O100" s="383"/>
      <c r="P100" s="383"/>
      <c r="Q100" s="383"/>
      <c r="R100" s="383"/>
      <c r="S100" s="383"/>
      <c r="T100" s="383"/>
      <c r="U100" s="383"/>
      <c r="V100" s="383"/>
      <c r="W100" s="383"/>
      <c r="X100" s="383"/>
      <c r="Y100" s="383"/>
      <c r="Z100" s="383"/>
    </row>
    <row r="101" spans="1:26" ht="11.25" customHeight="1" x14ac:dyDescent="0.3">
      <c r="A101" s="383"/>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c r="X101" s="383"/>
      <c r="Y101" s="383"/>
      <c r="Z101" s="383"/>
    </row>
    <row r="102" spans="1:26" ht="11.25" customHeight="1" x14ac:dyDescent="0.3">
      <c r="A102" s="383"/>
      <c r="B102" s="383"/>
      <c r="C102" s="383"/>
      <c r="D102" s="383"/>
      <c r="E102" s="383"/>
      <c r="F102" s="383"/>
      <c r="G102" s="383"/>
      <c r="H102" s="383"/>
      <c r="I102" s="383"/>
      <c r="J102" s="383"/>
      <c r="K102" s="383"/>
      <c r="L102" s="383"/>
      <c r="M102" s="383"/>
      <c r="N102" s="383"/>
      <c r="O102" s="383"/>
      <c r="P102" s="383"/>
      <c r="Q102" s="383"/>
      <c r="R102" s="383"/>
      <c r="S102" s="383"/>
      <c r="T102" s="383"/>
      <c r="U102" s="383"/>
      <c r="V102" s="383"/>
      <c r="W102" s="383"/>
      <c r="X102" s="383"/>
      <c r="Y102" s="383"/>
      <c r="Z102" s="383"/>
    </row>
    <row r="103" spans="1:26" ht="11.25" customHeight="1" x14ac:dyDescent="0.3">
      <c r="A103" s="383"/>
      <c r="B103" s="383"/>
      <c r="C103" s="383"/>
      <c r="D103" s="383"/>
      <c r="E103" s="383"/>
      <c r="F103" s="383"/>
      <c r="G103" s="383"/>
      <c r="H103" s="383"/>
      <c r="I103" s="383"/>
      <c r="J103" s="383"/>
      <c r="K103" s="383"/>
      <c r="L103" s="383"/>
      <c r="M103" s="383"/>
      <c r="N103" s="383"/>
      <c r="O103" s="383"/>
      <c r="P103" s="383"/>
      <c r="Q103" s="383"/>
      <c r="R103" s="383"/>
      <c r="S103" s="383"/>
      <c r="T103" s="383"/>
      <c r="U103" s="383"/>
      <c r="V103" s="383"/>
      <c r="W103" s="383"/>
      <c r="X103" s="383"/>
      <c r="Y103" s="383"/>
      <c r="Z103" s="383"/>
    </row>
    <row r="104" spans="1:26" ht="11.25" customHeight="1" x14ac:dyDescent="0.3">
      <c r="A104" s="383"/>
      <c r="B104" s="383"/>
      <c r="C104" s="383"/>
      <c r="D104" s="383"/>
      <c r="E104" s="383"/>
      <c r="F104" s="383"/>
      <c r="G104" s="383"/>
      <c r="H104" s="383"/>
      <c r="I104" s="383"/>
      <c r="J104" s="383"/>
      <c r="K104" s="383"/>
      <c r="L104" s="383"/>
      <c r="M104" s="383"/>
      <c r="N104" s="383"/>
      <c r="O104" s="383"/>
      <c r="P104" s="383"/>
      <c r="Q104" s="383"/>
      <c r="R104" s="383"/>
      <c r="S104" s="383"/>
      <c r="T104" s="383"/>
      <c r="U104" s="383"/>
      <c r="V104" s="383"/>
      <c r="W104" s="383"/>
      <c r="X104" s="383"/>
      <c r="Y104" s="383"/>
      <c r="Z104" s="383"/>
    </row>
    <row r="105" spans="1:26" ht="11.25" customHeight="1" x14ac:dyDescent="0.3">
      <c r="A105" s="383"/>
      <c r="B105" s="383"/>
      <c r="C105" s="383"/>
      <c r="D105" s="383"/>
      <c r="E105" s="383"/>
      <c r="F105" s="383"/>
      <c r="G105" s="383"/>
      <c r="H105" s="383"/>
      <c r="I105" s="383"/>
      <c r="J105" s="383"/>
      <c r="K105" s="383"/>
      <c r="L105" s="383"/>
      <c r="M105" s="383"/>
      <c r="N105" s="383"/>
      <c r="O105" s="383"/>
      <c r="P105" s="383"/>
      <c r="Q105" s="383"/>
      <c r="R105" s="383"/>
      <c r="S105" s="383"/>
      <c r="T105" s="383"/>
      <c r="U105" s="383"/>
      <c r="V105" s="383"/>
      <c r="W105" s="383"/>
      <c r="X105" s="383"/>
      <c r="Y105" s="383"/>
      <c r="Z105" s="383"/>
    </row>
    <row r="106" spans="1:26" ht="11.25" customHeight="1" x14ac:dyDescent="0.3">
      <c r="A106" s="383"/>
      <c r="B106" s="383"/>
      <c r="C106" s="383"/>
      <c r="D106" s="383"/>
      <c r="E106" s="383"/>
      <c r="F106" s="383"/>
      <c r="G106" s="383"/>
      <c r="H106" s="383"/>
      <c r="I106" s="383"/>
      <c r="J106" s="383"/>
      <c r="K106" s="383"/>
      <c r="L106" s="383"/>
      <c r="M106" s="383"/>
      <c r="N106" s="383"/>
      <c r="O106" s="383"/>
      <c r="P106" s="383"/>
      <c r="Q106" s="383"/>
      <c r="R106" s="383"/>
      <c r="S106" s="383"/>
      <c r="T106" s="383"/>
      <c r="U106" s="383"/>
      <c r="V106" s="383"/>
      <c r="W106" s="383"/>
      <c r="X106" s="383"/>
      <c r="Y106" s="383"/>
      <c r="Z106" s="383"/>
    </row>
    <row r="107" spans="1:26" ht="11.25" customHeight="1" x14ac:dyDescent="0.3">
      <c r="A107" s="383"/>
      <c r="B107" s="383"/>
      <c r="C107" s="383"/>
      <c r="D107" s="383"/>
      <c r="E107" s="383"/>
      <c r="F107" s="383"/>
      <c r="G107" s="383"/>
      <c r="H107" s="383"/>
      <c r="I107" s="383"/>
      <c r="J107" s="383"/>
      <c r="K107" s="383"/>
      <c r="L107" s="383"/>
      <c r="M107" s="383"/>
      <c r="N107" s="383"/>
      <c r="O107" s="383"/>
      <c r="P107" s="383"/>
      <c r="Q107" s="383"/>
      <c r="R107" s="383"/>
      <c r="S107" s="383"/>
      <c r="T107" s="383"/>
      <c r="U107" s="383"/>
      <c r="V107" s="383"/>
      <c r="W107" s="383"/>
      <c r="X107" s="383"/>
      <c r="Y107" s="383"/>
      <c r="Z107" s="383"/>
    </row>
    <row r="108" spans="1:26" ht="11.25" customHeight="1" x14ac:dyDescent="0.3">
      <c r="A108" s="383"/>
      <c r="B108" s="383"/>
      <c r="C108" s="383"/>
      <c r="D108" s="383"/>
      <c r="E108" s="383"/>
      <c r="F108" s="383"/>
      <c r="G108" s="383"/>
      <c r="H108" s="383"/>
      <c r="I108" s="383"/>
      <c r="J108" s="383"/>
      <c r="K108" s="383"/>
      <c r="L108" s="383"/>
      <c r="M108" s="383"/>
      <c r="N108" s="383"/>
      <c r="O108" s="383"/>
      <c r="P108" s="383"/>
      <c r="Q108" s="383"/>
      <c r="R108" s="383"/>
      <c r="S108" s="383"/>
      <c r="T108" s="383"/>
      <c r="U108" s="383"/>
      <c r="V108" s="383"/>
      <c r="W108" s="383"/>
      <c r="X108" s="383"/>
      <c r="Y108" s="383"/>
      <c r="Z108" s="383"/>
    </row>
    <row r="109" spans="1:26" ht="11.25" customHeight="1" x14ac:dyDescent="0.3">
      <c r="A109" s="383"/>
      <c r="B109" s="383"/>
      <c r="C109" s="383"/>
      <c r="D109" s="383"/>
      <c r="E109" s="383"/>
      <c r="F109" s="383"/>
      <c r="G109" s="383"/>
      <c r="H109" s="383"/>
      <c r="I109" s="383"/>
      <c r="J109" s="383"/>
      <c r="K109" s="383"/>
      <c r="L109" s="383"/>
      <c r="M109" s="383"/>
      <c r="N109" s="383"/>
      <c r="O109" s="383"/>
      <c r="P109" s="383"/>
      <c r="Q109" s="383"/>
      <c r="R109" s="383"/>
      <c r="S109" s="383"/>
      <c r="T109" s="383"/>
      <c r="U109" s="383"/>
      <c r="V109" s="383"/>
      <c r="W109" s="383"/>
      <c r="X109" s="383"/>
      <c r="Y109" s="383"/>
      <c r="Z109" s="383"/>
    </row>
    <row r="110" spans="1:26" ht="11.25" customHeight="1" x14ac:dyDescent="0.3">
      <c r="A110" s="383"/>
      <c r="B110" s="383"/>
      <c r="C110" s="383"/>
      <c r="D110" s="383"/>
      <c r="E110" s="383"/>
      <c r="F110" s="383"/>
      <c r="G110" s="383"/>
      <c r="H110" s="383"/>
      <c r="I110" s="383"/>
      <c r="J110" s="383"/>
      <c r="K110" s="383"/>
      <c r="L110" s="383"/>
      <c r="M110" s="383"/>
      <c r="N110" s="383"/>
      <c r="O110" s="383"/>
      <c r="P110" s="383"/>
      <c r="Q110" s="383"/>
      <c r="R110" s="383"/>
      <c r="S110" s="383"/>
      <c r="T110" s="383"/>
      <c r="U110" s="383"/>
      <c r="V110" s="383"/>
      <c r="W110" s="383"/>
      <c r="X110" s="383"/>
      <c r="Y110" s="383"/>
      <c r="Z110" s="383"/>
    </row>
    <row r="111" spans="1:26" ht="11.25" customHeight="1" x14ac:dyDescent="0.3">
      <c r="A111" s="383"/>
      <c r="B111" s="383"/>
      <c r="C111" s="383"/>
      <c r="D111" s="383"/>
      <c r="E111" s="383"/>
      <c r="F111" s="383"/>
      <c r="G111" s="383"/>
      <c r="H111" s="383"/>
      <c r="I111" s="383"/>
      <c r="J111" s="383"/>
      <c r="K111" s="383"/>
      <c r="L111" s="383"/>
      <c r="M111" s="383"/>
      <c r="N111" s="383"/>
      <c r="O111" s="383"/>
      <c r="P111" s="383"/>
      <c r="Q111" s="383"/>
      <c r="R111" s="383"/>
      <c r="S111" s="383"/>
      <c r="T111" s="383"/>
      <c r="U111" s="383"/>
      <c r="V111" s="383"/>
      <c r="W111" s="383"/>
      <c r="X111" s="383"/>
      <c r="Y111" s="383"/>
      <c r="Z111" s="383"/>
    </row>
    <row r="112" spans="1:26" ht="11.25" customHeight="1" x14ac:dyDescent="0.3">
      <c r="A112" s="383"/>
      <c r="B112" s="383"/>
      <c r="C112" s="383"/>
      <c r="D112" s="383"/>
      <c r="E112" s="383"/>
      <c r="F112" s="383"/>
      <c r="G112" s="383"/>
      <c r="H112" s="383"/>
      <c r="I112" s="383"/>
      <c r="J112" s="383"/>
      <c r="K112" s="383"/>
      <c r="L112" s="383"/>
      <c r="M112" s="383"/>
      <c r="N112" s="383"/>
      <c r="O112" s="383"/>
      <c r="P112" s="383"/>
      <c r="Q112" s="383"/>
      <c r="R112" s="383"/>
      <c r="S112" s="383"/>
      <c r="T112" s="383"/>
      <c r="U112" s="383"/>
      <c r="V112" s="383"/>
      <c r="W112" s="383"/>
      <c r="X112" s="383"/>
      <c r="Y112" s="383"/>
      <c r="Z112" s="383"/>
    </row>
    <row r="113" spans="1:26" ht="11.25" customHeight="1" x14ac:dyDescent="0.3">
      <c r="A113" s="383"/>
      <c r="B113" s="383"/>
      <c r="C113" s="383"/>
      <c r="D113" s="383"/>
      <c r="E113" s="383"/>
      <c r="F113" s="383"/>
      <c r="G113" s="383"/>
      <c r="H113" s="383"/>
      <c r="I113" s="383"/>
      <c r="J113" s="383"/>
      <c r="K113" s="383"/>
      <c r="L113" s="383"/>
      <c r="M113" s="383"/>
      <c r="N113" s="383"/>
      <c r="O113" s="383"/>
      <c r="P113" s="383"/>
      <c r="Q113" s="383"/>
      <c r="R113" s="383"/>
      <c r="S113" s="383"/>
      <c r="T113" s="383"/>
      <c r="U113" s="383"/>
      <c r="V113" s="383"/>
      <c r="W113" s="383"/>
      <c r="X113" s="383"/>
      <c r="Y113" s="383"/>
      <c r="Z113" s="383"/>
    </row>
    <row r="114" spans="1:26" ht="11.25" customHeight="1" x14ac:dyDescent="0.3">
      <c r="A114" s="383"/>
      <c r="B114" s="383"/>
      <c r="C114" s="383"/>
      <c r="D114" s="383"/>
      <c r="E114" s="383"/>
      <c r="F114" s="383"/>
      <c r="G114" s="383"/>
      <c r="H114" s="383"/>
      <c r="I114" s="383"/>
      <c r="J114" s="383"/>
      <c r="K114" s="383"/>
      <c r="L114" s="383"/>
      <c r="M114" s="383"/>
      <c r="N114" s="383"/>
      <c r="O114" s="383"/>
      <c r="P114" s="383"/>
      <c r="Q114" s="383"/>
      <c r="R114" s="383"/>
      <c r="S114" s="383"/>
      <c r="T114" s="383"/>
      <c r="U114" s="383"/>
      <c r="V114" s="383"/>
      <c r="W114" s="383"/>
      <c r="X114" s="383"/>
      <c r="Y114" s="383"/>
      <c r="Z114" s="383"/>
    </row>
    <row r="115" spans="1:26" ht="11.25" customHeight="1" x14ac:dyDescent="0.3">
      <c r="A115" s="383"/>
      <c r="B115" s="383"/>
      <c r="C115" s="383"/>
      <c r="D115" s="383"/>
      <c r="E115" s="383"/>
      <c r="F115" s="383"/>
      <c r="G115" s="383"/>
      <c r="H115" s="383"/>
      <c r="I115" s="383"/>
      <c r="J115" s="383"/>
      <c r="K115" s="383"/>
      <c r="L115" s="383"/>
      <c r="M115" s="383"/>
      <c r="N115" s="383"/>
      <c r="O115" s="383"/>
      <c r="P115" s="383"/>
      <c r="Q115" s="383"/>
      <c r="R115" s="383"/>
      <c r="S115" s="383"/>
      <c r="T115" s="383"/>
      <c r="U115" s="383"/>
      <c r="V115" s="383"/>
      <c r="W115" s="383"/>
      <c r="X115" s="383"/>
      <c r="Y115" s="383"/>
      <c r="Z115" s="383"/>
    </row>
    <row r="116" spans="1:26" ht="11.25" customHeight="1" x14ac:dyDescent="0.3">
      <c r="A116" s="383"/>
      <c r="B116" s="383"/>
      <c r="C116" s="383"/>
      <c r="D116" s="383"/>
      <c r="E116" s="383"/>
      <c r="F116" s="383"/>
      <c r="G116" s="383"/>
      <c r="H116" s="383"/>
      <c r="I116" s="383"/>
      <c r="J116" s="383"/>
      <c r="K116" s="383"/>
      <c r="L116" s="383"/>
      <c r="M116" s="383"/>
      <c r="N116" s="383"/>
      <c r="O116" s="383"/>
      <c r="P116" s="383"/>
      <c r="Q116" s="383"/>
      <c r="R116" s="383"/>
      <c r="S116" s="383"/>
      <c r="T116" s="383"/>
      <c r="U116" s="383"/>
      <c r="V116" s="383"/>
      <c r="W116" s="383"/>
      <c r="X116" s="383"/>
      <c r="Y116" s="383"/>
      <c r="Z116" s="383"/>
    </row>
    <row r="117" spans="1:26" ht="11.25" customHeight="1" x14ac:dyDescent="0.3">
      <c r="A117" s="383"/>
      <c r="B117" s="383"/>
      <c r="C117" s="383"/>
      <c r="D117" s="383"/>
      <c r="E117" s="383"/>
      <c r="F117" s="383"/>
      <c r="G117" s="383"/>
      <c r="H117" s="383"/>
      <c r="I117" s="383"/>
      <c r="J117" s="383"/>
      <c r="K117" s="383"/>
      <c r="L117" s="383"/>
      <c r="M117" s="383"/>
      <c r="N117" s="383"/>
      <c r="O117" s="383"/>
      <c r="P117" s="383"/>
      <c r="Q117" s="383"/>
      <c r="R117" s="383"/>
      <c r="S117" s="383"/>
      <c r="T117" s="383"/>
      <c r="U117" s="383"/>
      <c r="V117" s="383"/>
      <c r="W117" s="383"/>
      <c r="X117" s="383"/>
      <c r="Y117" s="383"/>
      <c r="Z117" s="383"/>
    </row>
    <row r="118" spans="1:26" ht="11.25" customHeight="1" x14ac:dyDescent="0.3">
      <c r="A118" s="383"/>
      <c r="B118" s="383"/>
      <c r="C118" s="383"/>
      <c r="D118" s="383"/>
      <c r="E118" s="383"/>
      <c r="F118" s="383"/>
      <c r="G118" s="383"/>
      <c r="H118" s="383"/>
      <c r="I118" s="383"/>
      <c r="J118" s="383"/>
      <c r="K118" s="383"/>
      <c r="L118" s="383"/>
      <c r="M118" s="383"/>
      <c r="N118" s="383"/>
      <c r="O118" s="383"/>
      <c r="P118" s="383"/>
      <c r="Q118" s="383"/>
      <c r="R118" s="383"/>
      <c r="S118" s="383"/>
      <c r="T118" s="383"/>
      <c r="U118" s="383"/>
      <c r="V118" s="383"/>
      <c r="W118" s="383"/>
      <c r="X118" s="383"/>
      <c r="Y118" s="383"/>
      <c r="Z118" s="383"/>
    </row>
    <row r="119" spans="1:26" ht="11.25" customHeight="1" x14ac:dyDescent="0.3">
      <c r="A119" s="383"/>
      <c r="B119" s="383"/>
      <c r="C119" s="383"/>
      <c r="D119" s="383"/>
      <c r="E119" s="383"/>
      <c r="F119" s="383"/>
      <c r="G119" s="383"/>
      <c r="H119" s="383"/>
      <c r="I119" s="383"/>
      <c r="J119" s="383"/>
      <c r="K119" s="383"/>
      <c r="L119" s="383"/>
      <c r="M119" s="383"/>
      <c r="N119" s="383"/>
      <c r="O119" s="383"/>
      <c r="P119" s="383"/>
      <c r="Q119" s="383"/>
      <c r="R119" s="383"/>
      <c r="S119" s="383"/>
      <c r="T119" s="383"/>
      <c r="U119" s="383"/>
      <c r="V119" s="383"/>
      <c r="W119" s="383"/>
      <c r="X119" s="383"/>
      <c r="Y119" s="383"/>
      <c r="Z119" s="383"/>
    </row>
    <row r="120" spans="1:26" ht="11.25" customHeight="1" x14ac:dyDescent="0.3">
      <c r="A120" s="383"/>
      <c r="B120" s="383"/>
      <c r="C120" s="383"/>
      <c r="D120" s="383"/>
      <c r="E120" s="383"/>
      <c r="F120" s="383"/>
      <c r="G120" s="383"/>
      <c r="H120" s="383"/>
      <c r="I120" s="383"/>
      <c r="J120" s="383"/>
      <c r="K120" s="383"/>
      <c r="L120" s="383"/>
      <c r="M120" s="383"/>
      <c r="N120" s="383"/>
      <c r="O120" s="383"/>
      <c r="P120" s="383"/>
      <c r="Q120" s="383"/>
      <c r="R120" s="383"/>
      <c r="S120" s="383"/>
      <c r="T120" s="383"/>
      <c r="U120" s="383"/>
      <c r="V120" s="383"/>
      <c r="W120" s="383"/>
      <c r="X120" s="383"/>
      <c r="Y120" s="383"/>
      <c r="Z120" s="383"/>
    </row>
    <row r="121" spans="1:26" ht="11.25" customHeight="1" x14ac:dyDescent="0.3">
      <c r="A121" s="383"/>
      <c r="B121" s="383"/>
      <c r="C121" s="383"/>
      <c r="D121" s="383"/>
      <c r="E121" s="383"/>
      <c r="F121" s="383"/>
      <c r="G121" s="383"/>
      <c r="H121" s="383"/>
      <c r="I121" s="383"/>
      <c r="J121" s="383"/>
      <c r="K121" s="383"/>
      <c r="L121" s="383"/>
      <c r="M121" s="383"/>
      <c r="N121" s="383"/>
      <c r="O121" s="383"/>
      <c r="P121" s="383"/>
      <c r="Q121" s="383"/>
      <c r="R121" s="383"/>
      <c r="S121" s="383"/>
      <c r="T121" s="383"/>
      <c r="U121" s="383"/>
      <c r="V121" s="383"/>
      <c r="W121" s="383"/>
      <c r="X121" s="383"/>
      <c r="Y121" s="383"/>
      <c r="Z121" s="383"/>
    </row>
    <row r="122" spans="1:26" ht="11.25" customHeight="1" x14ac:dyDescent="0.3">
      <c r="A122" s="383"/>
      <c r="B122" s="383"/>
      <c r="C122" s="383"/>
      <c r="D122" s="383"/>
      <c r="E122" s="383"/>
      <c r="F122" s="383"/>
      <c r="G122" s="383"/>
      <c r="H122" s="383"/>
      <c r="I122" s="383"/>
      <c r="J122" s="383"/>
      <c r="K122" s="383"/>
      <c r="L122" s="383"/>
      <c r="M122" s="383"/>
      <c r="N122" s="383"/>
      <c r="O122" s="383"/>
      <c r="P122" s="383"/>
      <c r="Q122" s="383"/>
      <c r="R122" s="383"/>
      <c r="S122" s="383"/>
      <c r="T122" s="383"/>
      <c r="U122" s="383"/>
      <c r="V122" s="383"/>
      <c r="W122" s="383"/>
      <c r="X122" s="383"/>
      <c r="Y122" s="383"/>
      <c r="Z122" s="383"/>
    </row>
    <row r="123" spans="1:26" ht="11.25" customHeight="1" x14ac:dyDescent="0.3">
      <c r="A123" s="383"/>
      <c r="B123" s="383"/>
      <c r="C123" s="383"/>
      <c r="D123" s="383"/>
      <c r="E123" s="383"/>
      <c r="F123" s="383"/>
      <c r="G123" s="383"/>
      <c r="H123" s="383"/>
      <c r="I123" s="383"/>
      <c r="J123" s="383"/>
      <c r="K123" s="383"/>
      <c r="L123" s="383"/>
      <c r="M123" s="383"/>
      <c r="N123" s="383"/>
      <c r="O123" s="383"/>
      <c r="P123" s="383"/>
      <c r="Q123" s="383"/>
      <c r="R123" s="383"/>
      <c r="S123" s="383"/>
      <c r="T123" s="383"/>
      <c r="U123" s="383"/>
      <c r="V123" s="383"/>
      <c r="W123" s="383"/>
      <c r="X123" s="383"/>
      <c r="Y123" s="383"/>
      <c r="Z123" s="383"/>
    </row>
    <row r="124" spans="1:26" ht="11.25" customHeight="1" x14ac:dyDescent="0.3">
      <c r="A124" s="383"/>
      <c r="B124" s="383"/>
      <c r="C124" s="383"/>
      <c r="D124" s="383"/>
      <c r="E124" s="383"/>
      <c r="F124" s="383"/>
      <c r="G124" s="383"/>
      <c r="H124" s="383"/>
      <c r="I124" s="383"/>
      <c r="J124" s="383"/>
      <c r="K124" s="383"/>
      <c r="L124" s="383"/>
      <c r="M124" s="383"/>
      <c r="N124" s="383"/>
      <c r="O124" s="383"/>
      <c r="P124" s="383"/>
      <c r="Q124" s="383"/>
      <c r="R124" s="383"/>
      <c r="S124" s="383"/>
      <c r="T124" s="383"/>
      <c r="U124" s="383"/>
      <c r="V124" s="383"/>
      <c r="W124" s="383"/>
      <c r="X124" s="383"/>
      <c r="Y124" s="383"/>
      <c r="Z124" s="383"/>
    </row>
    <row r="125" spans="1:26" ht="11.25" customHeight="1" x14ac:dyDescent="0.3">
      <c r="A125" s="383"/>
      <c r="B125" s="383"/>
      <c r="C125" s="383"/>
      <c r="D125" s="383"/>
      <c r="E125" s="383"/>
      <c r="F125" s="383"/>
      <c r="G125" s="383"/>
      <c r="H125" s="383"/>
      <c r="I125" s="383"/>
      <c r="J125" s="383"/>
      <c r="K125" s="383"/>
      <c r="L125" s="383"/>
      <c r="M125" s="383"/>
      <c r="N125" s="383"/>
      <c r="O125" s="383"/>
      <c r="P125" s="383"/>
      <c r="Q125" s="383"/>
      <c r="R125" s="383"/>
      <c r="S125" s="383"/>
      <c r="T125" s="383"/>
      <c r="U125" s="383"/>
      <c r="V125" s="383"/>
      <c r="W125" s="383"/>
      <c r="X125" s="383"/>
      <c r="Y125" s="383"/>
      <c r="Z125" s="383"/>
    </row>
    <row r="126" spans="1:26" ht="11.25" customHeight="1" x14ac:dyDescent="0.3">
      <c r="A126" s="383"/>
      <c r="B126" s="383"/>
      <c r="C126" s="383"/>
      <c r="D126" s="383"/>
      <c r="E126" s="383"/>
      <c r="F126" s="383"/>
      <c r="G126" s="383"/>
      <c r="H126" s="383"/>
      <c r="I126" s="383"/>
      <c r="J126" s="383"/>
      <c r="K126" s="383"/>
      <c r="L126" s="383"/>
      <c r="M126" s="383"/>
      <c r="N126" s="383"/>
      <c r="O126" s="383"/>
      <c r="P126" s="383"/>
      <c r="Q126" s="383"/>
      <c r="R126" s="383"/>
      <c r="S126" s="383"/>
      <c r="T126" s="383"/>
      <c r="U126" s="383"/>
      <c r="V126" s="383"/>
      <c r="W126" s="383"/>
      <c r="X126" s="383"/>
      <c r="Y126" s="383"/>
      <c r="Z126" s="383"/>
    </row>
    <row r="127" spans="1:26" ht="11.25" customHeight="1" x14ac:dyDescent="0.3">
      <c r="A127" s="383"/>
      <c r="B127" s="383"/>
      <c r="C127" s="383"/>
      <c r="D127" s="383"/>
      <c r="E127" s="383"/>
      <c r="F127" s="383"/>
      <c r="G127" s="383"/>
      <c r="H127" s="383"/>
      <c r="I127" s="383"/>
      <c r="J127" s="383"/>
      <c r="K127" s="383"/>
      <c r="L127" s="383"/>
      <c r="M127" s="383"/>
      <c r="N127" s="383"/>
      <c r="O127" s="383"/>
      <c r="P127" s="383"/>
      <c r="Q127" s="383"/>
      <c r="R127" s="383"/>
      <c r="S127" s="383"/>
      <c r="T127" s="383"/>
      <c r="U127" s="383"/>
      <c r="V127" s="383"/>
      <c r="W127" s="383"/>
      <c r="X127" s="383"/>
      <c r="Y127" s="383"/>
      <c r="Z127" s="383"/>
    </row>
    <row r="128" spans="1:26" ht="11.25" customHeight="1" x14ac:dyDescent="0.3">
      <c r="A128" s="383"/>
      <c r="B128" s="383"/>
      <c r="C128" s="383"/>
      <c r="D128" s="383"/>
      <c r="E128" s="383"/>
      <c r="F128" s="383"/>
      <c r="G128" s="383"/>
      <c r="H128" s="383"/>
      <c r="I128" s="383"/>
      <c r="J128" s="383"/>
      <c r="K128" s="383"/>
      <c r="L128" s="383"/>
      <c r="M128" s="383"/>
      <c r="N128" s="383"/>
      <c r="O128" s="383"/>
      <c r="P128" s="383"/>
      <c r="Q128" s="383"/>
      <c r="R128" s="383"/>
      <c r="S128" s="383"/>
      <c r="T128" s="383"/>
      <c r="U128" s="383"/>
      <c r="V128" s="383"/>
      <c r="W128" s="383"/>
      <c r="X128" s="383"/>
      <c r="Y128" s="383"/>
      <c r="Z128" s="383"/>
    </row>
    <row r="129" spans="1:26" ht="11.25" customHeight="1" x14ac:dyDescent="0.3">
      <c r="A129" s="383"/>
      <c r="B129" s="383"/>
      <c r="C129" s="383"/>
      <c r="D129" s="383"/>
      <c r="E129" s="383"/>
      <c r="F129" s="383"/>
      <c r="G129" s="383"/>
      <c r="H129" s="383"/>
      <c r="I129" s="383"/>
      <c r="J129" s="383"/>
      <c r="K129" s="383"/>
      <c r="L129" s="383"/>
      <c r="M129" s="383"/>
      <c r="N129" s="383"/>
      <c r="O129" s="383"/>
      <c r="P129" s="383"/>
      <c r="Q129" s="383"/>
      <c r="R129" s="383"/>
      <c r="S129" s="383"/>
      <c r="T129" s="383"/>
      <c r="U129" s="383"/>
      <c r="V129" s="383"/>
      <c r="W129" s="383"/>
      <c r="X129" s="383"/>
      <c r="Y129" s="383"/>
      <c r="Z129" s="383"/>
    </row>
    <row r="130" spans="1:26" ht="11.25" customHeight="1" x14ac:dyDescent="0.3">
      <c r="A130" s="383"/>
      <c r="B130" s="383"/>
      <c r="C130" s="383"/>
      <c r="D130" s="383"/>
      <c r="E130" s="383"/>
      <c r="F130" s="383"/>
      <c r="G130" s="383"/>
      <c r="H130" s="383"/>
      <c r="I130" s="383"/>
      <c r="J130" s="383"/>
      <c r="K130" s="383"/>
      <c r="L130" s="383"/>
      <c r="M130" s="383"/>
      <c r="N130" s="383"/>
      <c r="O130" s="383"/>
      <c r="P130" s="383"/>
      <c r="Q130" s="383"/>
      <c r="R130" s="383"/>
      <c r="S130" s="383"/>
      <c r="T130" s="383"/>
      <c r="U130" s="383"/>
      <c r="V130" s="383"/>
      <c r="W130" s="383"/>
      <c r="X130" s="383"/>
      <c r="Y130" s="383"/>
      <c r="Z130" s="383"/>
    </row>
    <row r="131" spans="1:26" ht="11.25" customHeight="1" x14ac:dyDescent="0.3">
      <c r="A131" s="383"/>
      <c r="B131" s="383"/>
      <c r="C131" s="383"/>
      <c r="D131" s="383"/>
      <c r="E131" s="383"/>
      <c r="F131" s="383"/>
      <c r="G131" s="383"/>
      <c r="H131" s="383"/>
      <c r="I131" s="383"/>
      <c r="J131" s="383"/>
      <c r="K131" s="383"/>
      <c r="L131" s="383"/>
      <c r="M131" s="383"/>
      <c r="N131" s="383"/>
      <c r="O131" s="383"/>
      <c r="P131" s="383"/>
      <c r="Q131" s="383"/>
      <c r="R131" s="383"/>
      <c r="S131" s="383"/>
      <c r="T131" s="383"/>
      <c r="U131" s="383"/>
      <c r="V131" s="383"/>
      <c r="W131" s="383"/>
      <c r="X131" s="383"/>
      <c r="Y131" s="383"/>
      <c r="Z131" s="383"/>
    </row>
    <row r="132" spans="1:26" ht="11.25" customHeight="1" x14ac:dyDescent="0.3">
      <c r="A132" s="383"/>
      <c r="B132" s="383"/>
      <c r="C132" s="383"/>
      <c r="D132" s="383"/>
      <c r="E132" s="383"/>
      <c r="F132" s="383"/>
      <c r="G132" s="383"/>
      <c r="H132" s="383"/>
      <c r="I132" s="383"/>
      <c r="J132" s="383"/>
      <c r="K132" s="383"/>
      <c r="L132" s="383"/>
      <c r="M132" s="383"/>
      <c r="N132" s="383"/>
      <c r="O132" s="383"/>
      <c r="P132" s="383"/>
      <c r="Q132" s="383"/>
      <c r="R132" s="383"/>
      <c r="S132" s="383"/>
      <c r="T132" s="383"/>
      <c r="U132" s="383"/>
      <c r="V132" s="383"/>
      <c r="W132" s="383"/>
      <c r="X132" s="383"/>
      <c r="Y132" s="383"/>
      <c r="Z132" s="383"/>
    </row>
    <row r="133" spans="1:26" ht="11.25" customHeight="1" x14ac:dyDescent="0.3">
      <c r="A133" s="383"/>
      <c r="B133" s="383"/>
      <c r="C133" s="383"/>
      <c r="D133" s="383"/>
      <c r="E133" s="383"/>
      <c r="F133" s="383"/>
      <c r="G133" s="383"/>
      <c r="H133" s="383"/>
      <c r="I133" s="383"/>
      <c r="J133" s="383"/>
      <c r="K133" s="383"/>
      <c r="L133" s="383"/>
      <c r="M133" s="383"/>
      <c r="N133" s="383"/>
      <c r="O133" s="383"/>
      <c r="P133" s="383"/>
      <c r="Q133" s="383"/>
      <c r="R133" s="383"/>
      <c r="S133" s="383"/>
      <c r="T133" s="383"/>
      <c r="U133" s="383"/>
      <c r="V133" s="383"/>
      <c r="W133" s="383"/>
      <c r="X133" s="383"/>
      <c r="Y133" s="383"/>
      <c r="Z133" s="383"/>
    </row>
    <row r="134" spans="1:26" ht="11.25" customHeight="1" x14ac:dyDescent="0.3">
      <c r="A134" s="383"/>
      <c r="B134" s="383"/>
      <c r="C134" s="383"/>
      <c r="D134" s="383"/>
      <c r="E134" s="383"/>
      <c r="F134" s="383"/>
      <c r="G134" s="383"/>
      <c r="H134" s="383"/>
      <c r="I134" s="383"/>
      <c r="J134" s="383"/>
      <c r="K134" s="383"/>
      <c r="L134" s="383"/>
      <c r="M134" s="383"/>
      <c r="N134" s="383"/>
      <c r="O134" s="383"/>
      <c r="P134" s="383"/>
      <c r="Q134" s="383"/>
      <c r="R134" s="383"/>
      <c r="S134" s="383"/>
      <c r="T134" s="383"/>
      <c r="U134" s="383"/>
      <c r="V134" s="383"/>
      <c r="W134" s="383"/>
      <c r="X134" s="383"/>
      <c r="Y134" s="383"/>
      <c r="Z134" s="383"/>
    </row>
    <row r="135" spans="1:26" ht="11.25" customHeight="1" x14ac:dyDescent="0.3">
      <c r="A135" s="383"/>
      <c r="B135" s="383"/>
      <c r="C135" s="383"/>
      <c r="D135" s="383"/>
      <c r="E135" s="383"/>
      <c r="F135" s="383"/>
      <c r="G135" s="383"/>
      <c r="H135" s="383"/>
      <c r="I135" s="383"/>
      <c r="J135" s="383"/>
      <c r="K135" s="383"/>
      <c r="L135" s="383"/>
      <c r="M135" s="383"/>
      <c r="N135" s="383"/>
      <c r="O135" s="383"/>
      <c r="P135" s="383"/>
      <c r="Q135" s="383"/>
      <c r="R135" s="383"/>
      <c r="S135" s="383"/>
      <c r="T135" s="383"/>
      <c r="U135" s="383"/>
      <c r="V135" s="383"/>
      <c r="W135" s="383"/>
      <c r="X135" s="383"/>
      <c r="Y135" s="383"/>
      <c r="Z135" s="383"/>
    </row>
    <row r="136" spans="1:26" ht="11.25" customHeight="1" x14ac:dyDescent="0.3">
      <c r="A136" s="383"/>
      <c r="B136" s="383"/>
      <c r="C136" s="383"/>
      <c r="D136" s="383"/>
      <c r="E136" s="383"/>
      <c r="F136" s="383"/>
      <c r="G136" s="383"/>
      <c r="H136" s="383"/>
      <c r="I136" s="383"/>
      <c r="J136" s="383"/>
      <c r="K136" s="383"/>
      <c r="L136" s="383"/>
      <c r="M136" s="383"/>
      <c r="N136" s="383"/>
      <c r="O136" s="383"/>
      <c r="P136" s="383"/>
      <c r="Q136" s="383"/>
      <c r="R136" s="383"/>
      <c r="S136" s="383"/>
      <c r="T136" s="383"/>
      <c r="U136" s="383"/>
      <c r="V136" s="383"/>
      <c r="W136" s="383"/>
      <c r="X136" s="383"/>
      <c r="Y136" s="383"/>
      <c r="Z136" s="383"/>
    </row>
    <row r="137" spans="1:26" ht="11.25" customHeight="1" x14ac:dyDescent="0.3">
      <c r="A137" s="383"/>
      <c r="B137" s="383"/>
      <c r="C137" s="383"/>
      <c r="D137" s="383"/>
      <c r="E137" s="383"/>
      <c r="F137" s="383"/>
      <c r="G137" s="383"/>
      <c r="H137" s="383"/>
      <c r="I137" s="383"/>
      <c r="J137" s="383"/>
      <c r="K137" s="383"/>
      <c r="L137" s="383"/>
      <c r="M137" s="383"/>
      <c r="N137" s="383"/>
      <c r="O137" s="383"/>
      <c r="P137" s="383"/>
      <c r="Q137" s="383"/>
      <c r="R137" s="383"/>
      <c r="S137" s="383"/>
      <c r="T137" s="383"/>
      <c r="U137" s="383"/>
      <c r="V137" s="383"/>
      <c r="W137" s="383"/>
      <c r="X137" s="383"/>
      <c r="Y137" s="383"/>
      <c r="Z137" s="383"/>
    </row>
    <row r="138" spans="1:26" ht="11.25" customHeight="1" x14ac:dyDescent="0.3">
      <c r="A138" s="383"/>
      <c r="B138" s="383"/>
      <c r="C138" s="383"/>
      <c r="D138" s="383"/>
      <c r="E138" s="383"/>
      <c r="F138" s="383"/>
      <c r="G138" s="383"/>
      <c r="H138" s="383"/>
      <c r="I138" s="383"/>
      <c r="J138" s="383"/>
      <c r="K138" s="383"/>
      <c r="L138" s="383"/>
      <c r="M138" s="383"/>
      <c r="N138" s="383"/>
      <c r="O138" s="383"/>
      <c r="P138" s="383"/>
      <c r="Q138" s="383"/>
      <c r="R138" s="383"/>
      <c r="S138" s="383"/>
      <c r="T138" s="383"/>
      <c r="U138" s="383"/>
      <c r="V138" s="383"/>
      <c r="W138" s="383"/>
      <c r="X138" s="383"/>
      <c r="Y138" s="383"/>
      <c r="Z138" s="383"/>
    </row>
    <row r="139" spans="1:26" ht="11.25" customHeight="1" x14ac:dyDescent="0.3">
      <c r="A139" s="383"/>
      <c r="B139" s="383"/>
      <c r="C139" s="383"/>
      <c r="D139" s="383"/>
      <c r="E139" s="383"/>
      <c r="F139" s="383"/>
      <c r="G139" s="383"/>
      <c r="H139" s="383"/>
      <c r="I139" s="383"/>
      <c r="J139" s="383"/>
      <c r="K139" s="383"/>
      <c r="L139" s="383"/>
      <c r="M139" s="383"/>
      <c r="N139" s="383"/>
      <c r="O139" s="383"/>
      <c r="P139" s="383"/>
      <c r="Q139" s="383"/>
      <c r="R139" s="383"/>
      <c r="S139" s="383"/>
      <c r="T139" s="383"/>
      <c r="U139" s="383"/>
      <c r="V139" s="383"/>
      <c r="W139" s="383"/>
      <c r="X139" s="383"/>
      <c r="Y139" s="383"/>
      <c r="Z139" s="383"/>
    </row>
    <row r="140" spans="1:26" ht="11.25" customHeight="1" x14ac:dyDescent="0.3">
      <c r="A140" s="383"/>
      <c r="B140" s="383"/>
      <c r="C140" s="383"/>
      <c r="D140" s="383"/>
      <c r="E140" s="383"/>
      <c r="F140" s="383"/>
      <c r="G140" s="383"/>
      <c r="H140" s="383"/>
      <c r="I140" s="383"/>
      <c r="J140" s="383"/>
      <c r="K140" s="383"/>
      <c r="L140" s="383"/>
      <c r="M140" s="383"/>
      <c r="N140" s="383"/>
      <c r="O140" s="383"/>
      <c r="P140" s="383"/>
      <c r="Q140" s="383"/>
      <c r="R140" s="383"/>
      <c r="S140" s="383"/>
      <c r="T140" s="383"/>
      <c r="U140" s="383"/>
      <c r="V140" s="383"/>
      <c r="W140" s="383"/>
      <c r="X140" s="383"/>
      <c r="Y140" s="383"/>
      <c r="Z140" s="383"/>
    </row>
    <row r="141" spans="1:26" ht="11.25" customHeight="1" x14ac:dyDescent="0.3">
      <c r="A141" s="383"/>
      <c r="B141" s="383"/>
      <c r="C141" s="383"/>
      <c r="D141" s="383"/>
      <c r="E141" s="383"/>
      <c r="F141" s="383"/>
      <c r="G141" s="383"/>
      <c r="H141" s="383"/>
      <c r="I141" s="383"/>
      <c r="J141" s="383"/>
      <c r="K141" s="383"/>
      <c r="L141" s="383"/>
      <c r="M141" s="383"/>
      <c r="N141" s="383"/>
      <c r="O141" s="383"/>
      <c r="P141" s="383"/>
      <c r="Q141" s="383"/>
      <c r="R141" s="383"/>
      <c r="S141" s="383"/>
      <c r="T141" s="383"/>
      <c r="U141" s="383"/>
      <c r="V141" s="383"/>
      <c r="W141" s="383"/>
      <c r="X141" s="383"/>
      <c r="Y141" s="383"/>
      <c r="Z141" s="383"/>
    </row>
    <row r="142" spans="1:26" ht="11.25" customHeight="1" x14ac:dyDescent="0.3">
      <c r="A142" s="383"/>
      <c r="B142" s="383"/>
      <c r="C142" s="383"/>
      <c r="D142" s="383"/>
      <c r="E142" s="383"/>
      <c r="F142" s="383"/>
      <c r="G142" s="383"/>
      <c r="H142" s="383"/>
      <c r="I142" s="383"/>
      <c r="J142" s="383"/>
      <c r="K142" s="383"/>
      <c r="L142" s="383"/>
      <c r="M142" s="383"/>
      <c r="N142" s="383"/>
      <c r="O142" s="383"/>
      <c r="P142" s="383"/>
      <c r="Q142" s="383"/>
      <c r="R142" s="383"/>
      <c r="S142" s="383"/>
      <c r="T142" s="383"/>
      <c r="U142" s="383"/>
      <c r="V142" s="383"/>
      <c r="W142" s="383"/>
      <c r="X142" s="383"/>
      <c r="Y142" s="383"/>
      <c r="Z142" s="383"/>
    </row>
    <row r="143" spans="1:26" ht="11.25" customHeight="1" x14ac:dyDescent="0.3">
      <c r="A143" s="383"/>
      <c r="B143" s="383"/>
      <c r="C143" s="383"/>
      <c r="D143" s="383"/>
      <c r="E143" s="383"/>
      <c r="F143" s="383"/>
      <c r="G143" s="383"/>
      <c r="H143" s="383"/>
      <c r="I143" s="383"/>
      <c r="J143" s="383"/>
      <c r="K143" s="383"/>
      <c r="L143" s="383"/>
      <c r="M143" s="383"/>
      <c r="N143" s="383"/>
      <c r="O143" s="383"/>
      <c r="P143" s="383"/>
      <c r="Q143" s="383"/>
      <c r="R143" s="383"/>
      <c r="S143" s="383"/>
      <c r="T143" s="383"/>
      <c r="U143" s="383"/>
      <c r="V143" s="383"/>
      <c r="W143" s="383"/>
      <c r="X143" s="383"/>
      <c r="Y143" s="383"/>
      <c r="Z143" s="383"/>
    </row>
    <row r="144" spans="1:26" ht="11.25" customHeight="1" x14ac:dyDescent="0.3">
      <c r="A144" s="383"/>
      <c r="B144" s="383"/>
      <c r="C144" s="383"/>
      <c r="D144" s="383"/>
      <c r="E144" s="383"/>
      <c r="F144" s="383"/>
      <c r="G144" s="383"/>
      <c r="H144" s="383"/>
      <c r="I144" s="383"/>
      <c r="J144" s="383"/>
      <c r="K144" s="383"/>
      <c r="L144" s="383"/>
      <c r="M144" s="383"/>
      <c r="N144" s="383"/>
      <c r="O144" s="383"/>
      <c r="P144" s="383"/>
      <c r="Q144" s="383"/>
      <c r="R144" s="383"/>
      <c r="S144" s="383"/>
      <c r="T144" s="383"/>
      <c r="U144" s="383"/>
      <c r="V144" s="383"/>
      <c r="W144" s="383"/>
      <c r="X144" s="383"/>
      <c r="Y144" s="383"/>
      <c r="Z144" s="383"/>
    </row>
    <row r="145" spans="1:26" ht="11.25" customHeight="1" x14ac:dyDescent="0.3">
      <c r="A145" s="383"/>
      <c r="B145" s="383"/>
      <c r="C145" s="383"/>
      <c r="D145" s="383"/>
      <c r="E145" s="383"/>
      <c r="F145" s="383"/>
      <c r="G145" s="383"/>
      <c r="H145" s="383"/>
      <c r="I145" s="383"/>
      <c r="J145" s="383"/>
      <c r="K145" s="383"/>
      <c r="L145" s="383"/>
      <c r="M145" s="383"/>
      <c r="N145" s="383"/>
      <c r="O145" s="383"/>
      <c r="P145" s="383"/>
      <c r="Q145" s="383"/>
      <c r="R145" s="383"/>
      <c r="S145" s="383"/>
      <c r="T145" s="383"/>
      <c r="U145" s="383"/>
      <c r="V145" s="383"/>
      <c r="W145" s="383"/>
      <c r="X145" s="383"/>
      <c r="Y145" s="383"/>
      <c r="Z145" s="383"/>
    </row>
    <row r="146" spans="1:26" ht="11.25" customHeight="1" x14ac:dyDescent="0.3">
      <c r="A146" s="383"/>
      <c r="B146" s="383"/>
      <c r="C146" s="383"/>
      <c r="D146" s="383"/>
      <c r="E146" s="383"/>
      <c r="F146" s="383"/>
      <c r="G146" s="383"/>
      <c r="H146" s="383"/>
      <c r="I146" s="383"/>
      <c r="J146" s="383"/>
      <c r="K146" s="383"/>
      <c r="L146" s="383"/>
      <c r="M146" s="383"/>
      <c r="N146" s="383"/>
      <c r="O146" s="383"/>
      <c r="P146" s="383"/>
      <c r="Q146" s="383"/>
      <c r="R146" s="383"/>
      <c r="S146" s="383"/>
      <c r="T146" s="383"/>
      <c r="U146" s="383"/>
      <c r="V146" s="383"/>
      <c r="W146" s="383"/>
      <c r="X146" s="383"/>
      <c r="Y146" s="383"/>
      <c r="Z146" s="383"/>
    </row>
    <row r="147" spans="1:26" ht="11.25" customHeight="1" x14ac:dyDescent="0.3">
      <c r="A147" s="383"/>
      <c r="B147" s="383"/>
      <c r="C147" s="383"/>
      <c r="D147" s="383"/>
      <c r="E147" s="383"/>
      <c r="F147" s="383"/>
      <c r="G147" s="383"/>
      <c r="H147" s="383"/>
      <c r="I147" s="383"/>
      <c r="J147" s="383"/>
      <c r="K147" s="383"/>
      <c r="L147" s="383"/>
      <c r="M147" s="383"/>
      <c r="N147" s="383"/>
      <c r="O147" s="383"/>
      <c r="P147" s="383"/>
      <c r="Q147" s="383"/>
      <c r="R147" s="383"/>
      <c r="S147" s="383"/>
      <c r="T147" s="383"/>
      <c r="U147" s="383"/>
      <c r="V147" s="383"/>
      <c r="W147" s="383"/>
      <c r="X147" s="383"/>
      <c r="Y147" s="383"/>
      <c r="Z147" s="383"/>
    </row>
    <row r="148" spans="1:26" ht="11.25" customHeight="1" x14ac:dyDescent="0.3">
      <c r="A148" s="383"/>
      <c r="B148" s="383"/>
      <c r="C148" s="383"/>
      <c r="D148" s="383"/>
      <c r="E148" s="383"/>
      <c r="F148" s="383"/>
      <c r="G148" s="383"/>
      <c r="H148" s="383"/>
      <c r="I148" s="383"/>
      <c r="J148" s="383"/>
      <c r="K148" s="383"/>
      <c r="L148" s="383"/>
      <c r="M148" s="383"/>
      <c r="N148" s="383"/>
      <c r="O148" s="383"/>
      <c r="P148" s="383"/>
      <c r="Q148" s="383"/>
      <c r="R148" s="383"/>
      <c r="S148" s="383"/>
      <c r="T148" s="383"/>
      <c r="U148" s="383"/>
      <c r="V148" s="383"/>
      <c r="W148" s="383"/>
      <c r="X148" s="383"/>
      <c r="Y148" s="383"/>
      <c r="Z148" s="383"/>
    </row>
    <row r="149" spans="1:26" ht="11.25" customHeight="1" x14ac:dyDescent="0.3">
      <c r="A149" s="383"/>
      <c r="B149" s="383"/>
      <c r="C149" s="383"/>
      <c r="D149" s="383"/>
      <c r="E149" s="383"/>
      <c r="F149" s="383"/>
      <c r="G149" s="383"/>
      <c r="H149" s="383"/>
      <c r="I149" s="383"/>
      <c r="J149" s="383"/>
      <c r="K149" s="383"/>
      <c r="L149" s="383"/>
      <c r="M149" s="383"/>
      <c r="N149" s="383"/>
      <c r="O149" s="383"/>
      <c r="P149" s="383"/>
      <c r="Q149" s="383"/>
      <c r="R149" s="383"/>
      <c r="S149" s="383"/>
      <c r="T149" s="383"/>
      <c r="U149" s="383"/>
      <c r="V149" s="383"/>
      <c r="W149" s="383"/>
      <c r="X149" s="383"/>
      <c r="Y149" s="383"/>
      <c r="Z149" s="383"/>
    </row>
    <row r="150" spans="1:26" ht="11.25" customHeight="1" x14ac:dyDescent="0.3">
      <c r="A150" s="383"/>
      <c r="B150" s="383"/>
      <c r="C150" s="383"/>
      <c r="D150" s="383"/>
      <c r="E150" s="383"/>
      <c r="F150" s="383"/>
      <c r="G150" s="383"/>
      <c r="H150" s="383"/>
      <c r="I150" s="383"/>
      <c r="J150" s="383"/>
      <c r="K150" s="383"/>
      <c r="L150" s="383"/>
      <c r="M150" s="383"/>
      <c r="N150" s="383"/>
      <c r="O150" s="383"/>
      <c r="P150" s="383"/>
      <c r="Q150" s="383"/>
      <c r="R150" s="383"/>
      <c r="S150" s="383"/>
      <c r="T150" s="383"/>
      <c r="U150" s="383"/>
      <c r="V150" s="383"/>
      <c r="W150" s="383"/>
      <c r="X150" s="383"/>
      <c r="Y150" s="383"/>
      <c r="Z150" s="383"/>
    </row>
    <row r="151" spans="1:26" ht="11.25" customHeight="1" x14ac:dyDescent="0.3">
      <c r="A151" s="383"/>
      <c r="B151" s="383"/>
      <c r="C151" s="383"/>
      <c r="D151" s="383"/>
      <c r="E151" s="383"/>
      <c r="F151" s="383"/>
      <c r="G151" s="383"/>
      <c r="H151" s="383"/>
      <c r="I151" s="383"/>
      <c r="J151" s="383"/>
      <c r="K151" s="383"/>
      <c r="L151" s="383"/>
      <c r="M151" s="383"/>
      <c r="N151" s="383"/>
      <c r="O151" s="383"/>
      <c r="P151" s="383"/>
      <c r="Q151" s="383"/>
      <c r="R151" s="383"/>
      <c r="S151" s="383"/>
      <c r="T151" s="383"/>
      <c r="U151" s="383"/>
      <c r="V151" s="383"/>
      <c r="W151" s="383"/>
      <c r="X151" s="383"/>
      <c r="Y151" s="383"/>
      <c r="Z151" s="383"/>
    </row>
    <row r="152" spans="1:26" ht="11.25" customHeight="1" x14ac:dyDescent="0.3">
      <c r="A152" s="383"/>
      <c r="B152" s="383"/>
      <c r="C152" s="383"/>
      <c r="D152" s="383"/>
      <c r="E152" s="383"/>
      <c r="F152" s="383"/>
      <c r="G152" s="383"/>
      <c r="H152" s="383"/>
      <c r="I152" s="383"/>
      <c r="J152" s="383"/>
      <c r="K152" s="383"/>
      <c r="L152" s="383"/>
      <c r="M152" s="383"/>
      <c r="N152" s="383"/>
      <c r="O152" s="383"/>
      <c r="P152" s="383"/>
      <c r="Q152" s="383"/>
      <c r="R152" s="383"/>
      <c r="S152" s="383"/>
      <c r="T152" s="383"/>
      <c r="U152" s="383"/>
      <c r="V152" s="383"/>
      <c r="W152" s="383"/>
      <c r="X152" s="383"/>
      <c r="Y152" s="383"/>
      <c r="Z152" s="383"/>
    </row>
    <row r="153" spans="1:26" ht="11.25" customHeight="1" x14ac:dyDescent="0.3">
      <c r="A153" s="383"/>
      <c r="B153" s="383"/>
      <c r="C153" s="383"/>
      <c r="D153" s="383"/>
      <c r="E153" s="383"/>
      <c r="F153" s="383"/>
      <c r="G153" s="383"/>
      <c r="H153" s="383"/>
      <c r="I153" s="383"/>
      <c r="J153" s="383"/>
      <c r="K153" s="383"/>
      <c r="L153" s="383"/>
      <c r="M153" s="383"/>
      <c r="N153" s="383"/>
      <c r="O153" s="383"/>
      <c r="P153" s="383"/>
      <c r="Q153" s="383"/>
      <c r="R153" s="383"/>
      <c r="S153" s="383"/>
      <c r="T153" s="383"/>
      <c r="U153" s="383"/>
      <c r="V153" s="383"/>
      <c r="W153" s="383"/>
      <c r="X153" s="383"/>
      <c r="Y153" s="383"/>
      <c r="Z153" s="383"/>
    </row>
    <row r="154" spans="1:26" ht="11.25" customHeight="1" x14ac:dyDescent="0.3">
      <c r="A154" s="383"/>
      <c r="B154" s="383"/>
      <c r="C154" s="383"/>
      <c r="D154" s="383"/>
      <c r="E154" s="383"/>
      <c r="F154" s="383"/>
      <c r="G154" s="383"/>
      <c r="H154" s="383"/>
      <c r="I154" s="383"/>
      <c r="J154" s="383"/>
      <c r="K154" s="383"/>
      <c r="L154" s="383"/>
      <c r="M154" s="383"/>
      <c r="N154" s="383"/>
      <c r="O154" s="383"/>
      <c r="P154" s="383"/>
      <c r="Q154" s="383"/>
      <c r="R154" s="383"/>
      <c r="S154" s="383"/>
      <c r="T154" s="383"/>
      <c r="U154" s="383"/>
      <c r="V154" s="383"/>
      <c r="W154" s="383"/>
      <c r="X154" s="383"/>
      <c r="Y154" s="383"/>
      <c r="Z154" s="383"/>
    </row>
    <row r="155" spans="1:26" ht="11.25" customHeight="1" x14ac:dyDescent="0.3">
      <c r="A155" s="383"/>
      <c r="B155" s="383"/>
      <c r="C155" s="383"/>
      <c r="D155" s="383"/>
      <c r="E155" s="383"/>
      <c r="F155" s="383"/>
      <c r="G155" s="383"/>
      <c r="H155" s="383"/>
      <c r="I155" s="383"/>
      <c r="J155" s="383"/>
      <c r="K155" s="383"/>
      <c r="L155" s="383"/>
      <c r="M155" s="383"/>
      <c r="N155" s="383"/>
      <c r="O155" s="383"/>
      <c r="P155" s="383"/>
      <c r="Q155" s="383"/>
      <c r="R155" s="383"/>
      <c r="S155" s="383"/>
      <c r="T155" s="383"/>
      <c r="U155" s="383"/>
      <c r="V155" s="383"/>
      <c r="W155" s="383"/>
      <c r="X155" s="383"/>
      <c r="Y155" s="383"/>
      <c r="Z155" s="383"/>
    </row>
    <row r="156" spans="1:26" ht="11.25" customHeight="1" x14ac:dyDescent="0.3">
      <c r="A156" s="383"/>
      <c r="B156" s="383"/>
      <c r="C156" s="383"/>
      <c r="D156" s="383"/>
      <c r="E156" s="383"/>
      <c r="F156" s="383"/>
      <c r="G156" s="383"/>
      <c r="H156" s="383"/>
      <c r="I156" s="383"/>
      <c r="J156" s="383"/>
      <c r="K156" s="383"/>
      <c r="L156" s="383"/>
      <c r="M156" s="383"/>
      <c r="N156" s="383"/>
      <c r="O156" s="383"/>
      <c r="P156" s="383"/>
      <c r="Q156" s="383"/>
      <c r="R156" s="383"/>
      <c r="S156" s="383"/>
      <c r="T156" s="383"/>
      <c r="U156" s="383"/>
      <c r="V156" s="383"/>
      <c r="W156" s="383"/>
      <c r="X156" s="383"/>
      <c r="Y156" s="383"/>
      <c r="Z156" s="383"/>
    </row>
    <row r="157" spans="1:26" ht="11.25" customHeight="1" x14ac:dyDescent="0.3">
      <c r="A157" s="383"/>
      <c r="B157" s="383"/>
      <c r="C157" s="383"/>
      <c r="D157" s="383"/>
      <c r="E157" s="383"/>
      <c r="F157" s="383"/>
      <c r="G157" s="383"/>
      <c r="H157" s="383"/>
      <c r="I157" s="383"/>
      <c r="J157" s="383"/>
      <c r="K157" s="383"/>
      <c r="L157" s="383"/>
      <c r="M157" s="383"/>
      <c r="N157" s="383"/>
      <c r="O157" s="383"/>
      <c r="P157" s="383"/>
      <c r="Q157" s="383"/>
      <c r="R157" s="383"/>
      <c r="S157" s="383"/>
      <c r="T157" s="383"/>
      <c r="U157" s="383"/>
      <c r="V157" s="383"/>
      <c r="W157" s="383"/>
      <c r="X157" s="383"/>
      <c r="Y157" s="383"/>
      <c r="Z157" s="383"/>
    </row>
    <row r="158" spans="1:26" ht="11.25" customHeight="1" x14ac:dyDescent="0.3">
      <c r="A158" s="383"/>
      <c r="B158" s="383"/>
      <c r="C158" s="383"/>
      <c r="D158" s="383"/>
      <c r="E158" s="383"/>
      <c r="F158" s="383"/>
      <c r="G158" s="383"/>
      <c r="H158" s="383"/>
      <c r="I158" s="383"/>
      <c r="J158" s="383"/>
      <c r="K158" s="383"/>
      <c r="L158" s="383"/>
      <c r="M158" s="383"/>
      <c r="N158" s="383"/>
      <c r="O158" s="383"/>
      <c r="P158" s="383"/>
      <c r="Q158" s="383"/>
      <c r="R158" s="383"/>
      <c r="S158" s="383"/>
      <c r="T158" s="383"/>
      <c r="U158" s="383"/>
      <c r="V158" s="383"/>
      <c r="W158" s="383"/>
      <c r="X158" s="383"/>
      <c r="Y158" s="383"/>
      <c r="Z158" s="383"/>
    </row>
    <row r="159" spans="1:26" ht="11.25" customHeight="1" x14ac:dyDescent="0.3">
      <c r="A159" s="383"/>
      <c r="B159" s="383"/>
      <c r="C159" s="383"/>
      <c r="D159" s="383"/>
      <c r="E159" s="383"/>
      <c r="F159" s="383"/>
      <c r="G159" s="383"/>
      <c r="H159" s="383"/>
      <c r="I159" s="383"/>
      <c r="J159" s="383"/>
      <c r="K159" s="383"/>
      <c r="L159" s="383"/>
      <c r="M159" s="383"/>
      <c r="N159" s="383"/>
      <c r="O159" s="383"/>
      <c r="P159" s="383"/>
      <c r="Q159" s="383"/>
      <c r="R159" s="383"/>
      <c r="S159" s="383"/>
      <c r="T159" s="383"/>
      <c r="U159" s="383"/>
      <c r="V159" s="383"/>
      <c r="W159" s="383"/>
      <c r="X159" s="383"/>
      <c r="Y159" s="383"/>
      <c r="Z159" s="383"/>
    </row>
    <row r="160" spans="1:26" ht="11.25" customHeight="1" x14ac:dyDescent="0.3">
      <c r="A160" s="383"/>
      <c r="B160" s="383"/>
      <c r="C160" s="383"/>
      <c r="D160" s="383"/>
      <c r="E160" s="383"/>
      <c r="F160" s="383"/>
      <c r="G160" s="383"/>
      <c r="H160" s="383"/>
      <c r="I160" s="383"/>
      <c r="J160" s="383"/>
      <c r="K160" s="383"/>
      <c r="L160" s="383"/>
      <c r="M160" s="383"/>
      <c r="N160" s="383"/>
      <c r="O160" s="383"/>
      <c r="P160" s="383"/>
      <c r="Q160" s="383"/>
      <c r="R160" s="383"/>
      <c r="S160" s="383"/>
      <c r="T160" s="383"/>
      <c r="U160" s="383"/>
      <c r="V160" s="383"/>
      <c r="W160" s="383"/>
      <c r="X160" s="383"/>
      <c r="Y160" s="383"/>
      <c r="Z160" s="383"/>
    </row>
    <row r="161" spans="1:26" ht="11.25" customHeight="1" x14ac:dyDescent="0.3">
      <c r="A161" s="383"/>
      <c r="B161" s="383"/>
      <c r="C161" s="383"/>
      <c r="D161" s="383"/>
      <c r="E161" s="383"/>
      <c r="F161" s="383"/>
      <c r="G161" s="383"/>
      <c r="H161" s="383"/>
      <c r="I161" s="383"/>
      <c r="J161" s="383"/>
      <c r="K161" s="383"/>
      <c r="L161" s="383"/>
      <c r="M161" s="383"/>
      <c r="N161" s="383"/>
      <c r="O161" s="383"/>
      <c r="P161" s="383"/>
      <c r="Q161" s="383"/>
      <c r="R161" s="383"/>
      <c r="S161" s="383"/>
      <c r="T161" s="383"/>
      <c r="U161" s="383"/>
      <c r="V161" s="383"/>
      <c r="W161" s="383"/>
      <c r="X161" s="383"/>
      <c r="Y161" s="383"/>
      <c r="Z161" s="383"/>
    </row>
    <row r="162" spans="1:26" ht="11.25" customHeight="1" x14ac:dyDescent="0.3">
      <c r="A162" s="383"/>
      <c r="B162" s="383"/>
      <c r="C162" s="383"/>
      <c r="D162" s="383"/>
      <c r="E162" s="383"/>
      <c r="F162" s="383"/>
      <c r="G162" s="383"/>
      <c r="H162" s="383"/>
      <c r="I162" s="383"/>
      <c r="J162" s="383"/>
      <c r="K162" s="383"/>
      <c r="L162" s="383"/>
      <c r="M162" s="383"/>
      <c r="N162" s="383"/>
      <c r="O162" s="383"/>
      <c r="P162" s="383"/>
      <c r="Q162" s="383"/>
      <c r="R162" s="383"/>
      <c r="S162" s="383"/>
      <c r="T162" s="383"/>
      <c r="U162" s="383"/>
      <c r="V162" s="383"/>
      <c r="W162" s="383"/>
      <c r="X162" s="383"/>
      <c r="Y162" s="383"/>
      <c r="Z162" s="383"/>
    </row>
    <row r="163" spans="1:26" ht="11.25" customHeight="1" x14ac:dyDescent="0.3">
      <c r="A163" s="383"/>
      <c r="B163" s="383"/>
      <c r="C163" s="383"/>
      <c r="D163" s="383"/>
      <c r="E163" s="383"/>
      <c r="F163" s="383"/>
      <c r="G163" s="383"/>
      <c r="H163" s="383"/>
      <c r="I163" s="383"/>
      <c r="J163" s="383"/>
      <c r="K163" s="383"/>
      <c r="L163" s="383"/>
      <c r="M163" s="383"/>
      <c r="N163" s="383"/>
      <c r="O163" s="383"/>
      <c r="P163" s="383"/>
      <c r="Q163" s="383"/>
      <c r="R163" s="383"/>
      <c r="S163" s="383"/>
      <c r="T163" s="383"/>
      <c r="U163" s="383"/>
      <c r="V163" s="383"/>
      <c r="W163" s="383"/>
      <c r="X163" s="383"/>
      <c r="Y163" s="383"/>
      <c r="Z163" s="383"/>
    </row>
    <row r="164" spans="1:26" ht="11.25" customHeight="1" x14ac:dyDescent="0.3">
      <c r="A164" s="383"/>
      <c r="B164" s="383"/>
      <c r="C164" s="383"/>
      <c r="D164" s="383"/>
      <c r="E164" s="383"/>
      <c r="F164" s="383"/>
      <c r="G164" s="383"/>
      <c r="H164" s="383"/>
      <c r="I164" s="383"/>
      <c r="J164" s="383"/>
      <c r="K164" s="383"/>
      <c r="L164" s="383"/>
      <c r="M164" s="383"/>
      <c r="N164" s="383"/>
      <c r="O164" s="383"/>
      <c r="P164" s="383"/>
      <c r="Q164" s="383"/>
      <c r="R164" s="383"/>
      <c r="S164" s="383"/>
      <c r="T164" s="383"/>
      <c r="U164" s="383"/>
      <c r="V164" s="383"/>
      <c r="W164" s="383"/>
      <c r="X164" s="383"/>
      <c r="Y164" s="383"/>
      <c r="Z164" s="383"/>
    </row>
    <row r="165" spans="1:26" ht="11.25" customHeight="1" x14ac:dyDescent="0.3">
      <c r="A165" s="383"/>
      <c r="B165" s="383"/>
      <c r="C165" s="383"/>
      <c r="D165" s="383"/>
      <c r="E165" s="383"/>
      <c r="F165" s="383"/>
      <c r="G165" s="383"/>
      <c r="H165" s="383"/>
      <c r="I165" s="383"/>
      <c r="J165" s="383"/>
      <c r="K165" s="383"/>
      <c r="L165" s="383"/>
      <c r="M165" s="383"/>
      <c r="N165" s="383"/>
      <c r="O165" s="383"/>
      <c r="P165" s="383"/>
      <c r="Q165" s="383"/>
      <c r="R165" s="383"/>
      <c r="S165" s="383"/>
      <c r="T165" s="383"/>
      <c r="U165" s="383"/>
      <c r="V165" s="383"/>
      <c r="W165" s="383"/>
      <c r="X165" s="383"/>
      <c r="Y165" s="383"/>
      <c r="Z165" s="383"/>
    </row>
    <row r="166" spans="1:26" ht="11.25" customHeight="1" x14ac:dyDescent="0.3">
      <c r="A166" s="383"/>
      <c r="B166" s="383"/>
      <c r="C166" s="383"/>
      <c r="D166" s="383"/>
      <c r="E166" s="383"/>
      <c r="F166" s="383"/>
      <c r="G166" s="383"/>
      <c r="H166" s="383"/>
      <c r="I166" s="383"/>
      <c r="J166" s="383"/>
      <c r="K166" s="383"/>
      <c r="L166" s="383"/>
      <c r="M166" s="383"/>
      <c r="N166" s="383"/>
      <c r="O166" s="383"/>
      <c r="P166" s="383"/>
      <c r="Q166" s="383"/>
      <c r="R166" s="383"/>
      <c r="S166" s="383"/>
      <c r="T166" s="383"/>
      <c r="U166" s="383"/>
      <c r="V166" s="383"/>
      <c r="W166" s="383"/>
      <c r="X166" s="383"/>
      <c r="Y166" s="383"/>
      <c r="Z166" s="383"/>
    </row>
    <row r="167" spans="1:26" ht="11.25" customHeight="1" x14ac:dyDescent="0.3">
      <c r="A167" s="383"/>
      <c r="B167" s="383"/>
      <c r="C167" s="383"/>
      <c r="D167" s="383"/>
      <c r="E167" s="383"/>
      <c r="F167" s="383"/>
      <c r="G167" s="383"/>
      <c r="H167" s="383"/>
      <c r="I167" s="383"/>
      <c r="J167" s="383"/>
      <c r="K167" s="383"/>
      <c r="L167" s="383"/>
      <c r="M167" s="383"/>
      <c r="N167" s="383"/>
      <c r="O167" s="383"/>
      <c r="P167" s="383"/>
      <c r="Q167" s="383"/>
      <c r="R167" s="383"/>
      <c r="S167" s="383"/>
      <c r="T167" s="383"/>
      <c r="U167" s="383"/>
      <c r="V167" s="383"/>
      <c r="W167" s="383"/>
      <c r="X167" s="383"/>
      <c r="Y167" s="383"/>
      <c r="Z167" s="383"/>
    </row>
    <row r="168" spans="1:26" ht="11.25" customHeight="1" x14ac:dyDescent="0.3">
      <c r="A168" s="383"/>
      <c r="B168" s="383"/>
      <c r="C168" s="383"/>
      <c r="D168" s="383"/>
      <c r="E168" s="383"/>
      <c r="F168" s="383"/>
      <c r="G168" s="383"/>
      <c r="H168" s="383"/>
      <c r="I168" s="383"/>
      <c r="J168" s="383"/>
      <c r="K168" s="383"/>
      <c r="L168" s="383"/>
      <c r="M168" s="383"/>
      <c r="N168" s="383"/>
      <c r="O168" s="383"/>
      <c r="P168" s="383"/>
      <c r="Q168" s="383"/>
      <c r="R168" s="383"/>
      <c r="S168" s="383"/>
      <c r="T168" s="383"/>
      <c r="U168" s="383"/>
      <c r="V168" s="383"/>
      <c r="W168" s="383"/>
      <c r="X168" s="383"/>
      <c r="Y168" s="383"/>
      <c r="Z168" s="383"/>
    </row>
    <row r="169" spans="1:26" ht="11.25" customHeight="1" x14ac:dyDescent="0.3">
      <c r="A169" s="383"/>
      <c r="B169" s="383"/>
      <c r="C169" s="383"/>
      <c r="D169" s="383"/>
      <c r="E169" s="383"/>
      <c r="F169" s="383"/>
      <c r="G169" s="383"/>
      <c r="H169" s="383"/>
      <c r="I169" s="383"/>
      <c r="J169" s="383"/>
      <c r="K169" s="383"/>
      <c r="L169" s="383"/>
      <c r="M169" s="383"/>
      <c r="N169" s="383"/>
      <c r="O169" s="383"/>
      <c r="P169" s="383"/>
      <c r="Q169" s="383"/>
      <c r="R169" s="383"/>
      <c r="S169" s="383"/>
      <c r="T169" s="383"/>
      <c r="U169" s="383"/>
      <c r="V169" s="383"/>
      <c r="W169" s="383"/>
      <c r="X169" s="383"/>
      <c r="Y169" s="383"/>
      <c r="Z169" s="383"/>
    </row>
    <row r="170" spans="1:26" ht="11.25" customHeight="1" x14ac:dyDescent="0.3">
      <c r="A170" s="383"/>
      <c r="B170" s="383"/>
      <c r="C170" s="383"/>
      <c r="D170" s="383"/>
      <c r="E170" s="383"/>
      <c r="F170" s="383"/>
      <c r="G170" s="383"/>
      <c r="H170" s="383"/>
      <c r="I170" s="383"/>
      <c r="J170" s="383"/>
      <c r="K170" s="383"/>
      <c r="L170" s="383"/>
      <c r="M170" s="383"/>
      <c r="N170" s="383"/>
      <c r="O170" s="383"/>
      <c r="P170" s="383"/>
      <c r="Q170" s="383"/>
      <c r="R170" s="383"/>
      <c r="S170" s="383"/>
      <c r="T170" s="383"/>
      <c r="U170" s="383"/>
      <c r="V170" s="383"/>
      <c r="W170" s="383"/>
      <c r="X170" s="383"/>
      <c r="Y170" s="383"/>
      <c r="Z170" s="383"/>
    </row>
    <row r="171" spans="1:26" ht="11.25" customHeight="1" x14ac:dyDescent="0.3">
      <c r="A171" s="383"/>
      <c r="B171" s="383"/>
      <c r="C171" s="383"/>
      <c r="D171" s="383"/>
      <c r="E171" s="383"/>
      <c r="F171" s="383"/>
      <c r="G171" s="383"/>
      <c r="H171" s="383"/>
      <c r="I171" s="383"/>
      <c r="J171" s="383"/>
      <c r="K171" s="383"/>
      <c r="L171" s="383"/>
      <c r="M171" s="383"/>
      <c r="N171" s="383"/>
      <c r="O171" s="383"/>
      <c r="P171" s="383"/>
      <c r="Q171" s="383"/>
      <c r="R171" s="383"/>
      <c r="S171" s="383"/>
      <c r="T171" s="383"/>
      <c r="U171" s="383"/>
      <c r="V171" s="383"/>
      <c r="W171" s="383"/>
      <c r="X171" s="383"/>
      <c r="Y171" s="383"/>
      <c r="Z171" s="383"/>
    </row>
    <row r="172" spans="1:26" ht="11.25" customHeight="1" x14ac:dyDescent="0.3">
      <c r="A172" s="383"/>
      <c r="B172" s="383"/>
      <c r="C172" s="383"/>
      <c r="D172" s="383"/>
      <c r="E172" s="383"/>
      <c r="F172" s="383"/>
      <c r="G172" s="383"/>
      <c r="H172" s="383"/>
      <c r="I172" s="383"/>
      <c r="J172" s="383"/>
      <c r="K172" s="383"/>
      <c r="L172" s="383"/>
      <c r="M172" s="383"/>
      <c r="N172" s="383"/>
      <c r="O172" s="383"/>
      <c r="P172" s="383"/>
      <c r="Q172" s="383"/>
      <c r="R172" s="383"/>
      <c r="S172" s="383"/>
      <c r="T172" s="383"/>
      <c r="U172" s="383"/>
      <c r="V172" s="383"/>
      <c r="W172" s="383"/>
      <c r="X172" s="383"/>
      <c r="Y172" s="383"/>
      <c r="Z172" s="383"/>
    </row>
    <row r="173" spans="1:26" ht="11.25" customHeight="1" x14ac:dyDescent="0.3">
      <c r="A173" s="383"/>
      <c r="B173" s="383"/>
      <c r="C173" s="383"/>
      <c r="D173" s="383"/>
      <c r="E173" s="383"/>
      <c r="F173" s="383"/>
      <c r="G173" s="383"/>
      <c r="H173" s="383"/>
      <c r="I173" s="383"/>
      <c r="J173" s="383"/>
      <c r="K173" s="383"/>
      <c r="L173" s="383"/>
      <c r="M173" s="383"/>
      <c r="N173" s="383"/>
      <c r="O173" s="383"/>
      <c r="P173" s="383"/>
      <c r="Q173" s="383"/>
      <c r="R173" s="383"/>
      <c r="S173" s="383"/>
      <c r="T173" s="383"/>
      <c r="U173" s="383"/>
      <c r="V173" s="383"/>
      <c r="W173" s="383"/>
      <c r="X173" s="383"/>
      <c r="Y173" s="383"/>
      <c r="Z173" s="383"/>
    </row>
    <row r="174" spans="1:26" ht="11.25" customHeight="1" x14ac:dyDescent="0.3">
      <c r="A174" s="383"/>
      <c r="B174" s="383"/>
      <c r="C174" s="383"/>
      <c r="D174" s="383"/>
      <c r="E174" s="383"/>
      <c r="F174" s="383"/>
      <c r="G174" s="383"/>
      <c r="H174" s="383"/>
      <c r="I174" s="383"/>
      <c r="J174" s="383"/>
      <c r="K174" s="383"/>
      <c r="L174" s="383"/>
      <c r="M174" s="383"/>
      <c r="N174" s="383"/>
      <c r="O174" s="383"/>
      <c r="P174" s="383"/>
      <c r="Q174" s="383"/>
      <c r="R174" s="383"/>
      <c r="S174" s="383"/>
      <c r="T174" s="383"/>
      <c r="U174" s="383"/>
      <c r="V174" s="383"/>
      <c r="W174" s="383"/>
      <c r="X174" s="383"/>
      <c r="Y174" s="383"/>
      <c r="Z174" s="383"/>
    </row>
    <row r="175" spans="1:26" ht="11.25" customHeight="1" x14ac:dyDescent="0.3">
      <c r="A175" s="383"/>
      <c r="B175" s="383"/>
      <c r="C175" s="383"/>
      <c r="D175" s="383"/>
      <c r="E175" s="383"/>
      <c r="F175" s="383"/>
      <c r="G175" s="383"/>
      <c r="H175" s="383"/>
      <c r="I175" s="383"/>
      <c r="J175" s="383"/>
      <c r="K175" s="383"/>
      <c r="L175" s="383"/>
      <c r="M175" s="383"/>
      <c r="N175" s="383"/>
      <c r="O175" s="383"/>
      <c r="P175" s="383"/>
      <c r="Q175" s="383"/>
      <c r="R175" s="383"/>
      <c r="S175" s="383"/>
      <c r="T175" s="383"/>
      <c r="U175" s="383"/>
      <c r="V175" s="383"/>
      <c r="W175" s="383"/>
      <c r="X175" s="383"/>
      <c r="Y175" s="383"/>
      <c r="Z175" s="383"/>
    </row>
    <row r="176" spans="1:26" ht="11.25" customHeight="1" x14ac:dyDescent="0.3">
      <c r="A176" s="383"/>
      <c r="B176" s="383"/>
      <c r="C176" s="383"/>
      <c r="D176" s="383"/>
      <c r="E176" s="383"/>
      <c r="F176" s="383"/>
      <c r="G176" s="383"/>
      <c r="H176" s="383"/>
      <c r="I176" s="383"/>
      <c r="J176" s="383"/>
      <c r="K176" s="383"/>
      <c r="L176" s="383"/>
      <c r="M176" s="383"/>
      <c r="N176" s="383"/>
      <c r="O176" s="383"/>
      <c r="P176" s="383"/>
      <c r="Q176" s="383"/>
      <c r="R176" s="383"/>
      <c r="S176" s="383"/>
      <c r="T176" s="383"/>
      <c r="U176" s="383"/>
      <c r="V176" s="383"/>
      <c r="W176" s="383"/>
      <c r="X176" s="383"/>
      <c r="Y176" s="383"/>
      <c r="Z176" s="383"/>
    </row>
    <row r="177" spans="1:26" ht="11.25" customHeight="1" x14ac:dyDescent="0.3">
      <c r="A177" s="383"/>
      <c r="B177" s="383"/>
      <c r="C177" s="383"/>
      <c r="D177" s="383"/>
      <c r="E177" s="383"/>
      <c r="F177" s="383"/>
      <c r="G177" s="383"/>
      <c r="H177" s="383"/>
      <c r="I177" s="383"/>
      <c r="J177" s="383"/>
      <c r="K177" s="383"/>
      <c r="L177" s="383"/>
      <c r="M177" s="383"/>
      <c r="N177" s="383"/>
      <c r="O177" s="383"/>
      <c r="P177" s="383"/>
      <c r="Q177" s="383"/>
      <c r="R177" s="383"/>
      <c r="S177" s="383"/>
      <c r="T177" s="383"/>
      <c r="U177" s="383"/>
      <c r="V177" s="383"/>
      <c r="W177" s="383"/>
      <c r="X177" s="383"/>
      <c r="Y177" s="383"/>
      <c r="Z177" s="383"/>
    </row>
    <row r="178" spans="1:26" ht="11.25" customHeight="1" x14ac:dyDescent="0.3">
      <c r="A178" s="383"/>
      <c r="B178" s="383"/>
      <c r="C178" s="383"/>
      <c r="D178" s="383"/>
      <c r="E178" s="383"/>
      <c r="F178" s="383"/>
      <c r="G178" s="383"/>
      <c r="H178" s="383"/>
      <c r="I178" s="383"/>
      <c r="J178" s="383"/>
      <c r="K178" s="383"/>
      <c r="L178" s="383"/>
      <c r="M178" s="383"/>
      <c r="N178" s="383"/>
      <c r="O178" s="383"/>
      <c r="P178" s="383"/>
      <c r="Q178" s="383"/>
      <c r="R178" s="383"/>
      <c r="S178" s="383"/>
      <c r="T178" s="383"/>
      <c r="U178" s="383"/>
      <c r="V178" s="383"/>
      <c r="W178" s="383"/>
      <c r="X178" s="383"/>
      <c r="Y178" s="383"/>
      <c r="Z178" s="383"/>
    </row>
    <row r="179" spans="1:26" ht="11.25" customHeight="1" x14ac:dyDescent="0.3">
      <c r="A179" s="383"/>
      <c r="B179" s="383"/>
      <c r="C179" s="383"/>
      <c r="D179" s="383"/>
      <c r="E179" s="383"/>
      <c r="F179" s="383"/>
      <c r="G179" s="383"/>
      <c r="H179" s="383"/>
      <c r="I179" s="383"/>
      <c r="J179" s="383"/>
      <c r="K179" s="383"/>
      <c r="L179" s="383"/>
      <c r="M179" s="383"/>
      <c r="N179" s="383"/>
      <c r="O179" s="383"/>
      <c r="P179" s="383"/>
      <c r="Q179" s="383"/>
      <c r="R179" s="383"/>
      <c r="S179" s="383"/>
      <c r="T179" s="383"/>
      <c r="U179" s="383"/>
      <c r="V179" s="383"/>
      <c r="W179" s="383"/>
      <c r="X179" s="383"/>
      <c r="Y179" s="383"/>
      <c r="Z179" s="383"/>
    </row>
    <row r="180" spans="1:26" ht="11.25" customHeight="1" x14ac:dyDescent="0.3">
      <c r="A180" s="383"/>
      <c r="B180" s="383"/>
      <c r="C180" s="383"/>
      <c r="D180" s="383"/>
      <c r="E180" s="383"/>
      <c r="F180" s="383"/>
      <c r="G180" s="383"/>
      <c r="H180" s="383"/>
      <c r="I180" s="383"/>
      <c r="J180" s="383"/>
      <c r="K180" s="383"/>
      <c r="L180" s="383"/>
      <c r="M180" s="383"/>
      <c r="N180" s="383"/>
      <c r="O180" s="383"/>
      <c r="P180" s="383"/>
      <c r="Q180" s="383"/>
      <c r="R180" s="383"/>
      <c r="S180" s="383"/>
      <c r="T180" s="383"/>
      <c r="U180" s="383"/>
      <c r="V180" s="383"/>
      <c r="W180" s="383"/>
      <c r="X180" s="383"/>
      <c r="Y180" s="383"/>
      <c r="Z180" s="383"/>
    </row>
    <row r="181" spans="1:26" ht="11.25" customHeight="1" x14ac:dyDescent="0.3">
      <c r="A181" s="383"/>
      <c r="B181" s="383"/>
      <c r="C181" s="383"/>
      <c r="D181" s="383"/>
      <c r="E181" s="383"/>
      <c r="F181" s="383"/>
      <c r="G181" s="383"/>
      <c r="H181" s="383"/>
      <c r="I181" s="383"/>
      <c r="J181" s="383"/>
      <c r="K181" s="383"/>
      <c r="L181" s="383"/>
      <c r="M181" s="383"/>
      <c r="N181" s="383"/>
      <c r="O181" s="383"/>
      <c r="P181" s="383"/>
      <c r="Q181" s="383"/>
      <c r="R181" s="383"/>
      <c r="S181" s="383"/>
      <c r="T181" s="383"/>
      <c r="U181" s="383"/>
      <c r="V181" s="383"/>
      <c r="W181" s="383"/>
      <c r="X181" s="383"/>
      <c r="Y181" s="383"/>
      <c r="Z181" s="383"/>
    </row>
    <row r="182" spans="1:26" ht="11.25" customHeight="1" x14ac:dyDescent="0.3">
      <c r="A182" s="383"/>
      <c r="B182" s="383"/>
      <c r="C182" s="383"/>
      <c r="D182" s="383"/>
      <c r="E182" s="383"/>
      <c r="F182" s="383"/>
      <c r="G182" s="383"/>
      <c r="H182" s="383"/>
      <c r="I182" s="383"/>
      <c r="J182" s="383"/>
      <c r="K182" s="383"/>
      <c r="L182" s="383"/>
      <c r="M182" s="383"/>
      <c r="N182" s="383"/>
      <c r="O182" s="383"/>
      <c r="P182" s="383"/>
      <c r="Q182" s="383"/>
      <c r="R182" s="383"/>
      <c r="S182" s="383"/>
      <c r="T182" s="383"/>
      <c r="U182" s="383"/>
      <c r="V182" s="383"/>
      <c r="W182" s="383"/>
      <c r="X182" s="383"/>
      <c r="Y182" s="383"/>
      <c r="Z182" s="383"/>
    </row>
    <row r="183" spans="1:26" ht="11.25" customHeight="1" x14ac:dyDescent="0.3">
      <c r="A183" s="383"/>
      <c r="B183" s="383"/>
      <c r="C183" s="383"/>
      <c r="D183" s="383"/>
      <c r="E183" s="383"/>
      <c r="F183" s="383"/>
      <c r="G183" s="383"/>
      <c r="H183" s="383"/>
      <c r="I183" s="383"/>
      <c r="J183" s="383"/>
      <c r="K183" s="383"/>
      <c r="L183" s="383"/>
      <c r="M183" s="383"/>
      <c r="N183" s="383"/>
      <c r="O183" s="383"/>
      <c r="P183" s="383"/>
      <c r="Q183" s="383"/>
      <c r="R183" s="383"/>
      <c r="S183" s="383"/>
      <c r="T183" s="383"/>
      <c r="U183" s="383"/>
      <c r="V183" s="383"/>
      <c r="W183" s="383"/>
      <c r="X183" s="383"/>
      <c r="Y183" s="383"/>
      <c r="Z183" s="383"/>
    </row>
    <row r="184" spans="1:26" ht="11.25" customHeight="1" x14ac:dyDescent="0.3">
      <c r="A184" s="383"/>
      <c r="B184" s="383"/>
      <c r="C184" s="383"/>
      <c r="D184" s="383"/>
      <c r="E184" s="383"/>
      <c r="F184" s="383"/>
      <c r="G184" s="383"/>
      <c r="H184" s="383"/>
      <c r="I184" s="383"/>
      <c r="J184" s="383"/>
      <c r="K184" s="383"/>
      <c r="L184" s="383"/>
      <c r="M184" s="383"/>
      <c r="N184" s="383"/>
      <c r="O184" s="383"/>
      <c r="P184" s="383"/>
      <c r="Q184" s="383"/>
      <c r="R184" s="383"/>
      <c r="S184" s="383"/>
      <c r="T184" s="383"/>
      <c r="U184" s="383"/>
      <c r="V184" s="383"/>
      <c r="W184" s="383"/>
      <c r="X184" s="383"/>
      <c r="Y184" s="383"/>
      <c r="Z184" s="383"/>
    </row>
    <row r="185" spans="1:26" ht="11.25" customHeight="1" x14ac:dyDescent="0.3">
      <c r="A185" s="383"/>
      <c r="B185" s="383"/>
      <c r="C185" s="383"/>
      <c r="D185" s="383"/>
      <c r="E185" s="383"/>
      <c r="F185" s="383"/>
      <c r="G185" s="383"/>
      <c r="H185" s="383"/>
      <c r="I185" s="383"/>
      <c r="J185" s="383"/>
      <c r="K185" s="383"/>
      <c r="L185" s="383"/>
      <c r="M185" s="383"/>
      <c r="N185" s="383"/>
      <c r="O185" s="383"/>
      <c r="P185" s="383"/>
      <c r="Q185" s="383"/>
      <c r="R185" s="383"/>
      <c r="S185" s="383"/>
      <c r="T185" s="383"/>
      <c r="U185" s="383"/>
      <c r="V185" s="383"/>
      <c r="W185" s="383"/>
      <c r="X185" s="383"/>
      <c r="Y185" s="383"/>
      <c r="Z185" s="383"/>
    </row>
    <row r="186" spans="1:26" ht="11.25" customHeight="1" x14ac:dyDescent="0.3">
      <c r="A186" s="383"/>
      <c r="B186" s="383"/>
      <c r="C186" s="383"/>
      <c r="D186" s="383"/>
      <c r="E186" s="383"/>
      <c r="F186" s="383"/>
      <c r="G186" s="383"/>
      <c r="H186" s="383"/>
      <c r="I186" s="383"/>
      <c r="J186" s="383"/>
      <c r="K186" s="383"/>
      <c r="L186" s="383"/>
      <c r="M186" s="383"/>
      <c r="N186" s="383"/>
      <c r="O186" s="383"/>
      <c r="P186" s="383"/>
      <c r="Q186" s="383"/>
      <c r="R186" s="383"/>
      <c r="S186" s="383"/>
      <c r="T186" s="383"/>
      <c r="U186" s="383"/>
      <c r="V186" s="383"/>
      <c r="W186" s="383"/>
      <c r="X186" s="383"/>
      <c r="Y186" s="383"/>
      <c r="Z186" s="383"/>
    </row>
    <row r="187" spans="1:26" ht="11.25" customHeight="1" x14ac:dyDescent="0.3">
      <c r="A187" s="383"/>
      <c r="B187" s="383"/>
      <c r="C187" s="383"/>
      <c r="D187" s="383"/>
      <c r="E187" s="383"/>
      <c r="F187" s="383"/>
      <c r="G187" s="383"/>
      <c r="H187" s="383"/>
      <c r="I187" s="383"/>
      <c r="J187" s="383"/>
      <c r="K187" s="383"/>
      <c r="L187" s="383"/>
      <c r="M187" s="383"/>
      <c r="N187" s="383"/>
      <c r="O187" s="383"/>
      <c r="P187" s="383"/>
      <c r="Q187" s="383"/>
      <c r="R187" s="383"/>
      <c r="S187" s="383"/>
      <c r="T187" s="383"/>
      <c r="U187" s="383"/>
      <c r="V187" s="383"/>
      <c r="W187" s="383"/>
      <c r="X187" s="383"/>
      <c r="Y187" s="383"/>
      <c r="Z187" s="383"/>
    </row>
    <row r="188" spans="1:26" ht="11.25" customHeight="1" x14ac:dyDescent="0.3">
      <c r="A188" s="383"/>
      <c r="B188" s="383"/>
      <c r="C188" s="383"/>
      <c r="D188" s="383"/>
      <c r="E188" s="383"/>
      <c r="F188" s="383"/>
      <c r="G188" s="383"/>
      <c r="H188" s="383"/>
      <c r="I188" s="383"/>
      <c r="J188" s="383"/>
      <c r="K188" s="383"/>
      <c r="L188" s="383"/>
      <c r="M188" s="383"/>
      <c r="N188" s="383"/>
      <c r="O188" s="383"/>
      <c r="P188" s="383"/>
      <c r="Q188" s="383"/>
      <c r="R188" s="383"/>
      <c r="S188" s="383"/>
      <c r="T188" s="383"/>
      <c r="U188" s="383"/>
      <c r="V188" s="383"/>
      <c r="W188" s="383"/>
      <c r="X188" s="383"/>
      <c r="Y188" s="383"/>
      <c r="Z188" s="383"/>
    </row>
    <row r="189" spans="1:26" ht="11.25" customHeight="1" x14ac:dyDescent="0.3">
      <c r="A189" s="383"/>
      <c r="B189" s="383"/>
      <c r="C189" s="383"/>
      <c r="D189" s="383"/>
      <c r="E189" s="383"/>
      <c r="F189" s="383"/>
      <c r="G189" s="383"/>
      <c r="H189" s="383"/>
      <c r="I189" s="383"/>
      <c r="J189" s="383"/>
      <c r="K189" s="383"/>
      <c r="L189" s="383"/>
      <c r="M189" s="383"/>
      <c r="N189" s="383"/>
      <c r="O189" s="383"/>
      <c r="P189" s="383"/>
      <c r="Q189" s="383"/>
      <c r="R189" s="383"/>
      <c r="S189" s="383"/>
      <c r="T189" s="383"/>
      <c r="U189" s="383"/>
      <c r="V189" s="383"/>
      <c r="W189" s="383"/>
      <c r="X189" s="383"/>
      <c r="Y189" s="383"/>
      <c r="Z189" s="383"/>
    </row>
    <row r="190" spans="1:26" ht="11.25" customHeight="1" x14ac:dyDescent="0.3">
      <c r="A190" s="383"/>
      <c r="B190" s="383"/>
      <c r="C190" s="383"/>
      <c r="D190" s="383"/>
      <c r="E190" s="383"/>
      <c r="F190" s="383"/>
      <c r="G190" s="383"/>
      <c r="H190" s="383"/>
      <c r="I190" s="383"/>
      <c r="J190" s="383"/>
      <c r="K190" s="383"/>
      <c r="L190" s="383"/>
      <c r="M190" s="383"/>
      <c r="N190" s="383"/>
      <c r="O190" s="383"/>
      <c r="P190" s="383"/>
      <c r="Q190" s="383"/>
      <c r="R190" s="383"/>
      <c r="S190" s="383"/>
      <c r="T190" s="383"/>
      <c r="U190" s="383"/>
      <c r="V190" s="383"/>
      <c r="W190" s="383"/>
      <c r="X190" s="383"/>
      <c r="Y190" s="383"/>
      <c r="Z190" s="383"/>
    </row>
    <row r="191" spans="1:26" ht="11.25" customHeight="1" x14ac:dyDescent="0.3">
      <c r="A191" s="383"/>
      <c r="B191" s="383"/>
      <c r="C191" s="383"/>
      <c r="D191" s="383"/>
      <c r="E191" s="383"/>
      <c r="F191" s="383"/>
      <c r="G191" s="383"/>
      <c r="H191" s="383"/>
      <c r="I191" s="383"/>
      <c r="J191" s="383"/>
      <c r="K191" s="383"/>
      <c r="L191" s="383"/>
      <c r="M191" s="383"/>
      <c r="N191" s="383"/>
      <c r="O191" s="383"/>
      <c r="P191" s="383"/>
      <c r="Q191" s="383"/>
      <c r="R191" s="383"/>
      <c r="S191" s="383"/>
      <c r="T191" s="383"/>
      <c r="U191" s="383"/>
      <c r="V191" s="383"/>
      <c r="W191" s="383"/>
      <c r="X191" s="383"/>
      <c r="Y191" s="383"/>
      <c r="Z191" s="383"/>
    </row>
    <row r="192" spans="1:26" ht="11.25" customHeight="1" x14ac:dyDescent="0.3">
      <c r="A192" s="383"/>
      <c r="B192" s="383"/>
      <c r="C192" s="383"/>
      <c r="D192" s="383"/>
      <c r="E192" s="383"/>
      <c r="F192" s="383"/>
      <c r="G192" s="383"/>
      <c r="H192" s="383"/>
      <c r="I192" s="383"/>
      <c r="J192" s="383"/>
      <c r="K192" s="383"/>
      <c r="L192" s="383"/>
      <c r="M192" s="383"/>
      <c r="N192" s="383"/>
      <c r="O192" s="383"/>
      <c r="P192" s="383"/>
      <c r="Q192" s="383"/>
      <c r="R192" s="383"/>
      <c r="S192" s="383"/>
      <c r="T192" s="383"/>
      <c r="U192" s="383"/>
      <c r="V192" s="383"/>
      <c r="W192" s="383"/>
      <c r="X192" s="383"/>
      <c r="Y192" s="383"/>
      <c r="Z192" s="383"/>
    </row>
    <row r="193" spans="1:26" ht="11.25" customHeight="1" x14ac:dyDescent="0.3">
      <c r="A193" s="383"/>
      <c r="B193" s="383"/>
      <c r="C193" s="383"/>
      <c r="D193" s="383"/>
      <c r="E193" s="383"/>
      <c r="F193" s="383"/>
      <c r="G193" s="383"/>
      <c r="H193" s="383"/>
      <c r="I193" s="383"/>
      <c r="J193" s="383"/>
      <c r="K193" s="383"/>
      <c r="L193" s="383"/>
      <c r="M193" s="383"/>
      <c r="N193" s="383"/>
      <c r="O193" s="383"/>
      <c r="P193" s="383"/>
      <c r="Q193" s="383"/>
      <c r="R193" s="383"/>
      <c r="S193" s="383"/>
      <c r="T193" s="383"/>
      <c r="U193" s="383"/>
      <c r="V193" s="383"/>
      <c r="W193" s="383"/>
      <c r="X193" s="383"/>
      <c r="Y193" s="383"/>
      <c r="Z193" s="383"/>
    </row>
    <row r="194" spans="1:26" ht="11.25" customHeight="1" x14ac:dyDescent="0.3">
      <c r="A194" s="383"/>
      <c r="B194" s="383"/>
      <c r="C194" s="383"/>
      <c r="D194" s="383"/>
      <c r="E194" s="383"/>
      <c r="F194" s="383"/>
      <c r="G194" s="383"/>
      <c r="H194" s="383"/>
      <c r="I194" s="383"/>
      <c r="J194" s="383"/>
      <c r="K194" s="383"/>
      <c r="L194" s="383"/>
      <c r="M194" s="383"/>
      <c r="N194" s="383"/>
      <c r="O194" s="383"/>
      <c r="P194" s="383"/>
      <c r="Q194" s="383"/>
      <c r="R194" s="383"/>
      <c r="S194" s="383"/>
      <c r="T194" s="383"/>
      <c r="U194" s="383"/>
      <c r="V194" s="383"/>
      <c r="W194" s="383"/>
      <c r="X194" s="383"/>
      <c r="Y194" s="383"/>
      <c r="Z194" s="383"/>
    </row>
    <row r="195" spans="1:26" ht="11.25" customHeight="1" x14ac:dyDescent="0.3">
      <c r="A195" s="383"/>
      <c r="B195" s="383"/>
      <c r="C195" s="383"/>
      <c r="D195" s="383"/>
      <c r="E195" s="383"/>
      <c r="F195" s="383"/>
      <c r="G195" s="383"/>
      <c r="H195" s="383"/>
      <c r="I195" s="383"/>
      <c r="J195" s="383"/>
      <c r="K195" s="383"/>
      <c r="L195" s="383"/>
      <c r="M195" s="383"/>
      <c r="N195" s="383"/>
      <c r="O195" s="383"/>
      <c r="P195" s="383"/>
      <c r="Q195" s="383"/>
      <c r="R195" s="383"/>
      <c r="S195" s="383"/>
      <c r="T195" s="383"/>
      <c r="U195" s="383"/>
      <c r="V195" s="383"/>
      <c r="W195" s="383"/>
      <c r="X195" s="383"/>
      <c r="Y195" s="383"/>
      <c r="Z195" s="383"/>
    </row>
    <row r="196" spans="1:26" ht="11.25" customHeight="1" x14ac:dyDescent="0.3">
      <c r="A196" s="383"/>
      <c r="B196" s="383"/>
      <c r="C196" s="383"/>
      <c r="D196" s="383"/>
      <c r="E196" s="383"/>
      <c r="F196" s="383"/>
      <c r="G196" s="383"/>
      <c r="H196" s="383"/>
      <c r="I196" s="383"/>
      <c r="J196" s="383"/>
      <c r="K196" s="383"/>
      <c r="L196" s="383"/>
      <c r="M196" s="383"/>
      <c r="N196" s="383"/>
      <c r="O196" s="383"/>
      <c r="P196" s="383"/>
      <c r="Q196" s="383"/>
      <c r="R196" s="383"/>
      <c r="S196" s="383"/>
      <c r="T196" s="383"/>
      <c r="U196" s="383"/>
      <c r="V196" s="383"/>
      <c r="W196" s="383"/>
      <c r="X196" s="383"/>
      <c r="Y196" s="383"/>
      <c r="Z196" s="383"/>
    </row>
    <row r="197" spans="1:26" ht="11.25" customHeight="1" x14ac:dyDescent="0.3">
      <c r="A197" s="383"/>
      <c r="B197" s="383"/>
      <c r="C197" s="383"/>
      <c r="D197" s="383"/>
      <c r="E197" s="383"/>
      <c r="F197" s="383"/>
      <c r="G197" s="383"/>
      <c r="H197" s="383"/>
      <c r="I197" s="383"/>
      <c r="J197" s="383"/>
      <c r="K197" s="383"/>
      <c r="L197" s="383"/>
      <c r="M197" s="383"/>
      <c r="N197" s="383"/>
      <c r="O197" s="383"/>
      <c r="P197" s="383"/>
      <c r="Q197" s="383"/>
      <c r="R197" s="383"/>
      <c r="S197" s="383"/>
      <c r="T197" s="383"/>
      <c r="U197" s="383"/>
      <c r="V197" s="383"/>
      <c r="W197" s="383"/>
      <c r="X197" s="383"/>
      <c r="Y197" s="383"/>
      <c r="Z197" s="383"/>
    </row>
    <row r="198" spans="1:26" ht="11.25" customHeight="1" x14ac:dyDescent="0.3">
      <c r="A198" s="383"/>
      <c r="B198" s="383"/>
      <c r="C198" s="383"/>
      <c r="D198" s="383"/>
      <c r="E198" s="383"/>
      <c r="F198" s="383"/>
      <c r="G198" s="383"/>
      <c r="H198" s="383"/>
      <c r="I198" s="383"/>
      <c r="J198" s="383"/>
      <c r="K198" s="383"/>
      <c r="L198" s="383"/>
      <c r="M198" s="383"/>
      <c r="N198" s="383"/>
      <c r="O198" s="383"/>
      <c r="P198" s="383"/>
      <c r="Q198" s="383"/>
      <c r="R198" s="383"/>
      <c r="S198" s="383"/>
      <c r="T198" s="383"/>
      <c r="U198" s="383"/>
      <c r="V198" s="383"/>
      <c r="W198" s="383"/>
      <c r="X198" s="383"/>
      <c r="Y198" s="383"/>
      <c r="Z198" s="383"/>
    </row>
    <row r="199" spans="1:26" ht="11.25" customHeight="1" x14ac:dyDescent="0.3">
      <c r="A199" s="383"/>
      <c r="B199" s="383"/>
      <c r="C199" s="383"/>
      <c r="D199" s="383"/>
      <c r="E199" s="383"/>
      <c r="F199" s="383"/>
      <c r="G199" s="383"/>
      <c r="H199" s="383"/>
      <c r="I199" s="383"/>
      <c r="J199" s="383"/>
      <c r="K199" s="383"/>
      <c r="L199" s="383"/>
      <c r="M199" s="383"/>
      <c r="N199" s="383"/>
      <c r="O199" s="383"/>
      <c r="P199" s="383"/>
      <c r="Q199" s="383"/>
      <c r="R199" s="383"/>
      <c r="S199" s="383"/>
      <c r="T199" s="383"/>
      <c r="U199" s="383"/>
      <c r="V199" s="383"/>
      <c r="W199" s="383"/>
      <c r="X199" s="383"/>
      <c r="Y199" s="383"/>
      <c r="Z199" s="383"/>
    </row>
    <row r="200" spans="1:26" ht="11.25" customHeight="1" x14ac:dyDescent="0.3">
      <c r="A200" s="383"/>
      <c r="B200" s="383"/>
      <c r="C200" s="383"/>
      <c r="D200" s="383"/>
      <c r="E200" s="383"/>
      <c r="F200" s="383"/>
      <c r="G200" s="383"/>
      <c r="H200" s="383"/>
      <c r="I200" s="383"/>
      <c r="J200" s="383"/>
      <c r="K200" s="383"/>
      <c r="L200" s="383"/>
      <c r="M200" s="383"/>
      <c r="N200" s="383"/>
      <c r="O200" s="383"/>
      <c r="P200" s="383"/>
      <c r="Q200" s="383"/>
      <c r="R200" s="383"/>
      <c r="S200" s="383"/>
      <c r="T200" s="383"/>
      <c r="U200" s="383"/>
      <c r="V200" s="383"/>
      <c r="W200" s="383"/>
      <c r="X200" s="383"/>
      <c r="Y200" s="383"/>
      <c r="Z200" s="383"/>
    </row>
    <row r="201" spans="1:26" ht="11.25" customHeight="1" x14ac:dyDescent="0.3">
      <c r="A201" s="383"/>
      <c r="B201" s="383"/>
      <c r="C201" s="383"/>
      <c r="D201" s="383"/>
      <c r="E201" s="383"/>
      <c r="F201" s="383"/>
      <c r="G201" s="383"/>
      <c r="H201" s="383"/>
      <c r="I201" s="383"/>
      <c r="J201" s="383"/>
      <c r="K201" s="383"/>
      <c r="L201" s="383"/>
      <c r="M201" s="383"/>
      <c r="N201" s="383"/>
      <c r="O201" s="383"/>
      <c r="P201" s="383"/>
      <c r="Q201" s="383"/>
      <c r="R201" s="383"/>
      <c r="S201" s="383"/>
      <c r="T201" s="383"/>
      <c r="U201" s="383"/>
      <c r="V201" s="383"/>
      <c r="W201" s="383"/>
      <c r="X201" s="383"/>
      <c r="Y201" s="383"/>
      <c r="Z201" s="383"/>
    </row>
    <row r="202" spans="1:26" ht="11.25" customHeight="1" x14ac:dyDescent="0.3">
      <c r="A202" s="383"/>
      <c r="B202" s="383"/>
      <c r="C202" s="383"/>
      <c r="D202" s="383"/>
      <c r="E202" s="383"/>
      <c r="F202" s="383"/>
      <c r="G202" s="383"/>
      <c r="H202" s="383"/>
      <c r="I202" s="383"/>
      <c r="J202" s="383"/>
      <c r="K202" s="383"/>
      <c r="L202" s="383"/>
      <c r="M202" s="383"/>
      <c r="N202" s="383"/>
      <c r="O202" s="383"/>
      <c r="P202" s="383"/>
      <c r="Q202" s="383"/>
      <c r="R202" s="383"/>
      <c r="S202" s="383"/>
      <c r="T202" s="383"/>
      <c r="U202" s="383"/>
      <c r="V202" s="383"/>
      <c r="W202" s="383"/>
      <c r="X202" s="383"/>
      <c r="Y202" s="383"/>
      <c r="Z202" s="383"/>
    </row>
    <row r="203" spans="1:26" ht="11.25" customHeight="1" x14ac:dyDescent="0.3">
      <c r="A203" s="383"/>
      <c r="B203" s="383"/>
      <c r="C203" s="383"/>
      <c r="D203" s="383"/>
      <c r="E203" s="383"/>
      <c r="F203" s="383"/>
      <c r="G203" s="383"/>
      <c r="H203" s="383"/>
      <c r="I203" s="383"/>
      <c r="J203" s="383"/>
      <c r="K203" s="383"/>
      <c r="L203" s="383"/>
      <c r="M203" s="383"/>
      <c r="N203" s="383"/>
      <c r="O203" s="383"/>
      <c r="P203" s="383"/>
      <c r="Q203" s="383"/>
      <c r="R203" s="383"/>
      <c r="S203" s="383"/>
      <c r="T203" s="383"/>
      <c r="U203" s="383"/>
      <c r="V203" s="383"/>
      <c r="W203" s="383"/>
      <c r="X203" s="383"/>
      <c r="Y203" s="383"/>
      <c r="Z203" s="383"/>
    </row>
    <row r="204" spans="1:26" ht="11.25" customHeight="1" x14ac:dyDescent="0.3">
      <c r="A204" s="383"/>
      <c r="B204" s="383"/>
      <c r="C204" s="383"/>
      <c r="D204" s="383"/>
      <c r="E204" s="383"/>
      <c r="F204" s="383"/>
      <c r="G204" s="383"/>
      <c r="H204" s="383"/>
      <c r="I204" s="383"/>
      <c r="J204" s="383"/>
      <c r="K204" s="383"/>
      <c r="L204" s="383"/>
      <c r="M204" s="383"/>
      <c r="N204" s="383"/>
      <c r="O204" s="383"/>
      <c r="P204" s="383"/>
      <c r="Q204" s="383"/>
      <c r="R204" s="383"/>
      <c r="S204" s="383"/>
      <c r="T204" s="383"/>
      <c r="U204" s="383"/>
      <c r="V204" s="383"/>
      <c r="W204" s="383"/>
      <c r="X204" s="383"/>
      <c r="Y204" s="383"/>
      <c r="Z204" s="383"/>
    </row>
    <row r="205" spans="1:26" ht="11.25" customHeight="1" x14ac:dyDescent="0.3">
      <c r="A205" s="383"/>
      <c r="B205" s="383"/>
      <c r="C205" s="383"/>
      <c r="D205" s="383"/>
      <c r="E205" s="383"/>
      <c r="F205" s="383"/>
      <c r="G205" s="383"/>
      <c r="H205" s="383"/>
      <c r="I205" s="383"/>
      <c r="J205" s="383"/>
      <c r="K205" s="383"/>
      <c r="L205" s="383"/>
      <c r="M205" s="383"/>
      <c r="N205" s="383"/>
      <c r="O205" s="383"/>
      <c r="P205" s="383"/>
      <c r="Q205" s="383"/>
      <c r="R205" s="383"/>
      <c r="S205" s="383"/>
      <c r="T205" s="383"/>
      <c r="U205" s="383"/>
      <c r="V205" s="383"/>
      <c r="W205" s="383"/>
      <c r="X205" s="383"/>
      <c r="Y205" s="383"/>
      <c r="Z205" s="383"/>
    </row>
    <row r="206" spans="1:26" ht="11.25" customHeight="1" x14ac:dyDescent="0.3">
      <c r="A206" s="383"/>
      <c r="B206" s="383"/>
      <c r="C206" s="383"/>
      <c r="D206" s="383"/>
      <c r="E206" s="383"/>
      <c r="F206" s="383"/>
      <c r="G206" s="383"/>
      <c r="H206" s="383"/>
      <c r="I206" s="383"/>
      <c r="J206" s="383"/>
      <c r="K206" s="383"/>
      <c r="L206" s="383"/>
      <c r="M206" s="383"/>
      <c r="N206" s="383"/>
      <c r="O206" s="383"/>
      <c r="P206" s="383"/>
      <c r="Q206" s="383"/>
      <c r="R206" s="383"/>
      <c r="S206" s="383"/>
      <c r="T206" s="383"/>
      <c r="U206" s="383"/>
      <c r="V206" s="383"/>
      <c r="W206" s="383"/>
      <c r="X206" s="383"/>
      <c r="Y206" s="383"/>
      <c r="Z206" s="383"/>
    </row>
    <row r="207" spans="1:26" ht="11.25" customHeight="1" x14ac:dyDescent="0.3">
      <c r="A207" s="383"/>
      <c r="B207" s="383"/>
      <c r="C207" s="383"/>
      <c r="D207" s="383"/>
      <c r="E207" s="383"/>
      <c r="F207" s="383"/>
      <c r="G207" s="383"/>
      <c r="H207" s="383"/>
      <c r="I207" s="383"/>
      <c r="J207" s="383"/>
      <c r="K207" s="383"/>
      <c r="L207" s="383"/>
      <c r="M207" s="383"/>
      <c r="N207" s="383"/>
      <c r="O207" s="383"/>
      <c r="P207" s="383"/>
      <c r="Q207" s="383"/>
      <c r="R207" s="383"/>
      <c r="S207" s="383"/>
      <c r="T207" s="383"/>
      <c r="U207" s="383"/>
      <c r="V207" s="383"/>
      <c r="W207" s="383"/>
      <c r="X207" s="383"/>
      <c r="Y207" s="383"/>
      <c r="Z207" s="383"/>
    </row>
    <row r="208" spans="1:26" ht="11.25" customHeight="1" x14ac:dyDescent="0.3">
      <c r="A208" s="383"/>
      <c r="B208" s="383"/>
      <c r="C208" s="383"/>
      <c r="D208" s="383"/>
      <c r="E208" s="383"/>
      <c r="F208" s="383"/>
      <c r="G208" s="383"/>
      <c r="H208" s="383"/>
      <c r="I208" s="383"/>
      <c r="J208" s="383"/>
      <c r="K208" s="383"/>
      <c r="L208" s="383"/>
      <c r="M208" s="383"/>
      <c r="N208" s="383"/>
      <c r="O208" s="383"/>
      <c r="P208" s="383"/>
      <c r="Q208" s="383"/>
      <c r="R208" s="383"/>
      <c r="S208" s="383"/>
      <c r="T208" s="383"/>
      <c r="U208" s="383"/>
      <c r="V208" s="383"/>
      <c r="W208" s="383"/>
      <c r="X208" s="383"/>
      <c r="Y208" s="383"/>
      <c r="Z208" s="383"/>
    </row>
    <row r="209" spans="1:26" ht="11.25" customHeight="1" x14ac:dyDescent="0.3">
      <c r="A209" s="383"/>
      <c r="B209" s="383"/>
      <c r="C209" s="383"/>
      <c r="D209" s="383"/>
      <c r="E209" s="383"/>
      <c r="F209" s="383"/>
      <c r="G209" s="383"/>
      <c r="H209" s="383"/>
      <c r="I209" s="383"/>
      <c r="J209" s="383"/>
      <c r="K209" s="383"/>
      <c r="L209" s="383"/>
      <c r="M209" s="383"/>
      <c r="N209" s="383"/>
      <c r="O209" s="383"/>
      <c r="P209" s="383"/>
      <c r="Q209" s="383"/>
      <c r="R209" s="383"/>
      <c r="S209" s="383"/>
      <c r="T209" s="383"/>
      <c r="U209" s="383"/>
      <c r="V209" s="383"/>
      <c r="W209" s="383"/>
      <c r="X209" s="383"/>
      <c r="Y209" s="383"/>
      <c r="Z209" s="383"/>
    </row>
    <row r="210" spans="1:26" ht="11.25" customHeight="1" x14ac:dyDescent="0.3">
      <c r="A210" s="383"/>
      <c r="B210" s="383"/>
      <c r="C210" s="383"/>
      <c r="D210" s="383"/>
      <c r="E210" s="383"/>
      <c r="F210" s="383"/>
      <c r="G210" s="383"/>
      <c r="H210" s="383"/>
      <c r="I210" s="383"/>
      <c r="J210" s="383"/>
      <c r="K210" s="383"/>
      <c r="L210" s="383"/>
      <c r="M210" s="383"/>
      <c r="N210" s="383"/>
      <c r="O210" s="383"/>
      <c r="P210" s="383"/>
      <c r="Q210" s="383"/>
      <c r="R210" s="383"/>
      <c r="S210" s="383"/>
      <c r="T210" s="383"/>
      <c r="U210" s="383"/>
      <c r="V210" s="383"/>
      <c r="W210" s="383"/>
      <c r="X210" s="383"/>
      <c r="Y210" s="383"/>
      <c r="Z210" s="383"/>
    </row>
    <row r="211" spans="1:26" ht="11.25" customHeight="1" x14ac:dyDescent="0.3">
      <c r="A211" s="383"/>
      <c r="B211" s="383"/>
      <c r="C211" s="383"/>
      <c r="D211" s="383"/>
      <c r="E211" s="383"/>
      <c r="F211" s="383"/>
      <c r="G211" s="383"/>
      <c r="H211" s="383"/>
      <c r="I211" s="383"/>
      <c r="J211" s="383"/>
      <c r="K211" s="383"/>
      <c r="L211" s="383"/>
      <c r="M211" s="383"/>
      <c r="N211" s="383"/>
      <c r="O211" s="383"/>
      <c r="P211" s="383"/>
      <c r="Q211" s="383"/>
      <c r="R211" s="383"/>
      <c r="S211" s="383"/>
      <c r="T211" s="383"/>
      <c r="U211" s="383"/>
      <c r="V211" s="383"/>
      <c r="W211" s="383"/>
      <c r="X211" s="383"/>
      <c r="Y211" s="383"/>
      <c r="Z211" s="383"/>
    </row>
    <row r="212" spans="1:26" ht="11.25" customHeight="1" x14ac:dyDescent="0.3">
      <c r="A212" s="383"/>
      <c r="B212" s="383"/>
      <c r="C212" s="383"/>
      <c r="D212" s="383"/>
      <c r="E212" s="383"/>
      <c r="F212" s="383"/>
      <c r="G212" s="383"/>
      <c r="H212" s="383"/>
      <c r="I212" s="383"/>
      <c r="J212" s="383"/>
      <c r="K212" s="383"/>
      <c r="L212" s="383"/>
      <c r="M212" s="383"/>
      <c r="N212" s="383"/>
      <c r="O212" s="383"/>
      <c r="P212" s="383"/>
      <c r="Q212" s="383"/>
      <c r="R212" s="383"/>
      <c r="S212" s="383"/>
      <c r="T212" s="383"/>
      <c r="U212" s="383"/>
      <c r="V212" s="383"/>
      <c r="W212" s="383"/>
      <c r="X212" s="383"/>
      <c r="Y212" s="383"/>
      <c r="Z212" s="383"/>
    </row>
    <row r="213" spans="1:26" ht="11.25" customHeight="1" x14ac:dyDescent="0.3">
      <c r="A213" s="383"/>
      <c r="B213" s="383"/>
      <c r="C213" s="383"/>
      <c r="D213" s="383"/>
      <c r="E213" s="383"/>
      <c r="F213" s="383"/>
      <c r="G213" s="383"/>
      <c r="H213" s="383"/>
      <c r="I213" s="383"/>
      <c r="J213" s="383"/>
      <c r="K213" s="383"/>
      <c r="L213" s="383"/>
      <c r="M213" s="383"/>
      <c r="N213" s="383"/>
      <c r="O213" s="383"/>
      <c r="P213" s="383"/>
      <c r="Q213" s="383"/>
      <c r="R213" s="383"/>
      <c r="S213" s="383"/>
      <c r="T213" s="383"/>
      <c r="U213" s="383"/>
      <c r="V213" s="383"/>
      <c r="W213" s="383"/>
      <c r="X213" s="383"/>
      <c r="Y213" s="383"/>
      <c r="Z213" s="383"/>
    </row>
    <row r="214" spans="1:26" ht="11.25" customHeight="1" x14ac:dyDescent="0.3">
      <c r="A214" s="383"/>
      <c r="B214" s="383"/>
      <c r="C214" s="383"/>
      <c r="D214" s="383"/>
      <c r="E214" s="383"/>
      <c r="F214" s="383"/>
      <c r="G214" s="383"/>
      <c r="H214" s="383"/>
      <c r="I214" s="383"/>
      <c r="J214" s="383"/>
      <c r="K214" s="383"/>
      <c r="L214" s="383"/>
      <c r="M214" s="383"/>
      <c r="N214" s="383"/>
      <c r="O214" s="383"/>
      <c r="P214" s="383"/>
      <c r="Q214" s="383"/>
      <c r="R214" s="383"/>
      <c r="S214" s="383"/>
      <c r="T214" s="383"/>
      <c r="U214" s="383"/>
      <c r="V214" s="383"/>
      <c r="W214" s="383"/>
      <c r="X214" s="383"/>
      <c r="Y214" s="383"/>
      <c r="Z214" s="383"/>
    </row>
    <row r="215" spans="1:26" ht="11.25" customHeight="1" x14ac:dyDescent="0.3">
      <c r="A215" s="383"/>
      <c r="B215" s="383"/>
      <c r="C215" s="383"/>
      <c r="D215" s="383"/>
      <c r="E215" s="383"/>
      <c r="F215" s="383"/>
      <c r="G215" s="383"/>
      <c r="H215" s="383"/>
      <c r="I215" s="383"/>
      <c r="J215" s="383"/>
      <c r="K215" s="383"/>
      <c r="L215" s="383"/>
      <c r="M215" s="383"/>
      <c r="N215" s="383"/>
      <c r="O215" s="383"/>
      <c r="P215" s="383"/>
      <c r="Q215" s="383"/>
      <c r="R215" s="383"/>
      <c r="S215" s="383"/>
      <c r="T215" s="383"/>
      <c r="U215" s="383"/>
      <c r="V215" s="383"/>
      <c r="W215" s="383"/>
      <c r="X215" s="383"/>
      <c r="Y215" s="383"/>
      <c r="Z215" s="383"/>
    </row>
    <row r="216" spans="1:26" ht="11.25" customHeight="1" x14ac:dyDescent="0.3">
      <c r="A216" s="383"/>
      <c r="B216" s="383"/>
      <c r="C216" s="383"/>
      <c r="D216" s="383"/>
      <c r="E216" s="383"/>
      <c r="F216" s="383"/>
      <c r="G216" s="383"/>
      <c r="H216" s="383"/>
      <c r="I216" s="383"/>
      <c r="J216" s="383"/>
      <c r="K216" s="383"/>
      <c r="L216" s="383"/>
      <c r="M216" s="383"/>
      <c r="N216" s="383"/>
      <c r="O216" s="383"/>
      <c r="P216" s="383"/>
      <c r="Q216" s="383"/>
      <c r="R216" s="383"/>
      <c r="S216" s="383"/>
      <c r="T216" s="383"/>
      <c r="U216" s="383"/>
      <c r="V216" s="383"/>
      <c r="W216" s="383"/>
      <c r="X216" s="383"/>
      <c r="Y216" s="383"/>
      <c r="Z216" s="383"/>
    </row>
    <row r="217" spans="1:26" ht="11.25" customHeight="1" x14ac:dyDescent="0.3">
      <c r="A217" s="383"/>
      <c r="B217" s="383"/>
      <c r="C217" s="383"/>
      <c r="D217" s="383"/>
      <c r="E217" s="383"/>
      <c r="F217" s="383"/>
      <c r="G217" s="383"/>
      <c r="H217" s="383"/>
      <c r="I217" s="383"/>
      <c r="J217" s="383"/>
      <c r="K217" s="383"/>
      <c r="L217" s="383"/>
      <c r="M217" s="383"/>
      <c r="N217" s="383"/>
      <c r="O217" s="383"/>
      <c r="P217" s="383"/>
      <c r="Q217" s="383"/>
      <c r="R217" s="383"/>
      <c r="S217" s="383"/>
      <c r="T217" s="383"/>
      <c r="U217" s="383"/>
      <c r="V217" s="383"/>
      <c r="W217" s="383"/>
      <c r="X217" s="383"/>
      <c r="Y217" s="383"/>
      <c r="Z217" s="383"/>
    </row>
    <row r="218" spans="1:26" ht="11.25" customHeight="1" x14ac:dyDescent="0.3">
      <c r="A218" s="383"/>
      <c r="B218" s="383"/>
      <c r="C218" s="383"/>
      <c r="D218" s="383"/>
      <c r="E218" s="383"/>
      <c r="F218" s="383"/>
      <c r="G218" s="383"/>
      <c r="H218" s="383"/>
      <c r="I218" s="383"/>
      <c r="J218" s="383"/>
      <c r="K218" s="383"/>
      <c r="L218" s="383"/>
      <c r="M218" s="383"/>
      <c r="N218" s="383"/>
      <c r="O218" s="383"/>
      <c r="P218" s="383"/>
      <c r="Q218" s="383"/>
      <c r="R218" s="383"/>
      <c r="S218" s="383"/>
      <c r="T218" s="383"/>
      <c r="U218" s="383"/>
      <c r="V218" s="383"/>
      <c r="W218" s="383"/>
      <c r="X218" s="383"/>
      <c r="Y218" s="383"/>
      <c r="Z218" s="383"/>
    </row>
    <row r="219" spans="1:26" ht="11.25" customHeight="1" x14ac:dyDescent="0.3">
      <c r="A219" s="383"/>
      <c r="B219" s="383"/>
      <c r="C219" s="383"/>
      <c r="D219" s="383"/>
      <c r="E219" s="383"/>
      <c r="F219" s="383"/>
      <c r="G219" s="383"/>
      <c r="H219" s="383"/>
      <c r="I219" s="383"/>
      <c r="J219" s="383"/>
      <c r="K219" s="383"/>
      <c r="L219" s="383"/>
      <c r="M219" s="383"/>
      <c r="N219" s="383"/>
      <c r="O219" s="383"/>
      <c r="P219" s="383"/>
      <c r="Q219" s="383"/>
      <c r="R219" s="383"/>
      <c r="S219" s="383"/>
      <c r="T219" s="383"/>
      <c r="U219" s="383"/>
      <c r="V219" s="383"/>
      <c r="W219" s="383"/>
      <c r="X219" s="383"/>
      <c r="Y219" s="383"/>
      <c r="Z219" s="383"/>
    </row>
    <row r="220" spans="1:26" ht="11.25" customHeight="1" x14ac:dyDescent="0.3">
      <c r="A220" s="383"/>
      <c r="B220" s="383"/>
      <c r="C220" s="383"/>
      <c r="D220" s="383"/>
      <c r="E220" s="383"/>
      <c r="F220" s="383"/>
      <c r="G220" s="383"/>
      <c r="H220" s="383"/>
      <c r="I220" s="383"/>
      <c r="J220" s="383"/>
      <c r="K220" s="383"/>
      <c r="L220" s="383"/>
      <c r="M220" s="383"/>
      <c r="N220" s="383"/>
      <c r="O220" s="383"/>
      <c r="P220" s="383"/>
      <c r="Q220" s="383"/>
      <c r="R220" s="383"/>
      <c r="S220" s="383"/>
      <c r="T220" s="383"/>
      <c r="U220" s="383"/>
      <c r="V220" s="383"/>
      <c r="W220" s="383"/>
      <c r="X220" s="383"/>
      <c r="Y220" s="383"/>
      <c r="Z220" s="383"/>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2:A4"/>
    <mergeCell ref="C2:G2"/>
    <mergeCell ref="B2:B4"/>
    <mergeCell ref="A7:F7"/>
    <mergeCell ref="C3:G3"/>
  </mergeCell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1000"/>
  <sheetViews>
    <sheetView showGridLines="0" workbookViewId="0"/>
  </sheetViews>
  <sheetFormatPr baseColWidth="10" defaultColWidth="12.6640625" defaultRowHeight="15" customHeight="1" outlineLevelRow="1" x14ac:dyDescent="0.3"/>
  <cols>
    <col min="1" max="1" width="1" customWidth="1"/>
    <col min="2" max="2" width="12.44140625" customWidth="1"/>
    <col min="3" max="3" width="24.33203125" customWidth="1"/>
    <col min="4" max="4" width="14.44140625" customWidth="1"/>
    <col min="5" max="5" width="14.33203125" customWidth="1"/>
    <col min="6" max="6" width="15" customWidth="1"/>
    <col min="7" max="21" width="12.44140625" customWidth="1"/>
    <col min="22" max="39" width="11.44140625" customWidth="1"/>
  </cols>
  <sheetData>
    <row r="1" spans="1:39" ht="14.25" customHeight="1" x14ac:dyDescent="0.3">
      <c r="A1" s="53"/>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spans="1:39" ht="14.25" customHeight="1" x14ac:dyDescent="0.3">
      <c r="A2" s="53"/>
      <c r="B2" s="1111" t="s">
        <v>1923</v>
      </c>
      <c r="C2" s="1087"/>
      <c r="D2" s="1087"/>
      <c r="E2" s="1087"/>
      <c r="F2" s="1088"/>
      <c r="G2" s="7" t="s">
        <v>1924</v>
      </c>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row>
    <row r="3" spans="1:39" ht="14.25" customHeight="1" x14ac:dyDescent="0.3">
      <c r="A3" s="53"/>
      <c r="B3" s="1125" t="s">
        <v>1902</v>
      </c>
      <c r="C3" s="1114" t="s">
        <v>1903</v>
      </c>
      <c r="D3" s="1113">
        <v>45901</v>
      </c>
      <c r="E3" s="1087"/>
      <c r="F3" s="1088"/>
      <c r="G3" s="7"/>
      <c r="H3" s="7"/>
      <c r="I3" s="7"/>
      <c r="J3" s="7"/>
      <c r="K3" s="7"/>
      <c r="L3" s="7"/>
      <c r="M3" s="7"/>
      <c r="N3" s="7"/>
      <c r="O3" s="7"/>
      <c r="P3" s="7"/>
      <c r="Q3" s="7"/>
      <c r="R3" s="7"/>
      <c r="S3" s="7"/>
      <c r="T3" s="7"/>
      <c r="U3" s="7"/>
      <c r="V3" s="7"/>
      <c r="W3" s="261" t="s">
        <v>1925</v>
      </c>
      <c r="X3" s="7"/>
      <c r="Y3" s="7"/>
      <c r="Z3" s="7"/>
      <c r="AA3" s="7"/>
      <c r="AB3" s="7"/>
      <c r="AC3" s="7"/>
      <c r="AD3" s="7"/>
      <c r="AE3" s="7"/>
      <c r="AF3" s="7"/>
      <c r="AG3" s="7"/>
      <c r="AH3" s="7"/>
      <c r="AI3" s="7"/>
      <c r="AJ3" s="7"/>
      <c r="AK3" s="7"/>
      <c r="AL3" s="7"/>
      <c r="AM3" s="7"/>
    </row>
    <row r="4" spans="1:39" ht="51" customHeight="1" x14ac:dyDescent="0.3">
      <c r="A4" s="53"/>
      <c r="B4" s="1122"/>
      <c r="C4" s="1107"/>
      <c r="D4" s="607" t="s">
        <v>1926</v>
      </c>
      <c r="E4" s="607" t="s">
        <v>1927</v>
      </c>
      <c r="F4" s="608" t="s">
        <v>1928</v>
      </c>
      <c r="G4" s="609">
        <v>45957</v>
      </c>
      <c r="H4" s="609">
        <f>+G4+30</f>
        <v>45987</v>
      </c>
      <c r="I4" s="609">
        <f>+H4+30</f>
        <v>46017</v>
      </c>
      <c r="J4" s="609">
        <v>46023</v>
      </c>
      <c r="K4" s="609">
        <v>46054</v>
      </c>
      <c r="L4" s="609">
        <v>46112</v>
      </c>
      <c r="M4" s="609">
        <v>46142</v>
      </c>
      <c r="N4" s="609">
        <v>46172</v>
      </c>
      <c r="O4" s="609">
        <v>46202</v>
      </c>
      <c r="P4" s="609">
        <v>46232</v>
      </c>
      <c r="Q4" s="609">
        <v>46262</v>
      </c>
      <c r="R4" s="609">
        <v>46292</v>
      </c>
      <c r="S4" s="609">
        <v>46322</v>
      </c>
      <c r="T4" s="610">
        <v>46352</v>
      </c>
      <c r="U4" s="609">
        <v>46382</v>
      </c>
      <c r="V4" s="7"/>
      <c r="W4" s="611">
        <v>45925</v>
      </c>
      <c r="X4" s="611">
        <v>45957</v>
      </c>
      <c r="Y4" s="611">
        <v>45987</v>
      </c>
      <c r="Z4" s="611">
        <v>46017</v>
      </c>
      <c r="AA4" s="611">
        <v>46023</v>
      </c>
      <c r="AB4" s="611">
        <v>46054</v>
      </c>
      <c r="AC4" s="611">
        <v>46112</v>
      </c>
      <c r="AD4" s="611">
        <v>46142</v>
      </c>
      <c r="AE4" s="611">
        <v>46172</v>
      </c>
      <c r="AF4" s="611">
        <v>46202</v>
      </c>
      <c r="AG4" s="611">
        <v>46232</v>
      </c>
      <c r="AH4" s="611">
        <v>46262</v>
      </c>
      <c r="AI4" s="611">
        <v>46292</v>
      </c>
      <c r="AJ4" s="611">
        <v>46322</v>
      </c>
      <c r="AK4" s="612">
        <v>46352</v>
      </c>
      <c r="AL4" s="611">
        <v>46382</v>
      </c>
      <c r="AM4" s="7"/>
    </row>
    <row r="5" spans="1:39" ht="14.25" customHeight="1" x14ac:dyDescent="0.3">
      <c r="A5" s="53"/>
      <c r="B5" s="613">
        <v>5040</v>
      </c>
      <c r="C5" s="304" t="s">
        <v>1929</v>
      </c>
      <c r="D5" s="614">
        <v>250.473111497921</v>
      </c>
      <c r="E5" s="615">
        <v>4386</v>
      </c>
      <c r="F5" s="614">
        <f>D5*E5</f>
        <v>1098575.0670298815</v>
      </c>
      <c r="G5" s="616">
        <f t="shared" ref="G5:U5" si="0">+X5*$E$5</f>
        <v>1123842.2935715686</v>
      </c>
      <c r="H5" s="616">
        <f t="shared" si="0"/>
        <v>1146319.1394429998</v>
      </c>
      <c r="I5" s="616">
        <f t="shared" si="0"/>
        <v>1169245.5222318599</v>
      </c>
      <c r="J5" s="616">
        <f t="shared" si="0"/>
        <v>1203153.6423765838</v>
      </c>
      <c r="K5" s="616">
        <f t="shared" si="0"/>
        <v>1238045.0980055046</v>
      </c>
      <c r="L5" s="616">
        <f t="shared" si="0"/>
        <v>1280138.6313376918</v>
      </c>
      <c r="M5" s="616">
        <f t="shared" si="0"/>
        <v>1313422.2357524717</v>
      </c>
      <c r="N5" s="616">
        <f t="shared" si="0"/>
        <v>1341004.1027032735</v>
      </c>
      <c r="O5" s="616">
        <f t="shared" si="0"/>
        <v>1379893.2216816684</v>
      </c>
      <c r="P5" s="616">
        <f t="shared" si="0"/>
        <v>1419910.1251104367</v>
      </c>
      <c r="Q5" s="616">
        <f t="shared" si="0"/>
        <v>1461087.5187386393</v>
      </c>
      <c r="R5" s="616">
        <f t="shared" si="0"/>
        <v>1503459.0567820598</v>
      </c>
      <c r="S5" s="616">
        <f t="shared" si="0"/>
        <v>1547059.3694287394</v>
      </c>
      <c r="T5" s="616">
        <f t="shared" si="0"/>
        <v>1591924.0911421729</v>
      </c>
      <c r="U5" s="616">
        <f t="shared" si="0"/>
        <v>1638089.8897852958</v>
      </c>
      <c r="V5" s="40">
        <f>+U5/J5</f>
        <v>1.3614968463625181</v>
      </c>
      <c r="W5" s="617">
        <v>250.473111497921</v>
      </c>
      <c r="X5" s="617">
        <f t="shared" ref="X5:AL5" si="1">(W5*(1+G19))</f>
        <v>256.23399306237314</v>
      </c>
      <c r="Y5" s="617">
        <f t="shared" si="1"/>
        <v>261.35867292362059</v>
      </c>
      <c r="Z5" s="617">
        <f t="shared" si="1"/>
        <v>266.585846382093</v>
      </c>
      <c r="AA5" s="617">
        <f t="shared" si="1"/>
        <v>274.31683592717366</v>
      </c>
      <c r="AB5" s="617">
        <f t="shared" si="1"/>
        <v>282.27202416906169</v>
      </c>
      <c r="AC5" s="617">
        <f t="shared" si="1"/>
        <v>291.8692729908098</v>
      </c>
      <c r="AD5" s="617">
        <f t="shared" si="1"/>
        <v>299.45787408857086</v>
      </c>
      <c r="AE5" s="617">
        <f t="shared" si="1"/>
        <v>305.74648944443084</v>
      </c>
      <c r="AF5" s="617">
        <f t="shared" si="1"/>
        <v>314.6131376383193</v>
      </c>
      <c r="AG5" s="617">
        <f t="shared" si="1"/>
        <v>323.73691862983054</v>
      </c>
      <c r="AH5" s="617">
        <f t="shared" si="1"/>
        <v>333.12528927009561</v>
      </c>
      <c r="AI5" s="617">
        <f t="shared" si="1"/>
        <v>342.78592265892837</v>
      </c>
      <c r="AJ5" s="617">
        <f t="shared" si="1"/>
        <v>352.72671441603728</v>
      </c>
      <c r="AK5" s="617">
        <f t="shared" si="1"/>
        <v>362.95578913410236</v>
      </c>
      <c r="AL5" s="617">
        <f t="shared" si="1"/>
        <v>373.48150701899129</v>
      </c>
      <c r="AM5" s="38">
        <f>+AL5/W5</f>
        <v>1.4911041939209961</v>
      </c>
    </row>
    <row r="6" spans="1:39" ht="14.25" customHeight="1" x14ac:dyDescent="0.3">
      <c r="A6" s="53"/>
      <c r="B6" s="613">
        <v>5040</v>
      </c>
      <c r="C6" s="304" t="s">
        <v>1930</v>
      </c>
      <c r="D6" s="614">
        <v>167.82880450577201</v>
      </c>
      <c r="E6" s="615">
        <v>3895</v>
      </c>
      <c r="F6" s="614">
        <f>D6*E6</f>
        <v>653693.19354998204</v>
      </c>
      <c r="G6" s="616">
        <f t="shared" ref="G6:U6" si="2">+X6*$E$6</f>
        <v>668728.13700163155</v>
      </c>
      <c r="H6" s="616">
        <f t="shared" si="2"/>
        <v>682102.69974166423</v>
      </c>
      <c r="I6" s="616">
        <f t="shared" si="2"/>
        <v>695744.75373649749</v>
      </c>
      <c r="J6" s="616">
        <f t="shared" si="2"/>
        <v>715921.35159485578</v>
      </c>
      <c r="K6" s="616">
        <f t="shared" si="2"/>
        <v>736683.07079110655</v>
      </c>
      <c r="L6" s="616">
        <f t="shared" si="2"/>
        <v>761730.29519800423</v>
      </c>
      <c r="M6" s="616">
        <f t="shared" si="2"/>
        <v>781535.28287315241</v>
      </c>
      <c r="N6" s="616">
        <f t="shared" si="2"/>
        <v>797947.52381348854</v>
      </c>
      <c r="O6" s="616">
        <f t="shared" si="2"/>
        <v>821088.00200407964</v>
      </c>
      <c r="P6" s="616">
        <f t="shared" si="2"/>
        <v>844899.55406219792</v>
      </c>
      <c r="Q6" s="616">
        <f t="shared" si="2"/>
        <v>869401.64113000152</v>
      </c>
      <c r="R6" s="616">
        <f t="shared" si="2"/>
        <v>894614.28872277145</v>
      </c>
      <c r="S6" s="616">
        <f t="shared" si="2"/>
        <v>920558.1030957317</v>
      </c>
      <c r="T6" s="616">
        <f t="shared" si="2"/>
        <v>947254.28808550793</v>
      </c>
      <c r="U6" s="616">
        <f t="shared" si="2"/>
        <v>974724.66243998765</v>
      </c>
      <c r="V6" s="40">
        <f>+U6/J6</f>
        <v>1.3614968463625181</v>
      </c>
      <c r="W6" s="617">
        <v>167.82880450577201</v>
      </c>
      <c r="X6" s="617">
        <f t="shared" ref="X6:AL6" si="3">(W6*(1+G19))</f>
        <v>171.68886700940476</v>
      </c>
      <c r="Y6" s="617">
        <f t="shared" si="3"/>
        <v>175.12264434959286</v>
      </c>
      <c r="Z6" s="617">
        <f t="shared" si="3"/>
        <v>178.62509723658471</v>
      </c>
      <c r="AA6" s="617">
        <f t="shared" si="3"/>
        <v>183.80522505644564</v>
      </c>
      <c r="AB6" s="617">
        <f t="shared" si="3"/>
        <v>189.13557658308255</v>
      </c>
      <c r="AC6" s="617">
        <f t="shared" si="3"/>
        <v>195.56618618690737</v>
      </c>
      <c r="AD6" s="617">
        <f t="shared" si="3"/>
        <v>200.65090702776698</v>
      </c>
      <c r="AE6" s="617">
        <f t="shared" si="3"/>
        <v>204.86457607535007</v>
      </c>
      <c r="AF6" s="617">
        <f t="shared" si="3"/>
        <v>210.80564878153521</v>
      </c>
      <c r="AG6" s="617">
        <f t="shared" si="3"/>
        <v>216.91901259619971</v>
      </c>
      <c r="AH6" s="617">
        <f t="shared" si="3"/>
        <v>223.20966396148947</v>
      </c>
      <c r="AI6" s="617">
        <f t="shared" si="3"/>
        <v>229.68274421637264</v>
      </c>
      <c r="AJ6" s="617">
        <f t="shared" si="3"/>
        <v>236.34354379864743</v>
      </c>
      <c r="AK6" s="617">
        <f t="shared" si="3"/>
        <v>243.19750656880819</v>
      </c>
      <c r="AL6" s="617">
        <f t="shared" si="3"/>
        <v>250.25023425930362</v>
      </c>
      <c r="AM6" s="38">
        <f>+AL6/W6</f>
        <v>1.4911041939209961</v>
      </c>
    </row>
    <row r="7" spans="1:39" ht="14.25" customHeight="1" x14ac:dyDescent="0.3">
      <c r="A7" s="53"/>
      <c r="B7" s="613">
        <v>5040</v>
      </c>
      <c r="C7" s="304" t="s">
        <v>1931</v>
      </c>
      <c r="D7" s="614">
        <v>1569.84027078752</v>
      </c>
      <c r="E7" s="618">
        <v>394</v>
      </c>
      <c r="F7" s="614">
        <f>D7*E7</f>
        <v>618517.0666902829</v>
      </c>
      <c r="G7" s="616">
        <f t="shared" ref="G7:U7" si="4">+X7*$E$7</f>
        <v>632742.95922415925</v>
      </c>
      <c r="H7" s="616">
        <f t="shared" si="4"/>
        <v>645397.81840864255</v>
      </c>
      <c r="I7" s="616">
        <f t="shared" si="4"/>
        <v>658305.77477681544</v>
      </c>
      <c r="J7" s="616">
        <f t="shared" si="4"/>
        <v>677396.64224534295</v>
      </c>
      <c r="K7" s="616">
        <f t="shared" si="4"/>
        <v>697041.14487045794</v>
      </c>
      <c r="L7" s="616">
        <f t="shared" si="4"/>
        <v>720740.54379605351</v>
      </c>
      <c r="M7" s="616">
        <f t="shared" si="4"/>
        <v>739479.79793475091</v>
      </c>
      <c r="N7" s="616">
        <f t="shared" si="4"/>
        <v>755008.87369138061</v>
      </c>
      <c r="O7" s="616">
        <f t="shared" si="4"/>
        <v>776904.13102843065</v>
      </c>
      <c r="P7" s="616">
        <f t="shared" si="4"/>
        <v>799434.35082825506</v>
      </c>
      <c r="Q7" s="616">
        <f t="shared" si="4"/>
        <v>822617.94700227433</v>
      </c>
      <c r="R7" s="616">
        <f t="shared" si="4"/>
        <v>846473.8674653403</v>
      </c>
      <c r="S7" s="616">
        <f t="shared" si="4"/>
        <v>871021.60962183517</v>
      </c>
      <c r="T7" s="616">
        <f t="shared" si="4"/>
        <v>896281.23630086822</v>
      </c>
      <c r="U7" s="616">
        <f t="shared" si="4"/>
        <v>922273.39215359336</v>
      </c>
      <c r="V7" s="40">
        <f>+U7/J7</f>
        <v>1.3614968463625181</v>
      </c>
      <c r="W7" s="617">
        <v>1569.84027078752</v>
      </c>
      <c r="X7" s="617">
        <f t="shared" ref="X7:AL7" si="5">(W7*(1+G19))</f>
        <v>1605.9465970156327</v>
      </c>
      <c r="Y7" s="617">
        <f t="shared" si="5"/>
        <v>1638.0655289559454</v>
      </c>
      <c r="Z7" s="617">
        <f t="shared" si="5"/>
        <v>1670.8268395350644</v>
      </c>
      <c r="AA7" s="617">
        <f t="shared" si="5"/>
        <v>1719.2808178815812</v>
      </c>
      <c r="AB7" s="617">
        <f t="shared" si="5"/>
        <v>1769.139961600147</v>
      </c>
      <c r="AC7" s="617">
        <f t="shared" si="5"/>
        <v>1829.2907202945521</v>
      </c>
      <c r="AD7" s="617">
        <f t="shared" si="5"/>
        <v>1876.8522790222105</v>
      </c>
      <c r="AE7" s="617">
        <f t="shared" si="5"/>
        <v>1916.2661768816768</v>
      </c>
      <c r="AF7" s="617">
        <f t="shared" si="5"/>
        <v>1971.8378960112452</v>
      </c>
      <c r="AG7" s="617">
        <f t="shared" si="5"/>
        <v>2029.0211949955712</v>
      </c>
      <c r="AH7" s="617">
        <f t="shared" si="5"/>
        <v>2087.8628096504426</v>
      </c>
      <c r="AI7" s="617">
        <f t="shared" si="5"/>
        <v>2148.4108311303053</v>
      </c>
      <c r="AJ7" s="617">
        <f t="shared" si="5"/>
        <v>2210.7147452330842</v>
      </c>
      <c r="AK7" s="617">
        <f t="shared" si="5"/>
        <v>2274.8254728448433</v>
      </c>
      <c r="AL7" s="617">
        <f t="shared" si="5"/>
        <v>2340.7954115573434</v>
      </c>
      <c r="AM7" s="38">
        <f>+AL7/W7</f>
        <v>1.4911041939209961</v>
      </c>
    </row>
    <row r="8" spans="1:39" ht="14.25" customHeight="1" x14ac:dyDescent="0.3">
      <c r="A8" s="53"/>
      <c r="B8" s="619" t="s">
        <v>320</v>
      </c>
      <c r="C8" s="619"/>
      <c r="D8" s="619"/>
      <c r="E8" s="619"/>
      <c r="F8" s="620">
        <f>F6+F7+F5</f>
        <v>2370785.3272701465</v>
      </c>
      <c r="G8" s="621">
        <f t="shared" ref="G8:U8" si="6">SUM(G5:G7)</f>
        <v>2425313.3897973592</v>
      </c>
      <c r="H8" s="621">
        <f t="shared" si="6"/>
        <v>2473819.6575933066</v>
      </c>
      <c r="I8" s="621">
        <f t="shared" si="6"/>
        <v>2523296.0507451729</v>
      </c>
      <c r="J8" s="621">
        <f t="shared" si="6"/>
        <v>2596471.6362167825</v>
      </c>
      <c r="K8" s="621">
        <f t="shared" si="6"/>
        <v>2671769.3136670692</v>
      </c>
      <c r="L8" s="621">
        <f t="shared" si="6"/>
        <v>2762609.4703317494</v>
      </c>
      <c r="M8" s="621">
        <f t="shared" si="6"/>
        <v>2834437.316560375</v>
      </c>
      <c r="N8" s="621">
        <f t="shared" si="6"/>
        <v>2893960.5002081427</v>
      </c>
      <c r="O8" s="621">
        <f t="shared" si="6"/>
        <v>2977885.3547141785</v>
      </c>
      <c r="P8" s="621">
        <f t="shared" si="6"/>
        <v>3064244.0300008897</v>
      </c>
      <c r="Q8" s="621">
        <f t="shared" si="6"/>
        <v>3153107.1068709153</v>
      </c>
      <c r="R8" s="621">
        <f t="shared" si="6"/>
        <v>3244547.2129701721</v>
      </c>
      <c r="S8" s="621">
        <f t="shared" si="6"/>
        <v>3338639.0821463065</v>
      </c>
      <c r="T8" s="621">
        <f t="shared" si="6"/>
        <v>3435459.6155285491</v>
      </c>
      <c r="U8" s="621">
        <f t="shared" si="6"/>
        <v>3535087.9443788766</v>
      </c>
      <c r="V8" s="7"/>
      <c r="W8" s="7"/>
      <c r="X8" s="7"/>
      <c r="Y8" s="7"/>
      <c r="Z8" s="7"/>
      <c r="AA8" s="7"/>
      <c r="AB8" s="7"/>
      <c r="AC8" s="7"/>
      <c r="AD8" s="7"/>
      <c r="AE8" s="7"/>
      <c r="AF8" s="7"/>
      <c r="AG8" s="7"/>
      <c r="AH8" s="7"/>
      <c r="AI8" s="7"/>
      <c r="AJ8" s="7"/>
      <c r="AK8" s="7"/>
      <c r="AL8" s="7"/>
      <c r="AM8" s="7"/>
    </row>
    <row r="9" spans="1:39" ht="9.75" customHeight="1" x14ac:dyDescent="0.3">
      <c r="A9" s="53"/>
      <c r="B9" s="7"/>
      <c r="C9" s="7"/>
      <c r="D9" s="7"/>
      <c r="E9" s="7"/>
      <c r="F9" s="7"/>
      <c r="G9" s="616"/>
      <c r="H9" s="616"/>
      <c r="I9" s="616"/>
      <c r="J9" s="616"/>
      <c r="K9" s="616"/>
      <c r="L9" s="616"/>
      <c r="M9" s="616"/>
      <c r="N9" s="616"/>
      <c r="O9" s="616"/>
      <c r="P9" s="616"/>
      <c r="Q9" s="616"/>
      <c r="R9" s="616"/>
      <c r="S9" s="616"/>
      <c r="T9" s="616"/>
      <c r="U9" s="616"/>
      <c r="V9" s="7"/>
      <c r="W9" s="7"/>
      <c r="X9" s="7"/>
      <c r="Y9" s="7"/>
      <c r="Z9" s="7"/>
      <c r="AA9" s="7"/>
      <c r="AB9" s="7"/>
      <c r="AC9" s="7"/>
      <c r="AD9" s="7"/>
      <c r="AE9" s="7"/>
      <c r="AF9" s="7"/>
      <c r="AG9" s="7"/>
      <c r="AH9" s="7"/>
      <c r="AI9" s="7"/>
      <c r="AJ9" s="7"/>
      <c r="AK9" s="7"/>
      <c r="AL9" s="7"/>
      <c r="AM9" s="7"/>
    </row>
    <row r="10" spans="1:39" ht="14.25" customHeight="1" x14ac:dyDescent="0.3">
      <c r="A10" s="53"/>
      <c r="B10" s="1118" t="s">
        <v>1932</v>
      </c>
      <c r="C10" s="1087"/>
      <c r="D10" s="1087"/>
      <c r="E10" s="1087"/>
      <c r="F10" s="1088"/>
      <c r="G10" s="622" t="s">
        <v>1933</v>
      </c>
      <c r="H10" s="616"/>
      <c r="I10" s="616"/>
      <c r="J10" s="616"/>
      <c r="K10" s="616"/>
      <c r="L10" s="616"/>
      <c r="M10" s="616"/>
      <c r="N10" s="616"/>
      <c r="O10" s="616"/>
      <c r="P10" s="616"/>
      <c r="Q10" s="616"/>
      <c r="R10" s="616"/>
      <c r="S10" s="616"/>
      <c r="T10" s="616"/>
      <c r="U10" s="616"/>
      <c r="V10" s="7"/>
      <c r="W10" s="7"/>
      <c r="X10" s="7"/>
      <c r="Y10" s="7"/>
      <c r="Z10" s="7"/>
      <c r="AA10" s="7"/>
      <c r="AB10" s="7"/>
      <c r="AC10" s="7"/>
      <c r="AD10" s="7"/>
      <c r="AE10" s="7"/>
      <c r="AF10" s="7"/>
      <c r="AG10" s="7"/>
      <c r="AH10" s="7"/>
      <c r="AI10" s="7"/>
      <c r="AJ10" s="7"/>
      <c r="AK10" s="7"/>
      <c r="AL10" s="7"/>
      <c r="AM10" s="7"/>
    </row>
    <row r="11" spans="1:39" ht="14.25" customHeight="1" x14ac:dyDescent="0.3">
      <c r="A11" s="53"/>
      <c r="B11" s="1125" t="s">
        <v>1902</v>
      </c>
      <c r="C11" s="1114" t="s">
        <v>1903</v>
      </c>
      <c r="D11" s="1113">
        <v>45901</v>
      </c>
      <c r="E11" s="1087"/>
      <c r="F11" s="1088"/>
      <c r="G11" s="616"/>
      <c r="H11" s="623"/>
      <c r="I11" s="616"/>
      <c r="J11" s="616"/>
      <c r="K11" s="616"/>
      <c r="L11" s="616"/>
      <c r="M11" s="616"/>
      <c r="N11" s="616"/>
      <c r="O11" s="616"/>
      <c r="P11" s="616"/>
      <c r="Q11" s="616"/>
      <c r="R11" s="616"/>
      <c r="S11" s="616"/>
      <c r="T11" s="616"/>
      <c r="U11" s="616"/>
      <c r="V11" s="7"/>
      <c r="W11" s="7"/>
      <c r="X11" s="7"/>
      <c r="Y11" s="7"/>
      <c r="Z11" s="7"/>
      <c r="AA11" s="7"/>
      <c r="AB11" s="7"/>
      <c r="AC11" s="7"/>
      <c r="AD11" s="7"/>
      <c r="AE11" s="7"/>
      <c r="AF11" s="7"/>
      <c r="AG11" s="7"/>
      <c r="AH11" s="7"/>
      <c r="AI11" s="7"/>
      <c r="AJ11" s="7"/>
      <c r="AK11" s="7"/>
      <c r="AL11" s="7"/>
      <c r="AM11" s="7"/>
    </row>
    <row r="12" spans="1:39" ht="14.25" customHeight="1" x14ac:dyDescent="0.3">
      <c r="A12" s="53"/>
      <c r="B12" s="1122"/>
      <c r="C12" s="1107"/>
      <c r="D12" s="607" t="s">
        <v>1777</v>
      </c>
      <c r="E12" s="608" t="s">
        <v>1773</v>
      </c>
      <c r="F12" s="608" t="s">
        <v>1928</v>
      </c>
      <c r="G12" s="609">
        <f t="shared" ref="G12:U12" si="7">+G4</f>
        <v>45957</v>
      </c>
      <c r="H12" s="609">
        <f t="shared" si="7"/>
        <v>45987</v>
      </c>
      <c r="I12" s="609">
        <f t="shared" si="7"/>
        <v>46017</v>
      </c>
      <c r="J12" s="609">
        <f t="shared" si="7"/>
        <v>46023</v>
      </c>
      <c r="K12" s="609">
        <f t="shared" si="7"/>
        <v>46054</v>
      </c>
      <c r="L12" s="609">
        <f t="shared" si="7"/>
        <v>46112</v>
      </c>
      <c r="M12" s="609">
        <f t="shared" si="7"/>
        <v>46142</v>
      </c>
      <c r="N12" s="609">
        <f t="shared" si="7"/>
        <v>46172</v>
      </c>
      <c r="O12" s="609">
        <f t="shared" si="7"/>
        <v>46202</v>
      </c>
      <c r="P12" s="609">
        <f t="shared" si="7"/>
        <v>46232</v>
      </c>
      <c r="Q12" s="609">
        <f t="shared" si="7"/>
        <v>46262</v>
      </c>
      <c r="R12" s="609">
        <f t="shared" si="7"/>
        <v>46292</v>
      </c>
      <c r="S12" s="609">
        <f t="shared" si="7"/>
        <v>46322</v>
      </c>
      <c r="T12" s="610">
        <f t="shared" si="7"/>
        <v>46352</v>
      </c>
      <c r="U12" s="609">
        <f t="shared" si="7"/>
        <v>46382</v>
      </c>
      <c r="V12" s="7"/>
      <c r="W12" s="7"/>
      <c r="X12" s="7"/>
      <c r="Y12" s="7"/>
      <c r="Z12" s="7"/>
      <c r="AA12" s="7"/>
      <c r="AB12" s="7"/>
      <c r="AC12" s="7"/>
      <c r="AD12" s="7"/>
      <c r="AE12" s="7"/>
      <c r="AF12" s="7"/>
      <c r="AG12" s="7"/>
      <c r="AH12" s="7"/>
      <c r="AI12" s="7"/>
      <c r="AJ12" s="7"/>
      <c r="AK12" s="7"/>
      <c r="AL12" s="7"/>
      <c r="AM12" s="7"/>
    </row>
    <row r="13" spans="1:39" ht="14.25" customHeight="1" x14ac:dyDescent="0.3">
      <c r="A13" s="53"/>
      <c r="B13" s="613">
        <v>5040</v>
      </c>
      <c r="C13" s="304" t="s">
        <v>1934</v>
      </c>
      <c r="D13" s="614">
        <f>C45</f>
        <v>1123863.1527211075</v>
      </c>
      <c r="E13" s="618">
        <v>1</v>
      </c>
      <c r="F13" s="624">
        <f>D13*E13</f>
        <v>1123863.1527211075</v>
      </c>
      <c r="G13" s="616">
        <f>+C48</f>
        <v>1194989.954432901</v>
      </c>
      <c r="H13" s="616">
        <f>+G13</f>
        <v>1194989.954432901</v>
      </c>
      <c r="I13" s="616">
        <f>+H13</f>
        <v>1194989.954432901</v>
      </c>
      <c r="J13" s="625">
        <f>+I13*J18</f>
        <v>1271862.7022096056</v>
      </c>
      <c r="K13" s="616">
        <f>+J13</f>
        <v>1271862.7022096056</v>
      </c>
      <c r="L13" s="616">
        <f>+K13</f>
        <v>1271862.7022096056</v>
      </c>
      <c r="M13" s="625">
        <f>+L13*M18</f>
        <v>1392488.188236312</v>
      </c>
      <c r="N13" s="616">
        <f>+M13</f>
        <v>1392488.188236312</v>
      </c>
      <c r="O13" s="616">
        <f>+N13</f>
        <v>1392488.188236312</v>
      </c>
      <c r="P13" s="625">
        <f>+O13*P18</f>
        <v>1500997.5991515871</v>
      </c>
      <c r="Q13" s="616">
        <f>+P13</f>
        <v>1500997.5991515871</v>
      </c>
      <c r="R13" s="616">
        <f>+Q13</f>
        <v>1500997.5991515871</v>
      </c>
      <c r="S13" s="625">
        <f>+R13*S18</f>
        <v>1635408.0150508801</v>
      </c>
      <c r="T13" s="616">
        <f>+S13</f>
        <v>1635408.0150508801</v>
      </c>
      <c r="U13" s="616">
        <f>+T13</f>
        <v>1635408.0150508801</v>
      </c>
      <c r="V13" s="40">
        <f>+U13/J13</f>
        <v>1.2858369163665919</v>
      </c>
      <c r="W13" s="7"/>
      <c r="X13" s="7"/>
      <c r="Y13" s="7"/>
      <c r="Z13" s="7"/>
      <c r="AA13" s="7"/>
      <c r="AB13" s="7"/>
      <c r="AC13" s="7"/>
      <c r="AD13" s="7"/>
      <c r="AE13" s="7"/>
      <c r="AF13" s="7"/>
      <c r="AG13" s="7"/>
      <c r="AH13" s="7"/>
      <c r="AI13" s="7"/>
      <c r="AJ13" s="7"/>
      <c r="AK13" s="7"/>
      <c r="AL13" s="7"/>
      <c r="AM13" s="7"/>
    </row>
    <row r="14" spans="1:39" ht="14.25" customHeight="1" x14ac:dyDescent="0.3">
      <c r="A14" s="53"/>
      <c r="B14" s="613">
        <v>5040</v>
      </c>
      <c r="C14" s="304" t="s">
        <v>1935</v>
      </c>
      <c r="D14" s="626">
        <v>0.13</v>
      </c>
      <c r="E14" s="627">
        <v>2254</v>
      </c>
      <c r="F14" s="624">
        <f>(D14*E14)*$C$17</f>
        <v>414623.3</v>
      </c>
      <c r="G14" s="616">
        <f t="shared" ref="G14:U14" si="8">+$D$14*$E$14*G17</f>
        <v>439530</v>
      </c>
      <c r="H14" s="616">
        <f t="shared" si="8"/>
        <v>447441.54</v>
      </c>
      <c r="I14" s="616">
        <f t="shared" si="8"/>
        <v>455495.48771999998</v>
      </c>
      <c r="J14" s="616">
        <f t="shared" si="8"/>
        <v>414623.3</v>
      </c>
      <c r="K14" s="616">
        <f t="shared" si="8"/>
        <v>416088.39999999997</v>
      </c>
      <c r="L14" s="616">
        <f t="shared" si="8"/>
        <v>411693.1</v>
      </c>
      <c r="M14" s="616">
        <f t="shared" si="8"/>
        <v>414623.3</v>
      </c>
      <c r="N14" s="616">
        <f t="shared" si="8"/>
        <v>404367.6</v>
      </c>
      <c r="O14" s="616">
        <f t="shared" si="8"/>
        <v>410433.11399999994</v>
      </c>
      <c r="P14" s="616">
        <f t="shared" si="8"/>
        <v>416589.61070999986</v>
      </c>
      <c r="Q14" s="616">
        <f t="shared" si="8"/>
        <v>422838.45487064985</v>
      </c>
      <c r="R14" s="616">
        <f t="shared" si="8"/>
        <v>429181.03169370949</v>
      </c>
      <c r="S14" s="616">
        <f t="shared" si="8"/>
        <v>435618.74716911506</v>
      </c>
      <c r="T14" s="616">
        <f t="shared" si="8"/>
        <v>442153.02837665175</v>
      </c>
      <c r="U14" s="616">
        <f t="shared" si="8"/>
        <v>448785.32380230149</v>
      </c>
      <c r="V14" s="40">
        <f>+U14/J14</f>
        <v>1.082392918589721</v>
      </c>
      <c r="W14" s="7"/>
      <c r="X14" s="7"/>
      <c r="Y14" s="7"/>
      <c r="Z14" s="7"/>
      <c r="AA14" s="7"/>
      <c r="AB14" s="7"/>
      <c r="AC14" s="7"/>
      <c r="AD14" s="7"/>
      <c r="AE14" s="7"/>
      <c r="AF14" s="7"/>
      <c r="AG14" s="7"/>
      <c r="AH14" s="7"/>
      <c r="AI14" s="7"/>
      <c r="AJ14" s="7"/>
      <c r="AK14" s="7"/>
      <c r="AL14" s="7"/>
      <c r="AM14" s="7"/>
    </row>
    <row r="15" spans="1:39" ht="14.25" customHeight="1" x14ac:dyDescent="0.3">
      <c r="A15" s="53"/>
      <c r="B15" s="1126" t="s">
        <v>320</v>
      </c>
      <c r="C15" s="1087"/>
      <c r="D15" s="1087"/>
      <c r="E15" s="1088"/>
      <c r="F15" s="620">
        <f t="shared" ref="F15:U15" si="9">F13+F14</f>
        <v>1538486.4527211075</v>
      </c>
      <c r="G15" s="628">
        <f t="shared" si="9"/>
        <v>1634519.954432901</v>
      </c>
      <c r="H15" s="628">
        <f t="shared" si="9"/>
        <v>1642431.494432901</v>
      </c>
      <c r="I15" s="628">
        <f t="shared" si="9"/>
        <v>1650485.4421529011</v>
      </c>
      <c r="J15" s="628">
        <f t="shared" si="9"/>
        <v>1686486.0022096056</v>
      </c>
      <c r="K15" s="628">
        <f t="shared" si="9"/>
        <v>1687951.1022096055</v>
      </c>
      <c r="L15" s="628">
        <f t="shared" si="9"/>
        <v>1683555.8022096055</v>
      </c>
      <c r="M15" s="628">
        <f t="shared" si="9"/>
        <v>1807111.4882363121</v>
      </c>
      <c r="N15" s="628">
        <f t="shared" si="9"/>
        <v>1796855.7882363121</v>
      </c>
      <c r="O15" s="628">
        <f t="shared" si="9"/>
        <v>1802921.3022363121</v>
      </c>
      <c r="P15" s="628">
        <f t="shared" si="9"/>
        <v>1917587.209861587</v>
      </c>
      <c r="Q15" s="628">
        <f t="shared" si="9"/>
        <v>1923836.054022237</v>
      </c>
      <c r="R15" s="628">
        <f t="shared" si="9"/>
        <v>1930178.6308452967</v>
      </c>
      <c r="S15" s="628">
        <f t="shared" si="9"/>
        <v>2071026.7622199953</v>
      </c>
      <c r="T15" s="628">
        <f t="shared" si="9"/>
        <v>2077561.0434275318</v>
      </c>
      <c r="U15" s="628">
        <f t="shared" si="9"/>
        <v>2084193.3388531816</v>
      </c>
      <c r="V15" s="7"/>
      <c r="W15" s="7"/>
      <c r="X15" s="7"/>
      <c r="Y15" s="7"/>
      <c r="Z15" s="7"/>
      <c r="AA15" s="7"/>
      <c r="AB15" s="7"/>
      <c r="AC15" s="7"/>
      <c r="AD15" s="7"/>
      <c r="AE15" s="7"/>
      <c r="AF15" s="7"/>
      <c r="AG15" s="7"/>
      <c r="AH15" s="7"/>
      <c r="AI15" s="7"/>
      <c r="AJ15" s="7"/>
      <c r="AK15" s="7"/>
      <c r="AL15" s="7"/>
      <c r="AM15" s="7"/>
    </row>
    <row r="16" spans="1:39" ht="9.75" customHeight="1" x14ac:dyDescent="0.3">
      <c r="A16" s="53"/>
      <c r="B16" s="7"/>
      <c r="C16" s="7"/>
      <c r="D16" s="7"/>
      <c r="E16" s="7"/>
      <c r="F16" s="7"/>
      <c r="G16" s="616"/>
      <c r="H16" s="616"/>
      <c r="I16" s="616"/>
      <c r="J16" s="616"/>
      <c r="K16" s="616"/>
      <c r="L16" s="616"/>
      <c r="M16" s="616"/>
      <c r="N16" s="616"/>
      <c r="O16" s="616"/>
      <c r="P16" s="616"/>
      <c r="Q16" s="616"/>
      <c r="R16" s="616"/>
      <c r="S16" s="616"/>
      <c r="T16" s="616"/>
      <c r="U16" s="616"/>
      <c r="V16" s="7"/>
      <c r="W16" s="7"/>
      <c r="X16" s="7"/>
      <c r="Y16" s="7"/>
      <c r="Z16" s="7"/>
      <c r="AA16" s="7"/>
      <c r="AB16" s="7"/>
      <c r="AC16" s="7"/>
      <c r="AD16" s="7"/>
      <c r="AE16" s="7"/>
      <c r="AF16" s="7"/>
      <c r="AG16" s="7"/>
      <c r="AH16" s="7"/>
      <c r="AI16" s="7"/>
      <c r="AJ16" s="7"/>
      <c r="AK16" s="7"/>
      <c r="AL16" s="7"/>
      <c r="AM16" s="7"/>
    </row>
    <row r="17" spans="1:39" ht="14.25" customHeight="1" x14ac:dyDescent="0.3">
      <c r="A17" s="53"/>
      <c r="B17" s="629" t="s">
        <v>1936</v>
      </c>
      <c r="C17" s="630">
        <v>1415</v>
      </c>
      <c r="D17" s="7"/>
      <c r="E17" s="631"/>
      <c r="F17" s="632" t="s">
        <v>1937</v>
      </c>
      <c r="G17" s="616">
        <v>1500</v>
      </c>
      <c r="H17" s="616">
        <f>+G17*1.018</f>
        <v>1527</v>
      </c>
      <c r="I17" s="616">
        <f>+H17*1.018</f>
        <v>1554.4860000000001</v>
      </c>
      <c r="J17" s="616">
        <f>+'REAL-BDGT2026'!I203</f>
        <v>1415</v>
      </c>
      <c r="K17" s="616">
        <f>+'REAL-BDGT2026'!J203</f>
        <v>1420</v>
      </c>
      <c r="L17" s="616">
        <f>+'REAL-BDGT2026'!K203</f>
        <v>1405</v>
      </c>
      <c r="M17" s="616">
        <f>+'REAL-BDGT2026'!L203</f>
        <v>1415</v>
      </c>
      <c r="N17" s="616">
        <f>+'REAL-BDGT2026'!M203</f>
        <v>1380</v>
      </c>
      <c r="O17" s="616">
        <f>+'REAL-BDGT2026'!N203</f>
        <v>1400.6999999999998</v>
      </c>
      <c r="P17" s="616">
        <f>+'REAL-BDGT2026'!O203</f>
        <v>1421.7104999999997</v>
      </c>
      <c r="Q17" s="616">
        <f>+'REAL-BDGT2026'!P203</f>
        <v>1443.0361574999995</v>
      </c>
      <c r="R17" s="616">
        <f>+'REAL-BDGT2026'!Q203</f>
        <v>1464.6816998624993</v>
      </c>
      <c r="S17" s="616">
        <f>+'REAL-BDGT2026'!R203</f>
        <v>1486.6519253604365</v>
      </c>
      <c r="T17" s="616">
        <f>+'REAL-BDGT2026'!S203</f>
        <v>1508.9517042408429</v>
      </c>
      <c r="U17" s="616">
        <f>+'REAL-BDGT2026'!T203</f>
        <v>1531.5859798044553</v>
      </c>
      <c r="V17" s="7"/>
      <c r="W17" s="7"/>
      <c r="X17" s="7"/>
      <c r="Y17" s="7"/>
      <c r="Z17" s="7"/>
      <c r="AA17" s="7"/>
      <c r="AB17" s="7"/>
      <c r="AC17" s="7"/>
      <c r="AD17" s="7"/>
      <c r="AE17" s="7"/>
      <c r="AF17" s="7"/>
      <c r="AG17" s="7"/>
      <c r="AH17" s="7"/>
      <c r="AI17" s="7"/>
      <c r="AJ17" s="7"/>
      <c r="AK17" s="7"/>
      <c r="AL17" s="7"/>
      <c r="AM17" s="7"/>
    </row>
    <row r="18" spans="1:39" ht="15" customHeight="1" x14ac:dyDescent="0.3">
      <c r="A18" s="53"/>
      <c r="B18" s="7"/>
      <c r="C18" s="7"/>
      <c r="D18" s="7"/>
      <c r="E18" s="7"/>
      <c r="F18" s="7"/>
      <c r="G18" s="616"/>
      <c r="H18" s="616"/>
      <c r="I18" s="616"/>
      <c r="J18" s="583">
        <f>1*(1+G19)*(1+H19)*(1+I19)</f>
        <v>1.0643291999999998</v>
      </c>
      <c r="K18" s="616"/>
      <c r="L18" s="616"/>
      <c r="M18" s="583">
        <f>1*(1+J19)*(1+K19)*(1+L19)</f>
        <v>1.094841594</v>
      </c>
      <c r="N18" s="616"/>
      <c r="O18" s="616"/>
      <c r="P18" s="583">
        <f>1*(1+M19)*(1+N19)*(1+O19)</f>
        <v>1.0779248339999998</v>
      </c>
      <c r="Q18" s="616"/>
      <c r="R18" s="616"/>
      <c r="S18" s="583">
        <f>1*(1+P19)*(1+Q19)*(1+R19)</f>
        <v>1.0895473889999998</v>
      </c>
      <c r="T18" s="616"/>
      <c r="U18" s="616"/>
      <c r="V18" s="7"/>
      <c r="W18" s="7"/>
      <c r="X18" s="7"/>
      <c r="Y18" s="7"/>
      <c r="Z18" s="7"/>
      <c r="AA18" s="7"/>
      <c r="AB18" s="7"/>
      <c r="AC18" s="7"/>
      <c r="AD18" s="7"/>
      <c r="AE18" s="7"/>
      <c r="AF18" s="7"/>
      <c r="AG18" s="7"/>
      <c r="AH18" s="7"/>
      <c r="AI18" s="7"/>
      <c r="AJ18" s="7"/>
      <c r="AK18" s="7"/>
      <c r="AL18" s="7"/>
      <c r="AM18" s="7"/>
    </row>
    <row r="19" spans="1:39" ht="14.25" customHeight="1" x14ac:dyDescent="0.3">
      <c r="A19" s="53"/>
      <c r="B19" s="7"/>
      <c r="C19" s="7"/>
      <c r="D19" s="412"/>
      <c r="E19" s="412"/>
      <c r="F19" s="412" t="s">
        <v>1894</v>
      </c>
      <c r="G19" s="414">
        <f>+Flk!K34</f>
        <v>2.3E-2</v>
      </c>
      <c r="H19" s="414">
        <f>+Flk!L34</f>
        <v>0.02</v>
      </c>
      <c r="I19" s="414">
        <f>+Flk!M34</f>
        <v>0.02</v>
      </c>
      <c r="J19" s="414">
        <f>+Flk!B71</f>
        <v>2.9000000000000001E-2</v>
      </c>
      <c r="K19" s="414">
        <f>+Flk!C71</f>
        <v>2.9000000000000001E-2</v>
      </c>
      <c r="L19" s="414">
        <f>+Flk!D71</f>
        <v>3.4000000000000002E-2</v>
      </c>
      <c r="M19" s="414">
        <f>+Flk!E71</f>
        <v>2.5999999999999999E-2</v>
      </c>
      <c r="N19" s="414">
        <f>+Flk!F71</f>
        <v>2.1000000000000001E-2</v>
      </c>
      <c r="O19" s="414">
        <f>+Flk!G71</f>
        <v>2.9000000000000001E-2</v>
      </c>
      <c r="P19" s="414">
        <f>+Flk!H71</f>
        <v>2.9000000000000001E-2</v>
      </c>
      <c r="Q19" s="414">
        <f>+Flk!I71</f>
        <v>2.9000000000000001E-2</v>
      </c>
      <c r="R19" s="414">
        <f>+Flk!J71</f>
        <v>2.9000000000000001E-2</v>
      </c>
      <c r="S19" s="414">
        <f>+Flk!K71</f>
        <v>2.9000000000000001E-2</v>
      </c>
      <c r="T19" s="414">
        <f>+Flk!L71</f>
        <v>2.9000000000000001E-2</v>
      </c>
      <c r="U19" s="414">
        <f>+Flk!M71</f>
        <v>2.9000000000000001E-2</v>
      </c>
      <c r="V19" s="7"/>
      <c r="W19" s="7"/>
      <c r="X19" s="7"/>
      <c r="Y19" s="7"/>
      <c r="Z19" s="7"/>
      <c r="AA19" s="7"/>
      <c r="AB19" s="7"/>
      <c r="AC19" s="7"/>
      <c r="AD19" s="7"/>
      <c r="AE19" s="7"/>
      <c r="AF19" s="7"/>
      <c r="AG19" s="7"/>
      <c r="AH19" s="7"/>
      <c r="AI19" s="7"/>
      <c r="AJ19" s="7"/>
      <c r="AK19" s="7"/>
      <c r="AL19" s="7"/>
      <c r="AM19" s="7"/>
    </row>
    <row r="20" spans="1:39" ht="14.25" customHeight="1" x14ac:dyDescent="0.3">
      <c r="A20" s="53"/>
      <c r="B20" s="7"/>
      <c r="C20" s="7"/>
      <c r="D20" s="7"/>
      <c r="E20" s="7"/>
      <c r="F20" s="7"/>
      <c r="G20" s="616"/>
      <c r="H20" s="616"/>
      <c r="I20" s="616"/>
      <c r="J20" s="616"/>
      <c r="K20" s="616"/>
      <c r="L20" s="616"/>
      <c r="M20" s="616"/>
      <c r="N20" s="616"/>
      <c r="O20" s="616"/>
      <c r="P20" s="616"/>
      <c r="Q20" s="616"/>
      <c r="R20" s="616"/>
      <c r="S20" s="616"/>
      <c r="T20" s="616"/>
      <c r="U20" s="616"/>
      <c r="V20" s="7"/>
      <c r="W20" s="7"/>
      <c r="X20" s="7"/>
      <c r="Y20" s="7"/>
      <c r="Z20" s="7"/>
      <c r="AA20" s="7"/>
      <c r="AB20" s="7"/>
      <c r="AC20" s="7"/>
      <c r="AD20" s="7"/>
      <c r="AE20" s="7"/>
      <c r="AF20" s="7"/>
      <c r="AG20" s="7"/>
      <c r="AH20" s="7"/>
      <c r="AI20" s="7"/>
      <c r="AJ20" s="7"/>
      <c r="AK20" s="7"/>
      <c r="AL20" s="7"/>
      <c r="AM20" s="7"/>
    </row>
    <row r="21" spans="1:39" ht="14.25" customHeight="1" x14ac:dyDescent="0.3">
      <c r="A21" s="633"/>
      <c r="B21" s="634" t="s">
        <v>1938</v>
      </c>
      <c r="C21" s="634"/>
      <c r="D21" s="634"/>
      <c r="E21" s="635"/>
      <c r="F21" s="636">
        <v>45925</v>
      </c>
      <c r="G21" s="609">
        <f t="shared" ref="G21:U21" si="10">+G12</f>
        <v>45957</v>
      </c>
      <c r="H21" s="609">
        <f t="shared" si="10"/>
        <v>45987</v>
      </c>
      <c r="I21" s="609">
        <f t="shared" si="10"/>
        <v>46017</v>
      </c>
      <c r="J21" s="609">
        <f t="shared" si="10"/>
        <v>46023</v>
      </c>
      <c r="K21" s="609">
        <f t="shared" si="10"/>
        <v>46054</v>
      </c>
      <c r="L21" s="609">
        <f t="shared" si="10"/>
        <v>46112</v>
      </c>
      <c r="M21" s="609">
        <f t="shared" si="10"/>
        <v>46142</v>
      </c>
      <c r="N21" s="609">
        <f t="shared" si="10"/>
        <v>46172</v>
      </c>
      <c r="O21" s="609">
        <f t="shared" si="10"/>
        <v>46202</v>
      </c>
      <c r="P21" s="609">
        <f t="shared" si="10"/>
        <v>46232</v>
      </c>
      <c r="Q21" s="609">
        <f t="shared" si="10"/>
        <v>46262</v>
      </c>
      <c r="R21" s="609">
        <f t="shared" si="10"/>
        <v>46292</v>
      </c>
      <c r="S21" s="609">
        <f t="shared" si="10"/>
        <v>46322</v>
      </c>
      <c r="T21" s="609">
        <f t="shared" si="10"/>
        <v>46352</v>
      </c>
      <c r="U21" s="609">
        <f t="shared" si="10"/>
        <v>46382</v>
      </c>
      <c r="V21" s="7"/>
      <c r="W21" s="7"/>
      <c r="X21" s="7"/>
      <c r="Y21" s="7"/>
      <c r="Z21" s="7"/>
      <c r="AA21" s="7"/>
      <c r="AB21" s="7"/>
      <c r="AC21" s="7"/>
      <c r="AD21" s="7"/>
      <c r="AE21" s="7"/>
      <c r="AF21" s="7"/>
      <c r="AG21" s="7"/>
      <c r="AH21" s="7"/>
      <c r="AI21" s="7"/>
      <c r="AJ21" s="7"/>
      <c r="AK21" s="7"/>
      <c r="AL21" s="7"/>
      <c r="AM21" s="7"/>
    </row>
    <row r="22" spans="1:39" ht="14.25" customHeight="1" x14ac:dyDescent="0.3">
      <c r="A22" s="633"/>
      <c r="B22" s="634" t="s">
        <v>1939</v>
      </c>
      <c r="C22" s="634"/>
      <c r="D22" s="634"/>
      <c r="E22" s="635"/>
      <c r="F22" s="620">
        <f t="shared" ref="F22:U22" si="11">+F15+F8</f>
        <v>3909271.7799912542</v>
      </c>
      <c r="G22" s="628">
        <f t="shared" si="11"/>
        <v>4059833.3442302602</v>
      </c>
      <c r="H22" s="628">
        <f t="shared" si="11"/>
        <v>4116251.1520262077</v>
      </c>
      <c r="I22" s="628">
        <f t="shared" si="11"/>
        <v>4173781.492898074</v>
      </c>
      <c r="J22" s="628">
        <f t="shared" si="11"/>
        <v>4282957.6384263877</v>
      </c>
      <c r="K22" s="628">
        <f t="shared" si="11"/>
        <v>4359720.4158766745</v>
      </c>
      <c r="L22" s="628">
        <f t="shared" si="11"/>
        <v>4446165.2725413553</v>
      </c>
      <c r="M22" s="628">
        <f t="shared" si="11"/>
        <v>4641548.8047966873</v>
      </c>
      <c r="N22" s="628">
        <f t="shared" si="11"/>
        <v>4690816.2884444548</v>
      </c>
      <c r="O22" s="628">
        <f t="shared" si="11"/>
        <v>4780806.6569504905</v>
      </c>
      <c r="P22" s="628">
        <f t="shared" si="11"/>
        <v>4981831.2398624765</v>
      </c>
      <c r="Q22" s="628">
        <f t="shared" si="11"/>
        <v>5076943.1608931525</v>
      </c>
      <c r="R22" s="628">
        <f t="shared" si="11"/>
        <v>5174725.8438154683</v>
      </c>
      <c r="S22" s="628">
        <f t="shared" si="11"/>
        <v>5409665.8443663018</v>
      </c>
      <c r="T22" s="628">
        <f t="shared" si="11"/>
        <v>5513020.6589560807</v>
      </c>
      <c r="U22" s="628">
        <f t="shared" si="11"/>
        <v>5619281.2832320584</v>
      </c>
      <c r="V22" s="637">
        <f>SUM(J22:U22)</f>
        <v>58977483.108161591</v>
      </c>
      <c r="W22" s="7"/>
      <c r="X22" s="7"/>
      <c r="Y22" s="7"/>
      <c r="Z22" s="7"/>
      <c r="AA22" s="7"/>
      <c r="AB22" s="7"/>
      <c r="AC22" s="7"/>
      <c r="AD22" s="7"/>
      <c r="AE22" s="7"/>
      <c r="AF22" s="7"/>
      <c r="AG22" s="7"/>
      <c r="AH22" s="7"/>
      <c r="AI22" s="7"/>
      <c r="AJ22" s="7"/>
      <c r="AK22" s="7"/>
      <c r="AL22" s="7"/>
      <c r="AM22" s="7"/>
    </row>
    <row r="23" spans="1:39" ht="14.25" hidden="1" customHeight="1" outlineLevel="1" x14ac:dyDescent="0.3">
      <c r="A23" s="53"/>
      <c r="B23" s="638" t="s">
        <v>1940</v>
      </c>
      <c r="C23" s="639" t="s">
        <v>1941</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row>
    <row r="24" spans="1:39" ht="14.25" hidden="1" customHeight="1" outlineLevel="1" x14ac:dyDescent="0.3">
      <c r="A24" s="314" t="s">
        <v>1942</v>
      </c>
      <c r="B24" s="640">
        <v>298674.25</v>
      </c>
      <c r="C24" s="614">
        <v>298674.25</v>
      </c>
      <c r="D24" s="641"/>
      <c r="E24" s="641"/>
      <c r="F24" s="641"/>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row>
    <row r="25" spans="1:39" ht="14.25" hidden="1" customHeight="1" outlineLevel="1" x14ac:dyDescent="0.3">
      <c r="A25" s="642">
        <v>0.11899999999999999</v>
      </c>
      <c r="B25" s="640">
        <f t="shared" ref="B25:B36" si="12">B24*A25+B24</f>
        <v>334216.48574999999</v>
      </c>
      <c r="C25" s="614">
        <v>298674.25</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row>
    <row r="26" spans="1:39" ht="14.25" hidden="1" customHeight="1" outlineLevel="1" x14ac:dyDescent="0.3">
      <c r="A26" s="642">
        <v>0.21099999999999999</v>
      </c>
      <c r="B26" s="640">
        <f t="shared" si="12"/>
        <v>404736.16424324998</v>
      </c>
      <c r="C26" s="614">
        <v>298674.25</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row>
    <row r="27" spans="1:39" ht="14.25" hidden="1" customHeight="1" outlineLevel="1" x14ac:dyDescent="0.3">
      <c r="A27" s="642">
        <v>0.217</v>
      </c>
      <c r="B27" s="640">
        <f t="shared" si="12"/>
        <v>492563.91188403522</v>
      </c>
      <c r="C27" s="614">
        <v>492563.92</v>
      </c>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row>
    <row r="28" spans="1:39" ht="14.25" hidden="1" customHeight="1" outlineLevel="1" x14ac:dyDescent="0.3">
      <c r="A28" s="642">
        <v>0.14099999999999999</v>
      </c>
      <c r="B28" s="640">
        <f t="shared" si="12"/>
        <v>562015.42345968413</v>
      </c>
      <c r="C28" s="614">
        <v>492563.92</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row>
    <row r="29" spans="1:39" ht="14.25" hidden="1" customHeight="1" outlineLevel="1" x14ac:dyDescent="0.3">
      <c r="A29" s="642">
        <v>0.13200000000000001</v>
      </c>
      <c r="B29" s="640">
        <f t="shared" si="12"/>
        <v>636201.45935636247</v>
      </c>
      <c r="C29" s="614">
        <v>492563.92</v>
      </c>
      <c r="D29" s="7"/>
      <c r="E29" s="1123"/>
      <c r="F29" s="1103"/>
      <c r="G29" s="1103"/>
      <c r="H29" s="1103"/>
      <c r="I29" s="644"/>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row>
    <row r="30" spans="1:39" ht="14.25" hidden="1" customHeight="1" outlineLevel="1" x14ac:dyDescent="0.3">
      <c r="A30" s="642">
        <v>9.8000000000000004E-2</v>
      </c>
      <c r="B30" s="640">
        <f t="shared" si="12"/>
        <v>698549.20237328601</v>
      </c>
      <c r="C30" s="614">
        <v>698549.2</v>
      </c>
      <c r="D30" s="7"/>
      <c r="E30" s="643"/>
      <c r="F30" s="643"/>
      <c r="G30" s="643"/>
      <c r="H30" s="643"/>
      <c r="I30" s="644"/>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row>
    <row r="31" spans="1:39" ht="14.25" hidden="1" customHeight="1" outlineLevel="1" x14ac:dyDescent="0.3">
      <c r="A31" s="642">
        <v>4.3999999999999997E-2</v>
      </c>
      <c r="B31" s="640">
        <f t="shared" si="12"/>
        <v>729285.36727771058</v>
      </c>
      <c r="C31" s="614">
        <v>698549.2</v>
      </c>
      <c r="D31" s="7"/>
      <c r="E31" s="643"/>
      <c r="F31" s="643"/>
      <c r="G31" s="643"/>
      <c r="H31" s="643"/>
      <c r="I31" s="644"/>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row>
    <row r="32" spans="1:39" ht="14.25" hidden="1" customHeight="1" outlineLevel="1" x14ac:dyDescent="0.3">
      <c r="A32" s="642">
        <v>4.8000000000000001E-2</v>
      </c>
      <c r="B32" s="640">
        <f t="shared" si="12"/>
        <v>764291.06490704068</v>
      </c>
      <c r="C32" s="614">
        <v>698549.2</v>
      </c>
      <c r="D32" s="7"/>
      <c r="E32" s="643"/>
      <c r="F32" s="643"/>
      <c r="G32" s="643"/>
      <c r="H32" s="643"/>
      <c r="I32" s="644"/>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row>
    <row r="33" spans="1:39" ht="14.25" hidden="1" customHeight="1" outlineLevel="1" x14ac:dyDescent="0.3">
      <c r="A33" s="642">
        <v>5.0999999999999997E-2</v>
      </c>
      <c r="B33" s="640">
        <f t="shared" si="12"/>
        <v>803269.90921729978</v>
      </c>
      <c r="C33" s="614">
        <f>B33</f>
        <v>803269.90921729978</v>
      </c>
      <c r="D33" s="7"/>
      <c r="E33" s="643"/>
      <c r="F33" s="643"/>
      <c r="G33" s="643"/>
      <c r="H33" s="643"/>
      <c r="I33" s="644"/>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row>
    <row r="34" spans="1:39" ht="14.25" hidden="1" customHeight="1" outlineLevel="1" x14ac:dyDescent="0.3">
      <c r="A34" s="642">
        <v>4.2000000000000003E-2</v>
      </c>
      <c r="B34" s="640">
        <f t="shared" si="12"/>
        <v>837007.24540442636</v>
      </c>
      <c r="C34" s="614">
        <v>803269.90921729978</v>
      </c>
      <c r="D34" s="7"/>
      <c r="E34" s="643"/>
      <c r="F34" s="643"/>
      <c r="G34" s="643"/>
      <c r="H34" s="643"/>
      <c r="I34" s="644"/>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row>
    <row r="35" spans="1:39" ht="14.25" hidden="1" customHeight="1" outlineLevel="1" x14ac:dyDescent="0.3">
      <c r="A35" s="642">
        <v>0.04</v>
      </c>
      <c r="B35" s="640">
        <f t="shared" si="12"/>
        <v>870487.53522060346</v>
      </c>
      <c r="C35" s="614">
        <v>803269.90921729978</v>
      </c>
      <c r="D35" s="7"/>
      <c r="E35" s="643"/>
      <c r="F35" s="643"/>
      <c r="G35" s="643"/>
      <c r="H35" s="643"/>
      <c r="I35" s="644"/>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row>
    <row r="36" spans="1:39" ht="14.25" hidden="1" customHeight="1" outlineLevel="1" x14ac:dyDescent="0.3">
      <c r="A36" s="642">
        <v>3.2000000000000001E-2</v>
      </c>
      <c r="B36" s="640">
        <f t="shared" si="12"/>
        <v>898343.13634766277</v>
      </c>
      <c r="C36" s="614">
        <f>B36</f>
        <v>898343.13634766277</v>
      </c>
      <c r="D36" s="7"/>
      <c r="E36" s="643"/>
      <c r="F36" s="643"/>
      <c r="G36" s="643"/>
      <c r="H36" s="643"/>
      <c r="I36" s="644"/>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row>
    <row r="37" spans="1:39" ht="14.25" hidden="1" customHeight="1" outlineLevel="1" x14ac:dyDescent="0.3">
      <c r="A37" s="642">
        <v>3.2000000000000001E-2</v>
      </c>
      <c r="B37" s="640">
        <v>927090.13</v>
      </c>
      <c r="C37" s="614">
        <v>898343.13634766277</v>
      </c>
      <c r="D37" s="7"/>
      <c r="E37" s="643"/>
      <c r="F37" s="643"/>
      <c r="G37" s="643"/>
      <c r="H37" s="643"/>
      <c r="I37" s="644"/>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row>
    <row r="38" spans="1:39" ht="14.25" hidden="1" customHeight="1" outlineLevel="1" x14ac:dyDescent="0.3">
      <c r="A38" s="642">
        <v>3.3000000000000002E-2</v>
      </c>
      <c r="B38" s="640">
        <f t="shared" ref="B38:B48" si="13">B37*A38+B37</f>
        <v>957684.10429000005</v>
      </c>
      <c r="C38" s="614">
        <v>898343.13634766277</v>
      </c>
      <c r="D38" s="7"/>
      <c r="E38" s="643"/>
      <c r="F38" s="643"/>
      <c r="G38" s="643"/>
      <c r="H38" s="643"/>
      <c r="I38" s="644"/>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row>
    <row r="39" spans="1:39" ht="14.25" hidden="1" customHeight="1" outlineLevel="1" x14ac:dyDescent="0.3">
      <c r="A39" s="642">
        <v>3.1E-2</v>
      </c>
      <c r="B39" s="640">
        <f t="shared" si="13"/>
        <v>987372.31152299</v>
      </c>
      <c r="C39" s="614">
        <v>987372.3</v>
      </c>
      <c r="D39" s="7"/>
      <c r="E39" s="643"/>
      <c r="F39" s="643"/>
      <c r="G39" s="643"/>
      <c r="H39" s="643"/>
      <c r="I39" s="644"/>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row>
    <row r="40" spans="1:39" ht="14.25" hidden="1" customHeight="1" outlineLevel="1" x14ac:dyDescent="0.3">
      <c r="A40" s="642">
        <v>2.1000000000000001E-2</v>
      </c>
      <c r="B40" s="640">
        <f t="shared" si="13"/>
        <v>1008107.1300649728</v>
      </c>
      <c r="C40" s="614">
        <v>987372.3</v>
      </c>
      <c r="D40" s="7"/>
      <c r="E40" s="643"/>
      <c r="F40" s="643"/>
      <c r="G40" s="643"/>
      <c r="H40" s="643"/>
      <c r="I40" s="644"/>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row>
    <row r="41" spans="1:39" ht="14.25" hidden="1" customHeight="1" outlineLevel="1" x14ac:dyDescent="0.3">
      <c r="A41" s="642">
        <v>3.2000000000000001E-2</v>
      </c>
      <c r="B41" s="640">
        <f t="shared" si="13"/>
        <v>1040366.558227052</v>
      </c>
      <c r="C41" s="614">
        <v>987372.3</v>
      </c>
      <c r="D41" s="7"/>
      <c r="E41" s="643"/>
      <c r="F41" s="643"/>
      <c r="G41" s="643"/>
      <c r="H41" s="643"/>
      <c r="I41" s="644"/>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row>
    <row r="42" spans="1:39" ht="14.25" hidden="1" customHeight="1" outlineLevel="1" x14ac:dyDescent="0.3">
      <c r="A42" s="642">
        <v>2.8000000000000001E-2</v>
      </c>
      <c r="B42" s="640">
        <f t="shared" si="13"/>
        <v>1069496.8218574096</v>
      </c>
      <c r="C42" s="614">
        <f>B42</f>
        <v>1069496.8218574096</v>
      </c>
      <c r="D42" s="7"/>
      <c r="E42" s="643"/>
      <c r="F42" s="643"/>
      <c r="G42" s="643"/>
      <c r="H42" s="643"/>
      <c r="I42" s="644"/>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row>
    <row r="43" spans="1:39" ht="14.25" hidden="1" customHeight="1" outlineLevel="1" x14ac:dyDescent="0.3">
      <c r="A43" s="642">
        <v>1.4999999999999999E-2</v>
      </c>
      <c r="B43" s="640">
        <f t="shared" si="13"/>
        <v>1085539.2741852708</v>
      </c>
      <c r="C43" s="614">
        <v>1069496.82185741</v>
      </c>
      <c r="D43" s="7"/>
      <c r="E43" s="643"/>
      <c r="F43" s="643"/>
      <c r="G43" s="643"/>
      <c r="H43" s="643"/>
      <c r="I43" s="644"/>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row>
    <row r="44" spans="1:39" ht="14.25" hidden="1" customHeight="1" outlineLevel="1" x14ac:dyDescent="0.3">
      <c r="A44" s="642">
        <v>1.6E-2</v>
      </c>
      <c r="B44" s="640">
        <f t="shared" si="13"/>
        <v>1102907.9025722351</v>
      </c>
      <c r="C44" s="614">
        <v>1069496.82185741</v>
      </c>
      <c r="D44" s="7"/>
      <c r="E44" s="643"/>
      <c r="F44" s="643"/>
      <c r="G44" s="643"/>
      <c r="H44" s="643"/>
      <c r="I44" s="644"/>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row>
    <row r="45" spans="1:39" ht="14.25" hidden="1" customHeight="1" outlineLevel="1" x14ac:dyDescent="0.3">
      <c r="A45" s="642">
        <v>1.9E-2</v>
      </c>
      <c r="B45" s="645">
        <f t="shared" si="13"/>
        <v>1123863.1527211075</v>
      </c>
      <c r="C45" s="646">
        <f>B45</f>
        <v>1123863.1527211075</v>
      </c>
      <c r="D45" s="7"/>
      <c r="E45" s="643"/>
      <c r="F45" s="643"/>
      <c r="G45" s="643"/>
      <c r="H45" s="643"/>
      <c r="I45" s="644"/>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row>
    <row r="46" spans="1:39" ht="14.25" hidden="1" customHeight="1" outlineLevel="1" x14ac:dyDescent="0.3">
      <c r="A46" s="642">
        <v>1.9E-2</v>
      </c>
      <c r="B46" s="645">
        <f t="shared" si="13"/>
        <v>1145216.5526228086</v>
      </c>
      <c r="C46" s="646">
        <v>1123863.152721107</v>
      </c>
      <c r="D46" s="7"/>
      <c r="E46" s="643"/>
      <c r="F46" s="643"/>
      <c r="G46" s="643"/>
      <c r="H46" s="643"/>
      <c r="I46" s="644"/>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row>
    <row r="47" spans="1:39" ht="14.25" hidden="1" customHeight="1" outlineLevel="1" x14ac:dyDescent="0.3">
      <c r="A47" s="642">
        <v>2.1000000000000001E-2</v>
      </c>
      <c r="B47" s="645">
        <f t="shared" si="13"/>
        <v>1169266.1002278875</v>
      </c>
      <c r="C47" s="646">
        <v>1123863.152721107</v>
      </c>
      <c r="D47" s="7"/>
      <c r="E47" s="643"/>
      <c r="F47" s="643"/>
      <c r="G47" s="643"/>
      <c r="H47" s="643"/>
      <c r="I47" s="644"/>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row>
    <row r="48" spans="1:39" ht="14.25" hidden="1" customHeight="1" outlineLevel="1" x14ac:dyDescent="0.3">
      <c r="A48" s="642">
        <v>2.1999999999999999E-2</v>
      </c>
      <c r="B48" s="647">
        <f t="shared" si="13"/>
        <v>1194989.954432901</v>
      </c>
      <c r="C48" s="648">
        <f>+B48</f>
        <v>1194989.954432901</v>
      </c>
      <c r="D48" s="7" t="s">
        <v>1943</v>
      </c>
      <c r="E48" s="643"/>
      <c r="F48" s="643"/>
      <c r="G48" s="643"/>
      <c r="H48" s="643"/>
      <c r="I48" s="644"/>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row>
    <row r="49" spans="1:39" ht="14.25" hidden="1" customHeight="1" outlineLevel="1" x14ac:dyDescent="0.3">
      <c r="A49" s="53"/>
      <c r="B49" s="7"/>
      <c r="C49" s="7"/>
      <c r="D49" s="7"/>
      <c r="E49" s="643"/>
      <c r="F49" s="643"/>
      <c r="G49" s="649"/>
      <c r="H49" s="650"/>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row>
    <row r="50" spans="1:39" ht="14.25" hidden="1" customHeight="1" outlineLevel="1" x14ac:dyDescent="0.3">
      <c r="A50" s="1116"/>
      <c r="B50" s="1088"/>
      <c r="C50" s="651"/>
      <c r="D50" s="651"/>
      <c r="E50" s="643"/>
      <c r="F50" s="643"/>
      <c r="G50" s="652"/>
      <c r="H50" s="652"/>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row>
    <row r="51" spans="1:39" ht="14.25" hidden="1" customHeight="1" outlineLevel="1" x14ac:dyDescent="0.3">
      <c r="A51" s="1117" t="s">
        <v>1903</v>
      </c>
      <c r="B51" s="653" t="s">
        <v>1944</v>
      </c>
      <c r="C51" s="651"/>
      <c r="D51" s="651"/>
      <c r="E51" s="654"/>
      <c r="F51" s="654"/>
      <c r="G51" s="654"/>
      <c r="H51" s="654"/>
      <c r="I51" s="643"/>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row>
    <row r="52" spans="1:39" ht="14.25" hidden="1" customHeight="1" outlineLevel="1" x14ac:dyDescent="0.3">
      <c r="A52" s="1103"/>
      <c r="B52" s="655">
        <v>45901</v>
      </c>
      <c r="C52" s="656"/>
      <c r="D52" s="656"/>
      <c r="E52" s="198"/>
      <c r="F52" s="198"/>
      <c r="G52" s="657"/>
      <c r="H52" s="658"/>
      <c r="I52" s="659"/>
      <c r="J52" s="641"/>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row>
    <row r="53" spans="1:39" ht="14.25" hidden="1" customHeight="1" outlineLevel="1" x14ac:dyDescent="0.3">
      <c r="A53" s="1103"/>
      <c r="B53" s="660" t="s">
        <v>1777</v>
      </c>
      <c r="C53" s="661"/>
      <c r="D53" s="661"/>
      <c r="E53" s="198"/>
      <c r="F53" s="198"/>
      <c r="G53" s="657"/>
      <c r="H53" s="658"/>
      <c r="I53" s="662"/>
      <c r="J53" s="641"/>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row>
    <row r="54" spans="1:39" ht="14.25" hidden="1" customHeight="1" outlineLevel="1" x14ac:dyDescent="0.3">
      <c r="A54" s="53" t="s">
        <v>1945</v>
      </c>
      <c r="B54" s="640">
        <f>H8</f>
        <v>2473819.6575933066</v>
      </c>
      <c r="C54" s="198"/>
      <c r="D54" s="198"/>
      <c r="E54" s="198"/>
      <c r="F54" s="198"/>
      <c r="G54" s="657"/>
      <c r="H54" s="658"/>
      <c r="I54" s="662"/>
      <c r="J54" s="641"/>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row>
    <row r="55" spans="1:39" ht="14.25" hidden="1" customHeight="1" outlineLevel="1" x14ac:dyDescent="0.3">
      <c r="A55" s="53" t="s">
        <v>1946</v>
      </c>
      <c r="B55" s="640">
        <f>F15</f>
        <v>1538486.4527211075</v>
      </c>
      <c r="C55" s="198"/>
      <c r="D55" s="198"/>
      <c r="E55" s="198"/>
      <c r="F55" s="198"/>
      <c r="G55" s="658"/>
      <c r="H55" s="643"/>
      <c r="I55" s="663"/>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row>
    <row r="56" spans="1:39" ht="14.25" hidden="1" customHeight="1" outlineLevel="1" x14ac:dyDescent="0.3">
      <c r="A56" s="218"/>
      <c r="B56" s="664">
        <f>B54+B55</f>
        <v>4012306.1103144139</v>
      </c>
      <c r="C56" s="198"/>
      <c r="D56" s="198"/>
      <c r="E56" s="198"/>
      <c r="F56" s="198"/>
      <c r="G56" s="198"/>
      <c r="H56" s="7"/>
      <c r="I56" s="662"/>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row>
    <row r="57" spans="1:39" ht="14.25" hidden="1" customHeight="1" outlineLevel="1" x14ac:dyDescent="0.3">
      <c r="A57" s="53"/>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row>
    <row r="58" spans="1:39" ht="14.25" customHeight="1" collapsed="1" x14ac:dyDescent="0.3">
      <c r="A58" s="53"/>
      <c r="B58" s="7"/>
      <c r="C58" s="7"/>
      <c r="D58" s="7"/>
      <c r="E58" s="1123"/>
      <c r="F58" s="1103"/>
      <c r="G58" s="1103"/>
      <c r="H58" s="1103"/>
      <c r="I58" s="1103"/>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row>
    <row r="59" spans="1:39" ht="20.25" customHeight="1" x14ac:dyDescent="0.3">
      <c r="A59" s="665"/>
      <c r="B59" s="1119" t="s">
        <v>1947</v>
      </c>
      <c r="C59" s="1120"/>
      <c r="D59" s="1124" t="s">
        <v>1792</v>
      </c>
      <c r="E59" s="1087"/>
      <c r="F59" s="1088"/>
      <c r="G59" s="609">
        <f t="shared" ref="G59:U59" si="14">+G21</f>
        <v>45957</v>
      </c>
      <c r="H59" s="609">
        <f t="shared" si="14"/>
        <v>45987</v>
      </c>
      <c r="I59" s="609">
        <f t="shared" si="14"/>
        <v>46017</v>
      </c>
      <c r="J59" s="609">
        <f t="shared" si="14"/>
        <v>46023</v>
      </c>
      <c r="K59" s="609">
        <f t="shared" si="14"/>
        <v>46054</v>
      </c>
      <c r="L59" s="609">
        <f t="shared" si="14"/>
        <v>46112</v>
      </c>
      <c r="M59" s="609">
        <f t="shared" si="14"/>
        <v>46142</v>
      </c>
      <c r="N59" s="609">
        <f t="shared" si="14"/>
        <v>46172</v>
      </c>
      <c r="O59" s="609">
        <f t="shared" si="14"/>
        <v>46202</v>
      </c>
      <c r="P59" s="609">
        <f t="shared" si="14"/>
        <v>46232</v>
      </c>
      <c r="Q59" s="609">
        <f t="shared" si="14"/>
        <v>46262</v>
      </c>
      <c r="R59" s="609">
        <f t="shared" si="14"/>
        <v>46292</v>
      </c>
      <c r="S59" s="609">
        <f t="shared" si="14"/>
        <v>46322</v>
      </c>
      <c r="T59" s="609">
        <f t="shared" si="14"/>
        <v>46352</v>
      </c>
      <c r="U59" s="609">
        <f t="shared" si="14"/>
        <v>46382</v>
      </c>
      <c r="V59" s="7"/>
      <c r="W59" s="7"/>
      <c r="X59" s="7"/>
      <c r="Y59" s="7"/>
      <c r="Z59" s="7"/>
      <c r="AA59" s="7"/>
      <c r="AB59" s="7"/>
      <c r="AC59" s="7"/>
      <c r="AD59" s="7"/>
      <c r="AE59" s="7"/>
      <c r="AF59" s="7"/>
      <c r="AG59" s="7"/>
      <c r="AH59" s="7"/>
      <c r="AI59" s="7"/>
      <c r="AJ59" s="7"/>
      <c r="AK59" s="7"/>
      <c r="AL59" s="7"/>
      <c r="AM59" s="7"/>
    </row>
    <row r="60" spans="1:39" ht="27.75" customHeight="1" x14ac:dyDescent="0.3">
      <c r="A60" s="53"/>
      <c r="B60" s="1121"/>
      <c r="C60" s="1122"/>
      <c r="D60" s="666" t="s">
        <v>1773</v>
      </c>
      <c r="E60" s="667" t="s">
        <v>1775</v>
      </c>
      <c r="F60" s="668" t="s">
        <v>1776</v>
      </c>
      <c r="G60" s="652"/>
      <c r="H60" s="652"/>
      <c r="I60" s="662"/>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row>
    <row r="61" spans="1:39" ht="14.25" customHeight="1" x14ac:dyDescent="0.3">
      <c r="A61" s="53"/>
      <c r="B61" s="1112" t="s">
        <v>1934</v>
      </c>
      <c r="C61" s="1088"/>
      <c r="D61" s="618">
        <v>1</v>
      </c>
      <c r="E61" s="624">
        <v>732919.71</v>
      </c>
      <c r="F61" s="669">
        <f>+E61*D61</f>
        <v>732919.71</v>
      </c>
      <c r="G61" s="670">
        <v>777016.97995071905</v>
      </c>
      <c r="H61" s="671">
        <f>+G61</f>
        <v>777016.97995071905</v>
      </c>
      <c r="I61" s="671">
        <f>+H61</f>
        <v>777016.97995071905</v>
      </c>
      <c r="J61" s="670">
        <f>+I61*J18</f>
        <v>827001.8606573646</v>
      </c>
      <c r="K61" s="671">
        <f>+J61</f>
        <v>827001.8606573646</v>
      </c>
      <c r="L61" s="671">
        <f>+K61</f>
        <v>827001.8606573646</v>
      </c>
      <c r="M61" s="670">
        <f>+L61*M18</f>
        <v>905436.03536307497</v>
      </c>
      <c r="N61" s="671">
        <f>+M61</f>
        <v>905436.03536307497</v>
      </c>
      <c r="O61" s="671">
        <f>+N61</f>
        <v>905436.03536307497</v>
      </c>
      <c r="P61" s="670">
        <f>+O61*P18</f>
        <v>975991.98811636062</v>
      </c>
      <c r="Q61" s="671">
        <f>+P61</f>
        <v>975991.98811636062</v>
      </c>
      <c r="R61" s="671">
        <f>+Q61</f>
        <v>975991.98811636062</v>
      </c>
      <c r="S61" s="670">
        <f>+R61*S18</f>
        <v>1063389.5223370995</v>
      </c>
      <c r="T61" s="671">
        <f>+S61</f>
        <v>1063389.5223370995</v>
      </c>
      <c r="U61" s="671">
        <f>+T61</f>
        <v>1063389.5223370995</v>
      </c>
      <c r="V61" s="40">
        <f>+U61/J61</f>
        <v>1.2858369163665919</v>
      </c>
      <c r="W61" s="261" t="s">
        <v>1948</v>
      </c>
      <c r="X61" s="7"/>
      <c r="Y61" s="7"/>
      <c r="Z61" s="7"/>
      <c r="AA61" s="7"/>
      <c r="AB61" s="7"/>
      <c r="AC61" s="7"/>
      <c r="AD61" s="7"/>
      <c r="AE61" s="7"/>
      <c r="AF61" s="7"/>
      <c r="AG61" s="7"/>
      <c r="AH61" s="7"/>
      <c r="AI61" s="7"/>
      <c r="AJ61" s="7"/>
      <c r="AK61" s="7"/>
      <c r="AL61" s="7"/>
      <c r="AM61" s="7"/>
    </row>
    <row r="62" spans="1:39" ht="14.25" customHeight="1" x14ac:dyDescent="0.3">
      <c r="A62" s="53"/>
      <c r="B62" s="1112" t="s">
        <v>1935</v>
      </c>
      <c r="C62" s="1088"/>
      <c r="D62" s="613">
        <v>2255</v>
      </c>
      <c r="E62" s="672">
        <v>0.1</v>
      </c>
      <c r="F62" s="669">
        <f>(D62*E62)*$C$17</f>
        <v>319082.5</v>
      </c>
      <c r="G62" s="671">
        <f t="shared" ref="G62:U62" si="15">+$E$62*$D$62*G17</f>
        <v>338250</v>
      </c>
      <c r="H62" s="671">
        <f t="shared" si="15"/>
        <v>344338.5</v>
      </c>
      <c r="I62" s="671">
        <f t="shared" si="15"/>
        <v>350536.59300000005</v>
      </c>
      <c r="J62" s="671">
        <f t="shared" si="15"/>
        <v>319082.5</v>
      </c>
      <c r="K62" s="671">
        <f t="shared" si="15"/>
        <v>320210</v>
      </c>
      <c r="L62" s="671">
        <f t="shared" si="15"/>
        <v>316827.5</v>
      </c>
      <c r="M62" s="671">
        <f t="shared" si="15"/>
        <v>319082.5</v>
      </c>
      <c r="N62" s="671">
        <f t="shared" si="15"/>
        <v>311190</v>
      </c>
      <c r="O62" s="671">
        <f t="shared" si="15"/>
        <v>315857.84999999998</v>
      </c>
      <c r="P62" s="671">
        <f t="shared" si="15"/>
        <v>320595.71774999995</v>
      </c>
      <c r="Q62" s="671">
        <f t="shared" si="15"/>
        <v>325404.65351624991</v>
      </c>
      <c r="R62" s="671">
        <f t="shared" si="15"/>
        <v>330285.72331899358</v>
      </c>
      <c r="S62" s="671">
        <f t="shared" si="15"/>
        <v>335240.00916877843</v>
      </c>
      <c r="T62" s="671">
        <f t="shared" si="15"/>
        <v>340268.60930631007</v>
      </c>
      <c r="U62" s="671">
        <f t="shared" si="15"/>
        <v>345372.63844590465</v>
      </c>
      <c r="V62" s="40">
        <f>+U62/J62</f>
        <v>1.082392918589721</v>
      </c>
      <c r="W62" s="611">
        <v>45925</v>
      </c>
      <c r="X62" s="611">
        <v>45957</v>
      </c>
      <c r="Y62" s="611">
        <v>45987</v>
      </c>
      <c r="Z62" s="611">
        <v>46017</v>
      </c>
      <c r="AA62" s="611">
        <v>46023</v>
      </c>
      <c r="AB62" s="611">
        <v>46054</v>
      </c>
      <c r="AC62" s="611">
        <v>46112</v>
      </c>
      <c r="AD62" s="611">
        <v>46142</v>
      </c>
      <c r="AE62" s="611">
        <v>46172</v>
      </c>
      <c r="AF62" s="611">
        <v>46202</v>
      </c>
      <c r="AG62" s="611">
        <v>46232</v>
      </c>
      <c r="AH62" s="611">
        <v>46262</v>
      </c>
      <c r="AI62" s="611">
        <v>46292</v>
      </c>
      <c r="AJ62" s="611">
        <v>46322</v>
      </c>
      <c r="AK62" s="612">
        <v>46352</v>
      </c>
      <c r="AL62" s="611">
        <v>46382</v>
      </c>
      <c r="AM62" s="7"/>
    </row>
    <row r="63" spans="1:39" ht="14.25" customHeight="1" x14ac:dyDescent="0.3">
      <c r="A63" s="53"/>
      <c r="B63" s="1112" t="s">
        <v>1949</v>
      </c>
      <c r="C63" s="1088"/>
      <c r="D63" s="618">
        <v>4386</v>
      </c>
      <c r="E63" s="624">
        <v>74.81</v>
      </c>
      <c r="F63" s="669">
        <f>+E63*D63</f>
        <v>328116.66000000003</v>
      </c>
      <c r="G63" s="671">
        <f t="shared" ref="G63:U63" si="16">+$D$63*X63</f>
        <v>335663.34318000003</v>
      </c>
      <c r="H63" s="671">
        <f t="shared" si="16"/>
        <v>342376.61004360003</v>
      </c>
      <c r="I63" s="671">
        <f t="shared" si="16"/>
        <v>349224.14224447199</v>
      </c>
      <c r="J63" s="671">
        <f t="shared" si="16"/>
        <v>359351.6423695616</v>
      </c>
      <c r="K63" s="671">
        <f t="shared" si="16"/>
        <v>369772.83999827888</v>
      </c>
      <c r="L63" s="671">
        <f t="shared" si="16"/>
        <v>382345.11655822041</v>
      </c>
      <c r="M63" s="671">
        <f t="shared" si="16"/>
        <v>392286.0895887342</v>
      </c>
      <c r="N63" s="671">
        <f t="shared" si="16"/>
        <v>400524.09747009759</v>
      </c>
      <c r="O63" s="671">
        <f t="shared" si="16"/>
        <v>412139.2962967304</v>
      </c>
      <c r="P63" s="671">
        <f t="shared" si="16"/>
        <v>424091.33588933555</v>
      </c>
      <c r="Q63" s="671">
        <f t="shared" si="16"/>
        <v>436389.98463012627</v>
      </c>
      <c r="R63" s="671">
        <f t="shared" si="16"/>
        <v>449045.29418439989</v>
      </c>
      <c r="S63" s="671">
        <f t="shared" si="16"/>
        <v>462067.60771574744</v>
      </c>
      <c r="T63" s="671">
        <f t="shared" si="16"/>
        <v>475467.56833950407</v>
      </c>
      <c r="U63" s="671">
        <f t="shared" si="16"/>
        <v>489256.12782134966</v>
      </c>
      <c r="V63" s="40">
        <f>+U63/J63</f>
        <v>1.3614968463625183</v>
      </c>
      <c r="W63" s="673">
        <f>+E63</f>
        <v>74.81</v>
      </c>
      <c r="X63" s="673">
        <f>+W63*(1+$G$19)</f>
        <v>76.530630000000002</v>
      </c>
      <c r="Y63" s="673">
        <f t="shared" ref="Y63:AL63" si="17">+X63*(1+H19)</f>
        <v>78.0612426</v>
      </c>
      <c r="Z63" s="673">
        <f t="shared" si="17"/>
        <v>79.622467451999995</v>
      </c>
      <c r="AA63" s="673">
        <f t="shared" si="17"/>
        <v>81.931519008107983</v>
      </c>
      <c r="AB63" s="673">
        <f t="shared" si="17"/>
        <v>84.307533059343115</v>
      </c>
      <c r="AC63" s="673">
        <f t="shared" si="17"/>
        <v>87.173989183360789</v>
      </c>
      <c r="AD63" s="673">
        <f t="shared" si="17"/>
        <v>89.440512902128177</v>
      </c>
      <c r="AE63" s="673">
        <f t="shared" si="17"/>
        <v>91.318763673072866</v>
      </c>
      <c r="AF63" s="673">
        <f t="shared" si="17"/>
        <v>93.96700781959197</v>
      </c>
      <c r="AG63" s="673">
        <f t="shared" si="17"/>
        <v>96.692051046360135</v>
      </c>
      <c r="AH63" s="673">
        <f t="shared" si="17"/>
        <v>99.496120526704573</v>
      </c>
      <c r="AI63" s="673">
        <f t="shared" si="17"/>
        <v>102.381508021979</v>
      </c>
      <c r="AJ63" s="673">
        <f t="shared" si="17"/>
        <v>105.35057175461638</v>
      </c>
      <c r="AK63" s="673">
        <f t="shared" si="17"/>
        <v>108.40573833550025</v>
      </c>
      <c r="AL63" s="673">
        <f t="shared" si="17"/>
        <v>111.54950474722975</v>
      </c>
      <c r="AM63" s="7"/>
    </row>
    <row r="64" spans="1:39" ht="14.25" customHeight="1" x14ac:dyDescent="0.3">
      <c r="A64" s="53"/>
      <c r="B64" s="1112" t="s">
        <v>1950</v>
      </c>
      <c r="C64" s="1088"/>
      <c r="D64" s="618">
        <v>3895</v>
      </c>
      <c r="E64" s="624">
        <v>47.09</v>
      </c>
      <c r="F64" s="669">
        <f>+E64*D64</f>
        <v>183415.55000000002</v>
      </c>
      <c r="G64" s="671">
        <f t="shared" ref="G64:U64" si="18">+$D$64*X64</f>
        <v>187634.10765000002</v>
      </c>
      <c r="H64" s="671">
        <f t="shared" si="18"/>
        <v>191386.78980300002</v>
      </c>
      <c r="I64" s="671">
        <f t="shared" si="18"/>
        <v>195214.52559906</v>
      </c>
      <c r="J64" s="671">
        <f t="shared" si="18"/>
        <v>200875.74684143273</v>
      </c>
      <c r="K64" s="671">
        <f t="shared" si="18"/>
        <v>206701.14349983426</v>
      </c>
      <c r="L64" s="671">
        <f t="shared" si="18"/>
        <v>213728.98237882866</v>
      </c>
      <c r="M64" s="671">
        <f t="shared" si="18"/>
        <v>219285.9359206782</v>
      </c>
      <c r="N64" s="671">
        <f t="shared" si="18"/>
        <v>223890.94057501241</v>
      </c>
      <c r="O64" s="671">
        <f t="shared" si="18"/>
        <v>230383.77785168777</v>
      </c>
      <c r="P64" s="671">
        <f t="shared" si="18"/>
        <v>237064.90740938668</v>
      </c>
      <c r="Q64" s="671">
        <f t="shared" si="18"/>
        <v>243939.78972425888</v>
      </c>
      <c r="R64" s="671">
        <f t="shared" si="18"/>
        <v>251014.04362626237</v>
      </c>
      <c r="S64" s="671">
        <f t="shared" si="18"/>
        <v>258293.45089142394</v>
      </c>
      <c r="T64" s="671">
        <f t="shared" si="18"/>
        <v>265783.9609672752</v>
      </c>
      <c r="U64" s="671">
        <f t="shared" si="18"/>
        <v>273491.69583532616</v>
      </c>
      <c r="V64" s="40">
        <f>+U64/J64</f>
        <v>1.3614968463625179</v>
      </c>
      <c r="W64" s="673">
        <f>+E64</f>
        <v>47.09</v>
      </c>
      <c r="X64" s="673">
        <f t="shared" ref="X64:AL64" si="19">+W64*(1+G19)</f>
        <v>48.173070000000003</v>
      </c>
      <c r="Y64" s="673">
        <f t="shared" si="19"/>
        <v>49.136531400000003</v>
      </c>
      <c r="Z64" s="673">
        <f t="shared" si="19"/>
        <v>50.119262028000001</v>
      </c>
      <c r="AA64" s="673">
        <f t="shared" si="19"/>
        <v>51.572720626812</v>
      </c>
      <c r="AB64" s="673">
        <f t="shared" si="19"/>
        <v>53.068329524989544</v>
      </c>
      <c r="AC64" s="673">
        <f t="shared" si="19"/>
        <v>54.872652728839192</v>
      </c>
      <c r="AD64" s="673">
        <f t="shared" si="19"/>
        <v>56.299341699789011</v>
      </c>
      <c r="AE64" s="673">
        <f t="shared" si="19"/>
        <v>57.481627875484577</v>
      </c>
      <c r="AF64" s="673">
        <f t="shared" si="19"/>
        <v>59.148595083873623</v>
      </c>
      <c r="AG64" s="673">
        <f t="shared" si="19"/>
        <v>60.863904341305954</v>
      </c>
      <c r="AH64" s="673">
        <f t="shared" si="19"/>
        <v>62.62895756720382</v>
      </c>
      <c r="AI64" s="673">
        <f t="shared" si="19"/>
        <v>64.445197336652726</v>
      </c>
      <c r="AJ64" s="673">
        <f t="shared" si="19"/>
        <v>66.314108059415645</v>
      </c>
      <c r="AK64" s="673">
        <f t="shared" si="19"/>
        <v>68.23721719313869</v>
      </c>
      <c r="AL64" s="673">
        <f t="shared" si="19"/>
        <v>70.216096491739705</v>
      </c>
      <c r="AM64" s="7"/>
    </row>
    <row r="65" spans="1:39" ht="14.25" customHeight="1" x14ac:dyDescent="0.3">
      <c r="A65" s="53"/>
      <c r="B65" s="1112" t="s">
        <v>1951</v>
      </c>
      <c r="C65" s="1088"/>
      <c r="D65" s="618">
        <v>394</v>
      </c>
      <c r="E65" s="674">
        <v>994.37</v>
      </c>
      <c r="F65" s="669">
        <f>+E65*D65</f>
        <v>391781.78</v>
      </c>
      <c r="G65" s="671">
        <f t="shared" ref="G65:U65" si="20">+$D$65*X65</f>
        <v>400792.76093999995</v>
      </c>
      <c r="H65" s="671">
        <f t="shared" si="20"/>
        <v>408808.61615879997</v>
      </c>
      <c r="I65" s="671">
        <f t="shared" si="20"/>
        <v>416984.78848197596</v>
      </c>
      <c r="J65" s="671">
        <f t="shared" si="20"/>
        <v>429077.34734795324</v>
      </c>
      <c r="K65" s="671">
        <f t="shared" si="20"/>
        <v>441520.59042104386</v>
      </c>
      <c r="L65" s="671">
        <f t="shared" si="20"/>
        <v>456532.29049535934</v>
      </c>
      <c r="M65" s="671">
        <f t="shared" si="20"/>
        <v>468402.13004823867</v>
      </c>
      <c r="N65" s="671">
        <f t="shared" si="20"/>
        <v>478238.57477925165</v>
      </c>
      <c r="O65" s="671">
        <f t="shared" si="20"/>
        <v>492107.49344784993</v>
      </c>
      <c r="P65" s="671">
        <f t="shared" si="20"/>
        <v>506378.61075783748</v>
      </c>
      <c r="Q65" s="671">
        <f t="shared" si="20"/>
        <v>521063.59046981472</v>
      </c>
      <c r="R65" s="671">
        <f t="shared" si="20"/>
        <v>536174.43459343934</v>
      </c>
      <c r="S65" s="671">
        <f t="shared" si="20"/>
        <v>551723.49319664901</v>
      </c>
      <c r="T65" s="671">
        <f t="shared" si="20"/>
        <v>567723.47449935169</v>
      </c>
      <c r="U65" s="671">
        <f t="shared" si="20"/>
        <v>584187.4552598329</v>
      </c>
      <c r="V65" s="40">
        <f>+U65/J65</f>
        <v>1.3614968463625177</v>
      </c>
      <c r="W65" s="673">
        <f>+E65</f>
        <v>994.37</v>
      </c>
      <c r="X65" s="673">
        <f t="shared" ref="X65:AL65" si="21">+W65*(1+G19)</f>
        <v>1017.2405099999999</v>
      </c>
      <c r="Y65" s="673">
        <f t="shared" si="21"/>
        <v>1037.5853201999998</v>
      </c>
      <c r="Z65" s="673">
        <f t="shared" si="21"/>
        <v>1058.3370266039999</v>
      </c>
      <c r="AA65" s="673">
        <f t="shared" si="21"/>
        <v>1089.0288003755159</v>
      </c>
      <c r="AB65" s="673">
        <f t="shared" si="21"/>
        <v>1120.6106355864058</v>
      </c>
      <c r="AC65" s="673">
        <f t="shared" si="21"/>
        <v>1158.7113971963436</v>
      </c>
      <c r="AD65" s="673">
        <f t="shared" si="21"/>
        <v>1188.8378935234484</v>
      </c>
      <c r="AE65" s="673">
        <f t="shared" si="21"/>
        <v>1213.8034892874407</v>
      </c>
      <c r="AF65" s="673">
        <f t="shared" si="21"/>
        <v>1249.0037904767764</v>
      </c>
      <c r="AG65" s="673">
        <f t="shared" si="21"/>
        <v>1285.2249004006028</v>
      </c>
      <c r="AH65" s="673">
        <f t="shared" si="21"/>
        <v>1322.4964225122201</v>
      </c>
      <c r="AI65" s="673">
        <f t="shared" si="21"/>
        <v>1360.8488187650744</v>
      </c>
      <c r="AJ65" s="673">
        <f t="shared" si="21"/>
        <v>1400.3134345092615</v>
      </c>
      <c r="AK65" s="673">
        <f t="shared" si="21"/>
        <v>1440.9225241100298</v>
      </c>
      <c r="AL65" s="673">
        <f t="shared" si="21"/>
        <v>1482.7092773092206</v>
      </c>
      <c r="AM65" s="7"/>
    </row>
    <row r="66" spans="1:39" ht="14.25" customHeight="1" x14ac:dyDescent="0.3">
      <c r="A66" s="53"/>
      <c r="B66" s="1115" t="s">
        <v>1952</v>
      </c>
      <c r="C66" s="1087"/>
      <c r="D66" s="1087"/>
      <c r="E66" s="1088"/>
      <c r="F66" s="620">
        <f t="shared" ref="F66:U66" si="22">SUM(F61:F65)</f>
        <v>1955316.2000000002</v>
      </c>
      <c r="G66" s="675">
        <f t="shared" si="22"/>
        <v>2039357.191720719</v>
      </c>
      <c r="H66" s="675">
        <f t="shared" si="22"/>
        <v>2063927.4959561189</v>
      </c>
      <c r="I66" s="675">
        <f t="shared" si="22"/>
        <v>2088977.0292762271</v>
      </c>
      <c r="J66" s="675">
        <f t="shared" si="22"/>
        <v>2135389.0972163123</v>
      </c>
      <c r="K66" s="675">
        <f t="shared" si="22"/>
        <v>2165206.4345765216</v>
      </c>
      <c r="L66" s="675">
        <f t="shared" si="22"/>
        <v>2196435.750089773</v>
      </c>
      <c r="M66" s="675">
        <f t="shared" si="22"/>
        <v>2304492.6909207259</v>
      </c>
      <c r="N66" s="675">
        <f t="shared" si="22"/>
        <v>2319279.6481874366</v>
      </c>
      <c r="O66" s="675">
        <f t="shared" si="22"/>
        <v>2355924.4529593429</v>
      </c>
      <c r="P66" s="675">
        <f t="shared" si="22"/>
        <v>2464122.5599229201</v>
      </c>
      <c r="Q66" s="675">
        <f t="shared" si="22"/>
        <v>2502790.0064568105</v>
      </c>
      <c r="R66" s="675">
        <f t="shared" si="22"/>
        <v>2542511.483839456</v>
      </c>
      <c r="S66" s="675">
        <f t="shared" si="22"/>
        <v>2670714.0833096984</v>
      </c>
      <c r="T66" s="675">
        <f t="shared" si="22"/>
        <v>2712633.1354495408</v>
      </c>
      <c r="U66" s="675">
        <f t="shared" si="22"/>
        <v>2755697.4396995134</v>
      </c>
      <c r="V66" s="637">
        <f>SUM(J66:U66)</f>
        <v>29125196.782628048</v>
      </c>
      <c r="W66" s="7"/>
      <c r="X66" s="7"/>
      <c r="Y66" s="7"/>
      <c r="Z66" s="7"/>
      <c r="AA66" s="7"/>
      <c r="AB66" s="7"/>
      <c r="AC66" s="7"/>
      <c r="AD66" s="7"/>
      <c r="AE66" s="7"/>
      <c r="AF66" s="7"/>
      <c r="AG66" s="7"/>
      <c r="AH66" s="7"/>
      <c r="AI66" s="7"/>
      <c r="AJ66" s="7"/>
      <c r="AK66" s="7"/>
      <c r="AL66" s="7"/>
      <c r="AM66" s="7"/>
    </row>
    <row r="67" spans="1:39" ht="14.25" customHeight="1" x14ac:dyDescent="0.3">
      <c r="A67" s="53"/>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row>
    <row r="68" spans="1:39" ht="14.25" customHeight="1" x14ac:dyDescent="0.3">
      <c r="A68" s="53"/>
      <c r="B68" s="7"/>
      <c r="C68" s="7"/>
      <c r="D68" s="676"/>
      <c r="E68" s="676"/>
      <c r="F68" s="676"/>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spans="1:39" ht="14.25" customHeight="1" x14ac:dyDescent="0.3">
      <c r="A69" s="53"/>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row>
    <row r="70" spans="1:39" ht="14.25" customHeight="1" x14ac:dyDescent="0.3">
      <c r="A70" s="53"/>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row>
    <row r="71" spans="1:39" ht="14.25" customHeight="1" x14ac:dyDescent="0.3">
      <c r="A71" s="53"/>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row>
    <row r="72" spans="1:39" ht="14.25" customHeight="1" x14ac:dyDescent="0.3">
      <c r="A72" s="53"/>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row>
    <row r="73" spans="1:39" ht="14.25" customHeight="1" x14ac:dyDescent="0.3">
      <c r="A73" s="53"/>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row>
    <row r="74" spans="1:39" ht="14.25" customHeight="1" x14ac:dyDescent="0.3">
      <c r="A74" s="53"/>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row>
    <row r="75" spans="1:39" ht="14.25" customHeight="1" x14ac:dyDescent="0.3">
      <c r="A75" s="53"/>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row>
    <row r="76" spans="1:39" ht="14.25" customHeight="1" x14ac:dyDescent="0.3">
      <c r="A76" s="53"/>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row>
    <row r="77" spans="1:39" ht="14.25" customHeight="1" x14ac:dyDescent="0.3">
      <c r="A77" s="53"/>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row>
    <row r="78" spans="1:39" ht="14.25" customHeight="1" x14ac:dyDescent="0.3">
      <c r="A78" s="53"/>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row>
    <row r="79" spans="1:39" ht="14.25" customHeight="1" x14ac:dyDescent="0.3">
      <c r="A79" s="53"/>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1:39" ht="14.25" customHeight="1" x14ac:dyDescent="0.3">
      <c r="A80" s="53"/>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1:39" ht="14.25" customHeight="1" x14ac:dyDescent="0.3">
      <c r="A81" s="53"/>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row>
    <row r="82" spans="1:39" ht="14.25" customHeight="1" x14ac:dyDescent="0.3">
      <c r="A82" s="53"/>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row>
    <row r="83" spans="1:39" ht="14.25" customHeight="1" x14ac:dyDescent="0.3">
      <c r="A83" s="53"/>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row>
    <row r="84" spans="1:39" ht="14.25" customHeight="1" x14ac:dyDescent="0.3">
      <c r="A84" s="53"/>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row>
    <row r="85" spans="1:39" ht="14.25" customHeight="1" x14ac:dyDescent="0.3">
      <c r="A85" s="53"/>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row>
    <row r="86" spans="1:39" ht="14.25" customHeight="1" x14ac:dyDescent="0.3">
      <c r="A86" s="53"/>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row>
    <row r="87" spans="1:39" ht="14.25" customHeight="1" x14ac:dyDescent="0.3">
      <c r="A87" s="53"/>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row>
    <row r="88" spans="1:39" ht="14.25" customHeight="1" x14ac:dyDescent="0.3">
      <c r="A88" s="53"/>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row>
    <row r="89" spans="1:39" ht="14.25" customHeight="1" x14ac:dyDescent="0.3">
      <c r="A89" s="53"/>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row>
    <row r="90" spans="1:39" ht="14.25" customHeight="1" x14ac:dyDescent="0.3">
      <c r="A90" s="5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row>
    <row r="91" spans="1:39" ht="14.25" customHeight="1" x14ac:dyDescent="0.3">
      <c r="A91" s="53"/>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row>
    <row r="92" spans="1:39" ht="14.25" customHeight="1" x14ac:dyDescent="0.3">
      <c r="A92" s="53"/>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row>
    <row r="93" spans="1:39" ht="14.25" customHeight="1" x14ac:dyDescent="0.3">
      <c r="A93" s="53"/>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row>
    <row r="94" spans="1:39" ht="14.25" customHeight="1" x14ac:dyDescent="0.3">
      <c r="A94" s="53"/>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row>
    <row r="95" spans="1:39" ht="14.25" customHeight="1" x14ac:dyDescent="0.3">
      <c r="A95" s="53"/>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row>
    <row r="96" spans="1:39" ht="14.25" customHeight="1" x14ac:dyDescent="0.3">
      <c r="A96" s="53"/>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row>
    <row r="97" spans="1:39" ht="14.25" customHeight="1" x14ac:dyDescent="0.3">
      <c r="A97" s="53"/>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row>
    <row r="98" spans="1:39" ht="14.25" customHeight="1" x14ac:dyDescent="0.3">
      <c r="A98" s="53"/>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row>
    <row r="99" spans="1:39" ht="14.25" customHeight="1" x14ac:dyDescent="0.3">
      <c r="A99" s="53"/>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row>
    <row r="100" spans="1:39" ht="14.25" customHeight="1" x14ac:dyDescent="0.3">
      <c r="A100" s="53"/>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row>
    <row r="101" spans="1:39" ht="14.25" customHeight="1" x14ac:dyDescent="0.3">
      <c r="A101" s="53"/>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row>
    <row r="102" spans="1:39" ht="14.25" customHeight="1" x14ac:dyDescent="0.3">
      <c r="A102" s="53"/>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row>
    <row r="103" spans="1:39" ht="14.25" customHeight="1" x14ac:dyDescent="0.3">
      <c r="A103" s="53"/>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row>
    <row r="104" spans="1:39" ht="14.25" customHeight="1" x14ac:dyDescent="0.3">
      <c r="A104" s="53"/>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row>
    <row r="105" spans="1:39" ht="14.25" customHeight="1" x14ac:dyDescent="0.3">
      <c r="A105" s="53"/>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row>
    <row r="106" spans="1:39" ht="14.25" customHeight="1" x14ac:dyDescent="0.3">
      <c r="A106" s="53"/>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row>
    <row r="107" spans="1:39" ht="14.25" customHeight="1" x14ac:dyDescent="0.3">
      <c r="A107" s="53"/>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row>
    <row r="108" spans="1:39" ht="14.25" customHeight="1" x14ac:dyDescent="0.3">
      <c r="A108" s="53"/>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row>
    <row r="109" spans="1:39" ht="14.25" customHeight="1" x14ac:dyDescent="0.3">
      <c r="A109" s="53"/>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row>
    <row r="110" spans="1:39" ht="14.25" customHeight="1" x14ac:dyDescent="0.3">
      <c r="A110" s="53"/>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row>
    <row r="111" spans="1:39" ht="14.25" customHeight="1" x14ac:dyDescent="0.3">
      <c r="A111" s="53"/>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row>
    <row r="112" spans="1:39" ht="14.25" customHeight="1" x14ac:dyDescent="0.3">
      <c r="A112" s="53"/>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row>
    <row r="113" spans="1:39" ht="14.25" customHeight="1" x14ac:dyDescent="0.3">
      <c r="A113" s="53"/>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row>
    <row r="114" spans="1:39" ht="14.25" customHeight="1" x14ac:dyDescent="0.3">
      <c r="A114" s="53"/>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row>
    <row r="115" spans="1:39" ht="14.25" customHeight="1" x14ac:dyDescent="0.3">
      <c r="A115" s="53"/>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row>
    <row r="116" spans="1:39" ht="14.25" customHeight="1" x14ac:dyDescent="0.3">
      <c r="A116" s="53"/>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row>
    <row r="117" spans="1:39" ht="14.25" customHeight="1" x14ac:dyDescent="0.3">
      <c r="A117" s="53"/>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row>
    <row r="118" spans="1:39" ht="14.25" customHeight="1" x14ac:dyDescent="0.3">
      <c r="A118" s="53"/>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row>
    <row r="119" spans="1:39" ht="14.25" customHeight="1" x14ac:dyDescent="0.3">
      <c r="A119" s="53"/>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row>
    <row r="120" spans="1:39" ht="14.25" customHeight="1" x14ac:dyDescent="0.3">
      <c r="A120" s="53"/>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row>
    <row r="121" spans="1:39" ht="14.25" customHeight="1" x14ac:dyDescent="0.3">
      <c r="A121" s="53"/>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row>
    <row r="122" spans="1:39" ht="14.25" customHeight="1" x14ac:dyDescent="0.3">
      <c r="A122" s="53"/>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row>
    <row r="123" spans="1:39" ht="14.25" customHeight="1" x14ac:dyDescent="0.3">
      <c r="A123" s="53"/>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row>
    <row r="124" spans="1:39" ht="14.25" customHeight="1" x14ac:dyDescent="0.3">
      <c r="A124" s="53"/>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row>
    <row r="125" spans="1:39" ht="14.25" customHeight="1" x14ac:dyDescent="0.3">
      <c r="A125" s="53"/>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row>
    <row r="126" spans="1:39" ht="14.25" customHeight="1" x14ac:dyDescent="0.3">
      <c r="A126" s="53"/>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row>
    <row r="127" spans="1:39" ht="14.25" customHeight="1" x14ac:dyDescent="0.3">
      <c r="A127" s="53"/>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row>
    <row r="128" spans="1:39" ht="14.25" customHeight="1" x14ac:dyDescent="0.3">
      <c r="A128" s="53"/>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row>
    <row r="129" spans="1:39" ht="14.25" customHeight="1" x14ac:dyDescent="0.3">
      <c r="A129" s="53"/>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row>
    <row r="130" spans="1:39" ht="14.25" customHeight="1" x14ac:dyDescent="0.3">
      <c r="A130" s="53"/>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spans="1:39" ht="14.25" customHeight="1" x14ac:dyDescent="0.3">
      <c r="A131" s="53"/>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spans="1:39" ht="14.25" customHeight="1" x14ac:dyDescent="0.3">
      <c r="A132" s="53"/>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spans="1:39" ht="14.25" customHeight="1" x14ac:dyDescent="0.3">
      <c r="A133" s="53"/>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spans="1:39" ht="14.25" customHeight="1" x14ac:dyDescent="0.3">
      <c r="A134" s="53"/>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spans="1:39" ht="14.25" customHeight="1" x14ac:dyDescent="0.3">
      <c r="A135" s="53"/>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spans="1:39" ht="14.25" customHeight="1" x14ac:dyDescent="0.3">
      <c r="A136" s="53"/>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row>
    <row r="137" spans="1:39" ht="14.25" customHeight="1" x14ac:dyDescent="0.3">
      <c r="A137" s="53"/>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row>
    <row r="138" spans="1:39" ht="14.25" customHeight="1" x14ac:dyDescent="0.3">
      <c r="A138" s="53"/>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row>
    <row r="139" spans="1:39" ht="14.25" customHeight="1" x14ac:dyDescent="0.3">
      <c r="A139" s="53"/>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spans="1:39" ht="14.25" customHeight="1" x14ac:dyDescent="0.3">
      <c r="A140" s="53"/>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row>
    <row r="141" spans="1:39" ht="14.25" customHeight="1" x14ac:dyDescent="0.3">
      <c r="A141" s="53"/>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row>
    <row r="142" spans="1:39" ht="14.25" customHeight="1" x14ac:dyDescent="0.3">
      <c r="A142" s="53"/>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row>
    <row r="143" spans="1:39" ht="14.25" customHeight="1" x14ac:dyDescent="0.3">
      <c r="A143" s="53"/>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row>
    <row r="144" spans="1:39" ht="14.25" customHeight="1" x14ac:dyDescent="0.3">
      <c r="A144" s="53"/>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row>
    <row r="145" spans="1:39" ht="14.25" customHeight="1" x14ac:dyDescent="0.3">
      <c r="A145" s="53"/>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row>
    <row r="146" spans="1:39" ht="14.25" customHeight="1" x14ac:dyDescent="0.3">
      <c r="A146" s="53"/>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row r="147" spans="1:39" ht="14.25" customHeight="1" x14ac:dyDescent="0.3">
      <c r="A147" s="53"/>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row>
    <row r="148" spans="1:39" ht="14.25" customHeight="1" x14ac:dyDescent="0.3">
      <c r="A148" s="53"/>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row>
    <row r="149" spans="1:39" ht="14.25" customHeight="1" x14ac:dyDescent="0.3">
      <c r="A149" s="53"/>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row>
    <row r="150" spans="1:39" ht="14.25" customHeight="1" x14ac:dyDescent="0.3">
      <c r="A150" s="53"/>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row>
    <row r="151" spans="1:39" ht="14.25" customHeight="1" x14ac:dyDescent="0.3">
      <c r="A151" s="53"/>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row>
    <row r="152" spans="1:39" ht="14.25" customHeight="1" x14ac:dyDescent="0.3">
      <c r="A152" s="53"/>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row>
    <row r="153" spans="1:39" ht="14.25" customHeight="1" x14ac:dyDescent="0.3">
      <c r="A153" s="53"/>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row>
    <row r="154" spans="1:39" ht="14.25" customHeight="1" x14ac:dyDescent="0.3">
      <c r="A154" s="53"/>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row>
    <row r="155" spans="1:39" ht="14.25" customHeight="1" x14ac:dyDescent="0.3">
      <c r="A155" s="53"/>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row>
    <row r="156" spans="1:39" ht="14.25" customHeight="1" x14ac:dyDescent="0.3">
      <c r="A156" s="53"/>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row>
    <row r="157" spans="1:39" ht="14.25" customHeight="1" x14ac:dyDescent="0.3">
      <c r="A157" s="53"/>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row>
    <row r="158" spans="1:39" ht="14.25" customHeight="1" x14ac:dyDescent="0.3">
      <c r="A158" s="53"/>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row>
    <row r="159" spans="1:39" ht="14.25" customHeight="1" x14ac:dyDescent="0.3">
      <c r="A159" s="53"/>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row>
    <row r="160" spans="1:39" ht="14.25" customHeight="1" x14ac:dyDescent="0.3">
      <c r="A160" s="53"/>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row>
    <row r="161" spans="1:39" ht="14.25" customHeight="1" x14ac:dyDescent="0.3">
      <c r="A161" s="53"/>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row>
    <row r="162" spans="1:39" ht="14.25" customHeight="1" x14ac:dyDescent="0.3">
      <c r="A162" s="53"/>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row>
    <row r="163" spans="1:39" ht="14.25" customHeight="1" x14ac:dyDescent="0.3">
      <c r="A163" s="53"/>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row>
    <row r="164" spans="1:39" ht="14.25" customHeight="1" x14ac:dyDescent="0.3">
      <c r="A164" s="53"/>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row>
    <row r="165" spans="1:39" ht="14.25" customHeight="1" x14ac:dyDescent="0.3">
      <c r="A165" s="53"/>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row>
    <row r="166" spans="1:39" ht="14.25" customHeight="1" x14ac:dyDescent="0.3">
      <c r="A166" s="53"/>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row>
    <row r="167" spans="1:39" ht="14.25" customHeight="1" x14ac:dyDescent="0.3">
      <c r="A167" s="53"/>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row>
    <row r="168" spans="1:39" ht="14.25" customHeight="1" x14ac:dyDescent="0.3">
      <c r="A168" s="53"/>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row>
    <row r="169" spans="1:39" ht="14.25" customHeight="1" x14ac:dyDescent="0.3">
      <c r="A169" s="53"/>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1:39" ht="14.25" customHeight="1" x14ac:dyDescent="0.3">
      <c r="A170" s="53"/>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1:39" ht="14.25" customHeight="1" x14ac:dyDescent="0.3">
      <c r="A171" s="53"/>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row>
    <row r="172" spans="1:39" ht="14.25" customHeight="1" x14ac:dyDescent="0.3">
      <c r="A172" s="53"/>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row>
    <row r="173" spans="1:39" ht="14.25" customHeight="1" x14ac:dyDescent="0.3">
      <c r="A173" s="53"/>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row>
    <row r="174" spans="1:39" ht="14.25" customHeight="1" x14ac:dyDescent="0.3">
      <c r="A174" s="53"/>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row>
    <row r="175" spans="1:39" ht="14.25" customHeight="1" x14ac:dyDescent="0.3">
      <c r="A175" s="53"/>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row>
    <row r="176" spans="1:39" ht="14.25" customHeight="1" x14ac:dyDescent="0.3">
      <c r="A176" s="53"/>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row>
    <row r="177" spans="1:39" ht="14.25" customHeight="1" x14ac:dyDescent="0.3">
      <c r="A177" s="53"/>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row>
    <row r="178" spans="1:39" ht="14.25" customHeight="1" x14ac:dyDescent="0.3">
      <c r="A178" s="53"/>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row>
    <row r="179" spans="1:39" ht="14.25" customHeight="1" x14ac:dyDescent="0.3">
      <c r="A179" s="53"/>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row>
    <row r="180" spans="1:39" ht="14.25" customHeight="1" x14ac:dyDescent="0.3">
      <c r="A180" s="53"/>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row>
    <row r="181" spans="1:39" ht="14.25" customHeight="1" x14ac:dyDescent="0.3">
      <c r="A181" s="53"/>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row>
    <row r="182" spans="1:39" ht="14.25" customHeight="1" x14ac:dyDescent="0.3">
      <c r="A182" s="53"/>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row>
    <row r="183" spans="1:39" ht="14.25" customHeight="1" x14ac:dyDescent="0.3">
      <c r="A183" s="53"/>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row>
    <row r="184" spans="1:39" ht="14.25" customHeight="1" x14ac:dyDescent="0.3">
      <c r="A184" s="53"/>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row>
    <row r="185" spans="1:39" ht="14.25" customHeight="1" x14ac:dyDescent="0.3">
      <c r="A185" s="53"/>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row>
    <row r="186" spans="1:39" ht="14.25" customHeight="1" x14ac:dyDescent="0.3">
      <c r="A186" s="53"/>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row>
    <row r="187" spans="1:39" ht="14.25" customHeight="1" x14ac:dyDescent="0.3">
      <c r="A187" s="53"/>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row>
    <row r="188" spans="1:39" ht="14.25" customHeight="1" x14ac:dyDescent="0.3">
      <c r="A188" s="53"/>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row>
    <row r="189" spans="1:39" ht="14.25" customHeight="1" x14ac:dyDescent="0.3">
      <c r="A189" s="53"/>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row>
    <row r="190" spans="1:39" ht="14.25" customHeight="1" x14ac:dyDescent="0.3">
      <c r="A190" s="53"/>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row>
    <row r="191" spans="1:39" ht="14.25" customHeight="1" x14ac:dyDescent="0.3">
      <c r="A191" s="53"/>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row>
    <row r="192" spans="1:39" ht="14.25" customHeight="1" x14ac:dyDescent="0.3">
      <c r="A192" s="53"/>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row>
    <row r="193" spans="1:39" ht="14.25" customHeight="1" x14ac:dyDescent="0.3">
      <c r="A193" s="53"/>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row>
    <row r="194" spans="1:39" ht="14.25" customHeight="1" x14ac:dyDescent="0.3">
      <c r="A194" s="53"/>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row>
    <row r="195" spans="1:39" ht="14.25" customHeight="1" x14ac:dyDescent="0.3">
      <c r="A195" s="53"/>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row>
    <row r="196" spans="1:39" ht="14.25" customHeight="1" x14ac:dyDescent="0.3">
      <c r="A196" s="53"/>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row>
    <row r="197" spans="1:39" ht="14.25" customHeight="1" x14ac:dyDescent="0.3">
      <c r="A197" s="53"/>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row>
    <row r="198" spans="1:39" ht="14.25" customHeight="1" x14ac:dyDescent="0.3">
      <c r="A198" s="53"/>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row>
    <row r="199" spans="1:39" ht="14.25" customHeight="1" x14ac:dyDescent="0.3">
      <c r="A199" s="53"/>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row>
    <row r="200" spans="1:39" ht="14.25" customHeight="1" x14ac:dyDescent="0.3">
      <c r="A200" s="53"/>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row>
    <row r="201" spans="1:39" ht="14.25" customHeight="1" x14ac:dyDescent="0.3">
      <c r="A201" s="53"/>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row>
    <row r="202" spans="1:39" ht="14.25" customHeight="1" x14ac:dyDescent="0.3">
      <c r="A202" s="53"/>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1:39" ht="14.25" customHeight="1" x14ac:dyDescent="0.3">
      <c r="A203" s="53"/>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row>
    <row r="204" spans="1:39" ht="14.25" customHeight="1" x14ac:dyDescent="0.3">
      <c r="A204" s="53"/>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spans="1:39" ht="14.25" customHeight="1" x14ac:dyDescent="0.3">
      <c r="A205" s="53"/>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spans="1:39" ht="14.25" customHeight="1" x14ac:dyDescent="0.3">
      <c r="A206" s="53"/>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spans="1:39" ht="14.25" customHeight="1" x14ac:dyDescent="0.3">
      <c r="A207" s="53"/>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spans="1:39" ht="14.25" customHeight="1" x14ac:dyDescent="0.3">
      <c r="A208" s="53"/>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spans="1:39" ht="14.25" customHeight="1" x14ac:dyDescent="0.3">
      <c r="A209" s="53"/>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spans="1:39" ht="14.25" customHeight="1" x14ac:dyDescent="0.3">
      <c r="A210" s="53"/>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spans="1:39" ht="14.25" customHeight="1" x14ac:dyDescent="0.3">
      <c r="A211" s="53"/>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spans="1:39" ht="14.25" customHeight="1" x14ac:dyDescent="0.3">
      <c r="A212" s="53"/>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1:39" ht="14.25" customHeight="1" x14ac:dyDescent="0.3">
      <c r="A213" s="53"/>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spans="1:39" ht="14.25" customHeight="1" x14ac:dyDescent="0.3">
      <c r="A214" s="53"/>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spans="1:39" ht="14.25" customHeight="1" x14ac:dyDescent="0.3">
      <c r="A215" s="53"/>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spans="1:39" ht="14.25" customHeight="1" x14ac:dyDescent="0.3">
      <c r="A216" s="53"/>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spans="1:39" ht="14.25" customHeight="1" x14ac:dyDescent="0.3">
      <c r="A217" s="53"/>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spans="1:39" ht="14.25" customHeight="1" x14ac:dyDescent="0.3">
      <c r="A218" s="53"/>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spans="1:39" ht="14.25" customHeight="1" x14ac:dyDescent="0.3">
      <c r="A219" s="53"/>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spans="1:39" ht="14.25" customHeight="1" x14ac:dyDescent="0.3">
      <c r="A220" s="53"/>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spans="1:39" ht="14.25" customHeight="1" x14ac:dyDescent="0.3">
      <c r="A221" s="53"/>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spans="1:39" ht="14.25" customHeight="1" x14ac:dyDescent="0.3">
      <c r="A222" s="53"/>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1:39" ht="14.25" customHeight="1" x14ac:dyDescent="0.3">
      <c r="A223" s="53"/>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spans="1:39" ht="14.25" customHeight="1" x14ac:dyDescent="0.3">
      <c r="A224" s="53"/>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spans="1:39" ht="14.25" customHeight="1" x14ac:dyDescent="0.3">
      <c r="A225" s="53"/>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spans="1:39" ht="14.25" customHeight="1" x14ac:dyDescent="0.3">
      <c r="A226" s="53"/>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spans="1:39" ht="14.25" customHeight="1" x14ac:dyDescent="0.3">
      <c r="A227" s="53"/>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spans="1:39" ht="14.25" customHeight="1" x14ac:dyDescent="0.3">
      <c r="A228" s="53"/>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spans="1:39" ht="14.25" customHeight="1" x14ac:dyDescent="0.3">
      <c r="A229" s="53"/>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spans="1:39" ht="14.25" customHeight="1" x14ac:dyDescent="0.3">
      <c r="A230" s="53"/>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spans="1:39" ht="14.25" customHeight="1" x14ac:dyDescent="0.3">
      <c r="A231" s="53"/>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spans="1:39" ht="14.25" customHeight="1" x14ac:dyDescent="0.3">
      <c r="A232" s="53"/>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spans="1:39" ht="14.25" customHeight="1" x14ac:dyDescent="0.3">
      <c r="A233" s="53"/>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spans="1:39" ht="14.25" customHeight="1" x14ac:dyDescent="0.3">
      <c r="A234" s="53"/>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spans="1:39" ht="14.25" customHeight="1" x14ac:dyDescent="0.3">
      <c r="A235" s="53"/>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spans="1:39" ht="14.25" customHeight="1" x14ac:dyDescent="0.3">
      <c r="A236" s="53"/>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spans="1:39" ht="14.25" customHeight="1" x14ac:dyDescent="0.3">
      <c r="A237" s="53"/>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spans="1:39" ht="14.25" customHeight="1" x14ac:dyDescent="0.3">
      <c r="A238" s="53"/>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spans="1:39" ht="14.25" customHeight="1" x14ac:dyDescent="0.3">
      <c r="A239" s="53"/>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spans="1:39" ht="14.25" customHeight="1" x14ac:dyDescent="0.3">
      <c r="A240" s="53"/>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spans="1:39" ht="14.25" customHeight="1" x14ac:dyDescent="0.3">
      <c r="A241" s="53"/>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spans="1:39" ht="14.25" customHeight="1" x14ac:dyDescent="0.3">
      <c r="A242" s="53"/>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spans="1:39" ht="14.25" customHeight="1" x14ac:dyDescent="0.3">
      <c r="A243" s="53"/>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spans="1:39" ht="14.25" customHeight="1" x14ac:dyDescent="0.3">
      <c r="A244" s="53"/>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spans="1:39" ht="14.25" customHeight="1" x14ac:dyDescent="0.3">
      <c r="A245" s="53"/>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spans="1:39" ht="14.25" customHeight="1" x14ac:dyDescent="0.3">
      <c r="A246" s="53"/>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1:39" ht="14.25" customHeight="1" x14ac:dyDescent="0.3">
      <c r="A247" s="53"/>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spans="1:39" ht="14.25" customHeight="1" x14ac:dyDescent="0.3">
      <c r="A248" s="53"/>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spans="1:39" ht="14.25" customHeight="1" x14ac:dyDescent="0.3">
      <c r="A249" s="53"/>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spans="1:39" ht="14.25" customHeight="1" x14ac:dyDescent="0.3">
      <c r="A250" s="53"/>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spans="1:39" ht="14.25" customHeight="1" x14ac:dyDescent="0.3">
      <c r="A251" s="53"/>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spans="1:39" ht="14.25" customHeight="1" x14ac:dyDescent="0.3">
      <c r="A252" s="53"/>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spans="1:39" ht="14.25" customHeight="1" x14ac:dyDescent="0.3">
      <c r="A253" s="53"/>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spans="1:39" ht="14.25" customHeight="1" x14ac:dyDescent="0.3">
      <c r="A254" s="53"/>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1:39" ht="14.25" customHeight="1" x14ac:dyDescent="0.3">
      <c r="A255" s="53"/>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1:39" ht="14.25" customHeight="1" x14ac:dyDescent="0.3">
      <c r="A256" s="53"/>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spans="1:39" ht="14.25" customHeight="1" x14ac:dyDescent="0.3">
      <c r="A257" s="53"/>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spans="1:39" ht="14.25" customHeight="1" x14ac:dyDescent="0.3">
      <c r="A258" s="53"/>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spans="1:39" ht="14.25" customHeight="1" x14ac:dyDescent="0.3">
      <c r="A259" s="53"/>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spans="1:39" ht="14.25" customHeight="1" x14ac:dyDescent="0.3">
      <c r="A260" s="53"/>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spans="1:39" ht="14.25" customHeight="1" x14ac:dyDescent="0.3">
      <c r="A261" s="53"/>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spans="1:39" ht="14.25" customHeight="1" x14ac:dyDescent="0.3">
      <c r="A262" s="53"/>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spans="1:39" ht="14.25" customHeight="1" x14ac:dyDescent="0.3">
      <c r="A263" s="53"/>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spans="1:39" ht="14.25" customHeight="1" x14ac:dyDescent="0.3">
      <c r="A264" s="53"/>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spans="1:39" ht="14.25" customHeight="1" x14ac:dyDescent="0.3">
      <c r="A265" s="53"/>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spans="1:39" ht="14.25" customHeight="1" x14ac:dyDescent="0.3">
      <c r="A266" s="53"/>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spans="1:39" ht="15.75" customHeight="1" x14ac:dyDescent="0.3"/>
    <row r="268" spans="1:39" ht="15.75" customHeight="1" x14ac:dyDescent="0.3"/>
    <row r="269" spans="1:39" ht="15.75" customHeight="1" x14ac:dyDescent="0.3"/>
    <row r="270" spans="1:39" ht="15.75" customHeight="1" x14ac:dyDescent="0.3"/>
    <row r="271" spans="1:39" ht="15.75" customHeight="1" x14ac:dyDescent="0.3"/>
    <row r="272" spans="1:39"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1">
    <mergeCell ref="B62:C62"/>
    <mergeCell ref="D11:F11"/>
    <mergeCell ref="B3:B4"/>
    <mergeCell ref="B15:E15"/>
    <mergeCell ref="B11:B12"/>
    <mergeCell ref="B2:F2"/>
    <mergeCell ref="B61:C61"/>
    <mergeCell ref="D3:F3"/>
    <mergeCell ref="C11:C12"/>
    <mergeCell ref="B66:E66"/>
    <mergeCell ref="A50:B50"/>
    <mergeCell ref="A51:A53"/>
    <mergeCell ref="B10:F10"/>
    <mergeCell ref="B59:C60"/>
    <mergeCell ref="E29:H29"/>
    <mergeCell ref="D59:F59"/>
    <mergeCell ref="B65:C65"/>
    <mergeCell ref="B64:C64"/>
    <mergeCell ref="C3:C4"/>
    <mergeCell ref="B63:C63"/>
    <mergeCell ref="E58:I58"/>
  </mergeCells>
  <pageMargins left="0.7" right="0.7" top="0.75" bottom="0.75" header="0" footer="0"/>
  <pageSetup paperSize="9"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showGridLines="0" workbookViewId="0"/>
  </sheetViews>
  <sheetFormatPr baseColWidth="10" defaultColWidth="12.6640625" defaultRowHeight="15" customHeight="1" x14ac:dyDescent="0.3"/>
  <cols>
    <col min="1" max="1" width="34.6640625" customWidth="1"/>
    <col min="2" max="2" width="11.44140625" customWidth="1"/>
    <col min="3" max="3" width="15.6640625" customWidth="1"/>
    <col min="4" max="4" width="15.88671875" customWidth="1"/>
    <col min="5" max="5" width="17.33203125" customWidth="1"/>
    <col min="6" max="6" width="14.44140625" customWidth="1"/>
    <col min="7" max="7" width="17.77734375" customWidth="1"/>
    <col min="8" max="8" width="14.109375" customWidth="1"/>
    <col min="9" max="10" width="11.44140625" customWidth="1"/>
    <col min="11" max="26" width="10.6640625" customWidth="1"/>
  </cols>
  <sheetData>
    <row r="1" spans="1:26" ht="14.25" customHeight="1" x14ac:dyDescent="0.3">
      <c r="A1" s="677" t="s">
        <v>1953</v>
      </c>
      <c r="B1" s="678"/>
      <c r="C1" s="679" t="s">
        <v>1954</v>
      </c>
      <c r="D1" s="680" t="s">
        <v>1955</v>
      </c>
      <c r="E1" s="678"/>
      <c r="F1" s="678"/>
      <c r="G1" s="1128" t="s">
        <v>1956</v>
      </c>
      <c r="H1" s="1088"/>
      <c r="I1" s="678"/>
      <c r="J1" s="678"/>
      <c r="K1" s="678"/>
      <c r="L1" s="678"/>
      <c r="M1" s="678"/>
      <c r="N1" s="678"/>
      <c r="O1" s="678"/>
      <c r="P1" s="678"/>
      <c r="Q1" s="678"/>
      <c r="R1" s="678"/>
      <c r="S1" s="678"/>
      <c r="T1" s="678"/>
      <c r="U1" s="678"/>
      <c r="V1" s="678"/>
      <c r="W1" s="678"/>
      <c r="X1" s="678"/>
      <c r="Y1" s="678"/>
      <c r="Z1" s="678"/>
    </row>
    <row r="2" spans="1:26" ht="14.25" customHeight="1" x14ac:dyDescent="0.3">
      <c r="A2" s="678"/>
      <c r="B2" s="678"/>
      <c r="C2" s="681">
        <v>0.39</v>
      </c>
      <c r="D2" s="682">
        <v>0.61</v>
      </c>
      <c r="E2" s="678"/>
      <c r="F2" s="678"/>
      <c r="G2" s="678"/>
      <c r="H2" s="678"/>
      <c r="I2" s="678"/>
      <c r="J2" s="678"/>
      <c r="K2" s="678"/>
      <c r="L2" s="678"/>
      <c r="M2" s="678"/>
      <c r="N2" s="678"/>
      <c r="O2" s="678"/>
      <c r="P2" s="678"/>
      <c r="Q2" s="678"/>
      <c r="R2" s="678"/>
      <c r="S2" s="678"/>
      <c r="T2" s="678"/>
      <c r="U2" s="678"/>
      <c r="V2" s="678"/>
      <c r="W2" s="678"/>
      <c r="X2" s="678"/>
      <c r="Y2" s="678"/>
      <c r="Z2" s="678"/>
    </row>
    <row r="3" spans="1:26" ht="14.25" customHeight="1" x14ac:dyDescent="0.3">
      <c r="A3" s="683" t="s">
        <v>1957</v>
      </c>
      <c r="B3" s="684">
        <v>28000000</v>
      </c>
      <c r="C3" s="685">
        <f>B3*C2</f>
        <v>10920000</v>
      </c>
      <c r="D3" s="686">
        <f>B3*D2</f>
        <v>17080000</v>
      </c>
      <c r="E3" s="678"/>
      <c r="F3" s="678"/>
      <c r="G3" s="678"/>
      <c r="H3" s="678"/>
      <c r="I3" s="678"/>
      <c r="J3" s="678"/>
      <c r="K3" s="678"/>
      <c r="L3" s="678"/>
      <c r="M3" s="678"/>
      <c r="N3" s="678"/>
      <c r="O3" s="678"/>
      <c r="P3" s="678"/>
      <c r="Q3" s="678"/>
      <c r="R3" s="678"/>
      <c r="S3" s="678"/>
      <c r="T3" s="678"/>
      <c r="U3" s="678"/>
      <c r="V3" s="678"/>
      <c r="W3" s="678"/>
      <c r="X3" s="678"/>
      <c r="Y3" s="678"/>
      <c r="Z3" s="678"/>
    </row>
    <row r="4" spans="1:26" ht="14.25" customHeight="1" x14ac:dyDescent="0.3">
      <c r="A4" s="678"/>
      <c r="B4" s="678"/>
      <c r="C4" s="678"/>
      <c r="D4" s="678"/>
      <c r="E4" s="678"/>
      <c r="F4" s="678"/>
      <c r="G4" s="678"/>
      <c r="H4" s="678"/>
      <c r="I4" s="678"/>
      <c r="J4" s="678"/>
      <c r="K4" s="678"/>
      <c r="L4" s="678"/>
      <c r="M4" s="678"/>
      <c r="N4" s="678"/>
      <c r="O4" s="678"/>
      <c r="P4" s="678"/>
      <c r="Q4" s="678"/>
      <c r="R4" s="678"/>
      <c r="S4" s="678"/>
      <c r="T4" s="678"/>
      <c r="U4" s="678"/>
      <c r="V4" s="678"/>
      <c r="W4" s="678"/>
      <c r="X4" s="678"/>
      <c r="Y4" s="678"/>
      <c r="Z4" s="678"/>
    </row>
    <row r="5" spans="1:26" ht="14.25" customHeight="1" x14ac:dyDescent="0.3">
      <c r="A5" s="687" t="s">
        <v>1958</v>
      </c>
      <c r="B5" s="688">
        <v>4.0810000000000004</v>
      </c>
      <c r="C5" s="689">
        <f>C3*0.7*B5</f>
        <v>31195164</v>
      </c>
      <c r="D5" s="678"/>
      <c r="E5" s="690" t="s">
        <v>1959</v>
      </c>
      <c r="F5" s="688"/>
      <c r="G5" s="688"/>
      <c r="H5" s="688"/>
      <c r="I5" s="678"/>
      <c r="J5" s="678"/>
      <c r="K5" s="678"/>
      <c r="L5" s="678"/>
      <c r="M5" s="678"/>
      <c r="N5" s="678"/>
      <c r="O5" s="678"/>
      <c r="P5" s="678"/>
      <c r="Q5" s="678"/>
      <c r="R5" s="678"/>
      <c r="S5" s="678"/>
      <c r="T5" s="678"/>
      <c r="U5" s="678"/>
      <c r="V5" s="678"/>
      <c r="W5" s="678"/>
      <c r="X5" s="678"/>
      <c r="Y5" s="678"/>
      <c r="Z5" s="678"/>
    </row>
    <row r="6" spans="1:26" ht="14.25" customHeight="1" x14ac:dyDescent="0.3">
      <c r="A6" s="678"/>
      <c r="B6" s="688">
        <v>5.7030000000000003</v>
      </c>
      <c r="C6" s="689">
        <f>C3*0.3*B6</f>
        <v>18683028</v>
      </c>
      <c r="D6" s="678"/>
      <c r="E6" s="688" t="s">
        <v>1960</v>
      </c>
      <c r="F6" s="688"/>
      <c r="G6" s="688"/>
      <c r="H6" s="688"/>
      <c r="I6" s="678"/>
      <c r="J6" s="678"/>
      <c r="K6" s="678"/>
      <c r="L6" s="678"/>
      <c r="M6" s="678"/>
      <c r="N6" s="678"/>
      <c r="O6" s="678"/>
      <c r="P6" s="678"/>
      <c r="Q6" s="678"/>
      <c r="R6" s="678"/>
      <c r="S6" s="678"/>
      <c r="T6" s="678"/>
      <c r="U6" s="678"/>
      <c r="V6" s="678"/>
      <c r="W6" s="678"/>
      <c r="X6" s="678"/>
      <c r="Y6" s="678"/>
      <c r="Z6" s="678"/>
    </row>
    <row r="7" spans="1:26" ht="14.25" customHeight="1" x14ac:dyDescent="0.3">
      <c r="A7" s="678"/>
      <c r="B7" s="678"/>
      <c r="C7" s="691"/>
      <c r="D7" s="691"/>
      <c r="E7" s="678"/>
      <c r="F7" s="678"/>
      <c r="G7" s="678"/>
      <c r="H7" s="678"/>
      <c r="I7" s="678"/>
      <c r="J7" s="678"/>
      <c r="K7" s="678"/>
      <c r="L7" s="678"/>
      <c r="M7" s="678"/>
      <c r="N7" s="678"/>
      <c r="O7" s="678"/>
      <c r="P7" s="678"/>
      <c r="Q7" s="678"/>
      <c r="R7" s="678"/>
      <c r="S7" s="678"/>
      <c r="T7" s="678"/>
      <c r="U7" s="678"/>
      <c r="V7" s="678"/>
      <c r="W7" s="678"/>
      <c r="X7" s="678"/>
      <c r="Y7" s="678"/>
      <c r="Z7" s="678"/>
    </row>
    <row r="8" spans="1:26" ht="14.25" customHeight="1" x14ac:dyDescent="0.3">
      <c r="A8" s="687" t="s">
        <v>1961</v>
      </c>
      <c r="B8" s="688">
        <v>5.101</v>
      </c>
      <c r="C8" s="691"/>
      <c r="D8" s="689">
        <f>D3*0.7*B8</f>
        <v>60987556</v>
      </c>
      <c r="E8" s="688" t="s">
        <v>1962</v>
      </c>
      <c r="F8" s="688"/>
      <c r="G8" s="688"/>
      <c r="H8" s="688"/>
      <c r="I8" s="678"/>
      <c r="J8" s="678"/>
      <c r="K8" s="678"/>
      <c r="L8" s="678"/>
      <c r="M8" s="678"/>
      <c r="N8" s="678"/>
      <c r="O8" s="678"/>
      <c r="P8" s="678"/>
      <c r="Q8" s="678"/>
      <c r="R8" s="678"/>
      <c r="S8" s="678"/>
      <c r="T8" s="678"/>
      <c r="U8" s="678"/>
      <c r="V8" s="678"/>
      <c r="W8" s="678"/>
      <c r="X8" s="678"/>
      <c r="Y8" s="678"/>
      <c r="Z8" s="678"/>
    </row>
    <row r="9" spans="1:26" ht="14.25" customHeight="1" x14ac:dyDescent="0.3">
      <c r="A9" s="678"/>
      <c r="B9" s="688">
        <v>7.1849999999999996</v>
      </c>
      <c r="C9" s="691"/>
      <c r="D9" s="689">
        <f>D3*0.3*B9</f>
        <v>36815940</v>
      </c>
      <c r="E9" s="688" t="s">
        <v>1963</v>
      </c>
      <c r="F9" s="688"/>
      <c r="G9" s="688"/>
      <c r="H9" s="688"/>
      <c r="I9" s="678"/>
      <c r="J9" s="678"/>
      <c r="K9" s="678"/>
      <c r="L9" s="678"/>
      <c r="M9" s="678"/>
      <c r="N9" s="678"/>
      <c r="O9" s="678"/>
      <c r="P9" s="678"/>
      <c r="Q9" s="678"/>
      <c r="R9" s="678"/>
      <c r="S9" s="678"/>
      <c r="T9" s="678"/>
      <c r="U9" s="678"/>
      <c r="V9" s="678"/>
      <c r="W9" s="678"/>
      <c r="X9" s="678"/>
      <c r="Y9" s="678"/>
      <c r="Z9" s="678"/>
    </row>
    <row r="10" spans="1:26" ht="14.25" customHeight="1" x14ac:dyDescent="0.3">
      <c r="A10" s="678"/>
      <c r="B10" s="678"/>
      <c r="C10" s="678"/>
      <c r="D10" s="678"/>
      <c r="E10" s="678"/>
      <c r="F10" s="678"/>
      <c r="G10" s="678"/>
      <c r="H10" s="678"/>
      <c r="I10" s="678"/>
      <c r="J10" s="678"/>
      <c r="K10" s="678"/>
      <c r="L10" s="678"/>
      <c r="M10" s="678"/>
      <c r="N10" s="678"/>
      <c r="O10" s="678"/>
      <c r="P10" s="678"/>
      <c r="Q10" s="678"/>
      <c r="R10" s="678"/>
      <c r="S10" s="678"/>
      <c r="T10" s="678"/>
      <c r="U10" s="678"/>
      <c r="V10" s="678"/>
      <c r="W10" s="678"/>
      <c r="X10" s="678"/>
      <c r="Y10" s="678"/>
      <c r="Z10" s="678"/>
    </row>
    <row r="11" spans="1:26" ht="14.25" customHeight="1" x14ac:dyDescent="0.3">
      <c r="A11" s="678"/>
      <c r="B11" s="678"/>
      <c r="C11" s="678"/>
      <c r="D11" s="678"/>
      <c r="E11" s="678"/>
      <c r="F11" s="678"/>
      <c r="G11" s="678"/>
      <c r="H11" s="678"/>
      <c r="I11" s="678"/>
      <c r="J11" s="678"/>
      <c r="K11" s="678"/>
      <c r="L11" s="678"/>
      <c r="M11" s="678"/>
      <c r="N11" s="678"/>
      <c r="O11" s="678"/>
      <c r="P11" s="678"/>
      <c r="Q11" s="678"/>
      <c r="R11" s="678"/>
      <c r="S11" s="678"/>
      <c r="T11" s="678"/>
      <c r="U11" s="678"/>
      <c r="V11" s="678"/>
      <c r="W11" s="678"/>
      <c r="X11" s="678"/>
      <c r="Y11" s="678"/>
      <c r="Z11" s="678"/>
    </row>
    <row r="12" spans="1:26" ht="14.25" customHeight="1" x14ac:dyDescent="0.3">
      <c r="A12" s="678"/>
      <c r="B12" s="678"/>
      <c r="C12" s="678"/>
      <c r="D12" s="678"/>
      <c r="E12" s="678"/>
      <c r="F12" s="678"/>
      <c r="G12" s="678"/>
      <c r="H12" s="678"/>
      <c r="I12" s="678"/>
      <c r="J12" s="678"/>
      <c r="K12" s="678"/>
      <c r="L12" s="678"/>
      <c r="M12" s="678"/>
      <c r="N12" s="678"/>
      <c r="O12" s="678"/>
      <c r="P12" s="678"/>
      <c r="Q12" s="678"/>
      <c r="R12" s="678"/>
      <c r="S12" s="678"/>
      <c r="T12" s="678"/>
      <c r="U12" s="678"/>
      <c r="V12" s="678"/>
      <c r="W12" s="678"/>
      <c r="X12" s="678"/>
      <c r="Y12" s="678"/>
      <c r="Z12" s="678"/>
    </row>
    <row r="13" spans="1:26" ht="14.25" customHeight="1" x14ac:dyDescent="0.3">
      <c r="A13" s="692" t="s">
        <v>1964</v>
      </c>
      <c r="B13" s="678"/>
      <c r="C13" s="678"/>
      <c r="D13" s="678"/>
      <c r="E13" s="693" t="s">
        <v>1965</v>
      </c>
      <c r="F13" s="678"/>
      <c r="G13" s="694" t="s">
        <v>1966</v>
      </c>
      <c r="H13" s="678"/>
      <c r="I13" s="695" t="s">
        <v>1967</v>
      </c>
      <c r="J13" s="678"/>
      <c r="K13" s="678"/>
      <c r="L13" s="678"/>
      <c r="M13" s="678"/>
      <c r="N13" s="678"/>
      <c r="O13" s="678"/>
      <c r="P13" s="678"/>
      <c r="Q13" s="678"/>
      <c r="R13" s="678"/>
      <c r="S13" s="678"/>
      <c r="T13" s="678"/>
      <c r="U13" s="678"/>
      <c r="V13" s="678"/>
      <c r="W13" s="678"/>
      <c r="X13" s="678"/>
      <c r="Y13" s="678"/>
      <c r="Z13" s="678"/>
    </row>
    <row r="14" spans="1:26" ht="14.25" customHeight="1" x14ac:dyDescent="0.3">
      <c r="A14" s="678"/>
      <c r="B14" s="678"/>
      <c r="C14" s="678"/>
      <c r="D14" s="678"/>
      <c r="E14" s="678"/>
      <c r="F14" s="678"/>
      <c r="G14" s="678"/>
      <c r="H14" s="678"/>
      <c r="I14" s="678"/>
      <c r="J14" s="678"/>
      <c r="K14" s="678"/>
      <c r="L14" s="678"/>
      <c r="M14" s="678"/>
      <c r="N14" s="678"/>
      <c r="O14" s="678"/>
      <c r="P14" s="678"/>
      <c r="Q14" s="678"/>
      <c r="R14" s="678"/>
      <c r="S14" s="678"/>
      <c r="T14" s="678"/>
      <c r="U14" s="678"/>
      <c r="V14" s="678"/>
      <c r="W14" s="678"/>
      <c r="X14" s="678"/>
      <c r="Y14" s="678"/>
      <c r="Z14" s="678"/>
    </row>
    <row r="15" spans="1:26" ht="14.25" customHeight="1" x14ac:dyDescent="0.3">
      <c r="A15" s="696" t="s">
        <v>1968</v>
      </c>
      <c r="B15" s="678"/>
      <c r="C15" s="697">
        <f>SUM(C5:C9)</f>
        <v>49878192</v>
      </c>
      <c r="D15" s="697">
        <f>SUM(D5:D9)</f>
        <v>97803496</v>
      </c>
      <c r="E15" s="698">
        <f>SUM(C15:D15)</f>
        <v>147681688</v>
      </c>
      <c r="F15" s="689"/>
      <c r="G15" s="699">
        <f>+E15*1.3</f>
        <v>191986194.40000001</v>
      </c>
      <c r="H15" s="678" t="str">
        <f>+A15</f>
        <v>Registros Farmacias</v>
      </c>
      <c r="I15" s="678"/>
      <c r="J15" s="678"/>
      <c r="K15" s="678"/>
      <c r="L15" s="678"/>
      <c r="M15" s="678"/>
      <c r="N15" s="678"/>
      <c r="O15" s="678"/>
      <c r="P15" s="678"/>
      <c r="Q15" s="678"/>
      <c r="R15" s="678"/>
      <c r="S15" s="678"/>
      <c r="T15" s="678"/>
      <c r="U15" s="678"/>
      <c r="V15" s="678"/>
      <c r="W15" s="678"/>
      <c r="X15" s="678"/>
      <c r="Y15" s="678"/>
      <c r="Z15" s="678"/>
    </row>
    <row r="16" spans="1:26" ht="14.25" customHeight="1" x14ac:dyDescent="0.3">
      <c r="A16" s="678"/>
      <c r="B16" s="678"/>
      <c r="C16" s="689"/>
      <c r="D16" s="689"/>
      <c r="E16" s="689"/>
      <c r="F16" s="689"/>
      <c r="G16" s="689"/>
      <c r="H16" s="678"/>
      <c r="I16" s="678"/>
      <c r="J16" s="678"/>
      <c r="K16" s="678"/>
      <c r="L16" s="678"/>
      <c r="M16" s="678"/>
      <c r="N16" s="678"/>
      <c r="O16" s="678"/>
      <c r="P16" s="678"/>
      <c r="Q16" s="678"/>
      <c r="R16" s="678"/>
      <c r="S16" s="678"/>
      <c r="T16" s="678"/>
      <c r="U16" s="678"/>
      <c r="V16" s="678"/>
      <c r="W16" s="678"/>
      <c r="X16" s="678"/>
      <c r="Y16" s="678"/>
      <c r="Z16" s="678"/>
    </row>
    <row r="17" spans="1:26" ht="14.25" customHeight="1" x14ac:dyDescent="0.3">
      <c r="A17" s="696" t="s">
        <v>1969</v>
      </c>
      <c r="B17" s="678">
        <v>12</v>
      </c>
      <c r="C17" s="689">
        <v>4044535.75</v>
      </c>
      <c r="D17" s="689"/>
      <c r="E17" s="698">
        <f>C17*B17</f>
        <v>48534429</v>
      </c>
      <c r="F17" s="689"/>
      <c r="G17" s="699">
        <f>+E17*1.3</f>
        <v>63094757.700000003</v>
      </c>
      <c r="H17" s="678" t="str">
        <f>+A17</f>
        <v>Precio fijo Operación</v>
      </c>
      <c r="I17" s="678"/>
      <c r="J17" s="678"/>
      <c r="K17" s="678"/>
      <c r="L17" s="678"/>
      <c r="M17" s="678"/>
      <c r="N17" s="678"/>
      <c r="O17" s="678"/>
      <c r="P17" s="678"/>
      <c r="Q17" s="678"/>
      <c r="R17" s="678"/>
      <c r="S17" s="678"/>
      <c r="T17" s="678"/>
      <c r="U17" s="678"/>
      <c r="V17" s="678"/>
      <c r="W17" s="678"/>
      <c r="X17" s="678"/>
      <c r="Y17" s="678"/>
      <c r="Z17" s="678"/>
    </row>
    <row r="18" spans="1:26" ht="8.25" customHeight="1" x14ac:dyDescent="0.3">
      <c r="A18" s="696"/>
      <c r="B18" s="678"/>
      <c r="C18" s="689"/>
      <c r="D18" s="689"/>
      <c r="E18" s="689"/>
      <c r="F18" s="689"/>
      <c r="G18" s="689"/>
      <c r="H18" s="678"/>
      <c r="I18" s="678"/>
      <c r="J18" s="678"/>
      <c r="K18" s="678"/>
      <c r="L18" s="678"/>
      <c r="M18" s="678"/>
      <c r="N18" s="678"/>
      <c r="O18" s="678"/>
      <c r="P18" s="678"/>
      <c r="Q18" s="678"/>
      <c r="R18" s="678"/>
      <c r="S18" s="678"/>
      <c r="T18" s="678"/>
      <c r="U18" s="678"/>
      <c r="V18" s="678"/>
      <c r="W18" s="678"/>
      <c r="X18" s="678"/>
      <c r="Y18" s="678"/>
      <c r="Z18" s="678"/>
    </row>
    <row r="19" spans="1:26" ht="14.25" customHeight="1" x14ac:dyDescent="0.3">
      <c r="A19" s="696" t="s">
        <v>1970</v>
      </c>
      <c r="B19" s="691" t="s">
        <v>1971</v>
      </c>
      <c r="C19" s="689">
        <v>23835.29</v>
      </c>
      <c r="D19" s="689"/>
      <c r="E19" s="689"/>
      <c r="F19" s="689"/>
      <c r="G19" s="689"/>
      <c r="H19" s="678"/>
      <c r="I19" s="678"/>
      <c r="J19" s="678"/>
      <c r="K19" s="678"/>
      <c r="L19" s="678"/>
      <c r="M19" s="678"/>
      <c r="N19" s="678"/>
      <c r="O19" s="678"/>
      <c r="P19" s="678"/>
      <c r="Q19" s="678"/>
      <c r="R19" s="678"/>
      <c r="S19" s="678"/>
      <c r="T19" s="678"/>
      <c r="U19" s="678"/>
      <c r="V19" s="678"/>
      <c r="W19" s="678"/>
      <c r="X19" s="678"/>
      <c r="Y19" s="678"/>
      <c r="Z19" s="678"/>
    </row>
    <row r="20" spans="1:26" ht="8.25" customHeight="1" x14ac:dyDescent="0.3">
      <c r="A20" s="696"/>
      <c r="B20" s="691"/>
      <c r="C20" s="689"/>
      <c r="D20" s="689"/>
      <c r="E20" s="689"/>
      <c r="F20" s="689"/>
      <c r="G20" s="689"/>
      <c r="H20" s="678"/>
      <c r="I20" s="678"/>
      <c r="J20" s="678"/>
      <c r="K20" s="678"/>
      <c r="L20" s="678"/>
      <c r="M20" s="678"/>
      <c r="N20" s="678"/>
      <c r="O20" s="678"/>
      <c r="P20" s="678"/>
      <c r="Q20" s="678"/>
      <c r="R20" s="678"/>
      <c r="S20" s="678"/>
      <c r="T20" s="678"/>
      <c r="U20" s="678"/>
      <c r="V20" s="678"/>
      <c r="W20" s="678"/>
      <c r="X20" s="678"/>
      <c r="Y20" s="678"/>
      <c r="Z20" s="678"/>
    </row>
    <row r="21" spans="1:26" ht="14.25" customHeight="1" x14ac:dyDescent="0.3">
      <c r="A21" s="700" t="s">
        <v>1972</v>
      </c>
      <c r="B21" s="678"/>
      <c r="C21" s="689"/>
      <c r="D21" s="689"/>
      <c r="E21" s="701">
        <f>SUM(E15:E19)</f>
        <v>196216117</v>
      </c>
      <c r="F21" s="689"/>
      <c r="G21" s="702">
        <f>SUM(G15:G17)</f>
        <v>255080952.10000002</v>
      </c>
      <c r="H21" s="678"/>
      <c r="I21" s="703" t="s">
        <v>1973</v>
      </c>
      <c r="J21" s="704"/>
      <c r="K21" s="678"/>
      <c r="L21" s="678"/>
      <c r="M21" s="678"/>
      <c r="N21" s="678"/>
      <c r="O21" s="678"/>
      <c r="P21" s="678"/>
      <c r="Q21" s="678"/>
      <c r="R21" s="678"/>
      <c r="S21" s="678"/>
      <c r="T21" s="678"/>
      <c r="U21" s="678"/>
      <c r="V21" s="678"/>
      <c r="W21" s="678"/>
      <c r="X21" s="678"/>
      <c r="Y21" s="678"/>
      <c r="Z21" s="678"/>
    </row>
    <row r="22" spans="1:26" ht="14.25" customHeight="1" x14ac:dyDescent="0.3">
      <c r="A22" s="678"/>
      <c r="B22" s="678"/>
      <c r="C22" s="689"/>
      <c r="D22" s="689"/>
      <c r="E22" s="689"/>
      <c r="F22" s="689"/>
      <c r="G22" s="689"/>
      <c r="H22" s="678"/>
      <c r="I22" s="678"/>
      <c r="J22" s="678"/>
      <c r="K22" s="678"/>
      <c r="L22" s="678"/>
      <c r="M22" s="678"/>
      <c r="N22" s="678"/>
      <c r="O22" s="678"/>
      <c r="P22" s="678"/>
      <c r="Q22" s="678"/>
      <c r="R22" s="678"/>
      <c r="S22" s="678"/>
      <c r="T22" s="678"/>
      <c r="U22" s="678"/>
      <c r="V22" s="678"/>
      <c r="W22" s="678"/>
      <c r="X22" s="678"/>
      <c r="Y22" s="678"/>
      <c r="Z22" s="678"/>
    </row>
    <row r="23" spans="1:26" ht="14.25" customHeight="1" x14ac:dyDescent="0.3">
      <c r="A23" s="678"/>
      <c r="B23" s="678"/>
      <c r="C23" s="689"/>
      <c r="D23" s="689"/>
      <c r="E23" s="689">
        <f>+E21*5%*-1</f>
        <v>-9810805.8499999996</v>
      </c>
      <c r="F23" s="689"/>
      <c r="G23" s="689">
        <f>+G21*5%*-1</f>
        <v>-12754047.605000002</v>
      </c>
      <c r="H23" s="678" t="s">
        <v>1974</v>
      </c>
      <c r="I23" s="678"/>
      <c r="J23" s="678"/>
      <c r="K23" s="678"/>
      <c r="L23" s="678"/>
      <c r="M23" s="678"/>
      <c r="N23" s="678"/>
      <c r="O23" s="678"/>
      <c r="P23" s="678"/>
      <c r="Q23" s="678"/>
      <c r="R23" s="678"/>
      <c r="S23" s="678"/>
      <c r="T23" s="678"/>
      <c r="U23" s="678"/>
      <c r="V23" s="678"/>
      <c r="W23" s="678"/>
      <c r="X23" s="678"/>
      <c r="Y23" s="678"/>
      <c r="Z23" s="678"/>
    </row>
    <row r="24" spans="1:26" ht="14.25" customHeight="1" x14ac:dyDescent="0.3">
      <c r="A24" s="678"/>
      <c r="B24" s="678"/>
      <c r="C24" s="689"/>
      <c r="D24" s="689"/>
      <c r="E24" s="689"/>
      <c r="F24" s="689"/>
      <c r="G24" s="689"/>
      <c r="H24" s="678"/>
      <c r="I24" s="678"/>
      <c r="J24" s="678"/>
      <c r="K24" s="678"/>
      <c r="L24" s="678"/>
      <c r="M24" s="678"/>
      <c r="N24" s="678"/>
      <c r="O24" s="678"/>
      <c r="P24" s="678"/>
      <c r="Q24" s="678"/>
      <c r="R24" s="678"/>
      <c r="S24" s="678"/>
      <c r="T24" s="678"/>
      <c r="U24" s="678"/>
      <c r="V24" s="678"/>
      <c r="W24" s="678"/>
      <c r="X24" s="678"/>
      <c r="Y24" s="678"/>
      <c r="Z24" s="678"/>
    </row>
    <row r="25" spans="1:26" ht="14.25" customHeight="1" x14ac:dyDescent="0.3">
      <c r="A25" s="705" t="s">
        <v>1975</v>
      </c>
      <c r="B25" s="678"/>
      <c r="C25" s="689"/>
      <c r="D25" s="689"/>
      <c r="E25" s="706">
        <f>+E21+E23</f>
        <v>186405311.15000001</v>
      </c>
      <c r="F25" s="689"/>
      <c r="G25" s="707">
        <f>+G21+G23</f>
        <v>242326904.49500003</v>
      </c>
      <c r="H25" s="678" t="str">
        <f>+A25</f>
        <v>Ventas netas de IIBB</v>
      </c>
      <c r="I25" s="678"/>
      <c r="J25" s="678"/>
      <c r="K25" s="678"/>
      <c r="L25" s="678"/>
      <c r="M25" s="678"/>
      <c r="N25" s="678"/>
      <c r="O25" s="678"/>
      <c r="P25" s="678"/>
      <c r="Q25" s="678"/>
      <c r="R25" s="678"/>
      <c r="S25" s="678"/>
      <c r="T25" s="678"/>
      <c r="U25" s="678"/>
      <c r="V25" s="678"/>
      <c r="W25" s="678"/>
      <c r="X25" s="678"/>
      <c r="Y25" s="678"/>
      <c r="Z25" s="678"/>
    </row>
    <row r="26" spans="1:26" ht="14.25" customHeight="1" x14ac:dyDescent="0.3">
      <c r="A26" s="678"/>
      <c r="B26" s="678"/>
      <c r="C26" s="678"/>
      <c r="D26" s="678"/>
      <c r="E26" s="678"/>
      <c r="F26" s="678"/>
      <c r="G26" s="678"/>
      <c r="H26" s="678"/>
      <c r="I26" s="678"/>
      <c r="J26" s="678"/>
      <c r="K26" s="678"/>
      <c r="L26" s="678"/>
      <c r="M26" s="678"/>
      <c r="N26" s="678"/>
      <c r="O26" s="678"/>
      <c r="P26" s="678"/>
      <c r="Q26" s="678"/>
      <c r="R26" s="678"/>
      <c r="S26" s="678"/>
      <c r="T26" s="678"/>
      <c r="U26" s="678"/>
      <c r="V26" s="678"/>
      <c r="W26" s="678"/>
      <c r="X26" s="678"/>
      <c r="Y26" s="678"/>
      <c r="Z26" s="678"/>
    </row>
    <row r="27" spans="1:26" ht="14.25" customHeight="1" x14ac:dyDescent="0.3">
      <c r="A27" s="708" t="s">
        <v>1976</v>
      </c>
      <c r="B27" s="678"/>
      <c r="C27" s="709" t="s">
        <v>1977</v>
      </c>
      <c r="D27" s="709" t="s">
        <v>1978</v>
      </c>
      <c r="E27" s="678"/>
      <c r="F27" s="678"/>
      <c r="G27" s="678"/>
      <c r="H27" s="678"/>
      <c r="I27" s="678"/>
      <c r="J27" s="678"/>
      <c r="K27" s="678"/>
      <c r="L27" s="678"/>
      <c r="M27" s="678"/>
      <c r="N27" s="678"/>
      <c r="O27" s="678"/>
      <c r="P27" s="678"/>
      <c r="Q27" s="678"/>
      <c r="R27" s="678"/>
      <c r="S27" s="678"/>
      <c r="T27" s="678"/>
      <c r="U27" s="678"/>
      <c r="V27" s="678"/>
      <c r="W27" s="678"/>
      <c r="X27" s="678"/>
      <c r="Y27" s="678"/>
      <c r="Z27" s="678"/>
    </row>
    <row r="28" spans="1:26" ht="14.25" customHeight="1" x14ac:dyDescent="0.3">
      <c r="A28" s="678"/>
      <c r="B28" s="678"/>
      <c r="C28" s="678"/>
      <c r="D28" s="678"/>
      <c r="E28" s="678"/>
      <c r="F28" s="678"/>
      <c r="G28" s="678"/>
      <c r="H28" s="678"/>
      <c r="I28" s="678"/>
      <c r="J28" s="678"/>
      <c r="K28" s="678"/>
      <c r="L28" s="678"/>
      <c r="M28" s="678"/>
      <c r="N28" s="678"/>
      <c r="O28" s="678"/>
      <c r="P28" s="678"/>
      <c r="Q28" s="678"/>
      <c r="R28" s="678"/>
      <c r="S28" s="678"/>
      <c r="T28" s="678"/>
      <c r="U28" s="678"/>
      <c r="V28" s="678"/>
      <c r="W28" s="678"/>
      <c r="X28" s="678"/>
      <c r="Y28" s="678"/>
      <c r="Z28" s="678"/>
    </row>
    <row r="29" spans="1:26" ht="14.25" customHeight="1" x14ac:dyDescent="0.3">
      <c r="A29" s="678" t="s">
        <v>1979</v>
      </c>
      <c r="B29" s="678"/>
      <c r="C29" s="689">
        <f>SUM(Reporte_Registros_IQVIA_Serie_T!C26:K26)</f>
        <v>19242638</v>
      </c>
      <c r="D29" s="689">
        <f>SUM(Reporte_Registros_IQVIA_Serie_T!L26:N26)</f>
        <v>6987954</v>
      </c>
      <c r="E29" s="689">
        <f>SUM(C29:D29)</f>
        <v>26230592</v>
      </c>
      <c r="F29" s="689"/>
      <c r="G29" s="689"/>
      <c r="H29" s="678"/>
      <c r="I29" s="695" t="s">
        <v>1967</v>
      </c>
      <c r="J29" s="678"/>
      <c r="K29" s="678"/>
      <c r="L29" s="678"/>
      <c r="M29" s="678"/>
      <c r="N29" s="678"/>
      <c r="O29" s="678"/>
      <c r="P29" s="678"/>
      <c r="Q29" s="678"/>
      <c r="R29" s="678"/>
      <c r="S29" s="678"/>
      <c r="T29" s="678"/>
      <c r="U29" s="678"/>
      <c r="V29" s="678"/>
      <c r="W29" s="678"/>
      <c r="X29" s="678"/>
      <c r="Y29" s="678"/>
      <c r="Z29" s="678"/>
    </row>
    <row r="30" spans="1:26" ht="14.25" customHeight="1" x14ac:dyDescent="0.3">
      <c r="A30" s="678" t="s">
        <v>9</v>
      </c>
      <c r="B30" s="678"/>
      <c r="C30" s="689">
        <f>SUM(Reporte_Registros_IQVIA_Serie_T!C27:K27)</f>
        <v>6560334</v>
      </c>
      <c r="D30" s="689">
        <f>SUM(Reporte_Registros_IQVIA_Serie_T!L27:N27)</f>
        <v>2119440</v>
      </c>
      <c r="E30" s="689">
        <f>SUM(C30:D30)</f>
        <v>8679774</v>
      </c>
      <c r="F30" s="689"/>
      <c r="G30" s="689"/>
      <c r="H30" s="678"/>
      <c r="I30" s="678"/>
      <c r="J30" s="678"/>
      <c r="K30" s="678"/>
      <c r="L30" s="678"/>
      <c r="M30" s="678"/>
      <c r="N30" s="678"/>
      <c r="O30" s="678"/>
      <c r="P30" s="678"/>
      <c r="Q30" s="678"/>
      <c r="R30" s="678"/>
      <c r="S30" s="678"/>
      <c r="T30" s="678"/>
      <c r="U30" s="678"/>
      <c r="V30" s="678"/>
      <c r="W30" s="678"/>
      <c r="X30" s="678"/>
      <c r="Y30" s="678"/>
      <c r="Z30" s="678"/>
    </row>
    <row r="31" spans="1:26" ht="14.25" customHeight="1" x14ac:dyDescent="0.3">
      <c r="A31" s="678"/>
      <c r="B31" s="678"/>
      <c r="C31" s="689"/>
      <c r="D31" s="689"/>
      <c r="E31" s="689"/>
      <c r="F31" s="689"/>
      <c r="G31" s="689"/>
      <c r="H31" s="678"/>
      <c r="I31" s="678"/>
      <c r="J31" s="678"/>
      <c r="K31" s="678"/>
      <c r="L31" s="678"/>
      <c r="M31" s="678"/>
      <c r="N31" s="678"/>
      <c r="O31" s="678"/>
      <c r="P31" s="678"/>
      <c r="Q31" s="678"/>
      <c r="R31" s="678"/>
      <c r="S31" s="678"/>
      <c r="T31" s="678"/>
      <c r="U31" s="678"/>
      <c r="V31" s="678"/>
      <c r="W31" s="678"/>
      <c r="X31" s="678"/>
      <c r="Y31" s="678"/>
      <c r="Z31" s="678"/>
    </row>
    <row r="32" spans="1:26" ht="14.25" customHeight="1" x14ac:dyDescent="0.3">
      <c r="A32" s="705" t="s">
        <v>1616</v>
      </c>
      <c r="B32" s="678"/>
      <c r="C32" s="689"/>
      <c r="D32" s="689"/>
      <c r="E32" s="706">
        <f>SUM(E29:E30)</f>
        <v>34910366</v>
      </c>
      <c r="F32" s="689"/>
      <c r="G32" s="707">
        <f>E32*1.3</f>
        <v>45383475.800000004</v>
      </c>
      <c r="H32" s="678"/>
      <c r="I32" s="696" t="s">
        <v>1973</v>
      </c>
      <c r="J32" s="678"/>
      <c r="K32" s="678"/>
      <c r="L32" s="678"/>
      <c r="M32" s="678"/>
      <c r="N32" s="678"/>
      <c r="O32" s="678"/>
      <c r="P32" s="678"/>
      <c r="Q32" s="678"/>
      <c r="R32" s="678"/>
      <c r="S32" s="678"/>
      <c r="T32" s="678"/>
      <c r="U32" s="678"/>
      <c r="V32" s="678"/>
      <c r="W32" s="678"/>
      <c r="X32" s="678"/>
      <c r="Y32" s="678"/>
      <c r="Z32" s="678"/>
    </row>
    <row r="33" spans="1:26" ht="14.25" customHeight="1" x14ac:dyDescent="0.3">
      <c r="A33" s="678"/>
      <c r="B33" s="678"/>
      <c r="C33" s="689"/>
      <c r="D33" s="689"/>
      <c r="E33" s="689"/>
      <c r="F33" s="689"/>
      <c r="G33" s="689"/>
      <c r="H33" s="678"/>
      <c r="I33" s="678"/>
      <c r="J33" s="678"/>
      <c r="K33" s="678"/>
      <c r="L33" s="678"/>
      <c r="M33" s="678"/>
      <c r="N33" s="678"/>
      <c r="O33" s="678"/>
      <c r="P33" s="678"/>
      <c r="Q33" s="678"/>
      <c r="R33" s="678"/>
      <c r="S33" s="678"/>
      <c r="T33" s="678"/>
      <c r="U33" s="678"/>
      <c r="V33" s="678"/>
      <c r="W33" s="678"/>
      <c r="X33" s="678"/>
      <c r="Y33" s="678"/>
      <c r="Z33" s="678"/>
    </row>
    <row r="34" spans="1:26" ht="14.25" customHeight="1" x14ac:dyDescent="0.3">
      <c r="A34" s="705" t="s">
        <v>1980</v>
      </c>
      <c r="B34" s="678"/>
      <c r="C34" s="689"/>
      <c r="D34" s="689"/>
      <c r="E34" s="706">
        <f>E25-E32</f>
        <v>151494945.15000001</v>
      </c>
      <c r="F34" s="689"/>
      <c r="G34" s="702">
        <f>G25-G32</f>
        <v>196943428.69500002</v>
      </c>
      <c r="H34" s="678"/>
      <c r="I34" s="678"/>
      <c r="J34" s="678"/>
      <c r="K34" s="678"/>
      <c r="L34" s="678"/>
      <c r="M34" s="678"/>
      <c r="N34" s="678"/>
      <c r="O34" s="678"/>
      <c r="P34" s="678"/>
      <c r="Q34" s="678"/>
      <c r="R34" s="678"/>
      <c r="S34" s="678"/>
      <c r="T34" s="678"/>
      <c r="U34" s="678"/>
      <c r="V34" s="678"/>
      <c r="W34" s="678"/>
      <c r="X34" s="678"/>
      <c r="Y34" s="678"/>
      <c r="Z34" s="678"/>
    </row>
    <row r="35" spans="1:26" ht="14.25" customHeight="1" x14ac:dyDescent="0.3">
      <c r="A35" s="678"/>
      <c r="B35" s="678"/>
      <c r="C35" s="678"/>
      <c r="D35" s="678"/>
      <c r="E35" s="710">
        <f>E34/E25</f>
        <v>0.81271796503744631</v>
      </c>
      <c r="F35" s="678"/>
      <c r="G35" s="710">
        <f>G34/G25</f>
        <v>0.81271796503744631</v>
      </c>
      <c r="H35" s="678"/>
      <c r="I35" s="678"/>
      <c r="J35" s="678"/>
      <c r="K35" s="678"/>
      <c r="L35" s="678"/>
      <c r="M35" s="678"/>
      <c r="N35" s="678"/>
      <c r="O35" s="678"/>
      <c r="P35" s="678"/>
      <c r="Q35" s="678"/>
      <c r="R35" s="678"/>
      <c r="S35" s="678"/>
      <c r="T35" s="678"/>
      <c r="U35" s="678"/>
      <c r="V35" s="678"/>
      <c r="W35" s="678"/>
      <c r="X35" s="678"/>
      <c r="Y35" s="678"/>
      <c r="Z35" s="678"/>
    </row>
    <row r="36" spans="1:26" ht="14.25" customHeight="1" x14ac:dyDescent="0.3">
      <c r="A36" s="678"/>
      <c r="B36" s="678"/>
      <c r="C36" s="678"/>
      <c r="D36" s="678"/>
      <c r="E36" s="678"/>
      <c r="F36" s="678"/>
      <c r="G36" s="678"/>
      <c r="H36" s="678"/>
      <c r="I36" s="678"/>
      <c r="J36" s="678"/>
      <c r="K36" s="678"/>
      <c r="L36" s="678"/>
      <c r="M36" s="678"/>
      <c r="N36" s="678"/>
      <c r="O36" s="678"/>
      <c r="P36" s="678"/>
      <c r="Q36" s="678"/>
      <c r="R36" s="678"/>
      <c r="S36" s="678"/>
      <c r="T36" s="678"/>
      <c r="U36" s="678"/>
      <c r="V36" s="678"/>
      <c r="W36" s="678"/>
      <c r="X36" s="678"/>
      <c r="Y36" s="678"/>
      <c r="Z36" s="678"/>
    </row>
    <row r="37" spans="1:26" ht="14.25" customHeight="1" x14ac:dyDescent="0.3">
      <c r="A37" s="1127" t="s">
        <v>1981</v>
      </c>
      <c r="B37" s="1120"/>
      <c r="C37" s="678"/>
      <c r="D37" s="678"/>
      <c r="E37" s="678"/>
      <c r="F37" s="678"/>
      <c r="G37" s="678"/>
      <c r="H37" s="678"/>
      <c r="I37" s="678"/>
      <c r="J37" s="678"/>
      <c r="K37" s="678"/>
      <c r="L37" s="678"/>
      <c r="M37" s="678"/>
      <c r="N37" s="678"/>
      <c r="O37" s="678"/>
      <c r="P37" s="678"/>
      <c r="Q37" s="678"/>
      <c r="R37" s="678"/>
      <c r="S37" s="678"/>
      <c r="T37" s="678"/>
      <c r="U37" s="678"/>
      <c r="V37" s="678"/>
      <c r="W37" s="678"/>
      <c r="X37" s="678"/>
      <c r="Y37" s="678"/>
      <c r="Z37" s="678"/>
    </row>
    <row r="38" spans="1:26" ht="14.25" customHeight="1" x14ac:dyDescent="0.3">
      <c r="A38" s="711">
        <v>1</v>
      </c>
      <c r="B38" s="712" t="s">
        <v>1982</v>
      </c>
      <c r="C38" s="678"/>
      <c r="D38" s="678"/>
      <c r="E38" s="678"/>
      <c r="F38" s="678"/>
      <c r="G38" s="713" t="s">
        <v>1983</v>
      </c>
      <c r="H38" s="678"/>
      <c r="I38" s="678"/>
      <c r="J38" s="678"/>
      <c r="K38" s="678"/>
      <c r="L38" s="678"/>
      <c r="M38" s="678"/>
      <c r="N38" s="678"/>
      <c r="O38" s="678"/>
      <c r="P38" s="678"/>
      <c r="Q38" s="678"/>
      <c r="R38" s="678"/>
      <c r="S38" s="678"/>
      <c r="T38" s="678"/>
      <c r="U38" s="678"/>
      <c r="V38" s="678"/>
      <c r="W38" s="678"/>
      <c r="X38" s="678"/>
      <c r="Y38" s="678"/>
      <c r="Z38" s="678"/>
    </row>
    <row r="39" spans="1:26" ht="14.25" customHeight="1" x14ac:dyDescent="0.3">
      <c r="A39" s="678"/>
      <c r="B39" s="678"/>
      <c r="C39" s="678"/>
      <c r="D39" s="678"/>
      <c r="E39" s="678"/>
      <c r="F39" s="678"/>
      <c r="G39" s="678"/>
      <c r="H39" s="678"/>
      <c r="I39" s="678"/>
      <c r="J39" s="678"/>
      <c r="K39" s="678"/>
      <c r="L39" s="678"/>
      <c r="M39" s="678"/>
      <c r="N39" s="678"/>
      <c r="O39" s="678"/>
      <c r="P39" s="678"/>
      <c r="Q39" s="678"/>
      <c r="R39" s="678"/>
      <c r="S39" s="678"/>
      <c r="T39" s="678"/>
      <c r="U39" s="678"/>
      <c r="V39" s="678"/>
      <c r="W39" s="678"/>
      <c r="X39" s="678"/>
      <c r="Y39" s="678"/>
      <c r="Z39" s="678"/>
    </row>
    <row r="40" spans="1:26" ht="14.25" customHeight="1" x14ac:dyDescent="0.3">
      <c r="A40" s="678"/>
      <c r="B40" s="678"/>
      <c r="C40" s="678"/>
      <c r="D40" s="678"/>
      <c r="E40" s="678"/>
      <c r="F40" s="678"/>
      <c r="G40" s="678"/>
      <c r="H40" s="678"/>
      <c r="I40" s="678"/>
      <c r="J40" s="678"/>
      <c r="K40" s="678"/>
      <c r="L40" s="678"/>
      <c r="M40" s="678"/>
      <c r="N40" s="678"/>
      <c r="O40" s="678"/>
      <c r="P40" s="678"/>
      <c r="Q40" s="678"/>
      <c r="R40" s="678"/>
      <c r="S40" s="678"/>
      <c r="T40" s="678"/>
      <c r="U40" s="678"/>
      <c r="V40" s="678"/>
      <c r="W40" s="678"/>
      <c r="X40" s="678"/>
      <c r="Y40" s="678"/>
      <c r="Z40" s="678"/>
    </row>
    <row r="41" spans="1:26" ht="14.25" customHeight="1" x14ac:dyDescent="0.3">
      <c r="A41" s="678"/>
      <c r="B41" s="678"/>
      <c r="C41" s="678"/>
      <c r="D41" s="678"/>
      <c r="E41" s="678"/>
      <c r="F41" s="678"/>
      <c r="G41" s="678"/>
      <c r="H41" s="678"/>
      <c r="I41" s="678"/>
      <c r="J41" s="678"/>
      <c r="K41" s="678"/>
      <c r="L41" s="678"/>
      <c r="M41" s="678"/>
      <c r="N41" s="678"/>
      <c r="O41" s="678"/>
      <c r="P41" s="678"/>
      <c r="Q41" s="678"/>
      <c r="R41" s="678"/>
      <c r="S41" s="678"/>
      <c r="T41" s="678"/>
      <c r="U41" s="678"/>
      <c r="V41" s="678"/>
      <c r="W41" s="678"/>
      <c r="X41" s="678"/>
      <c r="Y41" s="678"/>
      <c r="Z41" s="678"/>
    </row>
    <row r="42" spans="1:26" ht="14.25" customHeight="1" x14ac:dyDescent="0.3">
      <c r="A42" s="678"/>
      <c r="B42" s="678"/>
      <c r="C42" s="678"/>
      <c r="D42" s="678"/>
      <c r="E42" s="678"/>
      <c r="F42" s="678"/>
      <c r="G42" s="678"/>
      <c r="H42" s="678"/>
      <c r="I42" s="678"/>
      <c r="J42" s="678"/>
      <c r="K42" s="678"/>
      <c r="L42" s="678"/>
      <c r="M42" s="678"/>
      <c r="N42" s="678"/>
      <c r="O42" s="678"/>
      <c r="P42" s="678"/>
      <c r="Q42" s="678"/>
      <c r="R42" s="678"/>
      <c r="S42" s="678"/>
      <c r="T42" s="678"/>
      <c r="U42" s="678"/>
      <c r="V42" s="678"/>
      <c r="W42" s="678"/>
      <c r="X42" s="678"/>
      <c r="Y42" s="678"/>
      <c r="Z42" s="678"/>
    </row>
    <row r="43" spans="1:26" ht="14.25" customHeight="1" x14ac:dyDescent="0.3">
      <c r="A43" s="678"/>
      <c r="B43" s="678"/>
      <c r="C43" s="678"/>
      <c r="D43" s="678"/>
      <c r="E43" s="678"/>
      <c r="F43" s="678"/>
      <c r="G43" s="678"/>
      <c r="H43" s="678"/>
      <c r="I43" s="678"/>
      <c r="J43" s="678"/>
      <c r="K43" s="678"/>
      <c r="L43" s="678"/>
      <c r="M43" s="678"/>
      <c r="N43" s="678"/>
      <c r="O43" s="678"/>
      <c r="P43" s="678"/>
      <c r="Q43" s="678"/>
      <c r="R43" s="678"/>
      <c r="S43" s="678"/>
      <c r="T43" s="678"/>
      <c r="U43" s="678"/>
      <c r="V43" s="678"/>
      <c r="W43" s="678"/>
      <c r="X43" s="678"/>
      <c r="Y43" s="678"/>
      <c r="Z43" s="678"/>
    </row>
    <row r="44" spans="1:26" ht="14.25" customHeight="1" x14ac:dyDescent="0.3">
      <c r="A44" s="678"/>
      <c r="B44" s="678"/>
      <c r="C44" s="678"/>
      <c r="D44" s="678"/>
      <c r="E44" s="678"/>
      <c r="F44" s="678"/>
      <c r="G44" s="678"/>
      <c r="H44" s="678"/>
      <c r="I44" s="678"/>
      <c r="J44" s="678"/>
      <c r="K44" s="678"/>
      <c r="L44" s="678"/>
      <c r="M44" s="678"/>
      <c r="N44" s="678"/>
      <c r="O44" s="678"/>
      <c r="P44" s="678"/>
      <c r="Q44" s="678"/>
      <c r="R44" s="678"/>
      <c r="S44" s="678"/>
      <c r="T44" s="678"/>
      <c r="U44" s="678"/>
      <c r="V44" s="678"/>
      <c r="W44" s="678"/>
      <c r="X44" s="678"/>
      <c r="Y44" s="678"/>
      <c r="Z44" s="678"/>
    </row>
    <row r="45" spans="1:26" ht="14.25" customHeight="1" x14ac:dyDescent="0.3">
      <c r="A45" s="678"/>
      <c r="B45" s="678"/>
      <c r="C45" s="678"/>
      <c r="D45" s="678"/>
      <c r="E45" s="678"/>
      <c r="F45" s="678"/>
      <c r="G45" s="678"/>
      <c r="H45" s="678"/>
      <c r="I45" s="678"/>
      <c r="J45" s="678"/>
      <c r="K45" s="678"/>
      <c r="L45" s="678"/>
      <c r="M45" s="678"/>
      <c r="N45" s="678"/>
      <c r="O45" s="678"/>
      <c r="P45" s="678"/>
      <c r="Q45" s="678"/>
      <c r="R45" s="678"/>
      <c r="S45" s="678"/>
      <c r="T45" s="678"/>
      <c r="U45" s="678"/>
      <c r="V45" s="678"/>
      <c r="W45" s="678"/>
      <c r="X45" s="678"/>
      <c r="Y45" s="678"/>
      <c r="Z45" s="678"/>
    </row>
    <row r="46" spans="1:26" ht="14.25" customHeight="1" x14ac:dyDescent="0.3">
      <c r="A46" s="678"/>
      <c r="B46" s="678"/>
      <c r="C46" s="678"/>
      <c r="D46" s="678"/>
      <c r="E46" s="678"/>
      <c r="F46" s="678"/>
      <c r="G46" s="678"/>
      <c r="H46" s="678"/>
      <c r="I46" s="678"/>
      <c r="J46" s="678"/>
      <c r="K46" s="678"/>
      <c r="L46" s="678"/>
      <c r="M46" s="678"/>
      <c r="N46" s="678"/>
      <c r="O46" s="678"/>
      <c r="P46" s="678"/>
      <c r="Q46" s="678"/>
      <c r="R46" s="678"/>
      <c r="S46" s="678"/>
      <c r="T46" s="678"/>
      <c r="U46" s="678"/>
      <c r="V46" s="678"/>
      <c r="W46" s="678"/>
      <c r="X46" s="678"/>
      <c r="Y46" s="678"/>
      <c r="Z46" s="678"/>
    </row>
    <row r="47" spans="1:26" ht="14.25" customHeight="1" x14ac:dyDescent="0.3">
      <c r="A47" s="678"/>
      <c r="B47" s="678"/>
      <c r="C47" s="678"/>
      <c r="D47" s="678"/>
      <c r="E47" s="678"/>
      <c r="F47" s="678"/>
      <c r="G47" s="678"/>
      <c r="H47" s="678"/>
      <c r="I47" s="678"/>
      <c r="J47" s="678"/>
      <c r="K47" s="678"/>
      <c r="L47" s="678"/>
      <c r="M47" s="678"/>
      <c r="N47" s="678"/>
      <c r="O47" s="678"/>
      <c r="P47" s="678"/>
      <c r="Q47" s="678"/>
      <c r="R47" s="678"/>
      <c r="S47" s="678"/>
      <c r="T47" s="678"/>
      <c r="U47" s="678"/>
      <c r="V47" s="678"/>
      <c r="W47" s="678"/>
      <c r="X47" s="678"/>
      <c r="Y47" s="678"/>
      <c r="Z47" s="678"/>
    </row>
    <row r="48" spans="1:26" ht="14.25" customHeight="1" x14ac:dyDescent="0.3">
      <c r="A48" s="678"/>
      <c r="B48" s="678"/>
      <c r="C48" s="678"/>
      <c r="D48" s="678"/>
      <c r="E48" s="678"/>
      <c r="F48" s="678"/>
      <c r="G48" s="678"/>
      <c r="H48" s="678"/>
      <c r="I48" s="678"/>
      <c r="J48" s="678"/>
      <c r="K48" s="678"/>
      <c r="L48" s="678"/>
      <c r="M48" s="678"/>
      <c r="N48" s="678"/>
      <c r="O48" s="678"/>
      <c r="P48" s="678"/>
      <c r="Q48" s="678"/>
      <c r="R48" s="678"/>
      <c r="S48" s="678"/>
      <c r="T48" s="678"/>
      <c r="U48" s="678"/>
      <c r="V48" s="678"/>
      <c r="W48" s="678"/>
      <c r="X48" s="678"/>
      <c r="Y48" s="678"/>
      <c r="Z48" s="678"/>
    </row>
    <row r="49" spans="1:26" ht="14.25" customHeight="1" x14ac:dyDescent="0.3">
      <c r="A49" s="678"/>
      <c r="B49" s="678"/>
      <c r="C49" s="678"/>
      <c r="D49" s="678"/>
      <c r="E49" s="678"/>
      <c r="F49" s="678"/>
      <c r="G49" s="678"/>
      <c r="H49" s="678"/>
      <c r="I49" s="678"/>
      <c r="J49" s="678"/>
      <c r="K49" s="678"/>
      <c r="L49" s="678"/>
      <c r="M49" s="678"/>
      <c r="N49" s="678"/>
      <c r="O49" s="678"/>
      <c r="P49" s="678"/>
      <c r="Q49" s="678"/>
      <c r="R49" s="678"/>
      <c r="S49" s="678"/>
      <c r="T49" s="678"/>
      <c r="U49" s="678"/>
      <c r="V49" s="678"/>
      <c r="W49" s="678"/>
      <c r="X49" s="678"/>
      <c r="Y49" s="678"/>
      <c r="Z49" s="678"/>
    </row>
    <row r="50" spans="1:26" ht="14.25" customHeight="1" x14ac:dyDescent="0.3">
      <c r="A50" s="678"/>
      <c r="B50" s="678"/>
      <c r="C50" s="678"/>
      <c r="D50" s="678"/>
      <c r="E50" s="678"/>
      <c r="F50" s="678"/>
      <c r="G50" s="678"/>
      <c r="H50" s="678"/>
      <c r="I50" s="678"/>
      <c r="J50" s="678"/>
      <c r="K50" s="678"/>
      <c r="L50" s="678"/>
      <c r="M50" s="678"/>
      <c r="N50" s="678"/>
      <c r="O50" s="678"/>
      <c r="P50" s="678"/>
      <c r="Q50" s="678"/>
      <c r="R50" s="678"/>
      <c r="S50" s="678"/>
      <c r="T50" s="678"/>
      <c r="U50" s="678"/>
      <c r="V50" s="678"/>
      <c r="W50" s="678"/>
      <c r="X50" s="678"/>
      <c r="Y50" s="678"/>
      <c r="Z50" s="678"/>
    </row>
    <row r="51" spans="1:26" ht="14.25" customHeight="1" x14ac:dyDescent="0.3">
      <c r="A51" s="678"/>
      <c r="B51" s="678"/>
      <c r="C51" s="678"/>
      <c r="D51" s="678"/>
      <c r="E51" s="678"/>
      <c r="F51" s="678"/>
      <c r="G51" s="678"/>
      <c r="H51" s="678"/>
      <c r="I51" s="678"/>
      <c r="J51" s="678"/>
      <c r="K51" s="678"/>
      <c r="L51" s="678"/>
      <c r="M51" s="678"/>
      <c r="N51" s="678"/>
      <c r="O51" s="678"/>
      <c r="P51" s="678"/>
      <c r="Q51" s="678"/>
      <c r="R51" s="678"/>
      <c r="S51" s="678"/>
      <c r="T51" s="678"/>
      <c r="U51" s="678"/>
      <c r="V51" s="678"/>
      <c r="W51" s="678"/>
      <c r="X51" s="678"/>
      <c r="Y51" s="678"/>
      <c r="Z51" s="678"/>
    </row>
    <row r="52" spans="1:26" ht="14.25" customHeight="1" x14ac:dyDescent="0.3">
      <c r="A52" s="678"/>
      <c r="B52" s="678"/>
      <c r="C52" s="678"/>
      <c r="D52" s="678"/>
      <c r="E52" s="678"/>
      <c r="F52" s="678"/>
      <c r="G52" s="678"/>
      <c r="H52" s="678"/>
      <c r="I52" s="678"/>
      <c r="J52" s="678"/>
      <c r="K52" s="678"/>
      <c r="L52" s="678"/>
      <c r="M52" s="678"/>
      <c r="N52" s="678"/>
      <c r="O52" s="678"/>
      <c r="P52" s="678"/>
      <c r="Q52" s="678"/>
      <c r="R52" s="678"/>
      <c r="S52" s="678"/>
      <c r="T52" s="678"/>
      <c r="U52" s="678"/>
      <c r="V52" s="678"/>
      <c r="W52" s="678"/>
      <c r="X52" s="678"/>
      <c r="Y52" s="678"/>
      <c r="Z52" s="678"/>
    </row>
    <row r="53" spans="1:26" ht="14.25" customHeight="1" x14ac:dyDescent="0.3">
      <c r="A53" s="678"/>
      <c r="B53" s="678"/>
      <c r="C53" s="678"/>
      <c r="D53" s="678"/>
      <c r="E53" s="678"/>
      <c r="F53" s="678"/>
      <c r="G53" s="678"/>
      <c r="H53" s="678"/>
      <c r="I53" s="678"/>
      <c r="J53" s="678"/>
      <c r="K53" s="678"/>
      <c r="L53" s="678"/>
      <c r="M53" s="678"/>
      <c r="N53" s="678"/>
      <c r="O53" s="678"/>
      <c r="P53" s="678"/>
      <c r="Q53" s="678"/>
      <c r="R53" s="678"/>
      <c r="S53" s="678"/>
      <c r="T53" s="678"/>
      <c r="U53" s="678"/>
      <c r="V53" s="678"/>
      <c r="W53" s="678"/>
      <c r="X53" s="678"/>
      <c r="Y53" s="678"/>
      <c r="Z53" s="678"/>
    </row>
    <row r="54" spans="1:26" ht="14.25" customHeight="1" x14ac:dyDescent="0.3">
      <c r="A54" s="678"/>
      <c r="B54" s="678"/>
      <c r="C54" s="678"/>
      <c r="D54" s="678"/>
      <c r="E54" s="678"/>
      <c r="F54" s="678"/>
      <c r="G54" s="678"/>
      <c r="H54" s="678"/>
      <c r="I54" s="678"/>
      <c r="J54" s="678"/>
      <c r="K54" s="678"/>
      <c r="L54" s="678"/>
      <c r="M54" s="678"/>
      <c r="N54" s="678"/>
      <c r="O54" s="678"/>
      <c r="P54" s="678"/>
      <c r="Q54" s="678"/>
      <c r="R54" s="678"/>
      <c r="S54" s="678"/>
      <c r="T54" s="678"/>
      <c r="U54" s="678"/>
      <c r="V54" s="678"/>
      <c r="W54" s="678"/>
      <c r="X54" s="678"/>
      <c r="Y54" s="678"/>
      <c r="Z54" s="678"/>
    </row>
    <row r="55" spans="1:26" ht="14.25" customHeight="1" x14ac:dyDescent="0.3">
      <c r="A55" s="678"/>
      <c r="B55" s="678"/>
      <c r="C55" s="678"/>
      <c r="D55" s="678"/>
      <c r="E55" s="678"/>
      <c r="F55" s="678"/>
      <c r="G55" s="678"/>
      <c r="H55" s="678"/>
      <c r="I55" s="678"/>
      <c r="J55" s="678"/>
      <c r="K55" s="678"/>
      <c r="L55" s="678"/>
      <c r="M55" s="678"/>
      <c r="N55" s="678"/>
      <c r="O55" s="678"/>
      <c r="P55" s="678"/>
      <c r="Q55" s="678"/>
      <c r="R55" s="678"/>
      <c r="S55" s="678"/>
      <c r="T55" s="678"/>
      <c r="U55" s="678"/>
      <c r="V55" s="678"/>
      <c r="W55" s="678"/>
      <c r="X55" s="678"/>
      <c r="Y55" s="678"/>
      <c r="Z55" s="678"/>
    </row>
    <row r="56" spans="1:26" ht="14.25" customHeight="1" x14ac:dyDescent="0.3">
      <c r="A56" s="678"/>
      <c r="B56" s="678"/>
      <c r="C56" s="678"/>
      <c r="D56" s="678"/>
      <c r="E56" s="678"/>
      <c r="F56" s="678"/>
      <c r="G56" s="678"/>
      <c r="H56" s="678"/>
      <c r="I56" s="678"/>
      <c r="J56" s="678"/>
      <c r="K56" s="678"/>
      <c r="L56" s="678"/>
      <c r="M56" s="678"/>
      <c r="N56" s="678"/>
      <c r="O56" s="678"/>
      <c r="P56" s="678"/>
      <c r="Q56" s="678"/>
      <c r="R56" s="678"/>
      <c r="S56" s="678"/>
      <c r="T56" s="678"/>
      <c r="U56" s="678"/>
      <c r="V56" s="678"/>
      <c r="W56" s="678"/>
      <c r="X56" s="678"/>
      <c r="Y56" s="678"/>
      <c r="Z56" s="678"/>
    </row>
    <row r="57" spans="1:26" ht="14.25" customHeight="1" x14ac:dyDescent="0.3">
      <c r="A57" s="678"/>
      <c r="B57" s="678"/>
      <c r="C57" s="678"/>
      <c r="D57" s="678"/>
      <c r="E57" s="678"/>
      <c r="F57" s="678"/>
      <c r="G57" s="678"/>
      <c r="H57" s="678"/>
      <c r="I57" s="678"/>
      <c r="J57" s="678"/>
      <c r="K57" s="678"/>
      <c r="L57" s="678"/>
      <c r="M57" s="678"/>
      <c r="N57" s="678"/>
      <c r="O57" s="678"/>
      <c r="P57" s="678"/>
      <c r="Q57" s="678"/>
      <c r="R57" s="678"/>
      <c r="S57" s="678"/>
      <c r="T57" s="678"/>
      <c r="U57" s="678"/>
      <c r="V57" s="678"/>
      <c r="W57" s="678"/>
      <c r="X57" s="678"/>
      <c r="Y57" s="678"/>
      <c r="Z57" s="678"/>
    </row>
    <row r="58" spans="1:26" ht="14.25" customHeight="1" x14ac:dyDescent="0.3">
      <c r="A58" s="678"/>
      <c r="B58" s="678"/>
      <c r="C58" s="678"/>
      <c r="D58" s="678"/>
      <c r="E58" s="678"/>
      <c r="F58" s="678"/>
      <c r="G58" s="678"/>
      <c r="H58" s="678"/>
      <c r="I58" s="678"/>
      <c r="J58" s="678"/>
      <c r="K58" s="678"/>
      <c r="L58" s="678"/>
      <c r="M58" s="678"/>
      <c r="N58" s="678"/>
      <c r="O58" s="678"/>
      <c r="P58" s="678"/>
      <c r="Q58" s="678"/>
      <c r="R58" s="678"/>
      <c r="S58" s="678"/>
      <c r="T58" s="678"/>
      <c r="U58" s="678"/>
      <c r="V58" s="678"/>
      <c r="W58" s="678"/>
      <c r="X58" s="678"/>
      <c r="Y58" s="678"/>
      <c r="Z58" s="678"/>
    </row>
    <row r="59" spans="1:26" ht="14.25" customHeight="1" x14ac:dyDescent="0.3">
      <c r="A59" s="678"/>
      <c r="B59" s="678"/>
      <c r="C59" s="678"/>
      <c r="D59" s="678"/>
      <c r="E59" s="678"/>
      <c r="F59" s="678"/>
      <c r="G59" s="678"/>
      <c r="H59" s="678"/>
      <c r="I59" s="678"/>
      <c r="J59" s="678"/>
      <c r="K59" s="678"/>
      <c r="L59" s="678"/>
      <c r="M59" s="678"/>
      <c r="N59" s="678"/>
      <c r="O59" s="678"/>
      <c r="P59" s="678"/>
      <c r="Q59" s="678"/>
      <c r="R59" s="678"/>
      <c r="S59" s="678"/>
      <c r="T59" s="678"/>
      <c r="U59" s="678"/>
      <c r="V59" s="678"/>
      <c r="W59" s="678"/>
      <c r="X59" s="678"/>
      <c r="Y59" s="678"/>
      <c r="Z59" s="678"/>
    </row>
    <row r="60" spans="1:26" ht="14.25" customHeight="1" x14ac:dyDescent="0.3">
      <c r="A60" s="678"/>
      <c r="B60" s="678"/>
      <c r="C60" s="678"/>
      <c r="D60" s="678"/>
      <c r="E60" s="678"/>
      <c r="F60" s="678"/>
      <c r="G60" s="678"/>
      <c r="H60" s="678"/>
      <c r="I60" s="678"/>
      <c r="J60" s="678"/>
      <c r="K60" s="678"/>
      <c r="L60" s="678"/>
      <c r="M60" s="678"/>
      <c r="N60" s="678"/>
      <c r="O60" s="678"/>
      <c r="P60" s="678"/>
      <c r="Q60" s="678"/>
      <c r="R60" s="678"/>
      <c r="S60" s="678"/>
      <c r="T60" s="678"/>
      <c r="U60" s="678"/>
      <c r="V60" s="678"/>
      <c r="W60" s="678"/>
      <c r="X60" s="678"/>
      <c r="Y60" s="678"/>
      <c r="Z60" s="678"/>
    </row>
    <row r="61" spans="1:26" ht="14.25" customHeight="1" x14ac:dyDescent="0.3">
      <c r="A61" s="678"/>
      <c r="B61" s="678"/>
      <c r="C61" s="678"/>
      <c r="D61" s="678"/>
      <c r="E61" s="678"/>
      <c r="F61" s="678"/>
      <c r="G61" s="678"/>
      <c r="H61" s="678"/>
      <c r="I61" s="678"/>
      <c r="J61" s="678"/>
      <c r="K61" s="678"/>
      <c r="L61" s="678"/>
      <c r="M61" s="678"/>
      <c r="N61" s="678"/>
      <c r="O61" s="678"/>
      <c r="P61" s="678"/>
      <c r="Q61" s="678"/>
      <c r="R61" s="678"/>
      <c r="S61" s="678"/>
      <c r="T61" s="678"/>
      <c r="U61" s="678"/>
      <c r="V61" s="678"/>
      <c r="W61" s="678"/>
      <c r="X61" s="678"/>
      <c r="Y61" s="678"/>
      <c r="Z61" s="678"/>
    </row>
    <row r="62" spans="1:26" ht="14.25" customHeight="1" x14ac:dyDescent="0.3">
      <c r="A62" s="678"/>
      <c r="B62" s="678"/>
      <c r="C62" s="678"/>
      <c r="D62" s="678"/>
      <c r="E62" s="678"/>
      <c r="F62" s="678"/>
      <c r="G62" s="678"/>
      <c r="H62" s="678"/>
      <c r="I62" s="678"/>
      <c r="J62" s="678"/>
      <c r="K62" s="678"/>
      <c r="L62" s="678"/>
      <c r="M62" s="678"/>
      <c r="N62" s="678"/>
      <c r="O62" s="678"/>
      <c r="P62" s="678"/>
      <c r="Q62" s="678"/>
      <c r="R62" s="678"/>
      <c r="S62" s="678"/>
      <c r="T62" s="678"/>
      <c r="U62" s="678"/>
      <c r="V62" s="678"/>
      <c r="W62" s="678"/>
      <c r="X62" s="678"/>
      <c r="Y62" s="678"/>
      <c r="Z62" s="678"/>
    </row>
    <row r="63" spans="1:26" ht="14.25" customHeight="1" x14ac:dyDescent="0.3">
      <c r="A63" s="678"/>
      <c r="B63" s="678"/>
      <c r="C63" s="678"/>
      <c r="D63" s="678"/>
      <c r="E63" s="678"/>
      <c r="F63" s="678"/>
      <c r="G63" s="678"/>
      <c r="H63" s="678"/>
      <c r="I63" s="678"/>
      <c r="J63" s="678"/>
      <c r="K63" s="678"/>
      <c r="L63" s="678"/>
      <c r="M63" s="678"/>
      <c r="N63" s="678"/>
      <c r="O63" s="678"/>
      <c r="P63" s="678"/>
      <c r="Q63" s="678"/>
      <c r="R63" s="678"/>
      <c r="S63" s="678"/>
      <c r="T63" s="678"/>
      <c r="U63" s="678"/>
      <c r="V63" s="678"/>
      <c r="W63" s="678"/>
      <c r="X63" s="678"/>
      <c r="Y63" s="678"/>
      <c r="Z63" s="678"/>
    </row>
    <row r="64" spans="1:26" ht="14.25" customHeight="1" x14ac:dyDescent="0.3">
      <c r="A64" s="678"/>
      <c r="B64" s="678"/>
      <c r="C64" s="678"/>
      <c r="D64" s="678"/>
      <c r="E64" s="678"/>
      <c r="F64" s="678"/>
      <c r="G64" s="678"/>
      <c r="H64" s="678"/>
      <c r="I64" s="678"/>
      <c r="J64" s="678"/>
      <c r="K64" s="678"/>
      <c r="L64" s="678"/>
      <c r="M64" s="678"/>
      <c r="N64" s="678"/>
      <c r="O64" s="678"/>
      <c r="P64" s="678"/>
      <c r="Q64" s="678"/>
      <c r="R64" s="678"/>
      <c r="S64" s="678"/>
      <c r="T64" s="678"/>
      <c r="U64" s="678"/>
      <c r="V64" s="678"/>
      <c r="W64" s="678"/>
      <c r="X64" s="678"/>
      <c r="Y64" s="678"/>
      <c r="Z64" s="678"/>
    </row>
    <row r="65" spans="1:26" ht="14.25" customHeight="1" x14ac:dyDescent="0.3">
      <c r="A65" s="678"/>
      <c r="B65" s="678"/>
      <c r="C65" s="678"/>
      <c r="D65" s="678"/>
      <c r="E65" s="678"/>
      <c r="F65" s="678"/>
      <c r="G65" s="678"/>
      <c r="H65" s="678"/>
      <c r="I65" s="678"/>
      <c r="J65" s="678"/>
      <c r="K65" s="678"/>
      <c r="L65" s="678"/>
      <c r="M65" s="678"/>
      <c r="N65" s="678"/>
      <c r="O65" s="678"/>
      <c r="P65" s="678"/>
      <c r="Q65" s="678"/>
      <c r="R65" s="678"/>
      <c r="S65" s="678"/>
      <c r="T65" s="678"/>
      <c r="U65" s="678"/>
      <c r="V65" s="678"/>
      <c r="W65" s="678"/>
      <c r="X65" s="678"/>
      <c r="Y65" s="678"/>
      <c r="Z65" s="678"/>
    </row>
    <row r="66" spans="1:26" ht="14.25" customHeight="1" x14ac:dyDescent="0.3">
      <c r="A66" s="678"/>
      <c r="B66" s="678"/>
      <c r="C66" s="678"/>
      <c r="D66" s="678"/>
      <c r="E66" s="678"/>
      <c r="F66" s="678"/>
      <c r="G66" s="678"/>
      <c r="H66" s="678"/>
      <c r="I66" s="678"/>
      <c r="J66" s="678"/>
      <c r="K66" s="678"/>
      <c r="L66" s="678"/>
      <c r="M66" s="678"/>
      <c r="N66" s="678"/>
      <c r="O66" s="678"/>
      <c r="P66" s="678"/>
      <c r="Q66" s="678"/>
      <c r="R66" s="678"/>
      <c r="S66" s="678"/>
      <c r="T66" s="678"/>
      <c r="U66" s="678"/>
      <c r="V66" s="678"/>
      <c r="W66" s="678"/>
      <c r="X66" s="678"/>
      <c r="Y66" s="678"/>
      <c r="Z66" s="678"/>
    </row>
    <row r="67" spans="1:26" ht="14.25" customHeight="1" x14ac:dyDescent="0.3">
      <c r="A67" s="678"/>
      <c r="B67" s="678"/>
      <c r="C67" s="678"/>
      <c r="D67" s="678"/>
      <c r="E67" s="678"/>
      <c r="F67" s="678"/>
      <c r="G67" s="678"/>
      <c r="H67" s="678"/>
      <c r="I67" s="678"/>
      <c r="J67" s="678"/>
      <c r="K67" s="678"/>
      <c r="L67" s="678"/>
      <c r="M67" s="678"/>
      <c r="N67" s="678"/>
      <c r="O67" s="678"/>
      <c r="P67" s="678"/>
      <c r="Q67" s="678"/>
      <c r="R67" s="678"/>
      <c r="S67" s="678"/>
      <c r="T67" s="678"/>
      <c r="U67" s="678"/>
      <c r="V67" s="678"/>
      <c r="W67" s="678"/>
      <c r="X67" s="678"/>
      <c r="Y67" s="678"/>
      <c r="Z67" s="678"/>
    </row>
    <row r="68" spans="1:26" ht="14.25" customHeight="1" x14ac:dyDescent="0.3">
      <c r="A68" s="678"/>
      <c r="B68" s="678"/>
      <c r="C68" s="678"/>
      <c r="D68" s="678"/>
      <c r="E68" s="678"/>
      <c r="F68" s="678"/>
      <c r="G68" s="678"/>
      <c r="H68" s="678"/>
      <c r="I68" s="678"/>
      <c r="J68" s="678"/>
      <c r="K68" s="678"/>
      <c r="L68" s="678"/>
      <c r="M68" s="678"/>
      <c r="N68" s="678"/>
      <c r="O68" s="678"/>
      <c r="P68" s="678"/>
      <c r="Q68" s="678"/>
      <c r="R68" s="678"/>
      <c r="S68" s="678"/>
      <c r="T68" s="678"/>
      <c r="U68" s="678"/>
      <c r="V68" s="678"/>
      <c r="W68" s="678"/>
      <c r="X68" s="678"/>
      <c r="Y68" s="678"/>
      <c r="Z68" s="678"/>
    </row>
    <row r="69" spans="1:26" ht="14.25" customHeight="1" x14ac:dyDescent="0.3">
      <c r="A69" s="678"/>
      <c r="B69" s="678"/>
      <c r="C69" s="678"/>
      <c r="D69" s="678"/>
      <c r="E69" s="678"/>
      <c r="F69" s="678"/>
      <c r="G69" s="678"/>
      <c r="H69" s="678"/>
      <c r="I69" s="678"/>
      <c r="J69" s="678"/>
      <c r="K69" s="678"/>
      <c r="L69" s="678"/>
      <c r="M69" s="678"/>
      <c r="N69" s="678"/>
      <c r="O69" s="678"/>
      <c r="P69" s="678"/>
      <c r="Q69" s="678"/>
      <c r="R69" s="678"/>
      <c r="S69" s="678"/>
      <c r="T69" s="678"/>
      <c r="U69" s="678"/>
      <c r="V69" s="678"/>
      <c r="W69" s="678"/>
      <c r="X69" s="678"/>
      <c r="Y69" s="678"/>
      <c r="Z69" s="678"/>
    </row>
    <row r="70" spans="1:26" ht="14.25" customHeight="1" x14ac:dyDescent="0.3">
      <c r="A70" s="678"/>
      <c r="B70" s="678"/>
      <c r="C70" s="678"/>
      <c r="D70" s="678"/>
      <c r="E70" s="678"/>
      <c r="F70" s="678"/>
      <c r="G70" s="678"/>
      <c r="H70" s="678"/>
      <c r="I70" s="678"/>
      <c r="J70" s="678"/>
      <c r="K70" s="678"/>
      <c r="L70" s="678"/>
      <c r="M70" s="678"/>
      <c r="N70" s="678"/>
      <c r="O70" s="678"/>
      <c r="P70" s="678"/>
      <c r="Q70" s="678"/>
      <c r="R70" s="678"/>
      <c r="S70" s="678"/>
      <c r="T70" s="678"/>
      <c r="U70" s="678"/>
      <c r="V70" s="678"/>
      <c r="W70" s="678"/>
      <c r="X70" s="678"/>
      <c r="Y70" s="678"/>
      <c r="Z70" s="678"/>
    </row>
    <row r="71" spans="1:26" ht="14.25" customHeight="1" x14ac:dyDescent="0.3">
      <c r="A71" s="678"/>
      <c r="B71" s="678"/>
      <c r="C71" s="678"/>
      <c r="D71" s="678"/>
      <c r="E71" s="678"/>
      <c r="F71" s="678"/>
      <c r="G71" s="678"/>
      <c r="H71" s="678"/>
      <c r="I71" s="678"/>
      <c r="J71" s="678"/>
      <c r="K71" s="678"/>
      <c r="L71" s="678"/>
      <c r="M71" s="678"/>
      <c r="N71" s="678"/>
      <c r="O71" s="678"/>
      <c r="P71" s="678"/>
      <c r="Q71" s="678"/>
      <c r="R71" s="678"/>
      <c r="S71" s="678"/>
      <c r="T71" s="678"/>
      <c r="U71" s="678"/>
      <c r="V71" s="678"/>
      <c r="W71" s="678"/>
      <c r="X71" s="678"/>
      <c r="Y71" s="678"/>
      <c r="Z71" s="678"/>
    </row>
    <row r="72" spans="1:26" ht="14.25" customHeight="1" x14ac:dyDescent="0.3">
      <c r="A72" s="678"/>
      <c r="B72" s="678"/>
      <c r="C72" s="678"/>
      <c r="D72" s="678"/>
      <c r="E72" s="678"/>
      <c r="F72" s="678"/>
      <c r="G72" s="678"/>
      <c r="H72" s="678"/>
      <c r="I72" s="678"/>
      <c r="J72" s="678"/>
      <c r="K72" s="678"/>
      <c r="L72" s="678"/>
      <c r="M72" s="678"/>
      <c r="N72" s="678"/>
      <c r="O72" s="678"/>
      <c r="P72" s="678"/>
      <c r="Q72" s="678"/>
      <c r="R72" s="678"/>
      <c r="S72" s="678"/>
      <c r="T72" s="678"/>
      <c r="U72" s="678"/>
      <c r="V72" s="678"/>
      <c r="W72" s="678"/>
      <c r="X72" s="678"/>
      <c r="Y72" s="678"/>
      <c r="Z72" s="678"/>
    </row>
    <row r="73" spans="1:26" ht="14.25" customHeight="1" x14ac:dyDescent="0.3">
      <c r="A73" s="678"/>
      <c r="B73" s="678"/>
      <c r="C73" s="678"/>
      <c r="D73" s="678"/>
      <c r="E73" s="678"/>
      <c r="F73" s="678"/>
      <c r="G73" s="678"/>
      <c r="H73" s="678"/>
      <c r="I73" s="678"/>
      <c r="J73" s="678"/>
      <c r="K73" s="678"/>
      <c r="L73" s="678"/>
      <c r="M73" s="678"/>
      <c r="N73" s="678"/>
      <c r="O73" s="678"/>
      <c r="P73" s="678"/>
      <c r="Q73" s="678"/>
      <c r="R73" s="678"/>
      <c r="S73" s="678"/>
      <c r="T73" s="678"/>
      <c r="U73" s="678"/>
      <c r="V73" s="678"/>
      <c r="W73" s="678"/>
      <c r="X73" s="678"/>
      <c r="Y73" s="678"/>
      <c r="Z73" s="678"/>
    </row>
    <row r="74" spans="1:26" ht="14.25" customHeight="1" x14ac:dyDescent="0.3">
      <c r="A74" s="678"/>
      <c r="B74" s="678"/>
      <c r="C74" s="678"/>
      <c r="D74" s="678"/>
      <c r="E74" s="678"/>
      <c r="F74" s="678"/>
      <c r="G74" s="678"/>
      <c r="H74" s="678"/>
      <c r="I74" s="678"/>
      <c r="J74" s="678"/>
      <c r="K74" s="678"/>
      <c r="L74" s="678"/>
      <c r="M74" s="678"/>
      <c r="N74" s="678"/>
      <c r="O74" s="678"/>
      <c r="P74" s="678"/>
      <c r="Q74" s="678"/>
      <c r="R74" s="678"/>
      <c r="S74" s="678"/>
      <c r="T74" s="678"/>
      <c r="U74" s="678"/>
      <c r="V74" s="678"/>
      <c r="W74" s="678"/>
      <c r="X74" s="678"/>
      <c r="Y74" s="678"/>
      <c r="Z74" s="678"/>
    </row>
    <row r="75" spans="1:26" ht="14.25" customHeight="1" x14ac:dyDescent="0.3">
      <c r="A75" s="678"/>
      <c r="B75" s="678"/>
      <c r="C75" s="678"/>
      <c r="D75" s="678"/>
      <c r="E75" s="678"/>
      <c r="F75" s="678"/>
      <c r="G75" s="678"/>
      <c r="H75" s="678"/>
      <c r="I75" s="678"/>
      <c r="J75" s="678"/>
      <c r="K75" s="678"/>
      <c r="L75" s="678"/>
      <c r="M75" s="678"/>
      <c r="N75" s="678"/>
      <c r="O75" s="678"/>
      <c r="P75" s="678"/>
      <c r="Q75" s="678"/>
      <c r="R75" s="678"/>
      <c r="S75" s="678"/>
      <c r="T75" s="678"/>
      <c r="U75" s="678"/>
      <c r="V75" s="678"/>
      <c r="W75" s="678"/>
      <c r="X75" s="678"/>
      <c r="Y75" s="678"/>
      <c r="Z75" s="678"/>
    </row>
    <row r="76" spans="1:26" ht="14.25" customHeight="1" x14ac:dyDescent="0.3">
      <c r="A76" s="678"/>
      <c r="B76" s="678"/>
      <c r="C76" s="678"/>
      <c r="D76" s="678"/>
      <c r="E76" s="678"/>
      <c r="F76" s="678"/>
      <c r="G76" s="678"/>
      <c r="H76" s="678"/>
      <c r="I76" s="678"/>
      <c r="J76" s="678"/>
      <c r="K76" s="678"/>
      <c r="L76" s="678"/>
      <c r="M76" s="678"/>
      <c r="N76" s="678"/>
      <c r="O76" s="678"/>
      <c r="P76" s="678"/>
      <c r="Q76" s="678"/>
      <c r="R76" s="678"/>
      <c r="S76" s="678"/>
      <c r="T76" s="678"/>
      <c r="U76" s="678"/>
      <c r="V76" s="678"/>
      <c r="W76" s="678"/>
      <c r="X76" s="678"/>
      <c r="Y76" s="678"/>
      <c r="Z76" s="678"/>
    </row>
    <row r="77" spans="1:26" ht="14.25" customHeight="1" x14ac:dyDescent="0.3">
      <c r="A77" s="678"/>
      <c r="B77" s="678"/>
      <c r="C77" s="678"/>
      <c r="D77" s="678"/>
      <c r="E77" s="678"/>
      <c r="F77" s="678"/>
      <c r="G77" s="678"/>
      <c r="H77" s="678"/>
      <c r="I77" s="678"/>
      <c r="J77" s="678"/>
      <c r="K77" s="678"/>
      <c r="L77" s="678"/>
      <c r="M77" s="678"/>
      <c r="N77" s="678"/>
      <c r="O77" s="678"/>
      <c r="P77" s="678"/>
      <c r="Q77" s="678"/>
      <c r="R77" s="678"/>
      <c r="S77" s="678"/>
      <c r="T77" s="678"/>
      <c r="U77" s="678"/>
      <c r="V77" s="678"/>
      <c r="W77" s="678"/>
      <c r="X77" s="678"/>
      <c r="Y77" s="678"/>
      <c r="Z77" s="678"/>
    </row>
    <row r="78" spans="1:26" ht="14.25" customHeight="1" x14ac:dyDescent="0.3">
      <c r="A78" s="678"/>
      <c r="B78" s="678"/>
      <c r="C78" s="678"/>
      <c r="D78" s="678"/>
      <c r="E78" s="678"/>
      <c r="F78" s="678"/>
      <c r="G78" s="678"/>
      <c r="H78" s="678"/>
      <c r="I78" s="678"/>
      <c r="J78" s="678"/>
      <c r="K78" s="678"/>
      <c r="L78" s="678"/>
      <c r="M78" s="678"/>
      <c r="N78" s="678"/>
      <c r="O78" s="678"/>
      <c r="P78" s="678"/>
      <c r="Q78" s="678"/>
      <c r="R78" s="678"/>
      <c r="S78" s="678"/>
      <c r="T78" s="678"/>
      <c r="U78" s="678"/>
      <c r="V78" s="678"/>
      <c r="W78" s="678"/>
      <c r="X78" s="678"/>
      <c r="Y78" s="678"/>
      <c r="Z78" s="678"/>
    </row>
    <row r="79" spans="1:26" ht="14.25" customHeight="1" x14ac:dyDescent="0.3">
      <c r="A79" s="678"/>
      <c r="B79" s="678"/>
      <c r="C79" s="678"/>
      <c r="D79" s="678"/>
      <c r="E79" s="678"/>
      <c r="F79" s="678"/>
      <c r="G79" s="678"/>
      <c r="H79" s="678"/>
      <c r="I79" s="678"/>
      <c r="J79" s="678"/>
      <c r="K79" s="678"/>
      <c r="L79" s="678"/>
      <c r="M79" s="678"/>
      <c r="N79" s="678"/>
      <c r="O79" s="678"/>
      <c r="P79" s="678"/>
      <c r="Q79" s="678"/>
      <c r="R79" s="678"/>
      <c r="S79" s="678"/>
      <c r="T79" s="678"/>
      <c r="U79" s="678"/>
      <c r="V79" s="678"/>
      <c r="W79" s="678"/>
      <c r="X79" s="678"/>
      <c r="Y79" s="678"/>
      <c r="Z79" s="678"/>
    </row>
    <row r="80" spans="1:26" ht="14.25" customHeight="1" x14ac:dyDescent="0.3">
      <c r="A80" s="678"/>
      <c r="B80" s="678"/>
      <c r="C80" s="678"/>
      <c r="D80" s="678"/>
      <c r="E80" s="678"/>
      <c r="F80" s="678"/>
      <c r="G80" s="678"/>
      <c r="H80" s="678"/>
      <c r="I80" s="678"/>
      <c r="J80" s="678"/>
      <c r="K80" s="678"/>
      <c r="L80" s="678"/>
      <c r="M80" s="678"/>
      <c r="N80" s="678"/>
      <c r="O80" s="678"/>
      <c r="P80" s="678"/>
      <c r="Q80" s="678"/>
      <c r="R80" s="678"/>
      <c r="S80" s="678"/>
      <c r="T80" s="678"/>
      <c r="U80" s="678"/>
      <c r="V80" s="678"/>
      <c r="W80" s="678"/>
      <c r="X80" s="678"/>
      <c r="Y80" s="678"/>
      <c r="Z80" s="678"/>
    </row>
    <row r="81" spans="1:26" ht="14.25" customHeight="1" x14ac:dyDescent="0.3">
      <c r="A81" s="678"/>
      <c r="B81" s="678"/>
      <c r="C81" s="678"/>
      <c r="D81" s="678"/>
      <c r="E81" s="678"/>
      <c r="F81" s="678"/>
      <c r="G81" s="678"/>
      <c r="H81" s="678"/>
      <c r="I81" s="678"/>
      <c r="J81" s="678"/>
      <c r="K81" s="678"/>
      <c r="L81" s="678"/>
      <c r="M81" s="678"/>
      <c r="N81" s="678"/>
      <c r="O81" s="678"/>
      <c r="P81" s="678"/>
      <c r="Q81" s="678"/>
      <c r="R81" s="678"/>
      <c r="S81" s="678"/>
      <c r="T81" s="678"/>
      <c r="U81" s="678"/>
      <c r="V81" s="678"/>
      <c r="W81" s="678"/>
      <c r="X81" s="678"/>
      <c r="Y81" s="678"/>
      <c r="Z81" s="678"/>
    </row>
    <row r="82" spans="1:26" ht="14.25" customHeight="1" x14ac:dyDescent="0.3">
      <c r="A82" s="678"/>
      <c r="B82" s="678"/>
      <c r="C82" s="678"/>
      <c r="D82" s="678"/>
      <c r="E82" s="678"/>
      <c r="F82" s="678"/>
      <c r="G82" s="678"/>
      <c r="H82" s="678"/>
      <c r="I82" s="678"/>
      <c r="J82" s="678"/>
      <c r="K82" s="678"/>
      <c r="L82" s="678"/>
      <c r="M82" s="678"/>
      <c r="N82" s="678"/>
      <c r="O82" s="678"/>
      <c r="P82" s="678"/>
      <c r="Q82" s="678"/>
      <c r="R82" s="678"/>
      <c r="S82" s="678"/>
      <c r="T82" s="678"/>
      <c r="U82" s="678"/>
      <c r="V82" s="678"/>
      <c r="W82" s="678"/>
      <c r="X82" s="678"/>
      <c r="Y82" s="678"/>
      <c r="Z82" s="678"/>
    </row>
    <row r="83" spans="1:26" ht="14.25" customHeight="1" x14ac:dyDescent="0.3">
      <c r="A83" s="678"/>
      <c r="B83" s="678"/>
      <c r="C83" s="678"/>
      <c r="D83" s="678"/>
      <c r="E83" s="678"/>
      <c r="F83" s="678"/>
      <c r="G83" s="678"/>
      <c r="H83" s="678"/>
      <c r="I83" s="678"/>
      <c r="J83" s="678"/>
      <c r="K83" s="678"/>
      <c r="L83" s="678"/>
      <c r="M83" s="678"/>
      <c r="N83" s="678"/>
      <c r="O83" s="678"/>
      <c r="P83" s="678"/>
      <c r="Q83" s="678"/>
      <c r="R83" s="678"/>
      <c r="S83" s="678"/>
      <c r="T83" s="678"/>
      <c r="U83" s="678"/>
      <c r="V83" s="678"/>
      <c r="W83" s="678"/>
      <c r="X83" s="678"/>
      <c r="Y83" s="678"/>
      <c r="Z83" s="678"/>
    </row>
    <row r="84" spans="1:26" ht="14.25" customHeight="1" x14ac:dyDescent="0.3">
      <c r="A84" s="678"/>
      <c r="B84" s="678"/>
      <c r="C84" s="678"/>
      <c r="D84" s="678"/>
      <c r="E84" s="678"/>
      <c r="F84" s="678"/>
      <c r="G84" s="678"/>
      <c r="H84" s="678"/>
      <c r="I84" s="678"/>
      <c r="J84" s="678"/>
      <c r="K84" s="678"/>
      <c r="L84" s="678"/>
      <c r="M84" s="678"/>
      <c r="N84" s="678"/>
      <c r="O84" s="678"/>
      <c r="P84" s="678"/>
      <c r="Q84" s="678"/>
      <c r="R84" s="678"/>
      <c r="S84" s="678"/>
      <c r="T84" s="678"/>
      <c r="U84" s="678"/>
      <c r="V84" s="678"/>
      <c r="W84" s="678"/>
      <c r="X84" s="678"/>
      <c r="Y84" s="678"/>
      <c r="Z84" s="678"/>
    </row>
    <row r="85" spans="1:26" ht="14.25" customHeight="1" x14ac:dyDescent="0.3">
      <c r="A85" s="678"/>
      <c r="B85" s="678"/>
      <c r="C85" s="678"/>
      <c r="D85" s="678"/>
      <c r="E85" s="678"/>
      <c r="F85" s="678"/>
      <c r="G85" s="678"/>
      <c r="H85" s="678"/>
      <c r="I85" s="678"/>
      <c r="J85" s="678"/>
      <c r="K85" s="678"/>
      <c r="L85" s="678"/>
      <c r="M85" s="678"/>
      <c r="N85" s="678"/>
      <c r="O85" s="678"/>
      <c r="P85" s="678"/>
      <c r="Q85" s="678"/>
      <c r="R85" s="678"/>
      <c r="S85" s="678"/>
      <c r="T85" s="678"/>
      <c r="U85" s="678"/>
      <c r="V85" s="678"/>
      <c r="W85" s="678"/>
      <c r="X85" s="678"/>
      <c r="Y85" s="678"/>
      <c r="Z85" s="678"/>
    </row>
    <row r="86" spans="1:26" ht="14.25" customHeight="1" x14ac:dyDescent="0.3">
      <c r="A86" s="678"/>
      <c r="B86" s="678"/>
      <c r="C86" s="678"/>
      <c r="D86" s="678"/>
      <c r="E86" s="678"/>
      <c r="F86" s="678"/>
      <c r="G86" s="678"/>
      <c r="H86" s="678"/>
      <c r="I86" s="678"/>
      <c r="J86" s="678"/>
      <c r="K86" s="678"/>
      <c r="L86" s="678"/>
      <c r="M86" s="678"/>
      <c r="N86" s="678"/>
      <c r="O86" s="678"/>
      <c r="P86" s="678"/>
      <c r="Q86" s="678"/>
      <c r="R86" s="678"/>
      <c r="S86" s="678"/>
      <c r="T86" s="678"/>
      <c r="U86" s="678"/>
      <c r="V86" s="678"/>
      <c r="W86" s="678"/>
      <c r="X86" s="678"/>
      <c r="Y86" s="678"/>
      <c r="Z86" s="678"/>
    </row>
    <row r="87" spans="1:26" ht="14.25" customHeight="1" x14ac:dyDescent="0.3">
      <c r="A87" s="678"/>
      <c r="B87" s="678"/>
      <c r="C87" s="678"/>
      <c r="D87" s="678"/>
      <c r="E87" s="678"/>
      <c r="F87" s="678"/>
      <c r="G87" s="678"/>
      <c r="H87" s="678"/>
      <c r="I87" s="678"/>
      <c r="J87" s="678"/>
      <c r="K87" s="678"/>
      <c r="L87" s="678"/>
      <c r="M87" s="678"/>
      <c r="N87" s="678"/>
      <c r="O87" s="678"/>
      <c r="P87" s="678"/>
      <c r="Q87" s="678"/>
      <c r="R87" s="678"/>
      <c r="S87" s="678"/>
      <c r="T87" s="678"/>
      <c r="U87" s="678"/>
      <c r="V87" s="678"/>
      <c r="W87" s="678"/>
      <c r="X87" s="678"/>
      <c r="Y87" s="678"/>
      <c r="Z87" s="678"/>
    </row>
    <row r="88" spans="1:26" ht="14.25" customHeight="1" x14ac:dyDescent="0.3">
      <c r="A88" s="678"/>
      <c r="B88" s="678"/>
      <c r="C88" s="678"/>
      <c r="D88" s="678"/>
      <c r="E88" s="678"/>
      <c r="F88" s="678"/>
      <c r="G88" s="678"/>
      <c r="H88" s="678"/>
      <c r="I88" s="678"/>
      <c r="J88" s="678"/>
      <c r="K88" s="678"/>
      <c r="L88" s="678"/>
      <c r="M88" s="678"/>
      <c r="N88" s="678"/>
      <c r="O88" s="678"/>
      <c r="P88" s="678"/>
      <c r="Q88" s="678"/>
      <c r="R88" s="678"/>
      <c r="S88" s="678"/>
      <c r="T88" s="678"/>
      <c r="U88" s="678"/>
      <c r="V88" s="678"/>
      <c r="W88" s="678"/>
      <c r="X88" s="678"/>
      <c r="Y88" s="678"/>
      <c r="Z88" s="678"/>
    </row>
    <row r="89" spans="1:26" ht="14.25" customHeight="1" x14ac:dyDescent="0.3">
      <c r="A89" s="678"/>
      <c r="B89" s="678"/>
      <c r="C89" s="678"/>
      <c r="D89" s="678"/>
      <c r="E89" s="678"/>
      <c r="F89" s="678"/>
      <c r="G89" s="678"/>
      <c r="H89" s="678"/>
      <c r="I89" s="678"/>
      <c r="J89" s="678"/>
      <c r="K89" s="678"/>
      <c r="L89" s="678"/>
      <c r="M89" s="678"/>
      <c r="N89" s="678"/>
      <c r="O89" s="678"/>
      <c r="P89" s="678"/>
      <c r="Q89" s="678"/>
      <c r="R89" s="678"/>
      <c r="S89" s="678"/>
      <c r="T89" s="678"/>
      <c r="U89" s="678"/>
      <c r="V89" s="678"/>
      <c r="W89" s="678"/>
      <c r="X89" s="678"/>
      <c r="Y89" s="678"/>
      <c r="Z89" s="678"/>
    </row>
    <row r="90" spans="1:26" ht="14.25" customHeight="1" x14ac:dyDescent="0.3">
      <c r="A90" s="678"/>
      <c r="B90" s="678"/>
      <c r="C90" s="678"/>
      <c r="D90" s="678"/>
      <c r="E90" s="678"/>
      <c r="F90" s="678"/>
      <c r="G90" s="678"/>
      <c r="H90" s="678"/>
      <c r="I90" s="678"/>
      <c r="J90" s="678"/>
      <c r="K90" s="678"/>
      <c r="L90" s="678"/>
      <c r="M90" s="678"/>
      <c r="N90" s="678"/>
      <c r="O90" s="678"/>
      <c r="P90" s="678"/>
      <c r="Q90" s="678"/>
      <c r="R90" s="678"/>
      <c r="S90" s="678"/>
      <c r="T90" s="678"/>
      <c r="U90" s="678"/>
      <c r="V90" s="678"/>
      <c r="W90" s="678"/>
      <c r="X90" s="678"/>
      <c r="Y90" s="678"/>
      <c r="Z90" s="678"/>
    </row>
    <row r="91" spans="1:26" ht="14.25" customHeight="1" x14ac:dyDescent="0.3">
      <c r="A91" s="678"/>
      <c r="B91" s="678"/>
      <c r="C91" s="678"/>
      <c r="D91" s="678"/>
      <c r="E91" s="678"/>
      <c r="F91" s="678"/>
      <c r="G91" s="678"/>
      <c r="H91" s="678"/>
      <c r="I91" s="678"/>
      <c r="J91" s="678"/>
      <c r="K91" s="678"/>
      <c r="L91" s="678"/>
      <c r="M91" s="678"/>
      <c r="N91" s="678"/>
      <c r="O91" s="678"/>
      <c r="P91" s="678"/>
      <c r="Q91" s="678"/>
      <c r="R91" s="678"/>
      <c r="S91" s="678"/>
      <c r="T91" s="678"/>
      <c r="U91" s="678"/>
      <c r="V91" s="678"/>
      <c r="W91" s="678"/>
      <c r="X91" s="678"/>
      <c r="Y91" s="678"/>
      <c r="Z91" s="678"/>
    </row>
    <row r="92" spans="1:26" ht="14.25" customHeight="1" x14ac:dyDescent="0.3">
      <c r="A92" s="678"/>
      <c r="B92" s="678"/>
      <c r="C92" s="678"/>
      <c r="D92" s="678"/>
      <c r="E92" s="678"/>
      <c r="F92" s="678"/>
      <c r="G92" s="678"/>
      <c r="H92" s="678"/>
      <c r="I92" s="678"/>
      <c r="J92" s="678"/>
      <c r="K92" s="678"/>
      <c r="L92" s="678"/>
      <c r="M92" s="678"/>
      <c r="N92" s="678"/>
      <c r="O92" s="678"/>
      <c r="P92" s="678"/>
      <c r="Q92" s="678"/>
      <c r="R92" s="678"/>
      <c r="S92" s="678"/>
      <c r="T92" s="678"/>
      <c r="U92" s="678"/>
      <c r="V92" s="678"/>
      <c r="W92" s="678"/>
      <c r="X92" s="678"/>
      <c r="Y92" s="678"/>
      <c r="Z92" s="678"/>
    </row>
    <row r="93" spans="1:26" ht="14.25" customHeight="1" x14ac:dyDescent="0.3">
      <c r="A93" s="678"/>
      <c r="B93" s="678"/>
      <c r="C93" s="678"/>
      <c r="D93" s="678"/>
      <c r="E93" s="678"/>
      <c r="F93" s="678"/>
      <c r="G93" s="678"/>
      <c r="H93" s="678"/>
      <c r="I93" s="678"/>
      <c r="J93" s="678"/>
      <c r="K93" s="678"/>
      <c r="L93" s="678"/>
      <c r="M93" s="678"/>
      <c r="N93" s="678"/>
      <c r="O93" s="678"/>
      <c r="P93" s="678"/>
      <c r="Q93" s="678"/>
      <c r="R93" s="678"/>
      <c r="S93" s="678"/>
      <c r="T93" s="678"/>
      <c r="U93" s="678"/>
      <c r="V93" s="678"/>
      <c r="W93" s="678"/>
      <c r="X93" s="678"/>
      <c r="Y93" s="678"/>
      <c r="Z93" s="678"/>
    </row>
    <row r="94" spans="1:26" ht="14.25" customHeight="1" x14ac:dyDescent="0.3">
      <c r="A94" s="678"/>
      <c r="B94" s="678"/>
      <c r="C94" s="678"/>
      <c r="D94" s="678"/>
      <c r="E94" s="678"/>
      <c r="F94" s="678"/>
      <c r="G94" s="678"/>
      <c r="H94" s="678"/>
      <c r="I94" s="678"/>
      <c r="J94" s="678"/>
      <c r="K94" s="678"/>
      <c r="L94" s="678"/>
      <c r="M94" s="678"/>
      <c r="N94" s="678"/>
      <c r="O94" s="678"/>
      <c r="P94" s="678"/>
      <c r="Q94" s="678"/>
      <c r="R94" s="678"/>
      <c r="S94" s="678"/>
      <c r="T94" s="678"/>
      <c r="U94" s="678"/>
      <c r="V94" s="678"/>
      <c r="W94" s="678"/>
      <c r="X94" s="678"/>
      <c r="Y94" s="678"/>
      <c r="Z94" s="678"/>
    </row>
    <row r="95" spans="1:26" ht="14.25" customHeight="1" x14ac:dyDescent="0.3">
      <c r="A95" s="678"/>
      <c r="B95" s="678"/>
      <c r="C95" s="678"/>
      <c r="D95" s="678"/>
      <c r="E95" s="678"/>
      <c r="F95" s="678"/>
      <c r="G95" s="678"/>
      <c r="H95" s="678"/>
      <c r="I95" s="678"/>
      <c r="J95" s="678"/>
      <c r="K95" s="678"/>
      <c r="L95" s="678"/>
      <c r="M95" s="678"/>
      <c r="N95" s="678"/>
      <c r="O95" s="678"/>
      <c r="P95" s="678"/>
      <c r="Q95" s="678"/>
      <c r="R95" s="678"/>
      <c r="S95" s="678"/>
      <c r="T95" s="678"/>
      <c r="U95" s="678"/>
      <c r="V95" s="678"/>
      <c r="W95" s="678"/>
      <c r="X95" s="678"/>
      <c r="Y95" s="678"/>
      <c r="Z95" s="678"/>
    </row>
    <row r="96" spans="1:26" ht="14.25" customHeight="1" x14ac:dyDescent="0.3">
      <c r="A96" s="678"/>
      <c r="B96" s="678"/>
      <c r="C96" s="678"/>
      <c r="D96" s="678"/>
      <c r="E96" s="678"/>
      <c r="F96" s="678"/>
      <c r="G96" s="678"/>
      <c r="H96" s="678"/>
      <c r="I96" s="678"/>
      <c r="J96" s="678"/>
      <c r="K96" s="678"/>
      <c r="L96" s="678"/>
      <c r="M96" s="678"/>
      <c r="N96" s="678"/>
      <c r="O96" s="678"/>
      <c r="P96" s="678"/>
      <c r="Q96" s="678"/>
      <c r="R96" s="678"/>
      <c r="S96" s="678"/>
      <c r="T96" s="678"/>
      <c r="U96" s="678"/>
      <c r="V96" s="678"/>
      <c r="W96" s="678"/>
      <c r="X96" s="678"/>
      <c r="Y96" s="678"/>
      <c r="Z96" s="678"/>
    </row>
    <row r="97" spans="1:26" ht="14.25" customHeight="1" x14ac:dyDescent="0.3">
      <c r="A97" s="678"/>
      <c r="B97" s="678"/>
      <c r="C97" s="678"/>
      <c r="D97" s="678"/>
      <c r="E97" s="678"/>
      <c r="F97" s="678"/>
      <c r="G97" s="678"/>
      <c r="H97" s="678"/>
      <c r="I97" s="678"/>
      <c r="J97" s="678"/>
      <c r="K97" s="678"/>
      <c r="L97" s="678"/>
      <c r="M97" s="678"/>
      <c r="N97" s="678"/>
      <c r="O97" s="678"/>
      <c r="P97" s="678"/>
      <c r="Q97" s="678"/>
      <c r="R97" s="678"/>
      <c r="S97" s="678"/>
      <c r="T97" s="678"/>
      <c r="U97" s="678"/>
      <c r="V97" s="678"/>
      <c r="W97" s="678"/>
      <c r="X97" s="678"/>
      <c r="Y97" s="678"/>
      <c r="Z97" s="678"/>
    </row>
    <row r="98" spans="1:26" ht="14.25" customHeight="1" x14ac:dyDescent="0.3">
      <c r="A98" s="678"/>
      <c r="B98" s="678"/>
      <c r="C98" s="678"/>
      <c r="D98" s="678"/>
      <c r="E98" s="678"/>
      <c r="F98" s="678"/>
      <c r="G98" s="678"/>
      <c r="H98" s="678"/>
      <c r="I98" s="678"/>
      <c r="J98" s="678"/>
      <c r="K98" s="678"/>
      <c r="L98" s="678"/>
      <c r="M98" s="678"/>
      <c r="N98" s="678"/>
      <c r="O98" s="678"/>
      <c r="P98" s="678"/>
      <c r="Q98" s="678"/>
      <c r="R98" s="678"/>
      <c r="S98" s="678"/>
      <c r="T98" s="678"/>
      <c r="U98" s="678"/>
      <c r="V98" s="678"/>
      <c r="W98" s="678"/>
      <c r="X98" s="678"/>
      <c r="Y98" s="678"/>
      <c r="Z98" s="678"/>
    </row>
    <row r="99" spans="1:26" ht="14.25" customHeight="1" x14ac:dyDescent="0.3">
      <c r="A99" s="678"/>
      <c r="B99" s="678"/>
      <c r="C99" s="678"/>
      <c r="D99" s="678"/>
      <c r="E99" s="678"/>
      <c r="F99" s="678"/>
      <c r="G99" s="678"/>
      <c r="H99" s="678"/>
      <c r="I99" s="678"/>
      <c r="J99" s="678"/>
      <c r="K99" s="678"/>
      <c r="L99" s="678"/>
      <c r="M99" s="678"/>
      <c r="N99" s="678"/>
      <c r="O99" s="678"/>
      <c r="P99" s="678"/>
      <c r="Q99" s="678"/>
      <c r="R99" s="678"/>
      <c r="S99" s="678"/>
      <c r="T99" s="678"/>
      <c r="U99" s="678"/>
      <c r="V99" s="678"/>
      <c r="W99" s="678"/>
      <c r="X99" s="678"/>
      <c r="Y99" s="678"/>
      <c r="Z99" s="678"/>
    </row>
    <row r="100" spans="1:26" ht="14.25" customHeight="1" x14ac:dyDescent="0.3">
      <c r="A100" s="678"/>
      <c r="B100" s="678"/>
      <c r="C100" s="678"/>
      <c r="D100" s="678"/>
      <c r="E100" s="678"/>
      <c r="F100" s="678"/>
      <c r="G100" s="678"/>
      <c r="H100" s="678"/>
      <c r="I100" s="678"/>
      <c r="J100" s="678"/>
      <c r="K100" s="678"/>
      <c r="L100" s="678"/>
      <c r="M100" s="678"/>
      <c r="N100" s="678"/>
      <c r="O100" s="678"/>
      <c r="P100" s="678"/>
      <c r="Q100" s="678"/>
      <c r="R100" s="678"/>
      <c r="S100" s="678"/>
      <c r="T100" s="678"/>
      <c r="U100" s="678"/>
      <c r="V100" s="678"/>
      <c r="W100" s="678"/>
      <c r="X100" s="678"/>
      <c r="Y100" s="678"/>
      <c r="Z100" s="678"/>
    </row>
    <row r="101" spans="1:26" ht="14.25" customHeight="1" x14ac:dyDescent="0.3">
      <c r="A101" s="678"/>
      <c r="B101" s="678"/>
      <c r="C101" s="678"/>
      <c r="D101" s="678"/>
      <c r="E101" s="678"/>
      <c r="F101" s="678"/>
      <c r="G101" s="678"/>
      <c r="H101" s="678"/>
      <c r="I101" s="678"/>
      <c r="J101" s="678"/>
      <c r="K101" s="678"/>
      <c r="L101" s="678"/>
      <c r="M101" s="678"/>
      <c r="N101" s="678"/>
      <c r="O101" s="678"/>
      <c r="P101" s="678"/>
      <c r="Q101" s="678"/>
      <c r="R101" s="678"/>
      <c r="S101" s="678"/>
      <c r="T101" s="678"/>
      <c r="U101" s="678"/>
      <c r="V101" s="678"/>
      <c r="W101" s="678"/>
      <c r="X101" s="678"/>
      <c r="Y101" s="678"/>
      <c r="Z101" s="678"/>
    </row>
    <row r="102" spans="1:26" ht="14.25" customHeight="1" x14ac:dyDescent="0.3">
      <c r="A102" s="678"/>
      <c r="B102" s="678"/>
      <c r="C102" s="678"/>
      <c r="D102" s="678"/>
      <c r="E102" s="678"/>
      <c r="F102" s="678"/>
      <c r="G102" s="678"/>
      <c r="H102" s="678"/>
      <c r="I102" s="678"/>
      <c r="J102" s="678"/>
      <c r="K102" s="678"/>
      <c r="L102" s="678"/>
      <c r="M102" s="678"/>
      <c r="N102" s="678"/>
      <c r="O102" s="678"/>
      <c r="P102" s="678"/>
      <c r="Q102" s="678"/>
      <c r="R102" s="678"/>
      <c r="S102" s="678"/>
      <c r="T102" s="678"/>
      <c r="U102" s="678"/>
      <c r="V102" s="678"/>
      <c r="W102" s="678"/>
      <c r="X102" s="678"/>
      <c r="Y102" s="678"/>
      <c r="Z102" s="678"/>
    </row>
    <row r="103" spans="1:26" ht="14.25" customHeight="1" x14ac:dyDescent="0.3">
      <c r="A103" s="678"/>
      <c r="B103" s="678"/>
      <c r="C103" s="678"/>
      <c r="D103" s="678"/>
      <c r="E103" s="678"/>
      <c r="F103" s="678"/>
      <c r="G103" s="678"/>
      <c r="H103" s="678"/>
      <c r="I103" s="678"/>
      <c r="J103" s="678"/>
      <c r="K103" s="678"/>
      <c r="L103" s="678"/>
      <c r="M103" s="678"/>
      <c r="N103" s="678"/>
      <c r="O103" s="678"/>
      <c r="P103" s="678"/>
      <c r="Q103" s="678"/>
      <c r="R103" s="678"/>
      <c r="S103" s="678"/>
      <c r="T103" s="678"/>
      <c r="U103" s="678"/>
      <c r="V103" s="678"/>
      <c r="W103" s="678"/>
      <c r="X103" s="678"/>
      <c r="Y103" s="678"/>
      <c r="Z103" s="678"/>
    </row>
    <row r="104" spans="1:26" ht="14.25" customHeight="1" x14ac:dyDescent="0.3">
      <c r="A104" s="678"/>
      <c r="B104" s="678"/>
      <c r="C104" s="678"/>
      <c r="D104" s="678"/>
      <c r="E104" s="678"/>
      <c r="F104" s="678"/>
      <c r="G104" s="678"/>
      <c r="H104" s="678"/>
      <c r="I104" s="678"/>
      <c r="J104" s="678"/>
      <c r="K104" s="678"/>
      <c r="L104" s="678"/>
      <c r="M104" s="678"/>
      <c r="N104" s="678"/>
      <c r="O104" s="678"/>
      <c r="P104" s="678"/>
      <c r="Q104" s="678"/>
      <c r="R104" s="678"/>
      <c r="S104" s="678"/>
      <c r="T104" s="678"/>
      <c r="U104" s="678"/>
      <c r="V104" s="678"/>
      <c r="W104" s="678"/>
      <c r="X104" s="678"/>
      <c r="Y104" s="678"/>
      <c r="Z104" s="678"/>
    </row>
    <row r="105" spans="1:26" ht="14.25" customHeight="1" x14ac:dyDescent="0.3">
      <c r="A105" s="678"/>
      <c r="B105" s="678"/>
      <c r="C105" s="678"/>
      <c r="D105" s="678"/>
      <c r="E105" s="678"/>
      <c r="F105" s="678"/>
      <c r="G105" s="678"/>
      <c r="H105" s="678"/>
      <c r="I105" s="678"/>
      <c r="J105" s="678"/>
      <c r="K105" s="678"/>
      <c r="L105" s="678"/>
      <c r="M105" s="678"/>
      <c r="N105" s="678"/>
      <c r="O105" s="678"/>
      <c r="P105" s="678"/>
      <c r="Q105" s="678"/>
      <c r="R105" s="678"/>
      <c r="S105" s="678"/>
      <c r="T105" s="678"/>
      <c r="U105" s="678"/>
      <c r="V105" s="678"/>
      <c r="W105" s="678"/>
      <c r="X105" s="678"/>
      <c r="Y105" s="678"/>
      <c r="Z105" s="678"/>
    </row>
    <row r="106" spans="1:26" ht="14.25" customHeight="1" x14ac:dyDescent="0.3">
      <c r="A106" s="678"/>
      <c r="B106" s="678"/>
      <c r="C106" s="678"/>
      <c r="D106" s="678"/>
      <c r="E106" s="678"/>
      <c r="F106" s="678"/>
      <c r="G106" s="678"/>
      <c r="H106" s="678"/>
      <c r="I106" s="678"/>
      <c r="J106" s="678"/>
      <c r="K106" s="678"/>
      <c r="L106" s="678"/>
      <c r="M106" s="678"/>
      <c r="N106" s="678"/>
      <c r="O106" s="678"/>
      <c r="P106" s="678"/>
      <c r="Q106" s="678"/>
      <c r="R106" s="678"/>
      <c r="S106" s="678"/>
      <c r="T106" s="678"/>
      <c r="U106" s="678"/>
      <c r="V106" s="678"/>
      <c r="W106" s="678"/>
      <c r="X106" s="678"/>
      <c r="Y106" s="678"/>
      <c r="Z106" s="678"/>
    </row>
    <row r="107" spans="1:26" ht="14.25" customHeight="1" x14ac:dyDescent="0.3">
      <c r="A107" s="678"/>
      <c r="B107" s="678"/>
      <c r="C107" s="678"/>
      <c r="D107" s="678"/>
      <c r="E107" s="678"/>
      <c r="F107" s="678"/>
      <c r="G107" s="678"/>
      <c r="H107" s="678"/>
      <c r="I107" s="678"/>
      <c r="J107" s="678"/>
      <c r="K107" s="678"/>
      <c r="L107" s="678"/>
      <c r="M107" s="678"/>
      <c r="N107" s="678"/>
      <c r="O107" s="678"/>
      <c r="P107" s="678"/>
      <c r="Q107" s="678"/>
      <c r="R107" s="678"/>
      <c r="S107" s="678"/>
      <c r="T107" s="678"/>
      <c r="U107" s="678"/>
      <c r="V107" s="678"/>
      <c r="W107" s="678"/>
      <c r="X107" s="678"/>
      <c r="Y107" s="678"/>
      <c r="Z107" s="678"/>
    </row>
    <row r="108" spans="1:26" ht="14.25" customHeight="1" x14ac:dyDescent="0.3">
      <c r="A108" s="678"/>
      <c r="B108" s="678"/>
      <c r="C108" s="678"/>
      <c r="D108" s="678"/>
      <c r="E108" s="678"/>
      <c r="F108" s="678"/>
      <c r="G108" s="678"/>
      <c r="H108" s="678"/>
      <c r="I108" s="678"/>
      <c r="J108" s="678"/>
      <c r="K108" s="678"/>
      <c r="L108" s="678"/>
      <c r="M108" s="678"/>
      <c r="N108" s="678"/>
      <c r="O108" s="678"/>
      <c r="P108" s="678"/>
      <c r="Q108" s="678"/>
      <c r="R108" s="678"/>
      <c r="S108" s="678"/>
      <c r="T108" s="678"/>
      <c r="U108" s="678"/>
      <c r="V108" s="678"/>
      <c r="W108" s="678"/>
      <c r="X108" s="678"/>
      <c r="Y108" s="678"/>
      <c r="Z108" s="678"/>
    </row>
    <row r="109" spans="1:26" ht="14.25" customHeight="1" x14ac:dyDescent="0.3">
      <c r="A109" s="678"/>
      <c r="B109" s="678"/>
      <c r="C109" s="678"/>
      <c r="D109" s="678"/>
      <c r="E109" s="678"/>
      <c r="F109" s="678"/>
      <c r="G109" s="678"/>
      <c r="H109" s="678"/>
      <c r="I109" s="678"/>
      <c r="J109" s="678"/>
      <c r="K109" s="678"/>
      <c r="L109" s="678"/>
      <c r="M109" s="678"/>
      <c r="N109" s="678"/>
      <c r="O109" s="678"/>
      <c r="P109" s="678"/>
      <c r="Q109" s="678"/>
      <c r="R109" s="678"/>
      <c r="S109" s="678"/>
      <c r="T109" s="678"/>
      <c r="U109" s="678"/>
      <c r="V109" s="678"/>
      <c r="W109" s="678"/>
      <c r="X109" s="678"/>
      <c r="Y109" s="678"/>
      <c r="Z109" s="678"/>
    </row>
    <row r="110" spans="1:26" ht="14.25" customHeight="1" x14ac:dyDescent="0.3">
      <c r="A110" s="678"/>
      <c r="B110" s="678"/>
      <c r="C110" s="678"/>
      <c r="D110" s="678"/>
      <c r="E110" s="678"/>
      <c r="F110" s="678"/>
      <c r="G110" s="678"/>
      <c r="H110" s="678"/>
      <c r="I110" s="678"/>
      <c r="J110" s="678"/>
      <c r="K110" s="678"/>
      <c r="L110" s="678"/>
      <c r="M110" s="678"/>
      <c r="N110" s="678"/>
      <c r="O110" s="678"/>
      <c r="P110" s="678"/>
      <c r="Q110" s="678"/>
      <c r="R110" s="678"/>
      <c r="S110" s="678"/>
      <c r="T110" s="678"/>
      <c r="U110" s="678"/>
      <c r="V110" s="678"/>
      <c r="W110" s="678"/>
      <c r="X110" s="678"/>
      <c r="Y110" s="678"/>
      <c r="Z110" s="678"/>
    </row>
    <row r="111" spans="1:26" ht="14.25" customHeight="1" x14ac:dyDescent="0.3">
      <c r="A111" s="678"/>
      <c r="B111" s="678"/>
      <c r="C111" s="678"/>
      <c r="D111" s="678"/>
      <c r="E111" s="678"/>
      <c r="F111" s="678"/>
      <c r="G111" s="678"/>
      <c r="H111" s="678"/>
      <c r="I111" s="678"/>
      <c r="J111" s="678"/>
      <c r="K111" s="678"/>
      <c r="L111" s="678"/>
      <c r="M111" s="678"/>
      <c r="N111" s="678"/>
      <c r="O111" s="678"/>
      <c r="P111" s="678"/>
      <c r="Q111" s="678"/>
      <c r="R111" s="678"/>
      <c r="S111" s="678"/>
      <c r="T111" s="678"/>
      <c r="U111" s="678"/>
      <c r="V111" s="678"/>
      <c r="W111" s="678"/>
      <c r="X111" s="678"/>
      <c r="Y111" s="678"/>
      <c r="Z111" s="678"/>
    </row>
    <row r="112" spans="1:26" ht="14.25" customHeight="1" x14ac:dyDescent="0.3">
      <c r="A112" s="678"/>
      <c r="B112" s="678"/>
      <c r="C112" s="678"/>
      <c r="D112" s="678"/>
      <c r="E112" s="678"/>
      <c r="F112" s="678"/>
      <c r="G112" s="678"/>
      <c r="H112" s="678"/>
      <c r="I112" s="678"/>
      <c r="J112" s="678"/>
      <c r="K112" s="678"/>
      <c r="L112" s="678"/>
      <c r="M112" s="678"/>
      <c r="N112" s="678"/>
      <c r="O112" s="678"/>
      <c r="P112" s="678"/>
      <c r="Q112" s="678"/>
      <c r="R112" s="678"/>
      <c r="S112" s="678"/>
      <c r="T112" s="678"/>
      <c r="U112" s="678"/>
      <c r="V112" s="678"/>
      <c r="W112" s="678"/>
      <c r="X112" s="678"/>
      <c r="Y112" s="678"/>
      <c r="Z112" s="678"/>
    </row>
    <row r="113" spans="1:26" ht="14.25" customHeight="1" x14ac:dyDescent="0.3">
      <c r="A113" s="678"/>
      <c r="B113" s="678"/>
      <c r="C113" s="678"/>
      <c r="D113" s="678"/>
      <c r="E113" s="678"/>
      <c r="F113" s="678"/>
      <c r="G113" s="678"/>
      <c r="H113" s="678"/>
      <c r="I113" s="678"/>
      <c r="J113" s="678"/>
      <c r="K113" s="678"/>
      <c r="L113" s="678"/>
      <c r="M113" s="678"/>
      <c r="N113" s="678"/>
      <c r="O113" s="678"/>
      <c r="P113" s="678"/>
      <c r="Q113" s="678"/>
      <c r="R113" s="678"/>
      <c r="S113" s="678"/>
      <c r="T113" s="678"/>
      <c r="U113" s="678"/>
      <c r="V113" s="678"/>
      <c r="W113" s="678"/>
      <c r="X113" s="678"/>
      <c r="Y113" s="678"/>
      <c r="Z113" s="678"/>
    </row>
    <row r="114" spans="1:26" ht="14.25" customHeight="1" x14ac:dyDescent="0.3">
      <c r="A114" s="678"/>
      <c r="B114" s="678"/>
      <c r="C114" s="678"/>
      <c r="D114" s="678"/>
      <c r="E114" s="678"/>
      <c r="F114" s="678"/>
      <c r="G114" s="678"/>
      <c r="H114" s="678"/>
      <c r="I114" s="678"/>
      <c r="J114" s="678"/>
      <c r="K114" s="678"/>
      <c r="L114" s="678"/>
      <c r="M114" s="678"/>
      <c r="N114" s="678"/>
      <c r="O114" s="678"/>
      <c r="P114" s="678"/>
      <c r="Q114" s="678"/>
      <c r="R114" s="678"/>
      <c r="S114" s="678"/>
      <c r="T114" s="678"/>
      <c r="U114" s="678"/>
      <c r="V114" s="678"/>
      <c r="W114" s="678"/>
      <c r="X114" s="678"/>
      <c r="Y114" s="678"/>
      <c r="Z114" s="678"/>
    </row>
    <row r="115" spans="1:26" ht="14.25" customHeight="1" x14ac:dyDescent="0.3">
      <c r="A115" s="678"/>
      <c r="B115" s="678"/>
      <c r="C115" s="678"/>
      <c r="D115" s="678"/>
      <c r="E115" s="678"/>
      <c r="F115" s="678"/>
      <c r="G115" s="678"/>
      <c r="H115" s="678"/>
      <c r="I115" s="678"/>
      <c r="J115" s="678"/>
      <c r="K115" s="678"/>
      <c r="L115" s="678"/>
      <c r="M115" s="678"/>
      <c r="N115" s="678"/>
      <c r="O115" s="678"/>
      <c r="P115" s="678"/>
      <c r="Q115" s="678"/>
      <c r="R115" s="678"/>
      <c r="S115" s="678"/>
      <c r="T115" s="678"/>
      <c r="U115" s="678"/>
      <c r="V115" s="678"/>
      <c r="W115" s="678"/>
      <c r="X115" s="678"/>
      <c r="Y115" s="678"/>
      <c r="Z115" s="678"/>
    </row>
    <row r="116" spans="1:26" ht="14.25" customHeight="1" x14ac:dyDescent="0.3">
      <c r="A116" s="678"/>
      <c r="B116" s="678"/>
      <c r="C116" s="678"/>
      <c r="D116" s="678"/>
      <c r="E116" s="678"/>
      <c r="F116" s="678"/>
      <c r="G116" s="678"/>
      <c r="H116" s="678"/>
      <c r="I116" s="678"/>
      <c r="J116" s="678"/>
      <c r="K116" s="678"/>
      <c r="L116" s="678"/>
      <c r="M116" s="678"/>
      <c r="N116" s="678"/>
      <c r="O116" s="678"/>
      <c r="P116" s="678"/>
      <c r="Q116" s="678"/>
      <c r="R116" s="678"/>
      <c r="S116" s="678"/>
      <c r="T116" s="678"/>
      <c r="U116" s="678"/>
      <c r="V116" s="678"/>
      <c r="W116" s="678"/>
      <c r="X116" s="678"/>
      <c r="Y116" s="678"/>
      <c r="Z116" s="678"/>
    </row>
    <row r="117" spans="1:26" ht="14.25" customHeight="1" x14ac:dyDescent="0.3">
      <c r="A117" s="678"/>
      <c r="B117" s="678"/>
      <c r="C117" s="678"/>
      <c r="D117" s="678"/>
      <c r="E117" s="678"/>
      <c r="F117" s="678"/>
      <c r="G117" s="678"/>
      <c r="H117" s="678"/>
      <c r="I117" s="678"/>
      <c r="J117" s="678"/>
      <c r="K117" s="678"/>
      <c r="L117" s="678"/>
      <c r="M117" s="678"/>
      <c r="N117" s="678"/>
      <c r="O117" s="678"/>
      <c r="P117" s="678"/>
      <c r="Q117" s="678"/>
      <c r="R117" s="678"/>
      <c r="S117" s="678"/>
      <c r="T117" s="678"/>
      <c r="U117" s="678"/>
      <c r="V117" s="678"/>
      <c r="W117" s="678"/>
      <c r="X117" s="678"/>
      <c r="Y117" s="678"/>
      <c r="Z117" s="678"/>
    </row>
    <row r="118" spans="1:26" ht="14.25" customHeight="1" x14ac:dyDescent="0.3">
      <c r="A118" s="678"/>
      <c r="B118" s="678"/>
      <c r="C118" s="678"/>
      <c r="D118" s="678"/>
      <c r="E118" s="678"/>
      <c r="F118" s="678"/>
      <c r="G118" s="678"/>
      <c r="H118" s="678"/>
      <c r="I118" s="678"/>
      <c r="J118" s="678"/>
      <c r="K118" s="678"/>
      <c r="L118" s="678"/>
      <c r="M118" s="678"/>
      <c r="N118" s="678"/>
      <c r="O118" s="678"/>
      <c r="P118" s="678"/>
      <c r="Q118" s="678"/>
      <c r="R118" s="678"/>
      <c r="S118" s="678"/>
      <c r="T118" s="678"/>
      <c r="U118" s="678"/>
      <c r="V118" s="678"/>
      <c r="W118" s="678"/>
      <c r="X118" s="678"/>
      <c r="Y118" s="678"/>
      <c r="Z118" s="678"/>
    </row>
    <row r="119" spans="1:26" ht="14.25" customHeight="1" x14ac:dyDescent="0.3">
      <c r="A119" s="678"/>
      <c r="B119" s="678"/>
      <c r="C119" s="678"/>
      <c r="D119" s="678"/>
      <c r="E119" s="678"/>
      <c r="F119" s="678"/>
      <c r="G119" s="678"/>
      <c r="H119" s="678"/>
      <c r="I119" s="678"/>
      <c r="J119" s="678"/>
      <c r="K119" s="678"/>
      <c r="L119" s="678"/>
      <c r="M119" s="678"/>
      <c r="N119" s="678"/>
      <c r="O119" s="678"/>
      <c r="P119" s="678"/>
      <c r="Q119" s="678"/>
      <c r="R119" s="678"/>
      <c r="S119" s="678"/>
      <c r="T119" s="678"/>
      <c r="U119" s="678"/>
      <c r="V119" s="678"/>
      <c r="W119" s="678"/>
      <c r="X119" s="678"/>
      <c r="Y119" s="678"/>
      <c r="Z119" s="678"/>
    </row>
    <row r="120" spans="1:26" ht="14.25" customHeight="1" x14ac:dyDescent="0.3">
      <c r="A120" s="678"/>
      <c r="B120" s="678"/>
      <c r="C120" s="678"/>
      <c r="D120" s="678"/>
      <c r="E120" s="678"/>
      <c r="F120" s="678"/>
      <c r="G120" s="678"/>
      <c r="H120" s="678"/>
      <c r="I120" s="678"/>
      <c r="J120" s="678"/>
      <c r="K120" s="678"/>
      <c r="L120" s="678"/>
      <c r="M120" s="678"/>
      <c r="N120" s="678"/>
      <c r="O120" s="678"/>
      <c r="P120" s="678"/>
      <c r="Q120" s="678"/>
      <c r="R120" s="678"/>
      <c r="S120" s="678"/>
      <c r="T120" s="678"/>
      <c r="U120" s="678"/>
      <c r="V120" s="678"/>
      <c r="W120" s="678"/>
      <c r="X120" s="678"/>
      <c r="Y120" s="678"/>
      <c r="Z120" s="678"/>
    </row>
    <row r="121" spans="1:26" ht="14.25" customHeight="1" x14ac:dyDescent="0.3">
      <c r="A121" s="678"/>
      <c r="B121" s="678"/>
      <c r="C121" s="678"/>
      <c r="D121" s="678"/>
      <c r="E121" s="678"/>
      <c r="F121" s="678"/>
      <c r="G121" s="678"/>
      <c r="H121" s="678"/>
      <c r="I121" s="678"/>
      <c r="J121" s="678"/>
      <c r="K121" s="678"/>
      <c r="L121" s="678"/>
      <c r="M121" s="678"/>
      <c r="N121" s="678"/>
      <c r="O121" s="678"/>
      <c r="P121" s="678"/>
      <c r="Q121" s="678"/>
      <c r="R121" s="678"/>
      <c r="S121" s="678"/>
      <c r="T121" s="678"/>
      <c r="U121" s="678"/>
      <c r="V121" s="678"/>
      <c r="W121" s="678"/>
      <c r="X121" s="678"/>
      <c r="Y121" s="678"/>
      <c r="Z121" s="678"/>
    </row>
    <row r="122" spans="1:26" ht="14.25" customHeight="1" x14ac:dyDescent="0.3">
      <c r="A122" s="678"/>
      <c r="B122" s="678"/>
      <c r="C122" s="678"/>
      <c r="D122" s="678"/>
      <c r="E122" s="678"/>
      <c r="F122" s="678"/>
      <c r="G122" s="678"/>
      <c r="H122" s="678"/>
      <c r="I122" s="678"/>
      <c r="J122" s="678"/>
      <c r="K122" s="678"/>
      <c r="L122" s="678"/>
      <c r="M122" s="678"/>
      <c r="N122" s="678"/>
      <c r="O122" s="678"/>
      <c r="P122" s="678"/>
      <c r="Q122" s="678"/>
      <c r="R122" s="678"/>
      <c r="S122" s="678"/>
      <c r="T122" s="678"/>
      <c r="U122" s="678"/>
      <c r="V122" s="678"/>
      <c r="W122" s="678"/>
      <c r="X122" s="678"/>
      <c r="Y122" s="678"/>
      <c r="Z122" s="678"/>
    </row>
    <row r="123" spans="1:26" ht="14.25" customHeight="1" x14ac:dyDescent="0.3">
      <c r="A123" s="678"/>
      <c r="B123" s="678"/>
      <c r="C123" s="678"/>
      <c r="D123" s="678"/>
      <c r="E123" s="678"/>
      <c r="F123" s="678"/>
      <c r="G123" s="678"/>
      <c r="H123" s="678"/>
      <c r="I123" s="678"/>
      <c r="J123" s="678"/>
      <c r="K123" s="678"/>
      <c r="L123" s="678"/>
      <c r="M123" s="678"/>
      <c r="N123" s="678"/>
      <c r="O123" s="678"/>
      <c r="P123" s="678"/>
      <c r="Q123" s="678"/>
      <c r="R123" s="678"/>
      <c r="S123" s="678"/>
      <c r="T123" s="678"/>
      <c r="U123" s="678"/>
      <c r="V123" s="678"/>
      <c r="W123" s="678"/>
      <c r="X123" s="678"/>
      <c r="Y123" s="678"/>
      <c r="Z123" s="678"/>
    </row>
    <row r="124" spans="1:26" ht="14.25" customHeight="1" x14ac:dyDescent="0.3">
      <c r="A124" s="678"/>
      <c r="B124" s="678"/>
      <c r="C124" s="678"/>
      <c r="D124" s="678"/>
      <c r="E124" s="678"/>
      <c r="F124" s="678"/>
      <c r="G124" s="678"/>
      <c r="H124" s="678"/>
      <c r="I124" s="678"/>
      <c r="J124" s="678"/>
      <c r="K124" s="678"/>
      <c r="L124" s="678"/>
      <c r="M124" s="678"/>
      <c r="N124" s="678"/>
      <c r="O124" s="678"/>
      <c r="P124" s="678"/>
      <c r="Q124" s="678"/>
      <c r="R124" s="678"/>
      <c r="S124" s="678"/>
      <c r="T124" s="678"/>
      <c r="U124" s="678"/>
      <c r="V124" s="678"/>
      <c r="W124" s="678"/>
      <c r="X124" s="678"/>
      <c r="Y124" s="678"/>
      <c r="Z124" s="678"/>
    </row>
    <row r="125" spans="1:26" ht="14.25" customHeight="1" x14ac:dyDescent="0.3">
      <c r="A125" s="678"/>
      <c r="B125" s="678"/>
      <c r="C125" s="678"/>
      <c r="D125" s="678"/>
      <c r="E125" s="678"/>
      <c r="F125" s="678"/>
      <c r="G125" s="678"/>
      <c r="H125" s="678"/>
      <c r="I125" s="678"/>
      <c r="J125" s="678"/>
      <c r="K125" s="678"/>
      <c r="L125" s="678"/>
      <c r="M125" s="678"/>
      <c r="N125" s="678"/>
      <c r="O125" s="678"/>
      <c r="P125" s="678"/>
      <c r="Q125" s="678"/>
      <c r="R125" s="678"/>
      <c r="S125" s="678"/>
      <c r="T125" s="678"/>
      <c r="U125" s="678"/>
      <c r="V125" s="678"/>
      <c r="W125" s="678"/>
      <c r="X125" s="678"/>
      <c r="Y125" s="678"/>
      <c r="Z125" s="678"/>
    </row>
    <row r="126" spans="1:26" ht="14.25" customHeight="1" x14ac:dyDescent="0.3">
      <c r="A126" s="678"/>
      <c r="B126" s="678"/>
      <c r="C126" s="678"/>
      <c r="D126" s="678"/>
      <c r="E126" s="678"/>
      <c r="F126" s="678"/>
      <c r="G126" s="678"/>
      <c r="H126" s="678"/>
      <c r="I126" s="678"/>
      <c r="J126" s="678"/>
      <c r="K126" s="678"/>
      <c r="L126" s="678"/>
      <c r="M126" s="678"/>
      <c r="N126" s="678"/>
      <c r="O126" s="678"/>
      <c r="P126" s="678"/>
      <c r="Q126" s="678"/>
      <c r="R126" s="678"/>
      <c r="S126" s="678"/>
      <c r="T126" s="678"/>
      <c r="U126" s="678"/>
      <c r="V126" s="678"/>
      <c r="W126" s="678"/>
      <c r="X126" s="678"/>
      <c r="Y126" s="678"/>
      <c r="Z126" s="678"/>
    </row>
    <row r="127" spans="1:26" ht="14.25" customHeight="1" x14ac:dyDescent="0.3">
      <c r="A127" s="678"/>
      <c r="B127" s="678"/>
      <c r="C127" s="678"/>
      <c r="D127" s="678"/>
      <c r="E127" s="678"/>
      <c r="F127" s="678"/>
      <c r="G127" s="678"/>
      <c r="H127" s="678"/>
      <c r="I127" s="678"/>
      <c r="J127" s="678"/>
      <c r="K127" s="678"/>
      <c r="L127" s="678"/>
      <c r="M127" s="678"/>
      <c r="N127" s="678"/>
      <c r="O127" s="678"/>
      <c r="P127" s="678"/>
      <c r="Q127" s="678"/>
      <c r="R127" s="678"/>
      <c r="S127" s="678"/>
      <c r="T127" s="678"/>
      <c r="U127" s="678"/>
      <c r="V127" s="678"/>
      <c r="W127" s="678"/>
      <c r="X127" s="678"/>
      <c r="Y127" s="678"/>
      <c r="Z127" s="678"/>
    </row>
    <row r="128" spans="1:26" ht="14.25" customHeight="1" x14ac:dyDescent="0.3">
      <c r="A128" s="678"/>
      <c r="B128" s="678"/>
      <c r="C128" s="678"/>
      <c r="D128" s="678"/>
      <c r="E128" s="678"/>
      <c r="F128" s="678"/>
      <c r="G128" s="678"/>
      <c r="H128" s="678"/>
      <c r="I128" s="678"/>
      <c r="J128" s="678"/>
      <c r="K128" s="678"/>
      <c r="L128" s="678"/>
      <c r="M128" s="678"/>
      <c r="N128" s="678"/>
      <c r="O128" s="678"/>
      <c r="P128" s="678"/>
      <c r="Q128" s="678"/>
      <c r="R128" s="678"/>
      <c r="S128" s="678"/>
      <c r="T128" s="678"/>
      <c r="U128" s="678"/>
      <c r="V128" s="678"/>
      <c r="W128" s="678"/>
      <c r="X128" s="678"/>
      <c r="Y128" s="678"/>
      <c r="Z128" s="678"/>
    </row>
    <row r="129" spans="1:26" ht="14.25" customHeight="1" x14ac:dyDescent="0.3">
      <c r="A129" s="678"/>
      <c r="B129" s="678"/>
      <c r="C129" s="678"/>
      <c r="D129" s="678"/>
      <c r="E129" s="678"/>
      <c r="F129" s="678"/>
      <c r="G129" s="678"/>
      <c r="H129" s="678"/>
      <c r="I129" s="678"/>
      <c r="J129" s="678"/>
      <c r="K129" s="678"/>
      <c r="L129" s="678"/>
      <c r="M129" s="678"/>
      <c r="N129" s="678"/>
      <c r="O129" s="678"/>
      <c r="P129" s="678"/>
      <c r="Q129" s="678"/>
      <c r="R129" s="678"/>
      <c r="S129" s="678"/>
      <c r="T129" s="678"/>
      <c r="U129" s="678"/>
      <c r="V129" s="678"/>
      <c r="W129" s="678"/>
      <c r="X129" s="678"/>
      <c r="Y129" s="678"/>
      <c r="Z129" s="678"/>
    </row>
    <row r="130" spans="1:26" ht="14.25" customHeight="1" x14ac:dyDescent="0.3">
      <c r="A130" s="678"/>
      <c r="B130" s="678"/>
      <c r="C130" s="678"/>
      <c r="D130" s="678"/>
      <c r="E130" s="678"/>
      <c r="F130" s="678"/>
      <c r="G130" s="678"/>
      <c r="H130" s="678"/>
      <c r="I130" s="678"/>
      <c r="J130" s="678"/>
      <c r="K130" s="678"/>
      <c r="L130" s="678"/>
      <c r="M130" s="678"/>
      <c r="N130" s="678"/>
      <c r="O130" s="678"/>
      <c r="P130" s="678"/>
      <c r="Q130" s="678"/>
      <c r="R130" s="678"/>
      <c r="S130" s="678"/>
      <c r="T130" s="678"/>
      <c r="U130" s="678"/>
      <c r="V130" s="678"/>
      <c r="W130" s="678"/>
      <c r="X130" s="678"/>
      <c r="Y130" s="678"/>
      <c r="Z130" s="678"/>
    </row>
    <row r="131" spans="1:26" ht="14.25" customHeight="1" x14ac:dyDescent="0.3">
      <c r="A131" s="678"/>
      <c r="B131" s="678"/>
      <c r="C131" s="678"/>
      <c r="D131" s="678"/>
      <c r="E131" s="678"/>
      <c r="F131" s="678"/>
      <c r="G131" s="678"/>
      <c r="H131" s="678"/>
      <c r="I131" s="678"/>
      <c r="J131" s="678"/>
      <c r="K131" s="678"/>
      <c r="L131" s="678"/>
      <c r="M131" s="678"/>
      <c r="N131" s="678"/>
      <c r="O131" s="678"/>
      <c r="P131" s="678"/>
      <c r="Q131" s="678"/>
      <c r="R131" s="678"/>
      <c r="S131" s="678"/>
      <c r="T131" s="678"/>
      <c r="U131" s="678"/>
      <c r="V131" s="678"/>
      <c r="W131" s="678"/>
      <c r="X131" s="678"/>
      <c r="Y131" s="678"/>
      <c r="Z131" s="678"/>
    </row>
    <row r="132" spans="1:26" ht="14.25" customHeight="1" x14ac:dyDescent="0.3">
      <c r="A132" s="678"/>
      <c r="B132" s="678"/>
      <c r="C132" s="678"/>
      <c r="D132" s="678"/>
      <c r="E132" s="678"/>
      <c r="F132" s="678"/>
      <c r="G132" s="678"/>
      <c r="H132" s="678"/>
      <c r="I132" s="678"/>
      <c r="J132" s="678"/>
      <c r="K132" s="678"/>
      <c r="L132" s="678"/>
      <c r="M132" s="678"/>
      <c r="N132" s="678"/>
      <c r="O132" s="678"/>
      <c r="P132" s="678"/>
      <c r="Q132" s="678"/>
      <c r="R132" s="678"/>
      <c r="S132" s="678"/>
      <c r="T132" s="678"/>
      <c r="U132" s="678"/>
      <c r="V132" s="678"/>
      <c r="W132" s="678"/>
      <c r="X132" s="678"/>
      <c r="Y132" s="678"/>
      <c r="Z132" s="678"/>
    </row>
    <row r="133" spans="1:26" ht="14.25" customHeight="1" x14ac:dyDescent="0.3">
      <c r="A133" s="678"/>
      <c r="B133" s="678"/>
      <c r="C133" s="678"/>
      <c r="D133" s="678"/>
      <c r="E133" s="678"/>
      <c r="F133" s="678"/>
      <c r="G133" s="678"/>
      <c r="H133" s="678"/>
      <c r="I133" s="678"/>
      <c r="J133" s="678"/>
      <c r="K133" s="678"/>
      <c r="L133" s="678"/>
      <c r="M133" s="678"/>
      <c r="N133" s="678"/>
      <c r="O133" s="678"/>
      <c r="P133" s="678"/>
      <c r="Q133" s="678"/>
      <c r="R133" s="678"/>
      <c r="S133" s="678"/>
      <c r="T133" s="678"/>
      <c r="U133" s="678"/>
      <c r="V133" s="678"/>
      <c r="W133" s="678"/>
      <c r="X133" s="678"/>
      <c r="Y133" s="678"/>
      <c r="Z133" s="678"/>
    </row>
    <row r="134" spans="1:26" ht="14.25" customHeight="1" x14ac:dyDescent="0.3">
      <c r="A134" s="678"/>
      <c r="B134" s="678"/>
      <c r="C134" s="678"/>
      <c r="D134" s="678"/>
      <c r="E134" s="678"/>
      <c r="F134" s="678"/>
      <c r="G134" s="678"/>
      <c r="H134" s="678"/>
      <c r="I134" s="678"/>
      <c r="J134" s="678"/>
      <c r="K134" s="678"/>
      <c r="L134" s="678"/>
      <c r="M134" s="678"/>
      <c r="N134" s="678"/>
      <c r="O134" s="678"/>
      <c r="P134" s="678"/>
      <c r="Q134" s="678"/>
      <c r="R134" s="678"/>
      <c r="S134" s="678"/>
      <c r="T134" s="678"/>
      <c r="U134" s="678"/>
      <c r="V134" s="678"/>
      <c r="W134" s="678"/>
      <c r="X134" s="678"/>
      <c r="Y134" s="678"/>
      <c r="Z134" s="678"/>
    </row>
    <row r="135" spans="1:26" ht="14.25" customHeight="1" x14ac:dyDescent="0.3">
      <c r="A135" s="678"/>
      <c r="B135" s="678"/>
      <c r="C135" s="678"/>
      <c r="D135" s="678"/>
      <c r="E135" s="678"/>
      <c r="F135" s="678"/>
      <c r="G135" s="678"/>
      <c r="H135" s="678"/>
      <c r="I135" s="678"/>
      <c r="J135" s="678"/>
      <c r="K135" s="678"/>
      <c r="L135" s="678"/>
      <c r="M135" s="678"/>
      <c r="N135" s="678"/>
      <c r="O135" s="678"/>
      <c r="P135" s="678"/>
      <c r="Q135" s="678"/>
      <c r="R135" s="678"/>
      <c r="S135" s="678"/>
      <c r="T135" s="678"/>
      <c r="U135" s="678"/>
      <c r="V135" s="678"/>
      <c r="W135" s="678"/>
      <c r="X135" s="678"/>
      <c r="Y135" s="678"/>
      <c r="Z135" s="678"/>
    </row>
    <row r="136" spans="1:26" ht="14.25" customHeight="1" x14ac:dyDescent="0.3">
      <c r="A136" s="678"/>
      <c r="B136" s="678"/>
      <c r="C136" s="678"/>
      <c r="D136" s="678"/>
      <c r="E136" s="678"/>
      <c r="F136" s="678"/>
      <c r="G136" s="678"/>
      <c r="H136" s="678"/>
      <c r="I136" s="678"/>
      <c r="J136" s="678"/>
      <c r="K136" s="678"/>
      <c r="L136" s="678"/>
      <c r="M136" s="678"/>
      <c r="N136" s="678"/>
      <c r="O136" s="678"/>
      <c r="P136" s="678"/>
      <c r="Q136" s="678"/>
      <c r="R136" s="678"/>
      <c r="S136" s="678"/>
      <c r="T136" s="678"/>
      <c r="U136" s="678"/>
      <c r="V136" s="678"/>
      <c r="W136" s="678"/>
      <c r="X136" s="678"/>
      <c r="Y136" s="678"/>
      <c r="Z136" s="678"/>
    </row>
    <row r="137" spans="1:26" ht="14.25" customHeight="1" x14ac:dyDescent="0.3">
      <c r="A137" s="678"/>
      <c r="B137" s="678"/>
      <c r="C137" s="678"/>
      <c r="D137" s="678"/>
      <c r="E137" s="678"/>
      <c r="F137" s="678"/>
      <c r="G137" s="678"/>
      <c r="H137" s="678"/>
      <c r="I137" s="678"/>
      <c r="J137" s="678"/>
      <c r="K137" s="678"/>
      <c r="L137" s="678"/>
      <c r="M137" s="678"/>
      <c r="N137" s="678"/>
      <c r="O137" s="678"/>
      <c r="P137" s="678"/>
      <c r="Q137" s="678"/>
      <c r="R137" s="678"/>
      <c r="S137" s="678"/>
      <c r="T137" s="678"/>
      <c r="U137" s="678"/>
      <c r="V137" s="678"/>
      <c r="W137" s="678"/>
      <c r="X137" s="678"/>
      <c r="Y137" s="678"/>
      <c r="Z137" s="678"/>
    </row>
    <row r="138" spans="1:26" ht="14.25" customHeight="1" x14ac:dyDescent="0.3">
      <c r="A138" s="678"/>
      <c r="B138" s="678"/>
      <c r="C138" s="678"/>
      <c r="D138" s="678"/>
      <c r="E138" s="678"/>
      <c r="F138" s="678"/>
      <c r="G138" s="678"/>
      <c r="H138" s="678"/>
      <c r="I138" s="678"/>
      <c r="J138" s="678"/>
      <c r="K138" s="678"/>
      <c r="L138" s="678"/>
      <c r="M138" s="678"/>
      <c r="N138" s="678"/>
      <c r="O138" s="678"/>
      <c r="P138" s="678"/>
      <c r="Q138" s="678"/>
      <c r="R138" s="678"/>
      <c r="S138" s="678"/>
      <c r="T138" s="678"/>
      <c r="U138" s="678"/>
      <c r="V138" s="678"/>
      <c r="W138" s="678"/>
      <c r="X138" s="678"/>
      <c r="Y138" s="678"/>
      <c r="Z138" s="678"/>
    </row>
    <row r="139" spans="1:26" ht="14.25" customHeight="1" x14ac:dyDescent="0.3">
      <c r="A139" s="678"/>
      <c r="B139" s="678"/>
      <c r="C139" s="678"/>
      <c r="D139" s="678"/>
      <c r="E139" s="678"/>
      <c r="F139" s="678"/>
      <c r="G139" s="678"/>
      <c r="H139" s="678"/>
      <c r="I139" s="678"/>
      <c r="J139" s="678"/>
      <c r="K139" s="678"/>
      <c r="L139" s="678"/>
      <c r="M139" s="678"/>
      <c r="N139" s="678"/>
      <c r="O139" s="678"/>
      <c r="P139" s="678"/>
      <c r="Q139" s="678"/>
      <c r="R139" s="678"/>
      <c r="S139" s="678"/>
      <c r="T139" s="678"/>
      <c r="U139" s="678"/>
      <c r="V139" s="678"/>
      <c r="W139" s="678"/>
      <c r="X139" s="678"/>
      <c r="Y139" s="678"/>
      <c r="Z139" s="678"/>
    </row>
    <row r="140" spans="1:26" ht="14.25" customHeight="1" x14ac:dyDescent="0.3">
      <c r="A140" s="678"/>
      <c r="B140" s="678"/>
      <c r="C140" s="678"/>
      <c r="D140" s="678"/>
      <c r="E140" s="678"/>
      <c r="F140" s="678"/>
      <c r="G140" s="678"/>
      <c r="H140" s="678"/>
      <c r="I140" s="678"/>
      <c r="J140" s="678"/>
      <c r="K140" s="678"/>
      <c r="L140" s="678"/>
      <c r="M140" s="678"/>
      <c r="N140" s="678"/>
      <c r="O140" s="678"/>
      <c r="P140" s="678"/>
      <c r="Q140" s="678"/>
      <c r="R140" s="678"/>
      <c r="S140" s="678"/>
      <c r="T140" s="678"/>
      <c r="U140" s="678"/>
      <c r="V140" s="678"/>
      <c r="W140" s="678"/>
      <c r="X140" s="678"/>
      <c r="Y140" s="678"/>
      <c r="Z140" s="678"/>
    </row>
    <row r="141" spans="1:26" ht="14.25" customHeight="1" x14ac:dyDescent="0.3">
      <c r="A141" s="678"/>
      <c r="B141" s="678"/>
      <c r="C141" s="678"/>
      <c r="D141" s="678"/>
      <c r="E141" s="678"/>
      <c r="F141" s="678"/>
      <c r="G141" s="678"/>
      <c r="H141" s="678"/>
      <c r="I141" s="678"/>
      <c r="J141" s="678"/>
      <c r="K141" s="678"/>
      <c r="L141" s="678"/>
      <c r="M141" s="678"/>
      <c r="N141" s="678"/>
      <c r="O141" s="678"/>
      <c r="P141" s="678"/>
      <c r="Q141" s="678"/>
      <c r="R141" s="678"/>
      <c r="S141" s="678"/>
      <c r="T141" s="678"/>
      <c r="U141" s="678"/>
      <c r="V141" s="678"/>
      <c r="W141" s="678"/>
      <c r="X141" s="678"/>
      <c r="Y141" s="678"/>
      <c r="Z141" s="678"/>
    </row>
    <row r="142" spans="1:26" ht="14.25" customHeight="1" x14ac:dyDescent="0.3">
      <c r="A142" s="678"/>
      <c r="B142" s="678"/>
      <c r="C142" s="678"/>
      <c r="D142" s="678"/>
      <c r="E142" s="678"/>
      <c r="F142" s="678"/>
      <c r="G142" s="678"/>
      <c r="H142" s="678"/>
      <c r="I142" s="678"/>
      <c r="J142" s="678"/>
      <c r="K142" s="678"/>
      <c r="L142" s="678"/>
      <c r="M142" s="678"/>
      <c r="N142" s="678"/>
      <c r="O142" s="678"/>
      <c r="P142" s="678"/>
      <c r="Q142" s="678"/>
      <c r="R142" s="678"/>
      <c r="S142" s="678"/>
      <c r="T142" s="678"/>
      <c r="U142" s="678"/>
      <c r="V142" s="678"/>
      <c r="W142" s="678"/>
      <c r="X142" s="678"/>
      <c r="Y142" s="678"/>
      <c r="Z142" s="678"/>
    </row>
    <row r="143" spans="1:26" ht="14.25" customHeight="1" x14ac:dyDescent="0.3">
      <c r="A143" s="678"/>
      <c r="B143" s="678"/>
      <c r="C143" s="678"/>
      <c r="D143" s="678"/>
      <c r="E143" s="678"/>
      <c r="F143" s="678"/>
      <c r="G143" s="678"/>
      <c r="H143" s="678"/>
      <c r="I143" s="678"/>
      <c r="J143" s="678"/>
      <c r="K143" s="678"/>
      <c r="L143" s="678"/>
      <c r="M143" s="678"/>
      <c r="N143" s="678"/>
      <c r="O143" s="678"/>
      <c r="P143" s="678"/>
      <c r="Q143" s="678"/>
      <c r="R143" s="678"/>
      <c r="S143" s="678"/>
      <c r="T143" s="678"/>
      <c r="U143" s="678"/>
      <c r="V143" s="678"/>
      <c r="W143" s="678"/>
      <c r="X143" s="678"/>
      <c r="Y143" s="678"/>
      <c r="Z143" s="678"/>
    </row>
    <row r="144" spans="1:26" ht="14.25" customHeight="1" x14ac:dyDescent="0.3">
      <c r="A144" s="678"/>
      <c r="B144" s="678"/>
      <c r="C144" s="678"/>
      <c r="D144" s="678"/>
      <c r="E144" s="678"/>
      <c r="F144" s="678"/>
      <c r="G144" s="678"/>
      <c r="H144" s="678"/>
      <c r="I144" s="678"/>
      <c r="J144" s="678"/>
      <c r="K144" s="678"/>
      <c r="L144" s="678"/>
      <c r="M144" s="678"/>
      <c r="N144" s="678"/>
      <c r="O144" s="678"/>
      <c r="P144" s="678"/>
      <c r="Q144" s="678"/>
      <c r="R144" s="678"/>
      <c r="S144" s="678"/>
      <c r="T144" s="678"/>
      <c r="U144" s="678"/>
      <c r="V144" s="678"/>
      <c r="W144" s="678"/>
      <c r="X144" s="678"/>
      <c r="Y144" s="678"/>
      <c r="Z144" s="678"/>
    </row>
    <row r="145" spans="1:26" ht="14.25" customHeight="1" x14ac:dyDescent="0.3">
      <c r="A145" s="678"/>
      <c r="B145" s="678"/>
      <c r="C145" s="678"/>
      <c r="D145" s="678"/>
      <c r="E145" s="678"/>
      <c r="F145" s="678"/>
      <c r="G145" s="678"/>
      <c r="H145" s="678"/>
      <c r="I145" s="678"/>
      <c r="J145" s="678"/>
      <c r="K145" s="678"/>
      <c r="L145" s="678"/>
      <c r="M145" s="678"/>
      <c r="N145" s="678"/>
      <c r="O145" s="678"/>
      <c r="P145" s="678"/>
      <c r="Q145" s="678"/>
      <c r="R145" s="678"/>
      <c r="S145" s="678"/>
      <c r="T145" s="678"/>
      <c r="U145" s="678"/>
      <c r="V145" s="678"/>
      <c r="W145" s="678"/>
      <c r="X145" s="678"/>
      <c r="Y145" s="678"/>
      <c r="Z145" s="678"/>
    </row>
    <row r="146" spans="1:26" ht="14.25" customHeight="1" x14ac:dyDescent="0.3">
      <c r="A146" s="678"/>
      <c r="B146" s="678"/>
      <c r="C146" s="678"/>
      <c r="D146" s="678"/>
      <c r="E146" s="678"/>
      <c r="F146" s="678"/>
      <c r="G146" s="678"/>
      <c r="H146" s="678"/>
      <c r="I146" s="678"/>
      <c r="J146" s="678"/>
      <c r="K146" s="678"/>
      <c r="L146" s="678"/>
      <c r="M146" s="678"/>
      <c r="N146" s="678"/>
      <c r="O146" s="678"/>
      <c r="P146" s="678"/>
      <c r="Q146" s="678"/>
      <c r="R146" s="678"/>
      <c r="S146" s="678"/>
      <c r="T146" s="678"/>
      <c r="U146" s="678"/>
      <c r="V146" s="678"/>
      <c r="W146" s="678"/>
      <c r="X146" s="678"/>
      <c r="Y146" s="678"/>
      <c r="Z146" s="678"/>
    </row>
    <row r="147" spans="1:26" ht="14.25" customHeight="1" x14ac:dyDescent="0.3">
      <c r="A147" s="678"/>
      <c r="B147" s="678"/>
      <c r="C147" s="678"/>
      <c r="D147" s="678"/>
      <c r="E147" s="678"/>
      <c r="F147" s="678"/>
      <c r="G147" s="678"/>
      <c r="H147" s="678"/>
      <c r="I147" s="678"/>
      <c r="J147" s="678"/>
      <c r="K147" s="678"/>
      <c r="L147" s="678"/>
      <c r="M147" s="678"/>
      <c r="N147" s="678"/>
      <c r="O147" s="678"/>
      <c r="P147" s="678"/>
      <c r="Q147" s="678"/>
      <c r="R147" s="678"/>
      <c r="S147" s="678"/>
      <c r="T147" s="678"/>
      <c r="U147" s="678"/>
      <c r="V147" s="678"/>
      <c r="W147" s="678"/>
      <c r="X147" s="678"/>
      <c r="Y147" s="678"/>
      <c r="Z147" s="678"/>
    </row>
    <row r="148" spans="1:26" ht="14.25" customHeight="1" x14ac:dyDescent="0.3">
      <c r="A148" s="678"/>
      <c r="B148" s="678"/>
      <c r="C148" s="678"/>
      <c r="D148" s="678"/>
      <c r="E148" s="678"/>
      <c r="F148" s="678"/>
      <c r="G148" s="678"/>
      <c r="H148" s="678"/>
      <c r="I148" s="678"/>
      <c r="J148" s="678"/>
      <c r="K148" s="678"/>
      <c r="L148" s="678"/>
      <c r="M148" s="678"/>
      <c r="N148" s="678"/>
      <c r="O148" s="678"/>
      <c r="P148" s="678"/>
      <c r="Q148" s="678"/>
      <c r="R148" s="678"/>
      <c r="S148" s="678"/>
      <c r="T148" s="678"/>
      <c r="U148" s="678"/>
      <c r="V148" s="678"/>
      <c r="W148" s="678"/>
      <c r="X148" s="678"/>
      <c r="Y148" s="678"/>
      <c r="Z148" s="678"/>
    </row>
    <row r="149" spans="1:26" ht="14.25" customHeight="1" x14ac:dyDescent="0.3">
      <c r="A149" s="678"/>
      <c r="B149" s="678"/>
      <c r="C149" s="678"/>
      <c r="D149" s="678"/>
      <c r="E149" s="678"/>
      <c r="F149" s="678"/>
      <c r="G149" s="678"/>
      <c r="H149" s="678"/>
      <c r="I149" s="678"/>
      <c r="J149" s="678"/>
      <c r="K149" s="678"/>
      <c r="L149" s="678"/>
      <c r="M149" s="678"/>
      <c r="N149" s="678"/>
      <c r="O149" s="678"/>
      <c r="P149" s="678"/>
      <c r="Q149" s="678"/>
      <c r="R149" s="678"/>
      <c r="S149" s="678"/>
      <c r="T149" s="678"/>
      <c r="U149" s="678"/>
      <c r="V149" s="678"/>
      <c r="W149" s="678"/>
      <c r="X149" s="678"/>
      <c r="Y149" s="678"/>
      <c r="Z149" s="678"/>
    </row>
    <row r="150" spans="1:26" ht="14.25" customHeight="1" x14ac:dyDescent="0.3">
      <c r="A150" s="678"/>
      <c r="B150" s="678"/>
      <c r="C150" s="678"/>
      <c r="D150" s="678"/>
      <c r="E150" s="678"/>
      <c r="F150" s="678"/>
      <c r="G150" s="678"/>
      <c r="H150" s="678"/>
      <c r="I150" s="678"/>
      <c r="J150" s="678"/>
      <c r="K150" s="678"/>
      <c r="L150" s="678"/>
      <c r="M150" s="678"/>
      <c r="N150" s="678"/>
      <c r="O150" s="678"/>
      <c r="P150" s="678"/>
      <c r="Q150" s="678"/>
      <c r="R150" s="678"/>
      <c r="S150" s="678"/>
      <c r="T150" s="678"/>
      <c r="U150" s="678"/>
      <c r="V150" s="678"/>
      <c r="W150" s="678"/>
      <c r="X150" s="678"/>
      <c r="Y150" s="678"/>
      <c r="Z150" s="678"/>
    </row>
    <row r="151" spans="1:26" ht="14.25" customHeight="1" x14ac:dyDescent="0.3">
      <c r="A151" s="678"/>
      <c r="B151" s="678"/>
      <c r="C151" s="678"/>
      <c r="D151" s="678"/>
      <c r="E151" s="678"/>
      <c r="F151" s="678"/>
      <c r="G151" s="678"/>
      <c r="H151" s="678"/>
      <c r="I151" s="678"/>
      <c r="J151" s="678"/>
      <c r="K151" s="678"/>
      <c r="L151" s="678"/>
      <c r="M151" s="678"/>
      <c r="N151" s="678"/>
      <c r="O151" s="678"/>
      <c r="P151" s="678"/>
      <c r="Q151" s="678"/>
      <c r="R151" s="678"/>
      <c r="S151" s="678"/>
      <c r="T151" s="678"/>
      <c r="U151" s="678"/>
      <c r="V151" s="678"/>
      <c r="W151" s="678"/>
      <c r="X151" s="678"/>
      <c r="Y151" s="678"/>
      <c r="Z151" s="678"/>
    </row>
    <row r="152" spans="1:26" ht="14.25" customHeight="1" x14ac:dyDescent="0.3">
      <c r="A152" s="678"/>
      <c r="B152" s="678"/>
      <c r="C152" s="678"/>
      <c r="D152" s="678"/>
      <c r="E152" s="678"/>
      <c r="F152" s="678"/>
      <c r="G152" s="678"/>
      <c r="H152" s="678"/>
      <c r="I152" s="678"/>
      <c r="J152" s="678"/>
      <c r="K152" s="678"/>
      <c r="L152" s="678"/>
      <c r="M152" s="678"/>
      <c r="N152" s="678"/>
      <c r="O152" s="678"/>
      <c r="P152" s="678"/>
      <c r="Q152" s="678"/>
      <c r="R152" s="678"/>
      <c r="S152" s="678"/>
      <c r="T152" s="678"/>
      <c r="U152" s="678"/>
      <c r="V152" s="678"/>
      <c r="W152" s="678"/>
      <c r="X152" s="678"/>
      <c r="Y152" s="678"/>
      <c r="Z152" s="678"/>
    </row>
    <row r="153" spans="1:26" ht="14.25" customHeight="1" x14ac:dyDescent="0.3">
      <c r="A153" s="678"/>
      <c r="B153" s="678"/>
      <c r="C153" s="678"/>
      <c r="D153" s="678"/>
      <c r="E153" s="678"/>
      <c r="F153" s="678"/>
      <c r="G153" s="678"/>
      <c r="H153" s="678"/>
      <c r="I153" s="678"/>
      <c r="J153" s="678"/>
      <c r="K153" s="678"/>
      <c r="L153" s="678"/>
      <c r="M153" s="678"/>
      <c r="N153" s="678"/>
      <c r="O153" s="678"/>
      <c r="P153" s="678"/>
      <c r="Q153" s="678"/>
      <c r="R153" s="678"/>
      <c r="S153" s="678"/>
      <c r="T153" s="678"/>
      <c r="U153" s="678"/>
      <c r="V153" s="678"/>
      <c r="W153" s="678"/>
      <c r="X153" s="678"/>
      <c r="Y153" s="678"/>
      <c r="Z153" s="678"/>
    </row>
    <row r="154" spans="1:26" ht="14.25" customHeight="1" x14ac:dyDescent="0.3">
      <c r="A154" s="678"/>
      <c r="B154" s="678"/>
      <c r="C154" s="678"/>
      <c r="D154" s="678"/>
      <c r="E154" s="678"/>
      <c r="F154" s="678"/>
      <c r="G154" s="678"/>
      <c r="H154" s="678"/>
      <c r="I154" s="678"/>
      <c r="J154" s="678"/>
      <c r="K154" s="678"/>
      <c r="L154" s="678"/>
      <c r="M154" s="678"/>
      <c r="N154" s="678"/>
      <c r="O154" s="678"/>
      <c r="P154" s="678"/>
      <c r="Q154" s="678"/>
      <c r="R154" s="678"/>
      <c r="S154" s="678"/>
      <c r="T154" s="678"/>
      <c r="U154" s="678"/>
      <c r="V154" s="678"/>
      <c r="W154" s="678"/>
      <c r="X154" s="678"/>
      <c r="Y154" s="678"/>
      <c r="Z154" s="678"/>
    </row>
    <row r="155" spans="1:26" ht="14.25" customHeight="1" x14ac:dyDescent="0.3">
      <c r="A155" s="678"/>
      <c r="B155" s="678"/>
      <c r="C155" s="678"/>
      <c r="D155" s="678"/>
      <c r="E155" s="678"/>
      <c r="F155" s="678"/>
      <c r="G155" s="678"/>
      <c r="H155" s="678"/>
      <c r="I155" s="678"/>
      <c r="J155" s="678"/>
      <c r="K155" s="678"/>
      <c r="L155" s="678"/>
      <c r="M155" s="678"/>
      <c r="N155" s="678"/>
      <c r="O155" s="678"/>
      <c r="P155" s="678"/>
      <c r="Q155" s="678"/>
      <c r="R155" s="678"/>
      <c r="S155" s="678"/>
      <c r="T155" s="678"/>
      <c r="U155" s="678"/>
      <c r="V155" s="678"/>
      <c r="W155" s="678"/>
      <c r="X155" s="678"/>
      <c r="Y155" s="678"/>
      <c r="Z155" s="678"/>
    </row>
    <row r="156" spans="1:26" ht="14.25" customHeight="1" x14ac:dyDescent="0.3">
      <c r="A156" s="678"/>
      <c r="B156" s="678"/>
      <c r="C156" s="678"/>
      <c r="D156" s="678"/>
      <c r="E156" s="678"/>
      <c r="F156" s="678"/>
      <c r="G156" s="678"/>
      <c r="H156" s="678"/>
      <c r="I156" s="678"/>
      <c r="J156" s="678"/>
      <c r="K156" s="678"/>
      <c r="L156" s="678"/>
      <c r="M156" s="678"/>
      <c r="N156" s="678"/>
      <c r="O156" s="678"/>
      <c r="P156" s="678"/>
      <c r="Q156" s="678"/>
      <c r="R156" s="678"/>
      <c r="S156" s="678"/>
      <c r="T156" s="678"/>
      <c r="U156" s="678"/>
      <c r="V156" s="678"/>
      <c r="W156" s="678"/>
      <c r="X156" s="678"/>
      <c r="Y156" s="678"/>
      <c r="Z156" s="678"/>
    </row>
    <row r="157" spans="1:26" ht="14.25" customHeight="1" x14ac:dyDescent="0.3">
      <c r="A157" s="678"/>
      <c r="B157" s="678"/>
      <c r="C157" s="678"/>
      <c r="D157" s="678"/>
      <c r="E157" s="678"/>
      <c r="F157" s="678"/>
      <c r="G157" s="678"/>
      <c r="H157" s="678"/>
      <c r="I157" s="678"/>
      <c r="J157" s="678"/>
      <c r="K157" s="678"/>
      <c r="L157" s="678"/>
      <c r="M157" s="678"/>
      <c r="N157" s="678"/>
      <c r="O157" s="678"/>
      <c r="P157" s="678"/>
      <c r="Q157" s="678"/>
      <c r="R157" s="678"/>
      <c r="S157" s="678"/>
      <c r="T157" s="678"/>
      <c r="U157" s="678"/>
      <c r="V157" s="678"/>
      <c r="W157" s="678"/>
      <c r="X157" s="678"/>
      <c r="Y157" s="678"/>
      <c r="Z157" s="678"/>
    </row>
    <row r="158" spans="1:26" ht="14.25" customHeight="1" x14ac:dyDescent="0.3">
      <c r="A158" s="678"/>
      <c r="B158" s="678"/>
      <c r="C158" s="678"/>
      <c r="D158" s="678"/>
      <c r="E158" s="678"/>
      <c r="F158" s="678"/>
      <c r="G158" s="678"/>
      <c r="H158" s="678"/>
      <c r="I158" s="678"/>
      <c r="J158" s="678"/>
      <c r="K158" s="678"/>
      <c r="L158" s="678"/>
      <c r="M158" s="678"/>
      <c r="N158" s="678"/>
      <c r="O158" s="678"/>
      <c r="P158" s="678"/>
      <c r="Q158" s="678"/>
      <c r="R158" s="678"/>
      <c r="S158" s="678"/>
      <c r="T158" s="678"/>
      <c r="U158" s="678"/>
      <c r="V158" s="678"/>
      <c r="W158" s="678"/>
      <c r="X158" s="678"/>
      <c r="Y158" s="678"/>
      <c r="Z158" s="678"/>
    </row>
    <row r="159" spans="1:26" ht="14.25" customHeight="1" x14ac:dyDescent="0.3">
      <c r="A159" s="678"/>
      <c r="B159" s="678"/>
      <c r="C159" s="678"/>
      <c r="D159" s="678"/>
      <c r="E159" s="678"/>
      <c r="F159" s="678"/>
      <c r="G159" s="678"/>
      <c r="H159" s="678"/>
      <c r="I159" s="678"/>
      <c r="J159" s="678"/>
      <c r="K159" s="678"/>
      <c r="L159" s="678"/>
      <c r="M159" s="678"/>
      <c r="N159" s="678"/>
      <c r="O159" s="678"/>
      <c r="P159" s="678"/>
      <c r="Q159" s="678"/>
      <c r="R159" s="678"/>
      <c r="S159" s="678"/>
      <c r="T159" s="678"/>
      <c r="U159" s="678"/>
      <c r="V159" s="678"/>
      <c r="W159" s="678"/>
      <c r="X159" s="678"/>
      <c r="Y159" s="678"/>
      <c r="Z159" s="678"/>
    </row>
    <row r="160" spans="1:26" ht="14.25" customHeight="1" x14ac:dyDescent="0.3">
      <c r="A160" s="678"/>
      <c r="B160" s="678"/>
      <c r="C160" s="678"/>
      <c r="D160" s="678"/>
      <c r="E160" s="678"/>
      <c r="F160" s="678"/>
      <c r="G160" s="678"/>
      <c r="H160" s="678"/>
      <c r="I160" s="678"/>
      <c r="J160" s="678"/>
      <c r="K160" s="678"/>
      <c r="L160" s="678"/>
      <c r="M160" s="678"/>
      <c r="N160" s="678"/>
      <c r="O160" s="678"/>
      <c r="P160" s="678"/>
      <c r="Q160" s="678"/>
      <c r="R160" s="678"/>
      <c r="S160" s="678"/>
      <c r="T160" s="678"/>
      <c r="U160" s="678"/>
      <c r="V160" s="678"/>
      <c r="W160" s="678"/>
      <c r="X160" s="678"/>
      <c r="Y160" s="678"/>
      <c r="Z160" s="678"/>
    </row>
    <row r="161" spans="1:26" ht="14.25" customHeight="1" x14ac:dyDescent="0.3">
      <c r="A161" s="678"/>
      <c r="B161" s="678"/>
      <c r="C161" s="678"/>
      <c r="D161" s="678"/>
      <c r="E161" s="678"/>
      <c r="F161" s="678"/>
      <c r="G161" s="678"/>
      <c r="H161" s="678"/>
      <c r="I161" s="678"/>
      <c r="J161" s="678"/>
      <c r="K161" s="678"/>
      <c r="L161" s="678"/>
      <c r="M161" s="678"/>
      <c r="N161" s="678"/>
      <c r="O161" s="678"/>
      <c r="P161" s="678"/>
      <c r="Q161" s="678"/>
      <c r="R161" s="678"/>
      <c r="S161" s="678"/>
      <c r="T161" s="678"/>
      <c r="U161" s="678"/>
      <c r="V161" s="678"/>
      <c r="W161" s="678"/>
      <c r="X161" s="678"/>
      <c r="Y161" s="678"/>
      <c r="Z161" s="678"/>
    </row>
    <row r="162" spans="1:26" ht="14.25" customHeight="1" x14ac:dyDescent="0.3">
      <c r="A162" s="678"/>
      <c r="B162" s="678"/>
      <c r="C162" s="678"/>
      <c r="D162" s="678"/>
      <c r="E162" s="678"/>
      <c r="F162" s="678"/>
      <c r="G162" s="678"/>
      <c r="H162" s="678"/>
      <c r="I162" s="678"/>
      <c r="J162" s="678"/>
      <c r="K162" s="678"/>
      <c r="L162" s="678"/>
      <c r="M162" s="678"/>
      <c r="N162" s="678"/>
      <c r="O162" s="678"/>
      <c r="P162" s="678"/>
      <c r="Q162" s="678"/>
      <c r="R162" s="678"/>
      <c r="S162" s="678"/>
      <c r="T162" s="678"/>
      <c r="U162" s="678"/>
      <c r="V162" s="678"/>
      <c r="W162" s="678"/>
      <c r="X162" s="678"/>
      <c r="Y162" s="678"/>
      <c r="Z162" s="678"/>
    </row>
    <row r="163" spans="1:26" ht="14.25" customHeight="1" x14ac:dyDescent="0.3">
      <c r="A163" s="678"/>
      <c r="B163" s="678"/>
      <c r="C163" s="678"/>
      <c r="D163" s="678"/>
      <c r="E163" s="678"/>
      <c r="F163" s="678"/>
      <c r="G163" s="678"/>
      <c r="H163" s="678"/>
      <c r="I163" s="678"/>
      <c r="J163" s="678"/>
      <c r="K163" s="678"/>
      <c r="L163" s="678"/>
      <c r="M163" s="678"/>
      <c r="N163" s="678"/>
      <c r="O163" s="678"/>
      <c r="P163" s="678"/>
      <c r="Q163" s="678"/>
      <c r="R163" s="678"/>
      <c r="S163" s="678"/>
      <c r="T163" s="678"/>
      <c r="U163" s="678"/>
      <c r="V163" s="678"/>
      <c r="W163" s="678"/>
      <c r="X163" s="678"/>
      <c r="Y163" s="678"/>
      <c r="Z163" s="678"/>
    </row>
    <row r="164" spans="1:26" ht="14.25" customHeight="1" x14ac:dyDescent="0.3">
      <c r="A164" s="678"/>
      <c r="B164" s="678"/>
      <c r="C164" s="678"/>
      <c r="D164" s="678"/>
      <c r="E164" s="678"/>
      <c r="F164" s="678"/>
      <c r="G164" s="678"/>
      <c r="H164" s="678"/>
      <c r="I164" s="678"/>
      <c r="J164" s="678"/>
      <c r="K164" s="678"/>
      <c r="L164" s="678"/>
      <c r="M164" s="678"/>
      <c r="N164" s="678"/>
      <c r="O164" s="678"/>
      <c r="P164" s="678"/>
      <c r="Q164" s="678"/>
      <c r="R164" s="678"/>
      <c r="S164" s="678"/>
      <c r="T164" s="678"/>
      <c r="U164" s="678"/>
      <c r="V164" s="678"/>
      <c r="W164" s="678"/>
      <c r="X164" s="678"/>
      <c r="Y164" s="678"/>
      <c r="Z164" s="678"/>
    </row>
    <row r="165" spans="1:26" ht="14.25" customHeight="1" x14ac:dyDescent="0.3">
      <c r="A165" s="678"/>
      <c r="B165" s="678"/>
      <c r="C165" s="678"/>
      <c r="D165" s="678"/>
      <c r="E165" s="678"/>
      <c r="F165" s="678"/>
      <c r="G165" s="678"/>
      <c r="H165" s="678"/>
      <c r="I165" s="678"/>
      <c r="J165" s="678"/>
      <c r="K165" s="678"/>
      <c r="L165" s="678"/>
      <c r="M165" s="678"/>
      <c r="N165" s="678"/>
      <c r="O165" s="678"/>
      <c r="P165" s="678"/>
      <c r="Q165" s="678"/>
      <c r="R165" s="678"/>
      <c r="S165" s="678"/>
      <c r="T165" s="678"/>
      <c r="U165" s="678"/>
      <c r="V165" s="678"/>
      <c r="W165" s="678"/>
      <c r="X165" s="678"/>
      <c r="Y165" s="678"/>
      <c r="Z165" s="678"/>
    </row>
    <row r="166" spans="1:26" ht="14.25" customHeight="1" x14ac:dyDescent="0.3">
      <c r="A166" s="678"/>
      <c r="B166" s="678"/>
      <c r="C166" s="678"/>
      <c r="D166" s="678"/>
      <c r="E166" s="678"/>
      <c r="F166" s="678"/>
      <c r="G166" s="678"/>
      <c r="H166" s="678"/>
      <c r="I166" s="678"/>
      <c r="J166" s="678"/>
      <c r="K166" s="678"/>
      <c r="L166" s="678"/>
      <c r="M166" s="678"/>
      <c r="N166" s="678"/>
      <c r="O166" s="678"/>
      <c r="P166" s="678"/>
      <c r="Q166" s="678"/>
      <c r="R166" s="678"/>
      <c r="S166" s="678"/>
      <c r="T166" s="678"/>
      <c r="U166" s="678"/>
      <c r="V166" s="678"/>
      <c r="W166" s="678"/>
      <c r="X166" s="678"/>
      <c r="Y166" s="678"/>
      <c r="Z166" s="678"/>
    </row>
    <row r="167" spans="1:26" ht="14.25" customHeight="1" x14ac:dyDescent="0.3">
      <c r="A167" s="678"/>
      <c r="B167" s="678"/>
      <c r="C167" s="678"/>
      <c r="D167" s="678"/>
      <c r="E167" s="678"/>
      <c r="F167" s="678"/>
      <c r="G167" s="678"/>
      <c r="H167" s="678"/>
      <c r="I167" s="678"/>
      <c r="J167" s="678"/>
      <c r="K167" s="678"/>
      <c r="L167" s="678"/>
      <c r="M167" s="678"/>
      <c r="N167" s="678"/>
      <c r="O167" s="678"/>
      <c r="P167" s="678"/>
      <c r="Q167" s="678"/>
      <c r="R167" s="678"/>
      <c r="S167" s="678"/>
      <c r="T167" s="678"/>
      <c r="U167" s="678"/>
      <c r="V167" s="678"/>
      <c r="W167" s="678"/>
      <c r="X167" s="678"/>
      <c r="Y167" s="678"/>
      <c r="Z167" s="678"/>
    </row>
    <row r="168" spans="1:26" ht="14.25" customHeight="1" x14ac:dyDescent="0.3">
      <c r="A168" s="678"/>
      <c r="B168" s="678"/>
      <c r="C168" s="678"/>
      <c r="D168" s="678"/>
      <c r="E168" s="678"/>
      <c r="F168" s="678"/>
      <c r="G168" s="678"/>
      <c r="H168" s="678"/>
      <c r="I168" s="678"/>
      <c r="J168" s="678"/>
      <c r="K168" s="678"/>
      <c r="L168" s="678"/>
      <c r="M168" s="678"/>
      <c r="N168" s="678"/>
      <c r="O168" s="678"/>
      <c r="P168" s="678"/>
      <c r="Q168" s="678"/>
      <c r="R168" s="678"/>
      <c r="S168" s="678"/>
      <c r="T168" s="678"/>
      <c r="U168" s="678"/>
      <c r="V168" s="678"/>
      <c r="W168" s="678"/>
      <c r="X168" s="678"/>
      <c r="Y168" s="678"/>
      <c r="Z168" s="678"/>
    </row>
    <row r="169" spans="1:26" ht="14.25" customHeight="1" x14ac:dyDescent="0.3">
      <c r="A169" s="678"/>
      <c r="B169" s="678"/>
      <c r="C169" s="678"/>
      <c r="D169" s="678"/>
      <c r="E169" s="678"/>
      <c r="F169" s="678"/>
      <c r="G169" s="678"/>
      <c r="H169" s="678"/>
      <c r="I169" s="678"/>
      <c r="J169" s="678"/>
      <c r="K169" s="678"/>
      <c r="L169" s="678"/>
      <c r="M169" s="678"/>
      <c r="N169" s="678"/>
      <c r="O169" s="678"/>
      <c r="P169" s="678"/>
      <c r="Q169" s="678"/>
      <c r="R169" s="678"/>
      <c r="S169" s="678"/>
      <c r="T169" s="678"/>
      <c r="U169" s="678"/>
      <c r="V169" s="678"/>
      <c r="W169" s="678"/>
      <c r="X169" s="678"/>
      <c r="Y169" s="678"/>
      <c r="Z169" s="678"/>
    </row>
    <row r="170" spans="1:26" ht="14.25" customHeight="1" x14ac:dyDescent="0.3">
      <c r="A170" s="678"/>
      <c r="B170" s="678"/>
      <c r="C170" s="678"/>
      <c r="D170" s="678"/>
      <c r="E170" s="678"/>
      <c r="F170" s="678"/>
      <c r="G170" s="678"/>
      <c r="H170" s="678"/>
      <c r="I170" s="678"/>
      <c r="J170" s="678"/>
      <c r="K170" s="678"/>
      <c r="L170" s="678"/>
      <c r="M170" s="678"/>
      <c r="N170" s="678"/>
      <c r="O170" s="678"/>
      <c r="P170" s="678"/>
      <c r="Q170" s="678"/>
      <c r="R170" s="678"/>
      <c r="S170" s="678"/>
      <c r="T170" s="678"/>
      <c r="U170" s="678"/>
      <c r="V170" s="678"/>
      <c r="W170" s="678"/>
      <c r="X170" s="678"/>
      <c r="Y170" s="678"/>
      <c r="Z170" s="678"/>
    </row>
    <row r="171" spans="1:26" ht="14.25" customHeight="1" x14ac:dyDescent="0.3">
      <c r="A171" s="678"/>
      <c r="B171" s="678"/>
      <c r="C171" s="678"/>
      <c r="D171" s="678"/>
      <c r="E171" s="678"/>
      <c r="F171" s="678"/>
      <c r="G171" s="678"/>
      <c r="H171" s="678"/>
      <c r="I171" s="678"/>
      <c r="J171" s="678"/>
      <c r="K171" s="678"/>
      <c r="L171" s="678"/>
      <c r="M171" s="678"/>
      <c r="N171" s="678"/>
      <c r="O171" s="678"/>
      <c r="P171" s="678"/>
      <c r="Q171" s="678"/>
      <c r="R171" s="678"/>
      <c r="S171" s="678"/>
      <c r="T171" s="678"/>
      <c r="U171" s="678"/>
      <c r="V171" s="678"/>
      <c r="W171" s="678"/>
      <c r="X171" s="678"/>
      <c r="Y171" s="678"/>
      <c r="Z171" s="678"/>
    </row>
    <row r="172" spans="1:26" ht="14.25" customHeight="1" x14ac:dyDescent="0.3">
      <c r="A172" s="678"/>
      <c r="B172" s="678"/>
      <c r="C172" s="678"/>
      <c r="D172" s="678"/>
      <c r="E172" s="678"/>
      <c r="F172" s="678"/>
      <c r="G172" s="678"/>
      <c r="H172" s="678"/>
      <c r="I172" s="678"/>
      <c r="J172" s="678"/>
      <c r="K172" s="678"/>
      <c r="L172" s="678"/>
      <c r="M172" s="678"/>
      <c r="N172" s="678"/>
      <c r="O172" s="678"/>
      <c r="P172" s="678"/>
      <c r="Q172" s="678"/>
      <c r="R172" s="678"/>
      <c r="S172" s="678"/>
      <c r="T172" s="678"/>
      <c r="U172" s="678"/>
      <c r="V172" s="678"/>
      <c r="W172" s="678"/>
      <c r="X172" s="678"/>
      <c r="Y172" s="678"/>
      <c r="Z172" s="678"/>
    </row>
    <row r="173" spans="1:26" ht="14.25" customHeight="1" x14ac:dyDescent="0.3">
      <c r="A173" s="678"/>
      <c r="B173" s="678"/>
      <c r="C173" s="678"/>
      <c r="D173" s="678"/>
      <c r="E173" s="678"/>
      <c r="F173" s="678"/>
      <c r="G173" s="678"/>
      <c r="H173" s="678"/>
      <c r="I173" s="678"/>
      <c r="J173" s="678"/>
      <c r="K173" s="678"/>
      <c r="L173" s="678"/>
      <c r="M173" s="678"/>
      <c r="N173" s="678"/>
      <c r="O173" s="678"/>
      <c r="P173" s="678"/>
      <c r="Q173" s="678"/>
      <c r="R173" s="678"/>
      <c r="S173" s="678"/>
      <c r="T173" s="678"/>
      <c r="U173" s="678"/>
      <c r="V173" s="678"/>
      <c r="W173" s="678"/>
      <c r="X173" s="678"/>
      <c r="Y173" s="678"/>
      <c r="Z173" s="678"/>
    </row>
    <row r="174" spans="1:26" ht="14.25" customHeight="1" x14ac:dyDescent="0.3">
      <c r="A174" s="678"/>
      <c r="B174" s="678"/>
      <c r="C174" s="678"/>
      <c r="D174" s="678"/>
      <c r="E174" s="678"/>
      <c r="F174" s="678"/>
      <c r="G174" s="678"/>
      <c r="H174" s="678"/>
      <c r="I174" s="678"/>
      <c r="J174" s="678"/>
      <c r="K174" s="678"/>
      <c r="L174" s="678"/>
      <c r="M174" s="678"/>
      <c r="N174" s="678"/>
      <c r="O174" s="678"/>
      <c r="P174" s="678"/>
      <c r="Q174" s="678"/>
      <c r="R174" s="678"/>
      <c r="S174" s="678"/>
      <c r="T174" s="678"/>
      <c r="U174" s="678"/>
      <c r="V174" s="678"/>
      <c r="W174" s="678"/>
      <c r="X174" s="678"/>
      <c r="Y174" s="678"/>
      <c r="Z174" s="678"/>
    </row>
    <row r="175" spans="1:26" ht="14.25" customHeight="1" x14ac:dyDescent="0.3">
      <c r="A175" s="678"/>
      <c r="B175" s="678"/>
      <c r="C175" s="678"/>
      <c r="D175" s="678"/>
      <c r="E175" s="678"/>
      <c r="F175" s="678"/>
      <c r="G175" s="678"/>
      <c r="H175" s="678"/>
      <c r="I175" s="678"/>
      <c r="J175" s="678"/>
      <c r="K175" s="678"/>
      <c r="L175" s="678"/>
      <c r="M175" s="678"/>
      <c r="N175" s="678"/>
      <c r="O175" s="678"/>
      <c r="P175" s="678"/>
      <c r="Q175" s="678"/>
      <c r="R175" s="678"/>
      <c r="S175" s="678"/>
      <c r="T175" s="678"/>
      <c r="U175" s="678"/>
      <c r="V175" s="678"/>
      <c r="W175" s="678"/>
      <c r="X175" s="678"/>
      <c r="Y175" s="678"/>
      <c r="Z175" s="678"/>
    </row>
    <row r="176" spans="1:26" ht="14.25" customHeight="1" x14ac:dyDescent="0.3">
      <c r="A176" s="678"/>
      <c r="B176" s="678"/>
      <c r="C176" s="678"/>
      <c r="D176" s="678"/>
      <c r="E176" s="678"/>
      <c r="F176" s="678"/>
      <c r="G176" s="678"/>
      <c r="H176" s="678"/>
      <c r="I176" s="678"/>
      <c r="J176" s="678"/>
      <c r="K176" s="678"/>
      <c r="L176" s="678"/>
      <c r="M176" s="678"/>
      <c r="N176" s="678"/>
      <c r="O176" s="678"/>
      <c r="P176" s="678"/>
      <c r="Q176" s="678"/>
      <c r="R176" s="678"/>
      <c r="S176" s="678"/>
      <c r="T176" s="678"/>
      <c r="U176" s="678"/>
      <c r="V176" s="678"/>
      <c r="W176" s="678"/>
      <c r="X176" s="678"/>
      <c r="Y176" s="678"/>
      <c r="Z176" s="678"/>
    </row>
    <row r="177" spans="1:26" ht="14.25" customHeight="1" x14ac:dyDescent="0.3">
      <c r="A177" s="678"/>
      <c r="B177" s="678"/>
      <c r="C177" s="678"/>
      <c r="D177" s="678"/>
      <c r="E177" s="678"/>
      <c r="F177" s="678"/>
      <c r="G177" s="678"/>
      <c r="H177" s="678"/>
      <c r="I177" s="678"/>
      <c r="J177" s="678"/>
      <c r="K177" s="678"/>
      <c r="L177" s="678"/>
      <c r="M177" s="678"/>
      <c r="N177" s="678"/>
      <c r="O177" s="678"/>
      <c r="P177" s="678"/>
      <c r="Q177" s="678"/>
      <c r="R177" s="678"/>
      <c r="S177" s="678"/>
      <c r="T177" s="678"/>
      <c r="U177" s="678"/>
      <c r="V177" s="678"/>
      <c r="W177" s="678"/>
      <c r="X177" s="678"/>
      <c r="Y177" s="678"/>
      <c r="Z177" s="678"/>
    </row>
    <row r="178" spans="1:26" ht="14.25" customHeight="1" x14ac:dyDescent="0.3">
      <c r="A178" s="678"/>
      <c r="B178" s="678"/>
      <c r="C178" s="678"/>
      <c r="D178" s="678"/>
      <c r="E178" s="678"/>
      <c r="F178" s="678"/>
      <c r="G178" s="678"/>
      <c r="H178" s="678"/>
      <c r="I178" s="678"/>
      <c r="J178" s="678"/>
      <c r="K178" s="678"/>
      <c r="L178" s="678"/>
      <c r="M178" s="678"/>
      <c r="N178" s="678"/>
      <c r="O178" s="678"/>
      <c r="P178" s="678"/>
      <c r="Q178" s="678"/>
      <c r="R178" s="678"/>
      <c r="S178" s="678"/>
      <c r="T178" s="678"/>
      <c r="U178" s="678"/>
      <c r="V178" s="678"/>
      <c r="W178" s="678"/>
      <c r="X178" s="678"/>
      <c r="Y178" s="678"/>
      <c r="Z178" s="678"/>
    </row>
    <row r="179" spans="1:26" ht="14.25" customHeight="1" x14ac:dyDescent="0.3">
      <c r="A179" s="678"/>
      <c r="B179" s="678"/>
      <c r="C179" s="678"/>
      <c r="D179" s="678"/>
      <c r="E179" s="678"/>
      <c r="F179" s="678"/>
      <c r="G179" s="678"/>
      <c r="H179" s="678"/>
      <c r="I179" s="678"/>
      <c r="J179" s="678"/>
      <c r="K179" s="678"/>
      <c r="L179" s="678"/>
      <c r="M179" s="678"/>
      <c r="N179" s="678"/>
      <c r="O179" s="678"/>
      <c r="P179" s="678"/>
      <c r="Q179" s="678"/>
      <c r="R179" s="678"/>
      <c r="S179" s="678"/>
      <c r="T179" s="678"/>
      <c r="U179" s="678"/>
      <c r="V179" s="678"/>
      <c r="W179" s="678"/>
      <c r="X179" s="678"/>
      <c r="Y179" s="678"/>
      <c r="Z179" s="678"/>
    </row>
    <row r="180" spans="1:26" ht="14.25" customHeight="1" x14ac:dyDescent="0.3">
      <c r="A180" s="678"/>
      <c r="B180" s="678"/>
      <c r="C180" s="678"/>
      <c r="D180" s="678"/>
      <c r="E180" s="678"/>
      <c r="F180" s="678"/>
      <c r="G180" s="678"/>
      <c r="H180" s="678"/>
      <c r="I180" s="678"/>
      <c r="J180" s="678"/>
      <c r="K180" s="678"/>
      <c r="L180" s="678"/>
      <c r="M180" s="678"/>
      <c r="N180" s="678"/>
      <c r="O180" s="678"/>
      <c r="P180" s="678"/>
      <c r="Q180" s="678"/>
      <c r="R180" s="678"/>
      <c r="S180" s="678"/>
      <c r="T180" s="678"/>
      <c r="U180" s="678"/>
      <c r="V180" s="678"/>
      <c r="W180" s="678"/>
      <c r="X180" s="678"/>
      <c r="Y180" s="678"/>
      <c r="Z180" s="678"/>
    </row>
    <row r="181" spans="1:26" ht="14.25" customHeight="1" x14ac:dyDescent="0.3">
      <c r="A181" s="678"/>
      <c r="B181" s="678"/>
      <c r="C181" s="678"/>
      <c r="D181" s="678"/>
      <c r="E181" s="678"/>
      <c r="F181" s="678"/>
      <c r="G181" s="678"/>
      <c r="H181" s="678"/>
      <c r="I181" s="678"/>
      <c r="J181" s="678"/>
      <c r="K181" s="678"/>
      <c r="L181" s="678"/>
      <c r="M181" s="678"/>
      <c r="N181" s="678"/>
      <c r="O181" s="678"/>
      <c r="P181" s="678"/>
      <c r="Q181" s="678"/>
      <c r="R181" s="678"/>
      <c r="S181" s="678"/>
      <c r="T181" s="678"/>
      <c r="U181" s="678"/>
      <c r="V181" s="678"/>
      <c r="W181" s="678"/>
      <c r="X181" s="678"/>
      <c r="Y181" s="678"/>
      <c r="Z181" s="678"/>
    </row>
    <row r="182" spans="1:26" ht="14.25" customHeight="1" x14ac:dyDescent="0.3">
      <c r="A182" s="678"/>
      <c r="B182" s="678"/>
      <c r="C182" s="678"/>
      <c r="D182" s="678"/>
      <c r="E182" s="678"/>
      <c r="F182" s="678"/>
      <c r="G182" s="678"/>
      <c r="H182" s="678"/>
      <c r="I182" s="678"/>
      <c r="J182" s="678"/>
      <c r="K182" s="678"/>
      <c r="L182" s="678"/>
      <c r="M182" s="678"/>
      <c r="N182" s="678"/>
      <c r="O182" s="678"/>
      <c r="P182" s="678"/>
      <c r="Q182" s="678"/>
      <c r="R182" s="678"/>
      <c r="S182" s="678"/>
      <c r="T182" s="678"/>
      <c r="U182" s="678"/>
      <c r="V182" s="678"/>
      <c r="W182" s="678"/>
      <c r="X182" s="678"/>
      <c r="Y182" s="678"/>
      <c r="Z182" s="678"/>
    </row>
    <row r="183" spans="1:26" ht="14.25" customHeight="1" x14ac:dyDescent="0.3">
      <c r="A183" s="678"/>
      <c r="B183" s="678"/>
      <c r="C183" s="678"/>
      <c r="D183" s="678"/>
      <c r="E183" s="678"/>
      <c r="F183" s="678"/>
      <c r="G183" s="678"/>
      <c r="H183" s="678"/>
      <c r="I183" s="678"/>
      <c r="J183" s="678"/>
      <c r="K183" s="678"/>
      <c r="L183" s="678"/>
      <c r="M183" s="678"/>
      <c r="N183" s="678"/>
      <c r="O183" s="678"/>
      <c r="P183" s="678"/>
      <c r="Q183" s="678"/>
      <c r="R183" s="678"/>
      <c r="S183" s="678"/>
      <c r="T183" s="678"/>
      <c r="U183" s="678"/>
      <c r="V183" s="678"/>
      <c r="W183" s="678"/>
      <c r="X183" s="678"/>
      <c r="Y183" s="678"/>
      <c r="Z183" s="678"/>
    </row>
    <row r="184" spans="1:26" ht="14.25" customHeight="1" x14ac:dyDescent="0.3">
      <c r="A184" s="678"/>
      <c r="B184" s="678"/>
      <c r="C184" s="678"/>
      <c r="D184" s="678"/>
      <c r="E184" s="678"/>
      <c r="F184" s="678"/>
      <c r="G184" s="678"/>
      <c r="H184" s="678"/>
      <c r="I184" s="678"/>
      <c r="J184" s="678"/>
      <c r="K184" s="678"/>
      <c r="L184" s="678"/>
      <c r="M184" s="678"/>
      <c r="N184" s="678"/>
      <c r="O184" s="678"/>
      <c r="P184" s="678"/>
      <c r="Q184" s="678"/>
      <c r="R184" s="678"/>
      <c r="S184" s="678"/>
      <c r="T184" s="678"/>
      <c r="U184" s="678"/>
      <c r="V184" s="678"/>
      <c r="W184" s="678"/>
      <c r="X184" s="678"/>
      <c r="Y184" s="678"/>
      <c r="Z184" s="678"/>
    </row>
    <row r="185" spans="1:26" ht="14.25" customHeight="1" x14ac:dyDescent="0.3">
      <c r="A185" s="678"/>
      <c r="B185" s="678"/>
      <c r="C185" s="678"/>
      <c r="D185" s="678"/>
      <c r="E185" s="678"/>
      <c r="F185" s="678"/>
      <c r="G185" s="678"/>
      <c r="H185" s="678"/>
      <c r="I185" s="678"/>
      <c r="J185" s="678"/>
      <c r="K185" s="678"/>
      <c r="L185" s="678"/>
      <c r="M185" s="678"/>
      <c r="N185" s="678"/>
      <c r="O185" s="678"/>
      <c r="P185" s="678"/>
      <c r="Q185" s="678"/>
      <c r="R185" s="678"/>
      <c r="S185" s="678"/>
      <c r="T185" s="678"/>
      <c r="U185" s="678"/>
      <c r="V185" s="678"/>
      <c r="W185" s="678"/>
      <c r="X185" s="678"/>
      <c r="Y185" s="678"/>
      <c r="Z185" s="678"/>
    </row>
    <row r="186" spans="1:26" ht="14.25" customHeight="1" x14ac:dyDescent="0.3">
      <c r="A186" s="678"/>
      <c r="B186" s="678"/>
      <c r="C186" s="678"/>
      <c r="D186" s="678"/>
      <c r="E186" s="678"/>
      <c r="F186" s="678"/>
      <c r="G186" s="678"/>
      <c r="H186" s="678"/>
      <c r="I186" s="678"/>
      <c r="J186" s="678"/>
      <c r="K186" s="678"/>
      <c r="L186" s="678"/>
      <c r="M186" s="678"/>
      <c r="N186" s="678"/>
      <c r="O186" s="678"/>
      <c r="P186" s="678"/>
      <c r="Q186" s="678"/>
      <c r="R186" s="678"/>
      <c r="S186" s="678"/>
      <c r="T186" s="678"/>
      <c r="U186" s="678"/>
      <c r="V186" s="678"/>
      <c r="W186" s="678"/>
      <c r="X186" s="678"/>
      <c r="Y186" s="678"/>
      <c r="Z186" s="678"/>
    </row>
    <row r="187" spans="1:26" ht="14.25" customHeight="1" x14ac:dyDescent="0.3">
      <c r="A187" s="678"/>
      <c r="B187" s="678"/>
      <c r="C187" s="678"/>
      <c r="D187" s="678"/>
      <c r="E187" s="678"/>
      <c r="F187" s="678"/>
      <c r="G187" s="678"/>
      <c r="H187" s="678"/>
      <c r="I187" s="678"/>
      <c r="J187" s="678"/>
      <c r="K187" s="678"/>
      <c r="L187" s="678"/>
      <c r="M187" s="678"/>
      <c r="N187" s="678"/>
      <c r="O187" s="678"/>
      <c r="P187" s="678"/>
      <c r="Q187" s="678"/>
      <c r="R187" s="678"/>
      <c r="S187" s="678"/>
      <c r="T187" s="678"/>
      <c r="U187" s="678"/>
      <c r="V187" s="678"/>
      <c r="W187" s="678"/>
      <c r="X187" s="678"/>
      <c r="Y187" s="678"/>
      <c r="Z187" s="678"/>
    </row>
    <row r="188" spans="1:26" ht="14.25" customHeight="1" x14ac:dyDescent="0.3">
      <c r="A188" s="678"/>
      <c r="B188" s="678"/>
      <c r="C188" s="678"/>
      <c r="D188" s="678"/>
      <c r="E188" s="678"/>
      <c r="F188" s="678"/>
      <c r="G188" s="678"/>
      <c r="H188" s="678"/>
      <c r="I188" s="678"/>
      <c r="J188" s="678"/>
      <c r="K188" s="678"/>
      <c r="L188" s="678"/>
      <c r="M188" s="678"/>
      <c r="N188" s="678"/>
      <c r="O188" s="678"/>
      <c r="P188" s="678"/>
      <c r="Q188" s="678"/>
      <c r="R188" s="678"/>
      <c r="S188" s="678"/>
      <c r="T188" s="678"/>
      <c r="U188" s="678"/>
      <c r="V188" s="678"/>
      <c r="W188" s="678"/>
      <c r="X188" s="678"/>
      <c r="Y188" s="678"/>
      <c r="Z188" s="678"/>
    </row>
    <row r="189" spans="1:26" ht="14.25" customHeight="1" x14ac:dyDescent="0.3">
      <c r="A189" s="678"/>
      <c r="B189" s="678"/>
      <c r="C189" s="678"/>
      <c r="D189" s="678"/>
      <c r="E189" s="678"/>
      <c r="F189" s="678"/>
      <c r="G189" s="678"/>
      <c r="H189" s="678"/>
      <c r="I189" s="678"/>
      <c r="J189" s="678"/>
      <c r="K189" s="678"/>
      <c r="L189" s="678"/>
      <c r="M189" s="678"/>
      <c r="N189" s="678"/>
      <c r="O189" s="678"/>
      <c r="P189" s="678"/>
      <c r="Q189" s="678"/>
      <c r="R189" s="678"/>
      <c r="S189" s="678"/>
      <c r="T189" s="678"/>
      <c r="U189" s="678"/>
      <c r="V189" s="678"/>
      <c r="W189" s="678"/>
      <c r="X189" s="678"/>
      <c r="Y189" s="678"/>
      <c r="Z189" s="678"/>
    </row>
    <row r="190" spans="1:26" ht="14.25" customHeight="1" x14ac:dyDescent="0.3">
      <c r="A190" s="678"/>
      <c r="B190" s="678"/>
      <c r="C190" s="678"/>
      <c r="D190" s="678"/>
      <c r="E190" s="678"/>
      <c r="F190" s="678"/>
      <c r="G190" s="678"/>
      <c r="H190" s="678"/>
      <c r="I190" s="678"/>
      <c r="J190" s="678"/>
      <c r="K190" s="678"/>
      <c r="L190" s="678"/>
      <c r="M190" s="678"/>
      <c r="N190" s="678"/>
      <c r="O190" s="678"/>
      <c r="P190" s="678"/>
      <c r="Q190" s="678"/>
      <c r="R190" s="678"/>
      <c r="S190" s="678"/>
      <c r="T190" s="678"/>
      <c r="U190" s="678"/>
      <c r="V190" s="678"/>
      <c r="W190" s="678"/>
      <c r="X190" s="678"/>
      <c r="Y190" s="678"/>
      <c r="Z190" s="678"/>
    </row>
    <row r="191" spans="1:26" ht="14.25" customHeight="1" x14ac:dyDescent="0.3">
      <c r="A191" s="678"/>
      <c r="B191" s="678"/>
      <c r="C191" s="678"/>
      <c r="D191" s="678"/>
      <c r="E191" s="678"/>
      <c r="F191" s="678"/>
      <c r="G191" s="678"/>
      <c r="H191" s="678"/>
      <c r="I191" s="678"/>
      <c r="J191" s="678"/>
      <c r="K191" s="678"/>
      <c r="L191" s="678"/>
      <c r="M191" s="678"/>
      <c r="N191" s="678"/>
      <c r="O191" s="678"/>
      <c r="P191" s="678"/>
      <c r="Q191" s="678"/>
      <c r="R191" s="678"/>
      <c r="S191" s="678"/>
      <c r="T191" s="678"/>
      <c r="U191" s="678"/>
      <c r="V191" s="678"/>
      <c r="W191" s="678"/>
      <c r="X191" s="678"/>
      <c r="Y191" s="678"/>
      <c r="Z191" s="678"/>
    </row>
    <row r="192" spans="1:26" ht="14.25" customHeight="1" x14ac:dyDescent="0.3">
      <c r="A192" s="678"/>
      <c r="B192" s="678"/>
      <c r="C192" s="678"/>
      <c r="D192" s="678"/>
      <c r="E192" s="678"/>
      <c r="F192" s="678"/>
      <c r="G192" s="678"/>
      <c r="H192" s="678"/>
      <c r="I192" s="678"/>
      <c r="J192" s="678"/>
      <c r="K192" s="678"/>
      <c r="L192" s="678"/>
      <c r="M192" s="678"/>
      <c r="N192" s="678"/>
      <c r="O192" s="678"/>
      <c r="P192" s="678"/>
      <c r="Q192" s="678"/>
      <c r="R192" s="678"/>
      <c r="S192" s="678"/>
      <c r="T192" s="678"/>
      <c r="U192" s="678"/>
      <c r="V192" s="678"/>
      <c r="W192" s="678"/>
      <c r="X192" s="678"/>
      <c r="Y192" s="678"/>
      <c r="Z192" s="678"/>
    </row>
    <row r="193" spans="1:26" ht="14.25" customHeight="1" x14ac:dyDescent="0.3">
      <c r="A193" s="678"/>
      <c r="B193" s="678"/>
      <c r="C193" s="678"/>
      <c r="D193" s="678"/>
      <c r="E193" s="678"/>
      <c r="F193" s="678"/>
      <c r="G193" s="678"/>
      <c r="H193" s="678"/>
      <c r="I193" s="678"/>
      <c r="J193" s="678"/>
      <c r="K193" s="678"/>
      <c r="L193" s="678"/>
      <c r="M193" s="678"/>
      <c r="N193" s="678"/>
      <c r="O193" s="678"/>
      <c r="P193" s="678"/>
      <c r="Q193" s="678"/>
      <c r="R193" s="678"/>
      <c r="S193" s="678"/>
      <c r="T193" s="678"/>
      <c r="U193" s="678"/>
      <c r="V193" s="678"/>
      <c r="W193" s="678"/>
      <c r="X193" s="678"/>
      <c r="Y193" s="678"/>
      <c r="Z193" s="678"/>
    </row>
    <row r="194" spans="1:26" ht="14.25" customHeight="1" x14ac:dyDescent="0.3">
      <c r="A194" s="678"/>
      <c r="B194" s="678"/>
      <c r="C194" s="678"/>
      <c r="D194" s="678"/>
      <c r="E194" s="678"/>
      <c r="F194" s="678"/>
      <c r="G194" s="678"/>
      <c r="H194" s="678"/>
      <c r="I194" s="678"/>
      <c r="J194" s="678"/>
      <c r="K194" s="678"/>
      <c r="L194" s="678"/>
      <c r="M194" s="678"/>
      <c r="N194" s="678"/>
      <c r="O194" s="678"/>
      <c r="P194" s="678"/>
      <c r="Q194" s="678"/>
      <c r="R194" s="678"/>
      <c r="S194" s="678"/>
      <c r="T194" s="678"/>
      <c r="U194" s="678"/>
      <c r="V194" s="678"/>
      <c r="W194" s="678"/>
      <c r="X194" s="678"/>
      <c r="Y194" s="678"/>
      <c r="Z194" s="678"/>
    </row>
    <row r="195" spans="1:26" ht="14.25" customHeight="1" x14ac:dyDescent="0.3">
      <c r="A195" s="678"/>
      <c r="B195" s="678"/>
      <c r="C195" s="678"/>
      <c r="D195" s="678"/>
      <c r="E195" s="678"/>
      <c r="F195" s="678"/>
      <c r="G195" s="678"/>
      <c r="H195" s="678"/>
      <c r="I195" s="678"/>
      <c r="J195" s="678"/>
      <c r="K195" s="678"/>
      <c r="L195" s="678"/>
      <c r="M195" s="678"/>
      <c r="N195" s="678"/>
      <c r="O195" s="678"/>
      <c r="P195" s="678"/>
      <c r="Q195" s="678"/>
      <c r="R195" s="678"/>
      <c r="S195" s="678"/>
      <c r="T195" s="678"/>
      <c r="U195" s="678"/>
      <c r="V195" s="678"/>
      <c r="W195" s="678"/>
      <c r="X195" s="678"/>
      <c r="Y195" s="678"/>
      <c r="Z195" s="678"/>
    </row>
    <row r="196" spans="1:26" ht="14.25" customHeight="1" x14ac:dyDescent="0.3">
      <c r="A196" s="678"/>
      <c r="B196" s="678"/>
      <c r="C196" s="678"/>
      <c r="D196" s="678"/>
      <c r="E196" s="678"/>
      <c r="F196" s="678"/>
      <c r="G196" s="678"/>
      <c r="H196" s="678"/>
      <c r="I196" s="678"/>
      <c r="J196" s="678"/>
      <c r="K196" s="678"/>
      <c r="L196" s="678"/>
      <c r="M196" s="678"/>
      <c r="N196" s="678"/>
      <c r="O196" s="678"/>
      <c r="P196" s="678"/>
      <c r="Q196" s="678"/>
      <c r="R196" s="678"/>
      <c r="S196" s="678"/>
      <c r="T196" s="678"/>
      <c r="U196" s="678"/>
      <c r="V196" s="678"/>
      <c r="W196" s="678"/>
      <c r="X196" s="678"/>
      <c r="Y196" s="678"/>
      <c r="Z196" s="678"/>
    </row>
    <row r="197" spans="1:26" ht="14.25" customHeight="1" x14ac:dyDescent="0.3">
      <c r="A197" s="678"/>
      <c r="B197" s="678"/>
      <c r="C197" s="678"/>
      <c r="D197" s="678"/>
      <c r="E197" s="678"/>
      <c r="F197" s="678"/>
      <c r="G197" s="678"/>
      <c r="H197" s="678"/>
      <c r="I197" s="678"/>
      <c r="J197" s="678"/>
      <c r="K197" s="678"/>
      <c r="L197" s="678"/>
      <c r="M197" s="678"/>
      <c r="N197" s="678"/>
      <c r="O197" s="678"/>
      <c r="P197" s="678"/>
      <c r="Q197" s="678"/>
      <c r="R197" s="678"/>
      <c r="S197" s="678"/>
      <c r="T197" s="678"/>
      <c r="U197" s="678"/>
      <c r="V197" s="678"/>
      <c r="W197" s="678"/>
      <c r="X197" s="678"/>
      <c r="Y197" s="678"/>
      <c r="Z197" s="678"/>
    </row>
    <row r="198" spans="1:26" ht="14.25" customHeight="1" x14ac:dyDescent="0.3">
      <c r="A198" s="678"/>
      <c r="B198" s="678"/>
      <c r="C198" s="678"/>
      <c r="D198" s="678"/>
      <c r="E198" s="678"/>
      <c r="F198" s="678"/>
      <c r="G198" s="678"/>
      <c r="H198" s="678"/>
      <c r="I198" s="678"/>
      <c r="J198" s="678"/>
      <c r="K198" s="678"/>
      <c r="L198" s="678"/>
      <c r="M198" s="678"/>
      <c r="N198" s="678"/>
      <c r="O198" s="678"/>
      <c r="P198" s="678"/>
      <c r="Q198" s="678"/>
      <c r="R198" s="678"/>
      <c r="S198" s="678"/>
      <c r="T198" s="678"/>
      <c r="U198" s="678"/>
      <c r="V198" s="678"/>
      <c r="W198" s="678"/>
      <c r="X198" s="678"/>
      <c r="Y198" s="678"/>
      <c r="Z198" s="678"/>
    </row>
    <row r="199" spans="1:26" ht="14.25" customHeight="1" x14ac:dyDescent="0.3">
      <c r="A199" s="678"/>
      <c r="B199" s="678"/>
      <c r="C199" s="678"/>
      <c r="D199" s="678"/>
      <c r="E199" s="678"/>
      <c r="F199" s="678"/>
      <c r="G199" s="678"/>
      <c r="H199" s="678"/>
      <c r="I199" s="678"/>
      <c r="J199" s="678"/>
      <c r="K199" s="678"/>
      <c r="L199" s="678"/>
      <c r="M199" s="678"/>
      <c r="N199" s="678"/>
      <c r="O199" s="678"/>
      <c r="P199" s="678"/>
      <c r="Q199" s="678"/>
      <c r="R199" s="678"/>
      <c r="S199" s="678"/>
      <c r="T199" s="678"/>
      <c r="U199" s="678"/>
      <c r="V199" s="678"/>
      <c r="W199" s="678"/>
      <c r="X199" s="678"/>
      <c r="Y199" s="678"/>
      <c r="Z199" s="678"/>
    </row>
    <row r="200" spans="1:26" ht="14.25" customHeight="1" x14ac:dyDescent="0.3">
      <c r="A200" s="678"/>
      <c r="B200" s="678"/>
      <c r="C200" s="678"/>
      <c r="D200" s="678"/>
      <c r="E200" s="678"/>
      <c r="F200" s="678"/>
      <c r="G200" s="678"/>
      <c r="H200" s="678"/>
      <c r="I200" s="678"/>
      <c r="J200" s="678"/>
      <c r="K200" s="678"/>
      <c r="L200" s="678"/>
      <c r="M200" s="678"/>
      <c r="N200" s="678"/>
      <c r="O200" s="678"/>
      <c r="P200" s="678"/>
      <c r="Q200" s="678"/>
      <c r="R200" s="678"/>
      <c r="S200" s="678"/>
      <c r="T200" s="678"/>
      <c r="U200" s="678"/>
      <c r="V200" s="678"/>
      <c r="W200" s="678"/>
      <c r="X200" s="678"/>
      <c r="Y200" s="678"/>
      <c r="Z200" s="678"/>
    </row>
    <row r="201" spans="1:26" ht="14.25" customHeight="1" x14ac:dyDescent="0.3">
      <c r="A201" s="678"/>
      <c r="B201" s="678"/>
      <c r="C201" s="678"/>
      <c r="D201" s="678"/>
      <c r="E201" s="678"/>
      <c r="F201" s="678"/>
      <c r="G201" s="678"/>
      <c r="H201" s="678"/>
      <c r="I201" s="678"/>
      <c r="J201" s="678"/>
      <c r="K201" s="678"/>
      <c r="L201" s="678"/>
      <c r="M201" s="678"/>
      <c r="N201" s="678"/>
      <c r="O201" s="678"/>
      <c r="P201" s="678"/>
      <c r="Q201" s="678"/>
      <c r="R201" s="678"/>
      <c r="S201" s="678"/>
      <c r="T201" s="678"/>
      <c r="U201" s="678"/>
      <c r="V201" s="678"/>
      <c r="W201" s="678"/>
      <c r="X201" s="678"/>
      <c r="Y201" s="678"/>
      <c r="Z201" s="678"/>
    </row>
    <row r="202" spans="1:26" ht="14.25" customHeight="1" x14ac:dyDescent="0.3">
      <c r="A202" s="678"/>
      <c r="B202" s="678"/>
      <c r="C202" s="678"/>
      <c r="D202" s="678"/>
      <c r="E202" s="678"/>
      <c r="F202" s="678"/>
      <c r="G202" s="678"/>
      <c r="H202" s="678"/>
      <c r="I202" s="678"/>
      <c r="J202" s="678"/>
      <c r="K202" s="678"/>
      <c r="L202" s="678"/>
      <c r="M202" s="678"/>
      <c r="N202" s="678"/>
      <c r="O202" s="678"/>
      <c r="P202" s="678"/>
      <c r="Q202" s="678"/>
      <c r="R202" s="678"/>
      <c r="S202" s="678"/>
      <c r="T202" s="678"/>
      <c r="U202" s="678"/>
      <c r="V202" s="678"/>
      <c r="W202" s="678"/>
      <c r="X202" s="678"/>
      <c r="Y202" s="678"/>
      <c r="Z202" s="678"/>
    </row>
    <row r="203" spans="1:26" ht="14.25" customHeight="1" x14ac:dyDescent="0.3">
      <c r="A203" s="678"/>
      <c r="B203" s="678"/>
      <c r="C203" s="678"/>
      <c r="D203" s="678"/>
      <c r="E203" s="678"/>
      <c r="F203" s="678"/>
      <c r="G203" s="678"/>
      <c r="H203" s="678"/>
      <c r="I203" s="678"/>
      <c r="J203" s="678"/>
      <c r="K203" s="678"/>
      <c r="L203" s="678"/>
      <c r="M203" s="678"/>
      <c r="N203" s="678"/>
      <c r="O203" s="678"/>
      <c r="P203" s="678"/>
      <c r="Q203" s="678"/>
      <c r="R203" s="678"/>
      <c r="S203" s="678"/>
      <c r="T203" s="678"/>
      <c r="U203" s="678"/>
      <c r="V203" s="678"/>
      <c r="W203" s="678"/>
      <c r="X203" s="678"/>
      <c r="Y203" s="678"/>
      <c r="Z203" s="678"/>
    </row>
    <row r="204" spans="1:26" ht="14.25" customHeight="1" x14ac:dyDescent="0.3">
      <c r="A204" s="678"/>
      <c r="B204" s="678"/>
      <c r="C204" s="678"/>
      <c r="D204" s="678"/>
      <c r="E204" s="678"/>
      <c r="F204" s="678"/>
      <c r="G204" s="678"/>
      <c r="H204" s="678"/>
      <c r="I204" s="678"/>
      <c r="J204" s="678"/>
      <c r="K204" s="678"/>
      <c r="L204" s="678"/>
      <c r="M204" s="678"/>
      <c r="N204" s="678"/>
      <c r="O204" s="678"/>
      <c r="P204" s="678"/>
      <c r="Q204" s="678"/>
      <c r="R204" s="678"/>
      <c r="S204" s="678"/>
      <c r="T204" s="678"/>
      <c r="U204" s="678"/>
      <c r="V204" s="678"/>
      <c r="W204" s="678"/>
      <c r="X204" s="678"/>
      <c r="Y204" s="678"/>
      <c r="Z204" s="678"/>
    </row>
    <row r="205" spans="1:26" ht="14.25" customHeight="1" x14ac:dyDescent="0.3">
      <c r="A205" s="678"/>
      <c r="B205" s="678"/>
      <c r="C205" s="678"/>
      <c r="D205" s="678"/>
      <c r="E205" s="678"/>
      <c r="F205" s="678"/>
      <c r="G205" s="678"/>
      <c r="H205" s="678"/>
      <c r="I205" s="678"/>
      <c r="J205" s="678"/>
      <c r="K205" s="678"/>
      <c r="L205" s="678"/>
      <c r="M205" s="678"/>
      <c r="N205" s="678"/>
      <c r="O205" s="678"/>
      <c r="P205" s="678"/>
      <c r="Q205" s="678"/>
      <c r="R205" s="678"/>
      <c r="S205" s="678"/>
      <c r="T205" s="678"/>
      <c r="U205" s="678"/>
      <c r="V205" s="678"/>
      <c r="W205" s="678"/>
      <c r="X205" s="678"/>
      <c r="Y205" s="678"/>
      <c r="Z205" s="678"/>
    </row>
    <row r="206" spans="1:26" ht="14.25" customHeight="1" x14ac:dyDescent="0.3">
      <c r="A206" s="678"/>
      <c r="B206" s="678"/>
      <c r="C206" s="678"/>
      <c r="D206" s="678"/>
      <c r="E206" s="678"/>
      <c r="F206" s="678"/>
      <c r="G206" s="678"/>
      <c r="H206" s="678"/>
      <c r="I206" s="678"/>
      <c r="J206" s="678"/>
      <c r="K206" s="678"/>
      <c r="L206" s="678"/>
      <c r="M206" s="678"/>
      <c r="N206" s="678"/>
      <c r="O206" s="678"/>
      <c r="P206" s="678"/>
      <c r="Q206" s="678"/>
      <c r="R206" s="678"/>
      <c r="S206" s="678"/>
      <c r="T206" s="678"/>
      <c r="U206" s="678"/>
      <c r="V206" s="678"/>
      <c r="W206" s="678"/>
      <c r="X206" s="678"/>
      <c r="Y206" s="678"/>
      <c r="Z206" s="678"/>
    </row>
    <row r="207" spans="1:26" ht="14.25" customHeight="1" x14ac:dyDescent="0.3">
      <c r="A207" s="678"/>
      <c r="B207" s="678"/>
      <c r="C207" s="678"/>
      <c r="D207" s="678"/>
      <c r="E207" s="678"/>
      <c r="F207" s="678"/>
      <c r="G207" s="678"/>
      <c r="H207" s="678"/>
      <c r="I207" s="678"/>
      <c r="J207" s="678"/>
      <c r="K207" s="678"/>
      <c r="L207" s="678"/>
      <c r="M207" s="678"/>
      <c r="N207" s="678"/>
      <c r="O207" s="678"/>
      <c r="P207" s="678"/>
      <c r="Q207" s="678"/>
      <c r="R207" s="678"/>
      <c r="S207" s="678"/>
      <c r="T207" s="678"/>
      <c r="U207" s="678"/>
      <c r="V207" s="678"/>
      <c r="W207" s="678"/>
      <c r="X207" s="678"/>
      <c r="Y207" s="678"/>
      <c r="Z207" s="678"/>
    </row>
    <row r="208" spans="1:26" ht="14.25" customHeight="1" x14ac:dyDescent="0.3">
      <c r="A208" s="678"/>
      <c r="B208" s="678"/>
      <c r="C208" s="678"/>
      <c r="D208" s="678"/>
      <c r="E208" s="678"/>
      <c r="F208" s="678"/>
      <c r="G208" s="678"/>
      <c r="H208" s="678"/>
      <c r="I208" s="678"/>
      <c r="J208" s="678"/>
      <c r="K208" s="678"/>
      <c r="L208" s="678"/>
      <c r="M208" s="678"/>
      <c r="N208" s="678"/>
      <c r="O208" s="678"/>
      <c r="P208" s="678"/>
      <c r="Q208" s="678"/>
      <c r="R208" s="678"/>
      <c r="S208" s="678"/>
      <c r="T208" s="678"/>
      <c r="U208" s="678"/>
      <c r="V208" s="678"/>
      <c r="W208" s="678"/>
      <c r="X208" s="678"/>
      <c r="Y208" s="678"/>
      <c r="Z208" s="678"/>
    </row>
    <row r="209" spans="1:26" ht="14.25" customHeight="1" x14ac:dyDescent="0.3">
      <c r="A209" s="678"/>
      <c r="B209" s="678"/>
      <c r="C209" s="678"/>
      <c r="D209" s="678"/>
      <c r="E209" s="678"/>
      <c r="F209" s="678"/>
      <c r="G209" s="678"/>
      <c r="H209" s="678"/>
      <c r="I209" s="678"/>
      <c r="J209" s="678"/>
      <c r="K209" s="678"/>
      <c r="L209" s="678"/>
      <c r="M209" s="678"/>
      <c r="N209" s="678"/>
      <c r="O209" s="678"/>
      <c r="P209" s="678"/>
      <c r="Q209" s="678"/>
      <c r="R209" s="678"/>
      <c r="S209" s="678"/>
      <c r="T209" s="678"/>
      <c r="U209" s="678"/>
      <c r="V209" s="678"/>
      <c r="W209" s="678"/>
      <c r="X209" s="678"/>
      <c r="Y209" s="678"/>
      <c r="Z209" s="678"/>
    </row>
    <row r="210" spans="1:26" ht="14.25" customHeight="1" x14ac:dyDescent="0.3">
      <c r="A210" s="678"/>
      <c r="B210" s="678"/>
      <c r="C210" s="678"/>
      <c r="D210" s="678"/>
      <c r="E210" s="678"/>
      <c r="F210" s="678"/>
      <c r="G210" s="678"/>
      <c r="H210" s="678"/>
      <c r="I210" s="678"/>
      <c r="J210" s="678"/>
      <c r="K210" s="678"/>
      <c r="L210" s="678"/>
      <c r="M210" s="678"/>
      <c r="N210" s="678"/>
      <c r="O210" s="678"/>
      <c r="P210" s="678"/>
      <c r="Q210" s="678"/>
      <c r="R210" s="678"/>
      <c r="S210" s="678"/>
      <c r="T210" s="678"/>
      <c r="U210" s="678"/>
      <c r="V210" s="678"/>
      <c r="W210" s="678"/>
      <c r="X210" s="678"/>
      <c r="Y210" s="678"/>
      <c r="Z210" s="678"/>
    </row>
    <row r="211" spans="1:26" ht="14.25" customHeight="1" x14ac:dyDescent="0.3">
      <c r="A211" s="678"/>
      <c r="B211" s="678"/>
      <c r="C211" s="678"/>
      <c r="D211" s="678"/>
      <c r="E211" s="678"/>
      <c r="F211" s="678"/>
      <c r="G211" s="678"/>
      <c r="H211" s="678"/>
      <c r="I211" s="678"/>
      <c r="J211" s="678"/>
      <c r="K211" s="678"/>
      <c r="L211" s="678"/>
      <c r="M211" s="678"/>
      <c r="N211" s="678"/>
      <c r="O211" s="678"/>
      <c r="P211" s="678"/>
      <c r="Q211" s="678"/>
      <c r="R211" s="678"/>
      <c r="S211" s="678"/>
      <c r="T211" s="678"/>
      <c r="U211" s="678"/>
      <c r="V211" s="678"/>
      <c r="W211" s="678"/>
      <c r="X211" s="678"/>
      <c r="Y211" s="678"/>
      <c r="Z211" s="678"/>
    </row>
    <row r="212" spans="1:26" ht="14.25" customHeight="1" x14ac:dyDescent="0.3">
      <c r="A212" s="678"/>
      <c r="B212" s="678"/>
      <c r="C212" s="678"/>
      <c r="D212" s="678"/>
      <c r="E212" s="678"/>
      <c r="F212" s="678"/>
      <c r="G212" s="678"/>
      <c r="H212" s="678"/>
      <c r="I212" s="678"/>
      <c r="J212" s="678"/>
      <c r="K212" s="678"/>
      <c r="L212" s="678"/>
      <c r="M212" s="678"/>
      <c r="N212" s="678"/>
      <c r="O212" s="678"/>
      <c r="P212" s="678"/>
      <c r="Q212" s="678"/>
      <c r="R212" s="678"/>
      <c r="S212" s="678"/>
      <c r="T212" s="678"/>
      <c r="U212" s="678"/>
      <c r="V212" s="678"/>
      <c r="W212" s="678"/>
      <c r="X212" s="678"/>
      <c r="Y212" s="678"/>
      <c r="Z212" s="678"/>
    </row>
    <row r="213" spans="1:26" ht="14.25" customHeight="1" x14ac:dyDescent="0.3">
      <c r="A213" s="678"/>
      <c r="B213" s="678"/>
      <c r="C213" s="678"/>
      <c r="D213" s="678"/>
      <c r="E213" s="678"/>
      <c r="F213" s="678"/>
      <c r="G213" s="678"/>
      <c r="H213" s="678"/>
      <c r="I213" s="678"/>
      <c r="J213" s="678"/>
      <c r="K213" s="678"/>
      <c r="L213" s="678"/>
      <c r="M213" s="678"/>
      <c r="N213" s="678"/>
      <c r="O213" s="678"/>
      <c r="P213" s="678"/>
      <c r="Q213" s="678"/>
      <c r="R213" s="678"/>
      <c r="S213" s="678"/>
      <c r="T213" s="678"/>
      <c r="U213" s="678"/>
      <c r="V213" s="678"/>
      <c r="W213" s="678"/>
      <c r="X213" s="678"/>
      <c r="Y213" s="678"/>
      <c r="Z213" s="678"/>
    </row>
    <row r="214" spans="1:26" ht="14.25" customHeight="1" x14ac:dyDescent="0.3">
      <c r="A214" s="678"/>
      <c r="B214" s="678"/>
      <c r="C214" s="678"/>
      <c r="D214" s="678"/>
      <c r="E214" s="678"/>
      <c r="F214" s="678"/>
      <c r="G214" s="678"/>
      <c r="H214" s="678"/>
      <c r="I214" s="678"/>
      <c r="J214" s="678"/>
      <c r="K214" s="678"/>
      <c r="L214" s="678"/>
      <c r="M214" s="678"/>
      <c r="N214" s="678"/>
      <c r="O214" s="678"/>
      <c r="P214" s="678"/>
      <c r="Q214" s="678"/>
      <c r="R214" s="678"/>
      <c r="S214" s="678"/>
      <c r="T214" s="678"/>
      <c r="U214" s="678"/>
      <c r="V214" s="678"/>
      <c r="W214" s="678"/>
      <c r="X214" s="678"/>
      <c r="Y214" s="678"/>
      <c r="Z214" s="678"/>
    </row>
    <row r="215" spans="1:26" ht="14.25" customHeight="1" x14ac:dyDescent="0.3">
      <c r="A215" s="678"/>
      <c r="B215" s="678"/>
      <c r="C215" s="678"/>
      <c r="D215" s="678"/>
      <c r="E215" s="678"/>
      <c r="F215" s="678"/>
      <c r="G215" s="678"/>
      <c r="H215" s="678"/>
      <c r="I215" s="678"/>
      <c r="J215" s="678"/>
      <c r="K215" s="678"/>
      <c r="L215" s="678"/>
      <c r="M215" s="678"/>
      <c r="N215" s="678"/>
      <c r="O215" s="678"/>
      <c r="P215" s="678"/>
      <c r="Q215" s="678"/>
      <c r="R215" s="678"/>
      <c r="S215" s="678"/>
      <c r="T215" s="678"/>
      <c r="U215" s="678"/>
      <c r="V215" s="678"/>
      <c r="W215" s="678"/>
      <c r="X215" s="678"/>
      <c r="Y215" s="678"/>
      <c r="Z215" s="678"/>
    </row>
    <row r="216" spans="1:26" ht="14.25" customHeight="1" x14ac:dyDescent="0.3">
      <c r="A216" s="678"/>
      <c r="B216" s="678"/>
      <c r="C216" s="678"/>
      <c r="D216" s="678"/>
      <c r="E216" s="678"/>
      <c r="F216" s="678"/>
      <c r="G216" s="678"/>
      <c r="H216" s="678"/>
      <c r="I216" s="678"/>
      <c r="J216" s="678"/>
      <c r="K216" s="678"/>
      <c r="L216" s="678"/>
      <c r="M216" s="678"/>
      <c r="N216" s="678"/>
      <c r="O216" s="678"/>
      <c r="P216" s="678"/>
      <c r="Q216" s="678"/>
      <c r="R216" s="678"/>
      <c r="S216" s="678"/>
      <c r="T216" s="678"/>
      <c r="U216" s="678"/>
      <c r="V216" s="678"/>
      <c r="W216" s="678"/>
      <c r="X216" s="678"/>
      <c r="Y216" s="678"/>
      <c r="Z216" s="678"/>
    </row>
    <row r="217" spans="1:26" ht="14.25" customHeight="1" x14ac:dyDescent="0.3">
      <c r="A217" s="678"/>
      <c r="B217" s="678"/>
      <c r="C217" s="678"/>
      <c r="D217" s="678"/>
      <c r="E217" s="678"/>
      <c r="F217" s="678"/>
      <c r="G217" s="678"/>
      <c r="H217" s="678"/>
      <c r="I217" s="678"/>
      <c r="J217" s="678"/>
      <c r="K217" s="678"/>
      <c r="L217" s="678"/>
      <c r="M217" s="678"/>
      <c r="N217" s="678"/>
      <c r="O217" s="678"/>
      <c r="P217" s="678"/>
      <c r="Q217" s="678"/>
      <c r="R217" s="678"/>
      <c r="S217" s="678"/>
      <c r="T217" s="678"/>
      <c r="U217" s="678"/>
      <c r="V217" s="678"/>
      <c r="W217" s="678"/>
      <c r="X217" s="678"/>
      <c r="Y217" s="678"/>
      <c r="Z217" s="678"/>
    </row>
    <row r="218" spans="1:26" ht="14.25" customHeight="1" x14ac:dyDescent="0.3">
      <c r="A218" s="678"/>
      <c r="B218" s="678"/>
      <c r="C218" s="678"/>
      <c r="D218" s="678"/>
      <c r="E218" s="678"/>
      <c r="F218" s="678"/>
      <c r="G218" s="678"/>
      <c r="H218" s="678"/>
      <c r="I218" s="678"/>
      <c r="J218" s="678"/>
      <c r="K218" s="678"/>
      <c r="L218" s="678"/>
      <c r="M218" s="678"/>
      <c r="N218" s="678"/>
      <c r="O218" s="678"/>
      <c r="P218" s="678"/>
      <c r="Q218" s="678"/>
      <c r="R218" s="678"/>
      <c r="S218" s="678"/>
      <c r="T218" s="678"/>
      <c r="U218" s="678"/>
      <c r="V218" s="678"/>
      <c r="W218" s="678"/>
      <c r="X218" s="678"/>
      <c r="Y218" s="678"/>
      <c r="Z218" s="678"/>
    </row>
    <row r="219" spans="1:26" ht="14.25" customHeight="1" x14ac:dyDescent="0.3">
      <c r="A219" s="678"/>
      <c r="B219" s="678"/>
      <c r="C219" s="678"/>
      <c r="D219" s="678"/>
      <c r="E219" s="678"/>
      <c r="F219" s="678"/>
      <c r="G219" s="678"/>
      <c r="H219" s="678"/>
      <c r="I219" s="678"/>
      <c r="J219" s="678"/>
      <c r="K219" s="678"/>
      <c r="L219" s="678"/>
      <c r="M219" s="678"/>
      <c r="N219" s="678"/>
      <c r="O219" s="678"/>
      <c r="P219" s="678"/>
      <c r="Q219" s="678"/>
      <c r="R219" s="678"/>
      <c r="S219" s="678"/>
      <c r="T219" s="678"/>
      <c r="U219" s="678"/>
      <c r="V219" s="678"/>
      <c r="W219" s="678"/>
      <c r="X219" s="678"/>
      <c r="Y219" s="678"/>
      <c r="Z219" s="678"/>
    </row>
    <row r="220" spans="1:26" ht="14.25" customHeight="1" x14ac:dyDescent="0.3">
      <c r="A220" s="678"/>
      <c r="B220" s="678"/>
      <c r="C220" s="678"/>
      <c r="D220" s="678"/>
      <c r="E220" s="678"/>
      <c r="F220" s="678"/>
      <c r="G220" s="678"/>
      <c r="H220" s="678"/>
      <c r="I220" s="678"/>
      <c r="J220" s="678"/>
      <c r="K220" s="678"/>
      <c r="L220" s="678"/>
      <c r="M220" s="678"/>
      <c r="N220" s="678"/>
      <c r="O220" s="678"/>
      <c r="P220" s="678"/>
      <c r="Q220" s="678"/>
      <c r="R220" s="678"/>
      <c r="S220" s="678"/>
      <c r="T220" s="678"/>
      <c r="U220" s="678"/>
      <c r="V220" s="678"/>
      <c r="W220" s="678"/>
      <c r="X220" s="678"/>
      <c r="Y220" s="678"/>
      <c r="Z220" s="678"/>
    </row>
    <row r="221" spans="1:26" ht="14.25" customHeight="1" x14ac:dyDescent="0.3">
      <c r="A221" s="678"/>
      <c r="B221" s="678"/>
      <c r="C221" s="678"/>
      <c r="D221" s="678"/>
      <c r="E221" s="678"/>
      <c r="F221" s="678"/>
      <c r="G221" s="678"/>
      <c r="H221" s="678"/>
      <c r="I221" s="678"/>
      <c r="J221" s="678"/>
      <c r="K221" s="678"/>
      <c r="L221" s="678"/>
      <c r="M221" s="678"/>
      <c r="N221" s="678"/>
      <c r="O221" s="678"/>
      <c r="P221" s="678"/>
      <c r="Q221" s="678"/>
      <c r="R221" s="678"/>
      <c r="S221" s="678"/>
      <c r="T221" s="678"/>
      <c r="U221" s="678"/>
      <c r="V221" s="678"/>
      <c r="W221" s="678"/>
      <c r="X221" s="678"/>
      <c r="Y221" s="678"/>
      <c r="Z221" s="678"/>
    </row>
    <row r="222" spans="1:26" ht="14.25" customHeight="1" x14ac:dyDescent="0.3">
      <c r="A222" s="678"/>
      <c r="B222" s="678"/>
      <c r="C222" s="678"/>
      <c r="D222" s="678"/>
      <c r="E222" s="678"/>
      <c r="F222" s="678"/>
      <c r="G222" s="678"/>
      <c r="H222" s="678"/>
      <c r="I222" s="678"/>
      <c r="J222" s="678"/>
      <c r="K222" s="678"/>
      <c r="L222" s="678"/>
      <c r="M222" s="678"/>
      <c r="N222" s="678"/>
      <c r="O222" s="678"/>
      <c r="P222" s="678"/>
      <c r="Q222" s="678"/>
      <c r="R222" s="678"/>
      <c r="S222" s="678"/>
      <c r="T222" s="678"/>
      <c r="U222" s="678"/>
      <c r="V222" s="678"/>
      <c r="W222" s="678"/>
      <c r="X222" s="678"/>
      <c r="Y222" s="678"/>
      <c r="Z222" s="678"/>
    </row>
    <row r="223" spans="1:26" ht="14.25" customHeight="1" x14ac:dyDescent="0.3">
      <c r="A223" s="678"/>
      <c r="B223" s="678"/>
      <c r="C223" s="678"/>
      <c r="D223" s="678"/>
      <c r="E223" s="678"/>
      <c r="F223" s="678"/>
      <c r="G223" s="678"/>
      <c r="H223" s="678"/>
      <c r="I223" s="678"/>
      <c r="J223" s="678"/>
      <c r="K223" s="678"/>
      <c r="L223" s="678"/>
      <c r="M223" s="678"/>
      <c r="N223" s="678"/>
      <c r="O223" s="678"/>
      <c r="P223" s="678"/>
      <c r="Q223" s="678"/>
      <c r="R223" s="678"/>
      <c r="S223" s="678"/>
      <c r="T223" s="678"/>
      <c r="U223" s="678"/>
      <c r="V223" s="678"/>
      <c r="W223" s="678"/>
      <c r="X223" s="678"/>
      <c r="Y223" s="678"/>
      <c r="Z223" s="678"/>
    </row>
    <row r="224" spans="1:26" ht="14.25" customHeight="1" x14ac:dyDescent="0.3">
      <c r="A224" s="678"/>
      <c r="B224" s="678"/>
      <c r="C224" s="678"/>
      <c r="D224" s="678"/>
      <c r="E224" s="678"/>
      <c r="F224" s="678"/>
      <c r="G224" s="678"/>
      <c r="H224" s="678"/>
      <c r="I224" s="678"/>
      <c r="J224" s="678"/>
      <c r="K224" s="678"/>
      <c r="L224" s="678"/>
      <c r="M224" s="678"/>
      <c r="N224" s="678"/>
      <c r="O224" s="678"/>
      <c r="P224" s="678"/>
      <c r="Q224" s="678"/>
      <c r="R224" s="678"/>
      <c r="S224" s="678"/>
      <c r="T224" s="678"/>
      <c r="U224" s="678"/>
      <c r="V224" s="678"/>
      <c r="W224" s="678"/>
      <c r="X224" s="678"/>
      <c r="Y224" s="678"/>
      <c r="Z224" s="678"/>
    </row>
    <row r="225" spans="1:26" ht="14.25" customHeight="1" x14ac:dyDescent="0.3">
      <c r="A225" s="678"/>
      <c r="B225" s="678"/>
      <c r="C225" s="678"/>
      <c r="D225" s="678"/>
      <c r="E225" s="678"/>
      <c r="F225" s="678"/>
      <c r="G225" s="678"/>
      <c r="H225" s="678"/>
      <c r="I225" s="678"/>
      <c r="J225" s="678"/>
      <c r="K225" s="678"/>
      <c r="L225" s="678"/>
      <c r="M225" s="678"/>
      <c r="N225" s="678"/>
      <c r="O225" s="678"/>
      <c r="P225" s="678"/>
      <c r="Q225" s="678"/>
      <c r="R225" s="678"/>
      <c r="S225" s="678"/>
      <c r="T225" s="678"/>
      <c r="U225" s="678"/>
      <c r="V225" s="678"/>
      <c r="W225" s="678"/>
      <c r="X225" s="678"/>
      <c r="Y225" s="678"/>
      <c r="Z225" s="678"/>
    </row>
    <row r="226" spans="1:26" ht="14.25" customHeight="1" x14ac:dyDescent="0.3">
      <c r="A226" s="678"/>
      <c r="B226" s="678"/>
      <c r="C226" s="678"/>
      <c r="D226" s="678"/>
      <c r="E226" s="678"/>
      <c r="F226" s="678"/>
      <c r="G226" s="678"/>
      <c r="H226" s="678"/>
      <c r="I226" s="678"/>
      <c r="J226" s="678"/>
      <c r="K226" s="678"/>
      <c r="L226" s="678"/>
      <c r="M226" s="678"/>
      <c r="N226" s="678"/>
      <c r="O226" s="678"/>
      <c r="P226" s="678"/>
      <c r="Q226" s="678"/>
      <c r="R226" s="678"/>
      <c r="S226" s="678"/>
      <c r="T226" s="678"/>
      <c r="U226" s="678"/>
      <c r="V226" s="678"/>
      <c r="W226" s="678"/>
      <c r="X226" s="678"/>
      <c r="Y226" s="678"/>
      <c r="Z226" s="678"/>
    </row>
    <row r="227" spans="1:26" ht="14.25" customHeight="1" x14ac:dyDescent="0.3">
      <c r="A227" s="678"/>
      <c r="B227" s="678"/>
      <c r="C227" s="678"/>
      <c r="D227" s="678"/>
      <c r="E227" s="678"/>
      <c r="F227" s="678"/>
      <c r="G227" s="678"/>
      <c r="H227" s="678"/>
      <c r="I227" s="678"/>
      <c r="J227" s="678"/>
      <c r="K227" s="678"/>
      <c r="L227" s="678"/>
      <c r="M227" s="678"/>
      <c r="N227" s="678"/>
      <c r="O227" s="678"/>
      <c r="P227" s="678"/>
      <c r="Q227" s="678"/>
      <c r="R227" s="678"/>
      <c r="S227" s="678"/>
      <c r="T227" s="678"/>
      <c r="U227" s="678"/>
      <c r="V227" s="678"/>
      <c r="W227" s="678"/>
      <c r="X227" s="678"/>
      <c r="Y227" s="678"/>
      <c r="Z227" s="678"/>
    </row>
    <row r="228" spans="1:26" ht="14.25" customHeight="1" x14ac:dyDescent="0.3">
      <c r="A228" s="678"/>
      <c r="B228" s="678"/>
      <c r="C228" s="678"/>
      <c r="D228" s="678"/>
      <c r="E228" s="678"/>
      <c r="F228" s="678"/>
      <c r="G228" s="678"/>
      <c r="H228" s="678"/>
      <c r="I228" s="678"/>
      <c r="J228" s="678"/>
      <c r="K228" s="678"/>
      <c r="L228" s="678"/>
      <c r="M228" s="678"/>
      <c r="N228" s="678"/>
      <c r="O228" s="678"/>
      <c r="P228" s="678"/>
      <c r="Q228" s="678"/>
      <c r="R228" s="678"/>
      <c r="S228" s="678"/>
      <c r="T228" s="678"/>
      <c r="U228" s="678"/>
      <c r="V228" s="678"/>
      <c r="W228" s="678"/>
      <c r="X228" s="678"/>
      <c r="Y228" s="678"/>
      <c r="Z228" s="678"/>
    </row>
    <row r="229" spans="1:26" ht="14.25" customHeight="1" x14ac:dyDescent="0.3">
      <c r="A229" s="678"/>
      <c r="B229" s="678"/>
      <c r="C229" s="678"/>
      <c r="D229" s="678"/>
      <c r="E229" s="678"/>
      <c r="F229" s="678"/>
      <c r="G229" s="678"/>
      <c r="H229" s="678"/>
      <c r="I229" s="678"/>
      <c r="J229" s="678"/>
      <c r="K229" s="678"/>
      <c r="L229" s="678"/>
      <c r="M229" s="678"/>
      <c r="N229" s="678"/>
      <c r="O229" s="678"/>
      <c r="P229" s="678"/>
      <c r="Q229" s="678"/>
      <c r="R229" s="678"/>
      <c r="S229" s="678"/>
      <c r="T229" s="678"/>
      <c r="U229" s="678"/>
      <c r="V229" s="678"/>
      <c r="W229" s="678"/>
      <c r="X229" s="678"/>
      <c r="Y229" s="678"/>
      <c r="Z229" s="678"/>
    </row>
    <row r="230" spans="1:26" ht="14.25" customHeight="1" x14ac:dyDescent="0.3">
      <c r="A230" s="678"/>
      <c r="B230" s="678"/>
      <c r="C230" s="678"/>
      <c r="D230" s="678"/>
      <c r="E230" s="678"/>
      <c r="F230" s="678"/>
      <c r="G230" s="678"/>
      <c r="H230" s="678"/>
      <c r="I230" s="678"/>
      <c r="J230" s="678"/>
      <c r="K230" s="678"/>
      <c r="L230" s="678"/>
      <c r="M230" s="678"/>
      <c r="N230" s="678"/>
      <c r="O230" s="678"/>
      <c r="P230" s="678"/>
      <c r="Q230" s="678"/>
      <c r="R230" s="678"/>
      <c r="S230" s="678"/>
      <c r="T230" s="678"/>
      <c r="U230" s="678"/>
      <c r="V230" s="678"/>
      <c r="W230" s="678"/>
      <c r="X230" s="678"/>
      <c r="Y230" s="678"/>
      <c r="Z230" s="678"/>
    </row>
    <row r="231" spans="1:26" ht="14.25" customHeight="1" x14ac:dyDescent="0.3">
      <c r="A231" s="678"/>
      <c r="B231" s="678"/>
      <c r="C231" s="678"/>
      <c r="D231" s="678"/>
      <c r="E231" s="678"/>
      <c r="F231" s="678"/>
      <c r="G231" s="678"/>
      <c r="H231" s="678"/>
      <c r="I231" s="678"/>
      <c r="J231" s="678"/>
      <c r="K231" s="678"/>
      <c r="L231" s="678"/>
      <c r="M231" s="678"/>
      <c r="N231" s="678"/>
      <c r="O231" s="678"/>
      <c r="P231" s="678"/>
      <c r="Q231" s="678"/>
      <c r="R231" s="678"/>
      <c r="S231" s="678"/>
      <c r="T231" s="678"/>
      <c r="U231" s="678"/>
      <c r="V231" s="678"/>
      <c r="W231" s="678"/>
      <c r="X231" s="678"/>
      <c r="Y231" s="678"/>
      <c r="Z231" s="678"/>
    </row>
    <row r="232" spans="1:26" ht="14.25" customHeight="1" x14ac:dyDescent="0.3">
      <c r="A232" s="678"/>
      <c r="B232" s="678"/>
      <c r="C232" s="678"/>
      <c r="D232" s="678"/>
      <c r="E232" s="678"/>
      <c r="F232" s="678"/>
      <c r="G232" s="678"/>
      <c r="H232" s="678"/>
      <c r="I232" s="678"/>
      <c r="J232" s="678"/>
      <c r="K232" s="678"/>
      <c r="L232" s="678"/>
      <c r="M232" s="678"/>
      <c r="N232" s="678"/>
      <c r="O232" s="678"/>
      <c r="P232" s="678"/>
      <c r="Q232" s="678"/>
      <c r="R232" s="678"/>
      <c r="S232" s="678"/>
      <c r="T232" s="678"/>
      <c r="U232" s="678"/>
      <c r="V232" s="678"/>
      <c r="W232" s="678"/>
      <c r="X232" s="678"/>
      <c r="Y232" s="678"/>
      <c r="Z232" s="678"/>
    </row>
    <row r="233" spans="1:26" ht="14.25" customHeight="1" x14ac:dyDescent="0.3">
      <c r="A233" s="678"/>
      <c r="B233" s="678"/>
      <c r="C233" s="678"/>
      <c r="D233" s="678"/>
      <c r="E233" s="678"/>
      <c r="F233" s="678"/>
      <c r="G233" s="678"/>
      <c r="H233" s="678"/>
      <c r="I233" s="678"/>
      <c r="J233" s="678"/>
      <c r="K233" s="678"/>
      <c r="L233" s="678"/>
      <c r="M233" s="678"/>
      <c r="N233" s="678"/>
      <c r="O233" s="678"/>
      <c r="P233" s="678"/>
      <c r="Q233" s="678"/>
      <c r="R233" s="678"/>
      <c r="S233" s="678"/>
      <c r="T233" s="678"/>
      <c r="U233" s="678"/>
      <c r="V233" s="678"/>
      <c r="W233" s="678"/>
      <c r="X233" s="678"/>
      <c r="Y233" s="678"/>
      <c r="Z233" s="678"/>
    </row>
    <row r="234" spans="1:26" ht="14.25" customHeight="1" x14ac:dyDescent="0.3">
      <c r="A234" s="678"/>
      <c r="B234" s="678"/>
      <c r="C234" s="678"/>
      <c r="D234" s="678"/>
      <c r="E234" s="678"/>
      <c r="F234" s="678"/>
      <c r="G234" s="678"/>
      <c r="H234" s="678"/>
      <c r="I234" s="678"/>
      <c r="J234" s="678"/>
      <c r="K234" s="678"/>
      <c r="L234" s="678"/>
      <c r="M234" s="678"/>
      <c r="N234" s="678"/>
      <c r="O234" s="678"/>
      <c r="P234" s="678"/>
      <c r="Q234" s="678"/>
      <c r="R234" s="678"/>
      <c r="S234" s="678"/>
      <c r="T234" s="678"/>
      <c r="U234" s="678"/>
      <c r="V234" s="678"/>
      <c r="W234" s="678"/>
      <c r="X234" s="678"/>
      <c r="Y234" s="678"/>
      <c r="Z234" s="678"/>
    </row>
    <row r="235" spans="1:26" ht="14.25" customHeight="1" x14ac:dyDescent="0.3">
      <c r="A235" s="678"/>
      <c r="B235" s="678"/>
      <c r="C235" s="678"/>
      <c r="D235" s="678"/>
      <c r="E235" s="678"/>
      <c r="F235" s="678"/>
      <c r="G235" s="678"/>
      <c r="H235" s="678"/>
      <c r="I235" s="678"/>
      <c r="J235" s="678"/>
      <c r="K235" s="678"/>
      <c r="L235" s="678"/>
      <c r="M235" s="678"/>
      <c r="N235" s="678"/>
      <c r="O235" s="678"/>
      <c r="P235" s="678"/>
      <c r="Q235" s="678"/>
      <c r="R235" s="678"/>
      <c r="S235" s="678"/>
      <c r="T235" s="678"/>
      <c r="U235" s="678"/>
      <c r="V235" s="678"/>
      <c r="W235" s="678"/>
      <c r="X235" s="678"/>
      <c r="Y235" s="678"/>
      <c r="Z235" s="678"/>
    </row>
    <row r="236" spans="1:26" ht="14.25" customHeight="1" x14ac:dyDescent="0.3">
      <c r="A236" s="678"/>
      <c r="B236" s="678"/>
      <c r="C236" s="678"/>
      <c r="D236" s="678"/>
      <c r="E236" s="678"/>
      <c r="F236" s="678"/>
      <c r="G236" s="678"/>
      <c r="H236" s="678"/>
      <c r="I236" s="678"/>
      <c r="J236" s="678"/>
      <c r="K236" s="678"/>
      <c r="L236" s="678"/>
      <c r="M236" s="678"/>
      <c r="N236" s="678"/>
      <c r="O236" s="678"/>
      <c r="P236" s="678"/>
      <c r="Q236" s="678"/>
      <c r="R236" s="678"/>
      <c r="S236" s="678"/>
      <c r="T236" s="678"/>
      <c r="U236" s="678"/>
      <c r="V236" s="678"/>
      <c r="W236" s="678"/>
      <c r="X236" s="678"/>
      <c r="Y236" s="678"/>
      <c r="Z236" s="678"/>
    </row>
    <row r="237" spans="1:26" ht="14.25" customHeight="1" x14ac:dyDescent="0.3">
      <c r="A237" s="678"/>
      <c r="B237" s="678"/>
      <c r="C237" s="678"/>
      <c r="D237" s="678"/>
      <c r="E237" s="678"/>
      <c r="F237" s="678"/>
      <c r="G237" s="678"/>
      <c r="H237" s="678"/>
      <c r="I237" s="678"/>
      <c r="J237" s="678"/>
      <c r="K237" s="678"/>
      <c r="L237" s="678"/>
      <c r="M237" s="678"/>
      <c r="N237" s="678"/>
      <c r="O237" s="678"/>
      <c r="P237" s="678"/>
      <c r="Q237" s="678"/>
      <c r="R237" s="678"/>
      <c r="S237" s="678"/>
      <c r="T237" s="678"/>
      <c r="U237" s="678"/>
      <c r="V237" s="678"/>
      <c r="W237" s="678"/>
      <c r="X237" s="678"/>
      <c r="Y237" s="678"/>
      <c r="Z237" s="678"/>
    </row>
    <row r="238" spans="1:26" ht="14.25" customHeight="1" x14ac:dyDescent="0.3">
      <c r="A238" s="678"/>
      <c r="B238" s="678"/>
      <c r="C238" s="678"/>
      <c r="D238" s="678"/>
      <c r="E238" s="678"/>
      <c r="F238" s="678"/>
      <c r="G238" s="678"/>
      <c r="H238" s="678"/>
      <c r="I238" s="678"/>
      <c r="J238" s="678"/>
      <c r="K238" s="678"/>
      <c r="L238" s="678"/>
      <c r="M238" s="678"/>
      <c r="N238" s="678"/>
      <c r="O238" s="678"/>
      <c r="P238" s="678"/>
      <c r="Q238" s="678"/>
      <c r="R238" s="678"/>
      <c r="S238" s="678"/>
      <c r="T238" s="678"/>
      <c r="U238" s="678"/>
      <c r="V238" s="678"/>
      <c r="W238" s="678"/>
      <c r="X238" s="678"/>
      <c r="Y238" s="678"/>
      <c r="Z238" s="678"/>
    </row>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A37:B37"/>
    <mergeCell ref="G1:H1"/>
  </mergeCells>
  <pageMargins left="0.70000000000000007" right="0.70000000000000007" top="0.75" bottom="0.75" header="0" footer="0"/>
  <pageSetup orientation="landscape"/>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100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 customHeight="1" x14ac:dyDescent="0.3"/>
  <cols>
    <col min="1" max="1" width="54.88671875" customWidth="1"/>
    <col min="2" max="2" width="18" customWidth="1"/>
    <col min="3" max="3" width="16.33203125" customWidth="1"/>
    <col min="4" max="4" width="11.44140625" customWidth="1"/>
    <col min="5" max="5" width="14.6640625" customWidth="1"/>
    <col min="6" max="6" width="11.44140625" customWidth="1"/>
    <col min="7" max="7" width="14.21875" customWidth="1"/>
    <col min="8" max="13" width="15.109375" customWidth="1"/>
    <col min="14" max="14" width="11.44140625" customWidth="1"/>
    <col min="15" max="15" width="13" customWidth="1"/>
    <col min="16" max="16" width="11.44140625" customWidth="1"/>
    <col min="17" max="17" width="13" customWidth="1"/>
    <col min="18" max="18" width="11.44140625" customWidth="1"/>
    <col min="19" max="19" width="13" customWidth="1"/>
    <col min="20" max="20" width="11.44140625" customWidth="1"/>
    <col min="21" max="21" width="13" customWidth="1"/>
    <col min="22" max="22" width="11.44140625" customWidth="1"/>
    <col min="23" max="23" width="13" customWidth="1"/>
    <col min="24" max="24" width="11.44140625" customWidth="1"/>
    <col min="25" max="25" width="13" customWidth="1"/>
    <col min="26" max="26" width="11.44140625" customWidth="1"/>
    <col min="27" max="27" width="13" customWidth="1"/>
    <col min="28" max="28" width="11.44140625" customWidth="1"/>
    <col min="29" max="29" width="13" customWidth="1"/>
    <col min="30" max="30" width="11.44140625" customWidth="1"/>
    <col min="31" max="31" width="13" customWidth="1"/>
    <col min="32" max="32" width="11.44140625" customWidth="1"/>
    <col min="33" max="33" width="13" customWidth="1"/>
  </cols>
  <sheetData>
    <row r="1" spans="1:34" ht="14.25" customHeight="1" x14ac:dyDescent="0.3">
      <c r="A1" s="1131" t="s">
        <v>1984</v>
      </c>
      <c r="B1" s="1115" t="s">
        <v>1985</v>
      </c>
      <c r="C1" s="1088"/>
      <c r="D1" s="1142">
        <v>45957</v>
      </c>
      <c r="E1" s="1103"/>
      <c r="F1" s="1142">
        <f>+D1+30</f>
        <v>45987</v>
      </c>
      <c r="G1" s="1103"/>
      <c r="H1" s="1142">
        <f>+F1+30</f>
        <v>46017</v>
      </c>
      <c r="I1" s="1103"/>
      <c r="J1" s="1142">
        <f>+H1+30</f>
        <v>46047</v>
      </c>
      <c r="K1" s="1103"/>
      <c r="L1" s="1130">
        <f>+J1+30</f>
        <v>46077</v>
      </c>
      <c r="M1" s="1120"/>
      <c r="N1" s="1130">
        <f>+L1+30</f>
        <v>46107</v>
      </c>
      <c r="O1" s="1120"/>
      <c r="P1" s="1130">
        <v>46142</v>
      </c>
      <c r="Q1" s="1120"/>
      <c r="R1" s="1130">
        <v>46172</v>
      </c>
      <c r="S1" s="1120"/>
      <c r="T1" s="1130">
        <v>46202</v>
      </c>
      <c r="U1" s="1120"/>
      <c r="V1" s="1130">
        <v>46232</v>
      </c>
      <c r="W1" s="1120"/>
      <c r="X1" s="1130">
        <v>46262</v>
      </c>
      <c r="Y1" s="1120"/>
      <c r="Z1" s="1130">
        <v>46292</v>
      </c>
      <c r="AA1" s="1120"/>
      <c r="AB1" s="1130">
        <v>46322</v>
      </c>
      <c r="AC1" s="1120"/>
      <c r="AD1" s="1130">
        <v>46352</v>
      </c>
      <c r="AE1" s="1120"/>
      <c r="AF1" s="1130">
        <v>46382</v>
      </c>
      <c r="AG1" s="1120"/>
    </row>
    <row r="2" spans="1:34" ht="14.25" customHeight="1" x14ac:dyDescent="0.3">
      <c r="A2" s="1122"/>
      <c r="B2" s="1138" t="s">
        <v>1986</v>
      </c>
      <c r="C2" s="1088"/>
      <c r="D2" s="1121"/>
      <c r="E2" s="1143"/>
      <c r="F2" s="1121"/>
      <c r="G2" s="1143"/>
      <c r="H2" s="1121"/>
      <c r="I2" s="1143"/>
      <c r="J2" s="1121"/>
      <c r="K2" s="1143"/>
      <c r="L2" s="1121"/>
      <c r="M2" s="1122"/>
      <c r="N2" s="1121"/>
      <c r="O2" s="1122"/>
      <c r="P2" s="1121"/>
      <c r="Q2" s="1122"/>
      <c r="R2" s="1121"/>
      <c r="S2" s="1122"/>
      <c r="T2" s="1121"/>
      <c r="U2" s="1122"/>
      <c r="V2" s="1121"/>
      <c r="W2" s="1122"/>
      <c r="X2" s="1121"/>
      <c r="Y2" s="1122"/>
      <c r="Z2" s="1121"/>
      <c r="AA2" s="1122"/>
      <c r="AB2" s="1121"/>
      <c r="AC2" s="1122"/>
      <c r="AD2" s="1121"/>
      <c r="AE2" s="1122"/>
      <c r="AF2" s="1121"/>
      <c r="AG2" s="1122"/>
    </row>
    <row r="3" spans="1:34" ht="14.25" customHeight="1" x14ac:dyDescent="0.3">
      <c r="A3" s="714" t="s">
        <v>1987</v>
      </c>
      <c r="B3" s="715">
        <v>143483.223</v>
      </c>
      <c r="C3" s="1129">
        <f>B3*B4</f>
        <v>11180212.736160001</v>
      </c>
      <c r="D3" s="716">
        <v>160000</v>
      </c>
      <c r="E3" s="1129">
        <f>D3*D4</f>
        <v>12753945.6</v>
      </c>
      <c r="F3" s="716">
        <v>135000</v>
      </c>
      <c r="G3" s="1129">
        <f>F3*F4</f>
        <v>10976364.432</v>
      </c>
      <c r="H3" s="716">
        <f>+F3*0.9</f>
        <v>121500</v>
      </c>
      <c r="I3" s="1129">
        <f>H3*H4</f>
        <v>10076302.548576001</v>
      </c>
      <c r="J3" s="715">
        <f>+H3*0.9</f>
        <v>109350</v>
      </c>
      <c r="K3" s="1129">
        <f>J3*J4</f>
        <v>9331663.7902362328</v>
      </c>
      <c r="L3" s="715">
        <f>+J3*0.9</f>
        <v>98415</v>
      </c>
      <c r="M3" s="1129">
        <f>L3*L4</f>
        <v>8642053.8361377753</v>
      </c>
      <c r="N3" s="715">
        <f>+L3*0.9</f>
        <v>88573.5</v>
      </c>
      <c r="O3" s="1129">
        <f>N3*N4</f>
        <v>8042295.2999098143</v>
      </c>
      <c r="P3" s="715">
        <f>+N3*0.9</f>
        <v>79716.150000000009</v>
      </c>
      <c r="Q3" s="1129">
        <f>P3*P4</f>
        <v>7426255.4799367236</v>
      </c>
      <c r="R3" s="715">
        <f>+P3*0.9</f>
        <v>71744.535000000003</v>
      </c>
      <c r="S3" s="1129">
        <f>R3*R4</f>
        <v>6823986.1605138546</v>
      </c>
      <c r="T3" s="715">
        <f>+R3*0.9</f>
        <v>64570.081500000008</v>
      </c>
      <c r="U3" s="1129">
        <f>T3*T4</f>
        <v>6319693.5832518805</v>
      </c>
      <c r="V3" s="715">
        <f>+T3*0.9</f>
        <v>58113.073350000006</v>
      </c>
      <c r="W3" s="1129">
        <f>V3*V4</f>
        <v>5852668.2274495661</v>
      </c>
      <c r="X3" s="715">
        <f>+V3*0.9</f>
        <v>52301.766015000008</v>
      </c>
      <c r="Y3" s="1129">
        <f>X3*X4</f>
        <v>5420156.0454410426</v>
      </c>
      <c r="Z3" s="715">
        <f>+X3*0.9</f>
        <v>47071.589413500005</v>
      </c>
      <c r="AA3" s="1129">
        <f>Z3*Z4</f>
        <v>5019606.5136829494</v>
      </c>
      <c r="AB3" s="715">
        <f>+Z3*0.9</f>
        <v>42364.430472150008</v>
      </c>
      <c r="AC3" s="1129">
        <f>AB3*AB4</f>
        <v>4648657.5923217796</v>
      </c>
      <c r="AD3" s="715">
        <f>+AB3*0.9</f>
        <v>38127.98742493501</v>
      </c>
      <c r="AE3" s="1129">
        <f>AD3*AD4</f>
        <v>4305121.7962491997</v>
      </c>
      <c r="AF3" s="715">
        <f>+AD3*0.9</f>
        <v>34315.188682441512</v>
      </c>
      <c r="AG3" s="1129">
        <f>AF3*AF4</f>
        <v>3986973.2955063842</v>
      </c>
    </row>
    <row r="4" spans="1:34" ht="14.25" customHeight="1" x14ac:dyDescent="0.3">
      <c r="A4" s="714" t="s">
        <v>1988</v>
      </c>
      <c r="B4" s="717">
        <v>77.92</v>
      </c>
      <c r="C4" s="1107"/>
      <c r="D4" s="717">
        <f>+B4*(1+D13)</f>
        <v>79.712159999999997</v>
      </c>
      <c r="E4" s="1107"/>
      <c r="F4" s="717">
        <f>+D4*(1+F13)</f>
        <v>81.306403200000005</v>
      </c>
      <c r="G4" s="1107"/>
      <c r="H4" s="717">
        <f>+F4*(1+H13)</f>
        <v>82.932531264000005</v>
      </c>
      <c r="I4" s="1107"/>
      <c r="J4" s="717">
        <f>+H4*(1+J13)</f>
        <v>85.337574670655997</v>
      </c>
      <c r="K4" s="1107"/>
      <c r="L4" s="717">
        <f>+J4*(1+L13)</f>
        <v>87.81236433610502</v>
      </c>
      <c r="M4" s="1107"/>
      <c r="N4" s="717">
        <f>+L4*(1+N13)</f>
        <v>90.797984723532593</v>
      </c>
      <c r="O4" s="1107"/>
      <c r="P4" s="717">
        <f>+N4*(1+P13)</f>
        <v>93.158732326344449</v>
      </c>
      <c r="Q4" s="1107"/>
      <c r="R4" s="717">
        <f>+P4*(1+R13)</f>
        <v>95.115065705197679</v>
      </c>
      <c r="S4" s="1107"/>
      <c r="T4" s="717">
        <f>+R4*(1+T13)</f>
        <v>97.873402610648398</v>
      </c>
      <c r="U4" s="1107"/>
      <c r="V4" s="717">
        <f>+T4*(1+V13)</f>
        <v>100.71173128635719</v>
      </c>
      <c r="W4" s="1107"/>
      <c r="X4" s="717">
        <f>+V4*(1+X13)</f>
        <v>103.63237149366154</v>
      </c>
      <c r="Y4" s="1107"/>
      <c r="Z4" s="717">
        <f>+X4*(1+Z13)</f>
        <v>106.63771026697772</v>
      </c>
      <c r="AA4" s="1107"/>
      <c r="AB4" s="717">
        <f>+Z4*(1+AB13)</f>
        <v>109.73020386472007</v>
      </c>
      <c r="AC4" s="1107"/>
      <c r="AD4" s="717">
        <f>+AB4*(1+AD13)</f>
        <v>112.91237977679694</v>
      </c>
      <c r="AE4" s="1107"/>
      <c r="AF4" s="717">
        <f>+AD4*(1+AF13)</f>
        <v>116.18683879032405</v>
      </c>
      <c r="AG4" s="1107"/>
    </row>
    <row r="5" spans="1:34" ht="14.25" customHeight="1" x14ac:dyDescent="0.3">
      <c r="A5" s="714" t="s">
        <v>1989</v>
      </c>
      <c r="B5" s="715">
        <v>16475.776999999998</v>
      </c>
      <c r="C5" s="1136">
        <f>B5*B6</f>
        <v>2136578.7613599999</v>
      </c>
      <c r="D5" s="716">
        <f>+D3*0.1</f>
        <v>16000</v>
      </c>
      <c r="E5" s="1136">
        <f>D5*D6</f>
        <v>2122602.2399999998</v>
      </c>
      <c r="F5" s="716">
        <f>+F3*0.1</f>
        <v>13500</v>
      </c>
      <c r="G5" s="1136">
        <f>F5*F6</f>
        <v>1826764.5527999997</v>
      </c>
      <c r="H5" s="716">
        <f>+H3*0.1</f>
        <v>12150</v>
      </c>
      <c r="I5" s="1136">
        <f>H5*H6</f>
        <v>1676969.8594703996</v>
      </c>
      <c r="J5" s="716">
        <f>+J3*0.1</f>
        <v>10935</v>
      </c>
      <c r="K5" s="1136">
        <f>J5*J6</f>
        <v>1553041.7868555367</v>
      </c>
      <c r="L5" s="716">
        <f>+L3*0.1</f>
        <v>9841.5</v>
      </c>
      <c r="M5" s="1136">
        <f>L5*L6</f>
        <v>1438271.9988069125</v>
      </c>
      <c r="N5" s="716">
        <f>+N3*0.1</f>
        <v>8857.35</v>
      </c>
      <c r="O5" s="1136">
        <f>N5*N6</f>
        <v>1338455.9220897129</v>
      </c>
      <c r="P5" s="716">
        <f>+P3*0.1</f>
        <v>7971.6150000000016</v>
      </c>
      <c r="Q5" s="1136">
        <f>P5*P6</f>
        <v>1235930.1984576411</v>
      </c>
      <c r="R5" s="716">
        <f>+R3*0.1</f>
        <v>7174.4535000000005</v>
      </c>
      <c r="S5" s="1136">
        <f>R5*R6</f>
        <v>1135696.2593627262</v>
      </c>
      <c r="T5" s="716">
        <f>+T3*0.1</f>
        <v>6457.0081500000015</v>
      </c>
      <c r="U5" s="1136">
        <f>T5*T6</f>
        <v>1051768.3057958207</v>
      </c>
      <c r="V5" s="716">
        <f>+V3*0.1</f>
        <v>5811.3073350000013</v>
      </c>
      <c r="W5" s="1136">
        <f>V5*V6</f>
        <v>974042.62799750955</v>
      </c>
      <c r="X5" s="716">
        <f>+X3*0.1</f>
        <v>5230.1766015000012</v>
      </c>
      <c r="Y5" s="1136">
        <f>X5*X6</f>
        <v>902060.87778849341</v>
      </c>
      <c r="Z5" s="716">
        <f>+Z3*0.1</f>
        <v>4707.1589413500005</v>
      </c>
      <c r="AA5" s="1136">
        <f>Z5*Z6</f>
        <v>835398.57891992363</v>
      </c>
      <c r="AB5" s="716">
        <f>+AB3*0.1</f>
        <v>4236.4430472150007</v>
      </c>
      <c r="AC5" s="1136">
        <f>AB5*AB6</f>
        <v>773662.62393774127</v>
      </c>
      <c r="AD5" s="716">
        <f>+AD3*0.1</f>
        <v>3812.7987424935013</v>
      </c>
      <c r="AE5" s="1136">
        <f>AD5*AD6</f>
        <v>716488.95602874225</v>
      </c>
      <c r="AF5" s="716">
        <f>+AF3*0.1</f>
        <v>3431.5188682441512</v>
      </c>
      <c r="AG5" s="1136">
        <f>AF5*AF6</f>
        <v>663540.42217821814</v>
      </c>
    </row>
    <row r="6" spans="1:34" ht="14.25" customHeight="1" x14ac:dyDescent="0.3">
      <c r="A6" s="718" t="s">
        <v>1990</v>
      </c>
      <c r="B6" s="719">
        <v>129.68</v>
      </c>
      <c r="C6" s="1137"/>
      <c r="D6" s="719">
        <f>+B6*(1+D13)</f>
        <v>132.66263999999998</v>
      </c>
      <c r="E6" s="1137"/>
      <c r="F6" s="719">
        <f>+D6*(1+F13)</f>
        <v>135.31589279999997</v>
      </c>
      <c r="G6" s="1137"/>
      <c r="H6" s="719">
        <f>+F6*(1+H13)</f>
        <v>138.02221065599997</v>
      </c>
      <c r="I6" s="1137"/>
      <c r="J6" s="719">
        <f>+H6*(1+J13)</f>
        <v>142.02485476502395</v>
      </c>
      <c r="K6" s="1137"/>
      <c r="L6" s="719">
        <f>+J6*(1+L13)</f>
        <v>146.14357555320962</v>
      </c>
      <c r="M6" s="1137"/>
      <c r="N6" s="719">
        <f>+L6*(1+N13)</f>
        <v>151.11245712201875</v>
      </c>
      <c r="O6" s="1137"/>
      <c r="P6" s="719">
        <f>+N6*(1+P13)</f>
        <v>155.04138100719123</v>
      </c>
      <c r="Q6" s="1137"/>
      <c r="R6" s="719">
        <f>+P6*(1+R13)</f>
        <v>158.29725000834225</v>
      </c>
      <c r="S6" s="1137"/>
      <c r="T6" s="719">
        <f>+R6*(1+T13)</f>
        <v>162.88787025858414</v>
      </c>
      <c r="U6" s="1137"/>
      <c r="V6" s="719">
        <f>+T6*(1+V13)</f>
        <v>167.61161849608308</v>
      </c>
      <c r="W6" s="1137"/>
      <c r="X6" s="719">
        <f>+V6*(1+X13)</f>
        <v>172.47235543246947</v>
      </c>
      <c r="Y6" s="1137"/>
      <c r="Z6" s="719">
        <f>+X6*(1+Z13)</f>
        <v>177.47405374001107</v>
      </c>
      <c r="AA6" s="1137"/>
      <c r="AB6" s="719">
        <f>+Z6*(1+AB13)</f>
        <v>182.62080129847138</v>
      </c>
      <c r="AC6" s="1137"/>
      <c r="AD6" s="719">
        <f>+AB6*(1+AD13)</f>
        <v>187.91680453612705</v>
      </c>
      <c r="AE6" s="1137"/>
      <c r="AF6" s="719">
        <f>+AD6*(1+AF13)</f>
        <v>193.36639186767471</v>
      </c>
      <c r="AG6" s="1137"/>
    </row>
    <row r="7" spans="1:34" ht="14.25" customHeight="1" x14ac:dyDescent="0.3">
      <c r="A7" s="720" t="s">
        <v>1991</v>
      </c>
      <c r="B7" s="721">
        <v>159959</v>
      </c>
      <c r="C7" s="1132">
        <f>C3+C5</f>
        <v>13316791.49752</v>
      </c>
      <c r="D7" s="721">
        <f>+D5+D3</f>
        <v>176000</v>
      </c>
      <c r="E7" s="1132">
        <f>E3+E5</f>
        <v>14876547.84</v>
      </c>
      <c r="F7" s="721">
        <f>+F5+F3</f>
        <v>148500</v>
      </c>
      <c r="G7" s="1132">
        <f>G3+G5</f>
        <v>12803128.9848</v>
      </c>
      <c r="H7" s="721">
        <f>+H5+H3</f>
        <v>133650</v>
      </c>
      <c r="I7" s="1132">
        <f>I3+I5</f>
        <v>11753272.4080464</v>
      </c>
      <c r="J7" s="721">
        <f>+J5+J3</f>
        <v>120285</v>
      </c>
      <c r="K7" s="1132">
        <f>K3+K5</f>
        <v>10884705.57709177</v>
      </c>
      <c r="L7" s="721">
        <f>+L5+L3</f>
        <v>108256.5</v>
      </c>
      <c r="M7" s="1132">
        <f>M3+M5</f>
        <v>10080325.834944688</v>
      </c>
      <c r="N7" s="721">
        <f>+N5+N3</f>
        <v>97430.85</v>
      </c>
      <c r="O7" s="1132">
        <f>O3+O5</f>
        <v>9380751.2219995279</v>
      </c>
      <c r="P7" s="721">
        <f>+P5+P3</f>
        <v>87687.765000000014</v>
      </c>
      <c r="Q7" s="1132">
        <f>Q3+Q5</f>
        <v>8662185.6783943642</v>
      </c>
      <c r="R7" s="721">
        <f>+R5+R3</f>
        <v>78918.988500000007</v>
      </c>
      <c r="S7" s="1132">
        <f>S3+S5</f>
        <v>7959682.4198765811</v>
      </c>
      <c r="T7" s="721">
        <f>+T5+T3</f>
        <v>71027.089650000009</v>
      </c>
      <c r="U7" s="1132">
        <f>U3+U5</f>
        <v>7371461.8890477009</v>
      </c>
      <c r="V7" s="721">
        <f>+V5+V3</f>
        <v>63924.380685000011</v>
      </c>
      <c r="W7" s="1132">
        <f>W3+W5</f>
        <v>6826710.8554470753</v>
      </c>
      <c r="X7" s="721">
        <f>+X5+X3</f>
        <v>57531.942616500011</v>
      </c>
      <c r="Y7" s="1132">
        <f>Y3+Y5</f>
        <v>6322216.923229536</v>
      </c>
      <c r="Z7" s="721">
        <f>+Z5+Z3</f>
        <v>51778.748354850002</v>
      </c>
      <c r="AA7" s="1132">
        <f>AA3+AA5</f>
        <v>5855005.0926028732</v>
      </c>
      <c r="AB7" s="721">
        <f>+AB5+AB3</f>
        <v>46600.873519365006</v>
      </c>
      <c r="AC7" s="1132">
        <f>AC3+AC5</f>
        <v>5422320.2162595205</v>
      </c>
      <c r="AD7" s="721">
        <f>+AD5+AD3</f>
        <v>41940.786167428509</v>
      </c>
      <c r="AE7" s="1132">
        <f>AE3+AE5</f>
        <v>5021610.7522779424</v>
      </c>
      <c r="AF7" s="721">
        <f>+AF5+AF3</f>
        <v>37746.707550685664</v>
      </c>
      <c r="AG7" s="1132">
        <f>AG3+AG5</f>
        <v>4650513.7176846024</v>
      </c>
    </row>
    <row r="8" spans="1:34" ht="14.25" customHeight="1" x14ac:dyDescent="0.3">
      <c r="A8" s="722" t="s">
        <v>1992</v>
      </c>
      <c r="B8" s="723"/>
      <c r="C8" s="1107"/>
      <c r="D8" s="723"/>
      <c r="E8" s="1107"/>
      <c r="F8" s="723"/>
      <c r="G8" s="1107"/>
      <c r="H8" s="723"/>
      <c r="I8" s="1107"/>
      <c r="J8" s="723"/>
      <c r="K8" s="1107"/>
      <c r="L8" s="723"/>
      <c r="M8" s="1107"/>
      <c r="N8" s="723"/>
      <c r="O8" s="1107"/>
      <c r="P8" s="723"/>
      <c r="Q8" s="1107"/>
      <c r="R8" s="723"/>
      <c r="S8" s="1107"/>
      <c r="T8" s="723"/>
      <c r="U8" s="1107"/>
      <c r="V8" s="723"/>
      <c r="W8" s="1107"/>
      <c r="X8" s="723"/>
      <c r="Y8" s="1107"/>
      <c r="Z8" s="723"/>
      <c r="AA8" s="1107"/>
      <c r="AB8" s="723"/>
      <c r="AC8" s="1107"/>
      <c r="AD8" s="723"/>
      <c r="AE8" s="1107"/>
      <c r="AF8" s="723"/>
      <c r="AG8" s="1107"/>
    </row>
    <row r="9" spans="1:34" ht="14.25" customHeight="1" x14ac:dyDescent="0.3">
      <c r="A9" s="722" t="s">
        <v>1993</v>
      </c>
      <c r="B9" s="724">
        <v>72</v>
      </c>
      <c r="C9" s="1134">
        <f>B9*B10</f>
        <v>264008.16000000003</v>
      </c>
      <c r="D9" s="724">
        <f>+B9</f>
        <v>72</v>
      </c>
      <c r="E9" s="1134">
        <f>D9*D10</f>
        <v>270080.34768000001</v>
      </c>
      <c r="F9" s="725">
        <f>+D9*0.9</f>
        <v>64.8</v>
      </c>
      <c r="G9" s="1134">
        <f>F9*F10</f>
        <v>247933.75917023997</v>
      </c>
      <c r="H9" s="725">
        <f>+F9*0.9</f>
        <v>58.32</v>
      </c>
      <c r="I9" s="1134">
        <f>H9*H10</f>
        <v>227603.19091828031</v>
      </c>
      <c r="J9" s="725">
        <f>+H9*0.9</f>
        <v>52.488</v>
      </c>
      <c r="K9" s="1134">
        <f>J9*J10</f>
        <v>210783.31510941937</v>
      </c>
      <c r="L9" s="725">
        <f>+J9*0.9</f>
        <v>47.239200000000004</v>
      </c>
      <c r="M9" s="1134">
        <f>L9*L10</f>
        <v>195206.42812283331</v>
      </c>
      <c r="N9" s="725">
        <f>+L9*0.9</f>
        <v>42.515280000000004</v>
      </c>
      <c r="O9" s="1134">
        <f>N9*N10</f>
        <v>181659.10201110868</v>
      </c>
      <c r="P9" s="725">
        <f>+N9*0.9</f>
        <v>38.263752000000004</v>
      </c>
      <c r="Q9" s="1134">
        <f>P9*P10</f>
        <v>167744.01479705778</v>
      </c>
      <c r="R9" s="725">
        <f>+P9*0.9</f>
        <v>34.437376800000003</v>
      </c>
      <c r="S9" s="1134">
        <f>R9*R10</f>
        <v>154139.97519701635</v>
      </c>
      <c r="T9" s="725">
        <f>+R9*0.9</f>
        <v>30.993639120000005</v>
      </c>
      <c r="U9" s="1134">
        <f>T9*T10</f>
        <v>142749.03102995685</v>
      </c>
      <c r="V9" s="725">
        <f>+T9*0.9</f>
        <v>27.894275208000003</v>
      </c>
      <c r="W9" s="1134">
        <f>V9*V10</f>
        <v>132199.87763684301</v>
      </c>
      <c r="X9" s="725">
        <f>+V9*0.9</f>
        <v>25.104847687200003</v>
      </c>
      <c r="Y9" s="1134">
        <f>X9*X10</f>
        <v>122430.3066794803</v>
      </c>
      <c r="Z9" s="725">
        <f>+X9*0.9</f>
        <v>22.594362918480002</v>
      </c>
      <c r="AA9" s="1134">
        <f>Z9*Z10</f>
        <v>113382.70701586669</v>
      </c>
      <c r="AB9" s="725">
        <f>+Z9*0.9</f>
        <v>20.334926626632001</v>
      </c>
      <c r="AC9" s="1134">
        <f>AB9*AB10</f>
        <v>105003.72496739413</v>
      </c>
      <c r="AD9" s="725">
        <f>+AB9*0.9</f>
        <v>18.301433963968801</v>
      </c>
      <c r="AE9" s="1134">
        <f>AD9*AD10</f>
        <v>97243.949692303693</v>
      </c>
      <c r="AF9" s="725">
        <f>+AD9*0.9</f>
        <v>16.47129056757192</v>
      </c>
      <c r="AG9" s="1134">
        <f>AF9*AF10</f>
        <v>90057.62181004243</v>
      </c>
    </row>
    <row r="10" spans="1:34" ht="14.25" customHeight="1" x14ac:dyDescent="0.3">
      <c r="A10" s="726" t="s">
        <v>1994</v>
      </c>
      <c r="B10" s="727">
        <v>3666.78</v>
      </c>
      <c r="C10" s="1135"/>
      <c r="D10" s="727">
        <f>+B10*(1+D13)</f>
        <v>3751.1159399999997</v>
      </c>
      <c r="E10" s="1135"/>
      <c r="F10" s="727">
        <f>+D10*(1+F13)</f>
        <v>3826.1382587999997</v>
      </c>
      <c r="G10" s="1135"/>
      <c r="H10" s="727">
        <f>+F10*(1+H13)</f>
        <v>3902.6610239759998</v>
      </c>
      <c r="I10" s="1135"/>
      <c r="J10" s="727">
        <f>+H10*(1+J13)</f>
        <v>4015.8381936713035</v>
      </c>
      <c r="K10" s="1135"/>
      <c r="L10" s="727">
        <f>+J10*(1+L13)</f>
        <v>4132.2975012877714</v>
      </c>
      <c r="M10" s="1135"/>
      <c r="N10" s="727">
        <f>+L10*(1+N13)</f>
        <v>4272.7956163315557</v>
      </c>
      <c r="O10" s="1135"/>
      <c r="P10" s="727">
        <f>+N10*(1+P13)</f>
        <v>4383.8883023561766</v>
      </c>
      <c r="Q10" s="1135"/>
      <c r="R10" s="727">
        <f>+P10*(1+R13)</f>
        <v>4475.9499567056555</v>
      </c>
      <c r="S10" s="1135"/>
      <c r="T10" s="727">
        <f>+R10*(1+T13)</f>
        <v>4605.7525054501193</v>
      </c>
      <c r="U10" s="1135"/>
      <c r="V10" s="727">
        <f>+T10*(1+V13)</f>
        <v>4739.3193281081722</v>
      </c>
      <c r="W10" s="1135"/>
      <c r="X10" s="727">
        <f>+V10*(1+X13)</f>
        <v>4876.7595886233084</v>
      </c>
      <c r="Y10" s="1135"/>
      <c r="Z10" s="727">
        <f>+X10*(1+Z13)</f>
        <v>5018.185616693384</v>
      </c>
      <c r="AA10" s="1135"/>
      <c r="AB10" s="727">
        <f>+Z10*(1+AB13)</f>
        <v>5163.7129995774912</v>
      </c>
      <c r="AC10" s="1135"/>
      <c r="AD10" s="727">
        <f>+AB10*(1+AD13)</f>
        <v>5313.4606765652379</v>
      </c>
      <c r="AE10" s="1135"/>
      <c r="AF10" s="727">
        <f>+AD10*(1+AF13)</f>
        <v>5467.5510361856295</v>
      </c>
      <c r="AG10" s="1135"/>
    </row>
    <row r="11" spans="1:34" ht="14.25" customHeight="1" x14ac:dyDescent="0.3">
      <c r="A11" s="728" t="s">
        <v>1995</v>
      </c>
      <c r="B11" s="729"/>
      <c r="C11" s="730">
        <f>C7+C9</f>
        <v>13580799.65752</v>
      </c>
      <c r="D11" s="729"/>
      <c r="E11" s="731">
        <f>E7+E9</f>
        <v>15146628.18768</v>
      </c>
      <c r="F11" s="729"/>
      <c r="G11" s="731">
        <f>G7+G9</f>
        <v>13051062.74397024</v>
      </c>
      <c r="H11" s="729"/>
      <c r="I11" s="731">
        <f>I7+I9</f>
        <v>11980875.59896468</v>
      </c>
      <c r="J11" s="729"/>
      <c r="K11" s="731">
        <f>K7+K9</f>
        <v>11095488.892201189</v>
      </c>
      <c r="L11" s="729"/>
      <c r="M11" s="731">
        <f>M7+M9</f>
        <v>10275532.263067521</v>
      </c>
      <c r="N11" s="729"/>
      <c r="O11" s="731">
        <f>O7+O9</f>
        <v>9562410.3240106367</v>
      </c>
      <c r="P11" s="729"/>
      <c r="Q11" s="731">
        <f>Q7+Q9</f>
        <v>8829929.6931914221</v>
      </c>
      <c r="R11" s="729"/>
      <c r="S11" s="731">
        <f>S7+S9</f>
        <v>8113822.3950735973</v>
      </c>
      <c r="T11" s="729"/>
      <c r="U11" s="731">
        <f>U7+U9</f>
        <v>7514210.9200776573</v>
      </c>
      <c r="V11" s="729"/>
      <c r="W11" s="731">
        <f>W7+W9</f>
        <v>6958910.7330839187</v>
      </c>
      <c r="X11" s="729"/>
      <c r="Y11" s="731">
        <f>Y7+Y9</f>
        <v>6444647.2299090168</v>
      </c>
      <c r="Z11" s="729"/>
      <c r="AA11" s="731">
        <f>AA7+AA9</f>
        <v>5968387.7996187396</v>
      </c>
      <c r="AB11" s="729"/>
      <c r="AC11" s="731">
        <f>AC7+AC9</f>
        <v>5527323.9412269145</v>
      </c>
      <c r="AD11" s="729"/>
      <c r="AE11" s="731">
        <f>AE7+AE9</f>
        <v>5118854.7019702457</v>
      </c>
      <c r="AF11" s="729"/>
      <c r="AG11" s="731">
        <f>AG7+AG9</f>
        <v>4740571.3394946447</v>
      </c>
      <c r="AH11" s="732">
        <f>SUM(J11:AG11)</f>
        <v>90150090.232925504</v>
      </c>
    </row>
    <row r="12" spans="1:34" ht="14.25" customHeight="1" x14ac:dyDescent="0.3">
      <c r="A12" s="198"/>
      <c r="B12" s="7"/>
      <c r="C12" s="198"/>
      <c r="D12" s="7"/>
      <c r="E12" s="733">
        <v>15200000</v>
      </c>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spans="1:34" ht="14.25" customHeight="1" x14ac:dyDescent="0.3">
      <c r="A13" s="198"/>
      <c r="B13" s="412"/>
      <c r="C13" s="412" t="s">
        <v>1996</v>
      </c>
      <c r="D13" s="1133">
        <f>+Flk!K34</f>
        <v>2.3E-2</v>
      </c>
      <c r="E13" s="1088"/>
      <c r="F13" s="1133">
        <f>+Flk!L34</f>
        <v>0.02</v>
      </c>
      <c r="G13" s="1088"/>
      <c r="H13" s="1133">
        <f>+Flk!M34</f>
        <v>0.02</v>
      </c>
      <c r="I13" s="1088"/>
      <c r="J13" s="1133">
        <f>+Flk!B71</f>
        <v>2.9000000000000001E-2</v>
      </c>
      <c r="K13" s="1088"/>
      <c r="L13" s="1133">
        <f>+Flk!C71</f>
        <v>2.9000000000000001E-2</v>
      </c>
      <c r="M13" s="1088"/>
      <c r="N13" s="1133">
        <f>+Flk!D71</f>
        <v>3.4000000000000002E-2</v>
      </c>
      <c r="O13" s="1088"/>
      <c r="P13" s="1133">
        <f>+Flk!E71</f>
        <v>2.5999999999999999E-2</v>
      </c>
      <c r="Q13" s="1088"/>
      <c r="R13" s="1133">
        <f>+Flk!F71</f>
        <v>2.1000000000000001E-2</v>
      </c>
      <c r="S13" s="1088"/>
      <c r="T13" s="1133">
        <f>+Flk!G71</f>
        <v>2.9000000000000001E-2</v>
      </c>
      <c r="U13" s="1088"/>
      <c r="V13" s="1133">
        <f>+Flk!H71</f>
        <v>2.9000000000000001E-2</v>
      </c>
      <c r="W13" s="1088"/>
      <c r="X13" s="1133">
        <f>+Flk!I71</f>
        <v>2.9000000000000001E-2</v>
      </c>
      <c r="Y13" s="1088"/>
      <c r="Z13" s="1133">
        <f>+Flk!J71</f>
        <v>2.9000000000000001E-2</v>
      </c>
      <c r="AA13" s="1088"/>
      <c r="AB13" s="1133">
        <f>+Flk!K71</f>
        <v>2.9000000000000001E-2</v>
      </c>
      <c r="AC13" s="1088"/>
      <c r="AD13" s="1133">
        <f>+Flk!L71</f>
        <v>2.9000000000000001E-2</v>
      </c>
      <c r="AE13" s="1088"/>
      <c r="AF13" s="1133">
        <f>+Flk!M71</f>
        <v>2.9000000000000001E-2</v>
      </c>
      <c r="AG13" s="1088"/>
    </row>
    <row r="14" spans="1:34" ht="14.25" customHeight="1" x14ac:dyDescent="0.3">
      <c r="A14" s="198"/>
      <c r="B14" s="1144"/>
      <c r="C14" s="1103"/>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spans="1:34" ht="14.25" customHeight="1" x14ac:dyDescent="0.3">
      <c r="A15" s="9"/>
      <c r="B15" s="162"/>
      <c r="C15" s="734"/>
      <c r="D15" s="735">
        <v>165000</v>
      </c>
      <c r="E15" s="732" t="s">
        <v>1997</v>
      </c>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4" ht="14.25" customHeight="1" x14ac:dyDescent="0.3">
      <c r="A16" s="736" t="s">
        <v>1998</v>
      </c>
      <c r="B16" s="737"/>
      <c r="C16" s="737"/>
      <c r="D16" s="737"/>
      <c r="E16" s="737"/>
      <c r="F16" s="737"/>
      <c r="G16" s="737"/>
      <c r="H16" s="738"/>
      <c r="I16" s="7"/>
      <c r="J16" s="7"/>
      <c r="K16" s="7"/>
      <c r="L16" s="7"/>
      <c r="M16" s="7"/>
      <c r="N16" s="7"/>
      <c r="O16" s="7"/>
      <c r="P16" s="7"/>
      <c r="Q16" s="7"/>
      <c r="R16" s="7"/>
      <c r="S16" s="7"/>
      <c r="T16" s="7"/>
      <c r="U16" s="7"/>
      <c r="V16" s="7"/>
      <c r="W16" s="7"/>
      <c r="X16" s="7"/>
      <c r="Y16" s="7"/>
      <c r="Z16" s="7"/>
      <c r="AA16" s="7"/>
      <c r="AB16" s="7"/>
      <c r="AC16" s="7"/>
      <c r="AD16" s="7"/>
      <c r="AE16" s="7"/>
      <c r="AF16" s="7"/>
      <c r="AG16" s="7"/>
    </row>
    <row r="17" spans="1:33" ht="14.25" customHeight="1" x14ac:dyDescent="0.3">
      <c r="A17" s="739" t="s">
        <v>1999</v>
      </c>
      <c r="B17" s="740"/>
      <c r="C17" s="740"/>
      <c r="D17" s="740"/>
      <c r="E17" s="740"/>
      <c r="F17" s="740"/>
      <c r="G17" s="740"/>
      <c r="H17" s="741"/>
      <c r="I17" s="7"/>
      <c r="J17" s="7"/>
      <c r="K17" s="7"/>
      <c r="L17" s="7"/>
      <c r="M17" s="7"/>
      <c r="N17" s="7"/>
      <c r="O17" s="7"/>
      <c r="P17" s="7"/>
      <c r="Q17" s="7"/>
      <c r="R17" s="7"/>
      <c r="S17" s="7"/>
      <c r="T17" s="7"/>
      <c r="U17" s="7"/>
      <c r="V17" s="7"/>
      <c r="W17" s="7"/>
      <c r="X17" s="7"/>
      <c r="Y17" s="7"/>
      <c r="Z17" s="7"/>
      <c r="AA17" s="7"/>
      <c r="AB17" s="7"/>
      <c r="AC17" s="7"/>
      <c r="AD17" s="7"/>
      <c r="AE17" s="7"/>
      <c r="AF17" s="7"/>
      <c r="AG17" s="7"/>
    </row>
    <row r="18" spans="1:33" ht="14.2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1:33" ht="14.2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spans="1:33" ht="14.2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spans="1:33" ht="14.25" customHeight="1" x14ac:dyDescent="0.3">
      <c r="A21" s="1131" t="s">
        <v>2000</v>
      </c>
      <c r="B21" s="1115" t="s">
        <v>1985</v>
      </c>
      <c r="C21" s="1088"/>
      <c r="D21" s="1130">
        <v>45957</v>
      </c>
      <c r="E21" s="1120"/>
      <c r="F21" s="1130">
        <f>+D21+30</f>
        <v>45987</v>
      </c>
      <c r="G21" s="1120"/>
      <c r="H21" s="1130">
        <f>+F21+30</f>
        <v>46017</v>
      </c>
      <c r="I21" s="1120"/>
      <c r="J21" s="1130">
        <f>+H21+30</f>
        <v>46047</v>
      </c>
      <c r="K21" s="1120"/>
      <c r="L21" s="1130">
        <f>+J21+30</f>
        <v>46077</v>
      </c>
      <c r="M21" s="1120"/>
      <c r="N21" s="1130">
        <f>+L21+30</f>
        <v>46107</v>
      </c>
      <c r="O21" s="1120"/>
      <c r="P21" s="1130">
        <v>46142</v>
      </c>
      <c r="Q21" s="1120"/>
      <c r="R21" s="1130">
        <v>46172</v>
      </c>
      <c r="S21" s="1120"/>
      <c r="T21" s="1130">
        <v>46202</v>
      </c>
      <c r="U21" s="1120"/>
      <c r="V21" s="1130">
        <v>46232</v>
      </c>
      <c r="W21" s="1120"/>
      <c r="X21" s="1130">
        <v>46262</v>
      </c>
      <c r="Y21" s="1120"/>
      <c r="Z21" s="1130">
        <v>46292</v>
      </c>
      <c r="AA21" s="1120"/>
      <c r="AB21" s="1130">
        <v>46322</v>
      </c>
      <c r="AC21" s="1120"/>
      <c r="AD21" s="1130">
        <v>46352</v>
      </c>
      <c r="AE21" s="1120"/>
      <c r="AF21" s="1130">
        <v>46382</v>
      </c>
      <c r="AG21" s="1120"/>
    </row>
    <row r="22" spans="1:33" ht="14.25" customHeight="1" x14ac:dyDescent="0.3">
      <c r="A22" s="1122"/>
      <c r="B22" s="1138" t="s">
        <v>2001</v>
      </c>
      <c r="C22" s="1088"/>
      <c r="D22" s="1121"/>
      <c r="E22" s="1122"/>
      <c r="F22" s="1121"/>
      <c r="G22" s="1122"/>
      <c r="H22" s="1121"/>
      <c r="I22" s="1122"/>
      <c r="J22" s="1121"/>
      <c r="K22" s="1122"/>
      <c r="L22" s="1121"/>
      <c r="M22" s="1122"/>
      <c r="N22" s="1121"/>
      <c r="O22" s="1122"/>
      <c r="P22" s="1121"/>
      <c r="Q22" s="1122"/>
      <c r="R22" s="1121"/>
      <c r="S22" s="1122"/>
      <c r="T22" s="1121"/>
      <c r="U22" s="1122"/>
      <c r="V22" s="1121"/>
      <c r="W22" s="1122"/>
      <c r="X22" s="1121"/>
      <c r="Y22" s="1122"/>
      <c r="Z22" s="1121"/>
      <c r="AA22" s="1122"/>
      <c r="AB22" s="1121"/>
      <c r="AC22" s="1122"/>
      <c r="AD22" s="1121"/>
      <c r="AE22" s="1122"/>
      <c r="AF22" s="1121"/>
      <c r="AG22" s="1122"/>
    </row>
    <row r="23" spans="1:33" ht="14.25" customHeight="1" x14ac:dyDescent="0.3">
      <c r="A23" s="304" t="s">
        <v>2002</v>
      </c>
      <c r="B23" s="715">
        <v>148666</v>
      </c>
      <c r="C23" s="1129">
        <f>B23*B24</f>
        <v>7950657.6799999997</v>
      </c>
      <c r="D23" s="742">
        <f>+D3</f>
        <v>160000</v>
      </c>
      <c r="E23" s="1129">
        <f>D23*D24</f>
        <v>8753606.3999999985</v>
      </c>
      <c r="F23" s="715">
        <f>+F3</f>
        <v>135000</v>
      </c>
      <c r="G23" s="1129">
        <f>F23*F24</f>
        <v>7533572.5079999994</v>
      </c>
      <c r="H23" s="715">
        <f>+H3</f>
        <v>121500</v>
      </c>
      <c r="I23" s="1129">
        <f>H23*H24</f>
        <v>6915819.5623439997</v>
      </c>
      <c r="J23" s="715">
        <f>+J3</f>
        <v>109350</v>
      </c>
      <c r="K23" s="1129">
        <f>J23*J24</f>
        <v>6404740.4966867771</v>
      </c>
      <c r="L23" s="715">
        <f>+L3</f>
        <v>98415</v>
      </c>
      <c r="M23" s="1129">
        <f>L23*L24</f>
        <v>5931430.1739816237</v>
      </c>
      <c r="N23" s="715">
        <f>+N3</f>
        <v>88573.5</v>
      </c>
      <c r="O23" s="1129">
        <f>N23*N24</f>
        <v>5519788.9199072998</v>
      </c>
      <c r="P23" s="715">
        <f>+P3</f>
        <v>79716.150000000009</v>
      </c>
      <c r="Q23" s="1129">
        <f>P23*P24</f>
        <v>5096973.0886424007</v>
      </c>
      <c r="R23" s="715">
        <f>+R3</f>
        <v>71744.535000000003</v>
      </c>
      <c r="S23" s="1129">
        <f>R23*R24</f>
        <v>4683608.571153501</v>
      </c>
      <c r="T23" s="715">
        <f>+T3</f>
        <v>64570.081500000008</v>
      </c>
      <c r="U23" s="1129">
        <f>T23*T24</f>
        <v>4337489.8977452572</v>
      </c>
      <c r="V23" s="715">
        <f>+V3</f>
        <v>58113.073350000006</v>
      </c>
      <c r="W23" s="1129">
        <f>V23*V24</f>
        <v>4016949.3943018825</v>
      </c>
      <c r="X23" s="715">
        <f>+X3</f>
        <v>52301.766015000008</v>
      </c>
      <c r="Y23" s="1129">
        <f>X23*X24</f>
        <v>3720096.8340629735</v>
      </c>
      <c r="Z23" s="715">
        <f>+Z3</f>
        <v>47071.589413500005</v>
      </c>
      <c r="AA23" s="1129">
        <f>Z23*Z24</f>
        <v>3445181.6780257192</v>
      </c>
      <c r="AB23" s="715">
        <f>+AB3</f>
        <v>42364.430472150008</v>
      </c>
      <c r="AC23" s="1129">
        <f>AB23*AB24</f>
        <v>3190582.7520196186</v>
      </c>
      <c r="AD23" s="715">
        <f>+AD3</f>
        <v>38127.98742493501</v>
      </c>
      <c r="AE23" s="1129">
        <f>AD23*AD24</f>
        <v>2954798.686645369</v>
      </c>
      <c r="AF23" s="715">
        <f>+AF3</f>
        <v>34315.188682441512</v>
      </c>
      <c r="AG23" s="1129">
        <f>AF23*AF24</f>
        <v>2736439.063702276</v>
      </c>
    </row>
    <row r="24" spans="1:33" ht="14.25" customHeight="1" x14ac:dyDescent="0.3">
      <c r="A24" s="743" t="s">
        <v>2003</v>
      </c>
      <c r="B24" s="717">
        <v>53.48</v>
      </c>
      <c r="C24" s="1107"/>
      <c r="D24" s="717">
        <f>+B24*(1+D13)</f>
        <v>54.710039999999992</v>
      </c>
      <c r="E24" s="1107"/>
      <c r="F24" s="717">
        <f>+D24*(1+F13)</f>
        <v>55.804240799999995</v>
      </c>
      <c r="G24" s="1107"/>
      <c r="H24" s="717">
        <f>+F24*(1+H13)</f>
        <v>56.920325616</v>
      </c>
      <c r="I24" s="1107"/>
      <c r="J24" s="717">
        <f>+H24*(1+J13)</f>
        <v>58.571015058863992</v>
      </c>
      <c r="K24" s="1107"/>
      <c r="L24" s="717">
        <f>+J24*(1+L13)</f>
        <v>60.269574495571042</v>
      </c>
      <c r="M24" s="1107"/>
      <c r="N24" s="717">
        <f>+L24*(1+N13)</f>
        <v>62.318740028420457</v>
      </c>
      <c r="O24" s="1107"/>
      <c r="P24" s="717">
        <f>+N24*(1+P13)</f>
        <v>63.939027269159389</v>
      </c>
      <c r="Q24" s="1107"/>
      <c r="R24" s="717">
        <f>+P24*(1+R13)</f>
        <v>65.281746841811724</v>
      </c>
      <c r="S24" s="1107"/>
      <c r="T24" s="717">
        <f>+R24*(1+T13)</f>
        <v>67.174917500224254</v>
      </c>
      <c r="U24" s="1107"/>
      <c r="V24" s="717">
        <f>+T24*(1+V13)</f>
        <v>69.122990107730757</v>
      </c>
      <c r="W24" s="1107"/>
      <c r="X24" s="717">
        <f>+V24*(1+X13)</f>
        <v>71.127556820854949</v>
      </c>
      <c r="Y24" s="1107"/>
      <c r="Z24" s="717">
        <f>+X24*(1+Z13)</f>
        <v>73.190255968659741</v>
      </c>
      <c r="AA24" s="1107"/>
      <c r="AB24" s="717">
        <f>+Z24*(1+AB13)</f>
        <v>75.312773391750866</v>
      </c>
      <c r="AC24" s="1107"/>
      <c r="AD24" s="717">
        <f>+AB24*(1+AD13)</f>
        <v>77.496843820111636</v>
      </c>
      <c r="AE24" s="1107"/>
      <c r="AF24" s="717">
        <f>+AD24*(1+AF13)</f>
        <v>79.744252290894863</v>
      </c>
      <c r="AG24" s="1107"/>
    </row>
    <row r="25" spans="1:33" ht="14.25" customHeight="1" x14ac:dyDescent="0.3">
      <c r="A25" s="744" t="s">
        <v>2004</v>
      </c>
      <c r="B25" s="729"/>
      <c r="C25" s="730">
        <f>C21+C23</f>
        <v>7950657.6799999997</v>
      </c>
      <c r="D25" s="729"/>
      <c r="E25" s="731">
        <f>E21+E23</f>
        <v>8753606.3999999985</v>
      </c>
      <c r="F25" s="729"/>
      <c r="G25" s="731">
        <f>G21+G23</f>
        <v>7533572.5079999994</v>
      </c>
      <c r="H25" s="729"/>
      <c r="I25" s="731">
        <f>I21+I23</f>
        <v>6915819.5623439997</v>
      </c>
      <c r="J25" s="729"/>
      <c r="K25" s="731">
        <f>K21+K23</f>
        <v>6404740.4966867771</v>
      </c>
      <c r="L25" s="729"/>
      <c r="M25" s="731">
        <f>M21+M23</f>
        <v>5931430.1739816237</v>
      </c>
      <c r="N25" s="729"/>
      <c r="O25" s="731">
        <f>O21+O23</f>
        <v>5519788.9199072998</v>
      </c>
      <c r="P25" s="729"/>
      <c r="Q25" s="731">
        <f>Q21+Q23</f>
        <v>5096973.0886424007</v>
      </c>
      <c r="R25" s="729"/>
      <c r="S25" s="731">
        <f>S21+S23</f>
        <v>4683608.571153501</v>
      </c>
      <c r="T25" s="729"/>
      <c r="U25" s="731">
        <f>U21+U23</f>
        <v>4337489.8977452572</v>
      </c>
      <c r="V25" s="729"/>
      <c r="W25" s="731">
        <f>W21+W23</f>
        <v>4016949.3943018825</v>
      </c>
      <c r="X25" s="729"/>
      <c r="Y25" s="731">
        <f>Y21+Y23</f>
        <v>3720096.8340629735</v>
      </c>
      <c r="Z25" s="729"/>
      <c r="AA25" s="731">
        <f>AA21+AA23</f>
        <v>3445181.6780257192</v>
      </c>
      <c r="AB25" s="729"/>
      <c r="AC25" s="731">
        <f>AC21+AC23</f>
        <v>3190582.7520196186</v>
      </c>
      <c r="AD25" s="729"/>
      <c r="AE25" s="731">
        <f>AE21+AE23</f>
        <v>2954798.686645369</v>
      </c>
      <c r="AF25" s="729"/>
      <c r="AG25" s="731">
        <f>AG21+AG23</f>
        <v>2736439.063702276</v>
      </c>
    </row>
    <row r="26" spans="1:33" ht="14.2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spans="1:33" ht="14.2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spans="1:33" ht="14.25" customHeight="1" x14ac:dyDescent="0.3">
      <c r="A28" s="745" t="s">
        <v>2005</v>
      </c>
      <c r="B28" s="745"/>
      <c r="C28" s="745"/>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spans="1:33" ht="14.25" customHeight="1" x14ac:dyDescent="0.3">
      <c r="A29" s="746" t="s">
        <v>2006</v>
      </c>
      <c r="B29" s="747">
        <v>113911</v>
      </c>
      <c r="C29" s="1146">
        <f>B29*B30</f>
        <v>5960962.6299999999</v>
      </c>
      <c r="D29" s="1140" t="s">
        <v>2007</v>
      </c>
      <c r="E29" s="1088"/>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spans="1:33" ht="14.25" customHeight="1" x14ac:dyDescent="0.3">
      <c r="A30" s="748" t="s">
        <v>2008</v>
      </c>
      <c r="B30" s="749">
        <v>52.33</v>
      </c>
      <c r="C30" s="1107"/>
      <c r="D30" s="1145" t="s">
        <v>303</v>
      </c>
      <c r="E30" s="1145" t="s">
        <v>2009</v>
      </c>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spans="1:33" ht="14.25" customHeight="1" x14ac:dyDescent="0.3">
      <c r="A31" s="750" t="s">
        <v>2010</v>
      </c>
      <c r="B31" s="751">
        <v>186841</v>
      </c>
      <c r="C31" s="1139">
        <v>9624179.9100000001</v>
      </c>
      <c r="D31" s="1106"/>
      <c r="E31" s="1106"/>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spans="1:33" ht="14.25" customHeight="1" x14ac:dyDescent="0.3">
      <c r="A32" s="752" t="s">
        <v>2011</v>
      </c>
      <c r="B32" s="753">
        <v>51.51</v>
      </c>
      <c r="C32" s="1122"/>
      <c r="D32" s="1106"/>
      <c r="E32" s="1106"/>
      <c r="F32" s="1141" t="s">
        <v>2012</v>
      </c>
      <c r="G32" s="1087"/>
      <c r="H32" s="1088"/>
      <c r="I32" s="7"/>
      <c r="J32" s="7"/>
      <c r="K32" s="7"/>
      <c r="L32" s="7"/>
      <c r="M32" s="7"/>
      <c r="N32" s="7"/>
      <c r="O32" s="7"/>
      <c r="P32" s="7"/>
      <c r="Q32" s="7"/>
      <c r="R32" s="7"/>
      <c r="S32" s="7"/>
      <c r="T32" s="7"/>
      <c r="U32" s="7"/>
      <c r="V32" s="7"/>
      <c r="W32" s="7"/>
      <c r="X32" s="7"/>
      <c r="Y32" s="7"/>
      <c r="Z32" s="7"/>
      <c r="AA32" s="7"/>
      <c r="AB32" s="7"/>
      <c r="AC32" s="7"/>
      <c r="AD32" s="7"/>
      <c r="AE32" s="7"/>
      <c r="AF32" s="7"/>
      <c r="AG32" s="7"/>
    </row>
    <row r="33" spans="1:33" ht="14.25" customHeight="1" x14ac:dyDescent="0.3">
      <c r="A33" s="754" t="s">
        <v>2010</v>
      </c>
      <c r="B33" s="747">
        <v>164661</v>
      </c>
      <c r="C33" s="1146">
        <v>8104614.4199999999</v>
      </c>
      <c r="D33" s="1106"/>
      <c r="E33" s="1106"/>
      <c r="F33" s="755" t="s">
        <v>2013</v>
      </c>
      <c r="G33" s="755" t="s">
        <v>2014</v>
      </c>
      <c r="H33" s="755" t="s">
        <v>2015</v>
      </c>
      <c r="I33" s="7"/>
      <c r="J33" s="7"/>
      <c r="K33" s="7"/>
      <c r="L33" s="7"/>
      <c r="M33" s="7"/>
      <c r="N33" s="7"/>
      <c r="O33" s="7"/>
      <c r="P33" s="7"/>
      <c r="Q33" s="7"/>
      <c r="R33" s="7"/>
      <c r="S33" s="7"/>
      <c r="T33" s="7"/>
      <c r="U33" s="7"/>
      <c r="V33" s="7"/>
      <c r="W33" s="7"/>
      <c r="X33" s="7"/>
      <c r="Y33" s="7"/>
      <c r="Z33" s="7"/>
      <c r="AA33" s="7"/>
      <c r="AB33" s="7"/>
      <c r="AC33" s="7"/>
      <c r="AD33" s="7"/>
      <c r="AE33" s="7"/>
      <c r="AF33" s="7"/>
      <c r="AG33" s="7"/>
    </row>
    <row r="34" spans="1:33" ht="21" customHeight="1" x14ac:dyDescent="0.3">
      <c r="A34" s="754" t="s">
        <v>2016</v>
      </c>
      <c r="B34" s="756">
        <v>49.22</v>
      </c>
      <c r="C34" s="1107"/>
      <c r="D34" s="1107"/>
      <c r="E34" s="1107"/>
      <c r="F34" s="757" t="s">
        <v>2017</v>
      </c>
      <c r="G34" s="757" t="s">
        <v>2018</v>
      </c>
      <c r="H34" s="757" t="s">
        <v>2019</v>
      </c>
      <c r="I34" s="7"/>
      <c r="J34" s="7"/>
      <c r="K34" s="7"/>
      <c r="L34" s="7"/>
      <c r="M34" s="7"/>
      <c r="N34" s="7"/>
      <c r="O34" s="7"/>
      <c r="P34" s="7"/>
      <c r="Q34" s="7"/>
      <c r="R34" s="7"/>
      <c r="S34" s="7"/>
      <c r="T34" s="7"/>
      <c r="U34" s="7"/>
      <c r="V34" s="7"/>
      <c r="W34" s="7"/>
      <c r="X34" s="7"/>
      <c r="Y34" s="7"/>
      <c r="Z34" s="7"/>
      <c r="AA34" s="7"/>
      <c r="AB34" s="7"/>
      <c r="AC34" s="7"/>
      <c r="AD34" s="7"/>
      <c r="AE34" s="7"/>
      <c r="AF34" s="7"/>
      <c r="AG34" s="7"/>
    </row>
    <row r="35" spans="1:33" ht="14.25" customHeight="1" x14ac:dyDescent="0.3">
      <c r="A35" s="745"/>
      <c r="B35" s="745"/>
      <c r="C35" s="745"/>
      <c r="D35" s="758">
        <v>44866</v>
      </c>
      <c r="E35" s="759" t="s">
        <v>2020</v>
      </c>
      <c r="F35" s="760">
        <v>8.5</v>
      </c>
      <c r="G35" s="760">
        <v>400</v>
      </c>
      <c r="H35" s="760">
        <v>40</v>
      </c>
      <c r="I35" s="7"/>
      <c r="J35" s="7"/>
      <c r="K35" s="7"/>
      <c r="L35" s="7"/>
      <c r="M35" s="7"/>
      <c r="N35" s="7"/>
      <c r="O35" s="7"/>
      <c r="P35" s="7"/>
      <c r="Q35" s="7"/>
      <c r="R35" s="7"/>
      <c r="S35" s="7"/>
      <c r="T35" s="7"/>
      <c r="U35" s="7"/>
      <c r="V35" s="7"/>
      <c r="W35" s="7"/>
      <c r="X35" s="7"/>
      <c r="Y35" s="7"/>
      <c r="Z35" s="7"/>
      <c r="AA35" s="7"/>
      <c r="AB35" s="7"/>
      <c r="AC35" s="7"/>
      <c r="AD35" s="7"/>
      <c r="AE35" s="7"/>
      <c r="AF35" s="7"/>
      <c r="AG35" s="7"/>
    </row>
    <row r="36" spans="1:33" ht="14.25" customHeight="1" x14ac:dyDescent="0.3">
      <c r="A36" s="745"/>
      <c r="B36" s="761">
        <f>+B24/B30-1</f>
        <v>2.1975922033250495E-2</v>
      </c>
      <c r="C36" s="745"/>
      <c r="D36" s="758">
        <v>44896</v>
      </c>
      <c r="E36" s="762">
        <v>5.8000000000000003E-2</v>
      </c>
      <c r="F36" s="760">
        <f t="shared" ref="F36:F69" si="0">+F35*(1+E36)</f>
        <v>8.9930000000000003</v>
      </c>
      <c r="G36" s="760">
        <f t="shared" ref="G36:G69" si="1">+G35*(1+E36)</f>
        <v>423.20000000000005</v>
      </c>
      <c r="H36" s="760">
        <f t="shared" ref="H36:H69" si="2">+H35*(1+E36)</f>
        <v>42.32</v>
      </c>
      <c r="I36" s="7"/>
      <c r="J36" s="7"/>
      <c r="K36" s="7"/>
      <c r="L36" s="7"/>
      <c r="M36" s="7"/>
      <c r="N36" s="7"/>
      <c r="O36" s="7"/>
      <c r="P36" s="7"/>
      <c r="Q36" s="7"/>
      <c r="R36" s="7"/>
      <c r="S36" s="7"/>
      <c r="T36" s="7"/>
      <c r="U36" s="7"/>
      <c r="V36" s="7"/>
      <c r="W36" s="7"/>
      <c r="X36" s="7"/>
      <c r="Y36" s="7"/>
      <c r="Z36" s="7"/>
      <c r="AA36" s="7"/>
      <c r="AB36" s="7"/>
      <c r="AC36" s="7"/>
      <c r="AD36" s="7"/>
      <c r="AE36" s="7"/>
      <c r="AF36" s="7"/>
      <c r="AG36" s="7"/>
    </row>
    <row r="37" spans="1:33" ht="14.25" customHeight="1" x14ac:dyDescent="0.3">
      <c r="A37" s="745"/>
      <c r="B37" s="761">
        <f>+B30/B32-1</f>
        <v>1.5919238982721851E-2</v>
      </c>
      <c r="C37" s="745"/>
      <c r="D37" s="758">
        <v>44927</v>
      </c>
      <c r="E37" s="762">
        <v>7.2999999999999995E-2</v>
      </c>
      <c r="F37" s="760">
        <f t="shared" si="0"/>
        <v>9.6494889999999991</v>
      </c>
      <c r="G37" s="760">
        <f t="shared" si="1"/>
        <v>454.09360000000004</v>
      </c>
      <c r="H37" s="760">
        <f t="shared" si="2"/>
        <v>45.40936</v>
      </c>
      <c r="I37" s="7"/>
      <c r="J37" s="7"/>
      <c r="K37" s="7"/>
      <c r="L37" s="7"/>
      <c r="M37" s="7"/>
      <c r="N37" s="7"/>
      <c r="O37" s="7"/>
      <c r="P37" s="7"/>
      <c r="Q37" s="7"/>
      <c r="R37" s="7"/>
      <c r="S37" s="7"/>
      <c r="T37" s="7"/>
      <c r="U37" s="7"/>
      <c r="V37" s="7"/>
      <c r="W37" s="7"/>
      <c r="X37" s="7"/>
      <c r="Y37" s="7"/>
      <c r="Z37" s="7"/>
      <c r="AA37" s="7"/>
      <c r="AB37" s="7"/>
      <c r="AC37" s="7"/>
      <c r="AD37" s="7"/>
      <c r="AE37" s="7"/>
      <c r="AF37" s="7"/>
      <c r="AG37" s="7"/>
    </row>
    <row r="38" spans="1:33" ht="14.25" customHeight="1" x14ac:dyDescent="0.3">
      <c r="A38" s="745"/>
      <c r="B38" s="745"/>
      <c r="C38" s="745"/>
      <c r="D38" s="758">
        <v>44958</v>
      </c>
      <c r="E38" s="762">
        <v>0.06</v>
      </c>
      <c r="F38" s="760">
        <f t="shared" si="0"/>
        <v>10.22845834</v>
      </c>
      <c r="G38" s="760">
        <f t="shared" si="1"/>
        <v>481.33921600000008</v>
      </c>
      <c r="H38" s="760">
        <f t="shared" si="2"/>
        <v>48.133921600000001</v>
      </c>
      <c r="I38" s="7"/>
      <c r="J38" s="7"/>
      <c r="K38" s="7"/>
      <c r="L38" s="7"/>
      <c r="M38" s="7"/>
      <c r="N38" s="7"/>
      <c r="O38" s="7"/>
      <c r="P38" s="7"/>
      <c r="Q38" s="7"/>
      <c r="R38" s="7"/>
      <c r="S38" s="7"/>
      <c r="T38" s="7"/>
      <c r="U38" s="7"/>
      <c r="V38" s="7"/>
      <c r="W38" s="7"/>
      <c r="X38" s="7"/>
      <c r="Y38" s="7"/>
      <c r="Z38" s="7"/>
      <c r="AA38" s="7"/>
      <c r="AB38" s="7"/>
      <c r="AC38" s="7"/>
      <c r="AD38" s="7"/>
      <c r="AE38" s="7"/>
      <c r="AF38" s="7"/>
      <c r="AG38" s="7"/>
    </row>
    <row r="39" spans="1:33" ht="14.25" customHeight="1" x14ac:dyDescent="0.3">
      <c r="A39" s="745"/>
      <c r="B39" s="745"/>
      <c r="C39" s="745"/>
      <c r="D39" s="758">
        <v>44986</v>
      </c>
      <c r="E39" s="762">
        <v>7.0999999999999994E-2</v>
      </c>
      <c r="F39" s="760">
        <f t="shared" si="0"/>
        <v>10.95467888214</v>
      </c>
      <c r="G39" s="760">
        <f t="shared" si="1"/>
        <v>515.51430033600002</v>
      </c>
      <c r="H39" s="760">
        <f t="shared" si="2"/>
        <v>51.551430033599999</v>
      </c>
      <c r="I39" s="7"/>
      <c r="J39" s="7"/>
      <c r="K39" s="7"/>
      <c r="L39" s="7"/>
      <c r="M39" s="7"/>
      <c r="N39" s="7"/>
      <c r="O39" s="7"/>
      <c r="P39" s="7"/>
      <c r="Q39" s="7"/>
      <c r="R39" s="7"/>
      <c r="S39" s="7"/>
      <c r="T39" s="7"/>
      <c r="U39" s="7"/>
      <c r="V39" s="7"/>
      <c r="W39" s="7"/>
      <c r="X39" s="7"/>
      <c r="Y39" s="7"/>
      <c r="Z39" s="7"/>
      <c r="AA39" s="7"/>
      <c r="AB39" s="7"/>
      <c r="AC39" s="7"/>
      <c r="AD39" s="7"/>
      <c r="AE39" s="7"/>
      <c r="AF39" s="7"/>
      <c r="AG39" s="7"/>
    </row>
    <row r="40" spans="1:33" ht="14.25" customHeight="1" x14ac:dyDescent="0.3">
      <c r="A40" s="745"/>
      <c r="B40" s="745"/>
      <c r="C40" s="745"/>
      <c r="D40" s="758">
        <v>45017</v>
      </c>
      <c r="E40" s="762">
        <v>7.8E-2</v>
      </c>
      <c r="F40" s="760">
        <f t="shared" si="0"/>
        <v>11.809143834946921</v>
      </c>
      <c r="G40" s="760">
        <f t="shared" si="1"/>
        <v>555.72441576220808</v>
      </c>
      <c r="H40" s="760">
        <f t="shared" si="2"/>
        <v>55.572441576220804</v>
      </c>
      <c r="I40" s="7"/>
      <c r="J40" s="7"/>
      <c r="K40" s="7"/>
      <c r="L40" s="7"/>
      <c r="M40" s="7"/>
      <c r="N40" s="7"/>
      <c r="O40" s="7"/>
      <c r="P40" s="7"/>
      <c r="Q40" s="7"/>
      <c r="R40" s="7"/>
      <c r="S40" s="7"/>
      <c r="T40" s="7"/>
      <c r="U40" s="7"/>
      <c r="V40" s="7"/>
      <c r="W40" s="7"/>
      <c r="X40" s="7"/>
      <c r="Y40" s="7"/>
      <c r="Z40" s="7"/>
      <c r="AA40" s="7"/>
      <c r="AB40" s="7"/>
      <c r="AC40" s="7"/>
      <c r="AD40" s="7"/>
      <c r="AE40" s="7"/>
      <c r="AF40" s="7"/>
      <c r="AG40" s="7"/>
    </row>
    <row r="41" spans="1:33" ht="14.25" customHeight="1" x14ac:dyDescent="0.3">
      <c r="A41" s="745"/>
      <c r="B41" s="745"/>
      <c r="C41" s="745"/>
      <c r="D41" s="758">
        <v>45047</v>
      </c>
      <c r="E41" s="762">
        <v>7.4999999999999997E-2</v>
      </c>
      <c r="F41" s="760">
        <f t="shared" si="0"/>
        <v>12.694829622567939</v>
      </c>
      <c r="G41" s="760">
        <f t="shared" si="1"/>
        <v>597.40374694437367</v>
      </c>
      <c r="H41" s="760">
        <f t="shared" si="2"/>
        <v>59.740374694437364</v>
      </c>
      <c r="I41" s="7"/>
      <c r="J41" s="7"/>
      <c r="K41" s="7"/>
      <c r="L41" s="7"/>
      <c r="M41" s="7"/>
      <c r="N41" s="7"/>
      <c r="O41" s="7"/>
      <c r="P41" s="7"/>
      <c r="Q41" s="7"/>
      <c r="R41" s="7"/>
      <c r="S41" s="7"/>
      <c r="T41" s="7"/>
      <c r="U41" s="7"/>
      <c r="V41" s="7"/>
      <c r="W41" s="7"/>
      <c r="X41" s="7"/>
      <c r="Y41" s="7"/>
      <c r="Z41" s="7"/>
      <c r="AA41" s="7"/>
      <c r="AB41" s="7"/>
      <c r="AC41" s="7"/>
      <c r="AD41" s="7"/>
      <c r="AE41" s="7"/>
      <c r="AF41" s="7"/>
      <c r="AG41" s="7"/>
    </row>
    <row r="42" spans="1:33" ht="14.25" customHeight="1" x14ac:dyDescent="0.3">
      <c r="A42" s="7"/>
      <c r="B42" s="7"/>
      <c r="C42" s="7"/>
      <c r="D42" s="758">
        <v>45078</v>
      </c>
      <c r="E42" s="762">
        <v>7.0999999999999994E-2</v>
      </c>
      <c r="F42" s="760">
        <f t="shared" si="0"/>
        <v>13.596162525770263</v>
      </c>
      <c r="G42" s="760">
        <f t="shared" si="1"/>
        <v>639.81941297742412</v>
      </c>
      <c r="H42" s="760">
        <f t="shared" si="2"/>
        <v>63.981941297742416</v>
      </c>
      <c r="I42" s="7"/>
      <c r="J42" s="7"/>
      <c r="K42" s="7"/>
      <c r="L42" s="7"/>
      <c r="M42" s="7"/>
      <c r="N42" s="7"/>
      <c r="O42" s="7"/>
      <c r="P42" s="7"/>
      <c r="Q42" s="7"/>
      <c r="R42" s="7"/>
      <c r="S42" s="7"/>
      <c r="T42" s="7"/>
      <c r="U42" s="7"/>
      <c r="V42" s="7"/>
      <c r="W42" s="7"/>
      <c r="X42" s="7"/>
      <c r="Y42" s="7"/>
      <c r="Z42" s="7"/>
      <c r="AA42" s="7"/>
      <c r="AB42" s="7"/>
      <c r="AC42" s="7"/>
      <c r="AD42" s="7"/>
      <c r="AE42" s="7"/>
      <c r="AF42" s="7"/>
      <c r="AG42" s="7"/>
    </row>
    <row r="43" spans="1:33" ht="14.25" customHeight="1" x14ac:dyDescent="0.3">
      <c r="A43" s="7"/>
      <c r="B43" s="7"/>
      <c r="C43" s="7"/>
      <c r="D43" s="763">
        <v>45108</v>
      </c>
      <c r="E43" s="764">
        <v>7.2999999999999995E-2</v>
      </c>
      <c r="F43" s="765">
        <f t="shared" si="0"/>
        <v>14.588682390151492</v>
      </c>
      <c r="G43" s="765">
        <f t="shared" si="1"/>
        <v>686.52623012477602</v>
      </c>
      <c r="H43" s="765">
        <f t="shared" si="2"/>
        <v>68.652623012477605</v>
      </c>
      <c r="I43" s="7"/>
      <c r="J43" s="7"/>
      <c r="K43" s="7"/>
      <c r="L43" s="7"/>
      <c r="M43" s="7"/>
      <c r="N43" s="7"/>
      <c r="O43" s="7"/>
      <c r="P43" s="7"/>
      <c r="Q43" s="7"/>
      <c r="R43" s="7"/>
      <c r="S43" s="7"/>
      <c r="T43" s="7"/>
      <c r="U43" s="7"/>
      <c r="V43" s="7"/>
      <c r="W43" s="7"/>
      <c r="X43" s="7"/>
      <c r="Y43" s="7"/>
      <c r="Z43" s="7"/>
      <c r="AA43" s="7"/>
      <c r="AB43" s="7"/>
      <c r="AC43" s="7"/>
      <c r="AD43" s="7"/>
      <c r="AE43" s="7"/>
      <c r="AF43" s="7"/>
      <c r="AG43" s="7"/>
    </row>
    <row r="44" spans="1:33" ht="14.25" customHeight="1" x14ac:dyDescent="0.3">
      <c r="A44" s="7"/>
      <c r="B44" s="7"/>
      <c r="C44" s="7"/>
      <c r="D44" s="763">
        <v>45139</v>
      </c>
      <c r="E44" s="764">
        <v>0.108</v>
      </c>
      <c r="F44" s="765">
        <f t="shared" si="0"/>
        <v>16.164260088287854</v>
      </c>
      <c r="G44" s="765">
        <f t="shared" si="1"/>
        <v>760.67106297825194</v>
      </c>
      <c r="H44" s="765">
        <f t="shared" si="2"/>
        <v>76.067106297825191</v>
      </c>
      <c r="I44" s="7"/>
      <c r="J44" s="7"/>
      <c r="K44" s="7"/>
      <c r="L44" s="7"/>
      <c r="M44" s="7"/>
      <c r="N44" s="7"/>
      <c r="O44" s="7"/>
      <c r="P44" s="7"/>
      <c r="Q44" s="7"/>
      <c r="R44" s="7"/>
      <c r="S44" s="7"/>
      <c r="T44" s="7"/>
      <c r="U44" s="7"/>
      <c r="V44" s="7"/>
      <c r="W44" s="7"/>
      <c r="X44" s="7"/>
      <c r="Y44" s="7"/>
      <c r="Z44" s="7"/>
      <c r="AA44" s="7"/>
      <c r="AB44" s="7"/>
      <c r="AC44" s="7"/>
      <c r="AD44" s="7"/>
      <c r="AE44" s="7"/>
      <c r="AF44" s="7"/>
      <c r="AG44" s="7"/>
    </row>
    <row r="45" spans="1:33" ht="14.25" customHeight="1" x14ac:dyDescent="0.3">
      <c r="A45" s="7"/>
      <c r="B45" s="7"/>
      <c r="C45" s="7"/>
      <c r="D45" s="763">
        <v>45170</v>
      </c>
      <c r="E45" s="764">
        <v>0.12</v>
      </c>
      <c r="F45" s="765">
        <f t="shared" si="0"/>
        <v>18.103971298882399</v>
      </c>
      <c r="G45" s="765">
        <f t="shared" si="1"/>
        <v>851.95159053564225</v>
      </c>
      <c r="H45" s="765">
        <f t="shared" si="2"/>
        <v>85.195159053564225</v>
      </c>
      <c r="I45" s="7"/>
      <c r="J45" s="7"/>
      <c r="K45" s="7"/>
      <c r="L45" s="7"/>
      <c r="M45" s="7"/>
      <c r="N45" s="7"/>
      <c r="O45" s="7"/>
      <c r="P45" s="7"/>
      <c r="Q45" s="7"/>
      <c r="R45" s="7"/>
      <c r="S45" s="7"/>
      <c r="T45" s="7"/>
      <c r="U45" s="7"/>
      <c r="V45" s="7"/>
      <c r="W45" s="7"/>
      <c r="X45" s="7"/>
      <c r="Y45" s="7"/>
      <c r="Z45" s="7"/>
      <c r="AA45" s="7"/>
      <c r="AB45" s="7"/>
      <c r="AC45" s="7"/>
      <c r="AD45" s="7"/>
      <c r="AE45" s="7"/>
      <c r="AF45" s="7"/>
      <c r="AG45" s="7"/>
    </row>
    <row r="46" spans="1:33" ht="14.25" customHeight="1" x14ac:dyDescent="0.3">
      <c r="A46" s="7"/>
      <c r="B46" s="7"/>
      <c r="C46" s="7"/>
      <c r="D46" s="763">
        <v>45200</v>
      </c>
      <c r="E46" s="764">
        <v>9.4E-2</v>
      </c>
      <c r="F46" s="765">
        <f t="shared" si="0"/>
        <v>19.805744600977345</v>
      </c>
      <c r="G46" s="765">
        <f t="shared" si="1"/>
        <v>932.03504004599267</v>
      </c>
      <c r="H46" s="765">
        <f t="shared" si="2"/>
        <v>93.203504004599267</v>
      </c>
      <c r="I46" s="7"/>
      <c r="J46" s="7"/>
      <c r="K46" s="7"/>
      <c r="L46" s="7"/>
      <c r="M46" s="7"/>
      <c r="N46" s="7"/>
      <c r="O46" s="7"/>
      <c r="P46" s="7"/>
      <c r="Q46" s="7"/>
      <c r="R46" s="7"/>
      <c r="S46" s="7"/>
      <c r="T46" s="7"/>
      <c r="U46" s="7"/>
      <c r="V46" s="7"/>
      <c r="W46" s="7"/>
      <c r="X46" s="7"/>
      <c r="Y46" s="7"/>
      <c r="Z46" s="7"/>
      <c r="AA46" s="7"/>
      <c r="AB46" s="7"/>
      <c r="AC46" s="7"/>
      <c r="AD46" s="7"/>
      <c r="AE46" s="7"/>
      <c r="AF46" s="7"/>
      <c r="AG46" s="7"/>
    </row>
    <row r="47" spans="1:33" ht="14.25" customHeight="1" x14ac:dyDescent="0.3">
      <c r="A47" s="7"/>
      <c r="B47" s="7"/>
      <c r="C47" s="7"/>
      <c r="D47" s="763">
        <v>45231</v>
      </c>
      <c r="E47" s="764">
        <v>0.11899999999999999</v>
      </c>
      <c r="F47" s="765">
        <f t="shared" si="0"/>
        <v>22.162628208493651</v>
      </c>
      <c r="G47" s="765">
        <f t="shared" si="1"/>
        <v>1042.9472098114659</v>
      </c>
      <c r="H47" s="765">
        <f t="shared" si="2"/>
        <v>104.29472098114658</v>
      </c>
      <c r="I47" s="7"/>
      <c r="J47" s="7"/>
      <c r="K47" s="7"/>
      <c r="L47" s="7"/>
      <c r="M47" s="7"/>
      <c r="N47" s="7"/>
      <c r="O47" s="7"/>
      <c r="P47" s="7"/>
      <c r="Q47" s="7"/>
      <c r="R47" s="7"/>
      <c r="S47" s="7"/>
      <c r="T47" s="7"/>
      <c r="U47" s="7"/>
      <c r="V47" s="7"/>
      <c r="W47" s="7"/>
      <c r="X47" s="7"/>
      <c r="Y47" s="7"/>
      <c r="Z47" s="7"/>
      <c r="AA47" s="7"/>
      <c r="AB47" s="7"/>
      <c r="AC47" s="7"/>
      <c r="AD47" s="7"/>
      <c r="AE47" s="7"/>
      <c r="AF47" s="7"/>
      <c r="AG47" s="7"/>
    </row>
    <row r="48" spans="1:33" ht="14.25" customHeight="1" x14ac:dyDescent="0.3">
      <c r="A48" s="7"/>
      <c r="B48" s="7"/>
      <c r="C48" s="7"/>
      <c r="D48" s="763">
        <v>45261</v>
      </c>
      <c r="E48" s="764">
        <v>0.21099999999999999</v>
      </c>
      <c r="F48" s="765">
        <f t="shared" si="0"/>
        <v>26.838942760485814</v>
      </c>
      <c r="G48" s="765">
        <f t="shared" si="1"/>
        <v>1263.0090710816853</v>
      </c>
      <c r="H48" s="765">
        <f t="shared" si="2"/>
        <v>126.30090710816852</v>
      </c>
      <c r="I48" s="7"/>
      <c r="J48" s="7"/>
      <c r="K48" s="7"/>
      <c r="L48" s="7"/>
      <c r="M48" s="7"/>
      <c r="N48" s="7"/>
      <c r="O48" s="7"/>
      <c r="P48" s="7"/>
      <c r="Q48" s="7"/>
      <c r="R48" s="7"/>
      <c r="S48" s="7"/>
      <c r="T48" s="7"/>
      <c r="U48" s="7"/>
      <c r="V48" s="7"/>
      <c r="W48" s="7"/>
      <c r="X48" s="7"/>
      <c r="Y48" s="7"/>
      <c r="Z48" s="7"/>
      <c r="AA48" s="7"/>
      <c r="AB48" s="7"/>
      <c r="AC48" s="7"/>
      <c r="AD48" s="7"/>
      <c r="AE48" s="7"/>
      <c r="AF48" s="7"/>
      <c r="AG48" s="7"/>
    </row>
    <row r="49" spans="1:33" ht="14.25" customHeight="1" x14ac:dyDescent="0.3">
      <c r="A49" s="7"/>
      <c r="B49" s="7"/>
      <c r="C49" s="7"/>
      <c r="D49" s="763">
        <v>45292</v>
      </c>
      <c r="E49" s="764">
        <v>0.217</v>
      </c>
      <c r="F49" s="765">
        <f t="shared" si="0"/>
        <v>32.662993339511239</v>
      </c>
      <c r="G49" s="765">
        <f t="shared" si="1"/>
        <v>1537.0820395064111</v>
      </c>
      <c r="H49" s="765">
        <f t="shared" si="2"/>
        <v>153.70820395064109</v>
      </c>
      <c r="I49" s="7"/>
      <c r="J49" s="7"/>
      <c r="K49" s="7"/>
      <c r="L49" s="7"/>
      <c r="M49" s="7"/>
      <c r="N49" s="7"/>
      <c r="O49" s="7"/>
      <c r="P49" s="7"/>
      <c r="Q49" s="7"/>
      <c r="R49" s="7"/>
      <c r="S49" s="7"/>
      <c r="T49" s="7"/>
      <c r="U49" s="7"/>
      <c r="V49" s="7"/>
      <c r="W49" s="7"/>
      <c r="X49" s="7"/>
      <c r="Y49" s="7"/>
      <c r="Z49" s="7"/>
      <c r="AA49" s="7"/>
      <c r="AB49" s="7"/>
      <c r="AC49" s="7"/>
      <c r="AD49" s="7"/>
      <c r="AE49" s="7"/>
      <c r="AF49" s="7"/>
      <c r="AG49" s="7"/>
    </row>
    <row r="50" spans="1:33" ht="14.25" customHeight="1" x14ac:dyDescent="0.3">
      <c r="A50" s="7"/>
      <c r="B50" s="7"/>
      <c r="C50" s="7"/>
      <c r="D50" s="763">
        <v>45323</v>
      </c>
      <c r="E50" s="764">
        <v>0.14099999999999999</v>
      </c>
      <c r="F50" s="765">
        <f t="shared" si="0"/>
        <v>37.268475400382322</v>
      </c>
      <c r="G50" s="765">
        <f t="shared" si="1"/>
        <v>1753.8106070768151</v>
      </c>
      <c r="H50" s="765">
        <f t="shared" si="2"/>
        <v>175.38106070768148</v>
      </c>
      <c r="I50" s="7"/>
      <c r="J50" s="7"/>
      <c r="K50" s="7"/>
      <c r="L50" s="7"/>
      <c r="M50" s="7"/>
      <c r="N50" s="7"/>
      <c r="O50" s="7"/>
      <c r="P50" s="7"/>
      <c r="Q50" s="7"/>
      <c r="R50" s="7"/>
      <c r="S50" s="7"/>
      <c r="T50" s="7"/>
      <c r="U50" s="7"/>
      <c r="V50" s="7"/>
      <c r="W50" s="7"/>
      <c r="X50" s="7"/>
      <c r="Y50" s="7"/>
      <c r="Z50" s="7"/>
      <c r="AA50" s="7"/>
      <c r="AB50" s="7"/>
      <c r="AC50" s="7"/>
      <c r="AD50" s="7"/>
      <c r="AE50" s="7"/>
      <c r="AF50" s="7"/>
      <c r="AG50" s="7"/>
    </row>
    <row r="51" spans="1:33" ht="14.25" customHeight="1" x14ac:dyDescent="0.3">
      <c r="A51" s="7"/>
      <c r="B51" s="7"/>
      <c r="C51" s="7"/>
      <c r="D51" s="763">
        <v>45352</v>
      </c>
      <c r="E51" s="764">
        <v>0.13200000000000001</v>
      </c>
      <c r="F51" s="765">
        <f t="shared" si="0"/>
        <v>42.187914153232789</v>
      </c>
      <c r="G51" s="765">
        <f t="shared" si="1"/>
        <v>1985.3136072109548</v>
      </c>
      <c r="H51" s="765">
        <f t="shared" si="2"/>
        <v>198.53136072109547</v>
      </c>
      <c r="I51" s="7"/>
      <c r="J51" s="7"/>
      <c r="K51" s="7"/>
      <c r="L51" s="7"/>
      <c r="M51" s="7"/>
      <c r="N51" s="7"/>
      <c r="O51" s="7"/>
      <c r="P51" s="7"/>
      <c r="Q51" s="7"/>
      <c r="R51" s="7"/>
      <c r="S51" s="7"/>
      <c r="T51" s="7"/>
      <c r="U51" s="7"/>
      <c r="V51" s="7"/>
      <c r="W51" s="7"/>
      <c r="X51" s="7"/>
      <c r="Y51" s="7"/>
      <c r="Z51" s="7"/>
      <c r="AA51" s="7"/>
      <c r="AB51" s="7"/>
      <c r="AC51" s="7"/>
      <c r="AD51" s="7"/>
      <c r="AE51" s="7"/>
      <c r="AF51" s="7"/>
      <c r="AG51" s="7"/>
    </row>
    <row r="52" spans="1:33" ht="14.25" customHeight="1" x14ac:dyDescent="0.3">
      <c r="A52" s="7"/>
      <c r="B52" s="7"/>
      <c r="C52" s="7"/>
      <c r="D52" s="763">
        <v>45383</v>
      </c>
      <c r="E52" s="764">
        <v>9.8000000000000004E-2</v>
      </c>
      <c r="F52" s="765">
        <f t="shared" si="0"/>
        <v>46.322329740249607</v>
      </c>
      <c r="G52" s="765">
        <f t="shared" si="1"/>
        <v>2179.8743407176285</v>
      </c>
      <c r="H52" s="765">
        <f t="shared" si="2"/>
        <v>217.98743407176283</v>
      </c>
      <c r="I52" s="7"/>
      <c r="J52" s="7"/>
      <c r="K52" s="7"/>
      <c r="L52" s="7"/>
      <c r="M52" s="7"/>
      <c r="N52" s="7"/>
      <c r="O52" s="7"/>
      <c r="P52" s="7"/>
      <c r="Q52" s="7"/>
      <c r="R52" s="7"/>
      <c r="S52" s="7"/>
      <c r="T52" s="7"/>
      <c r="U52" s="7"/>
      <c r="V52" s="7"/>
      <c r="W52" s="7"/>
      <c r="X52" s="7"/>
      <c r="Y52" s="7"/>
      <c r="Z52" s="7"/>
      <c r="AA52" s="7"/>
      <c r="AB52" s="7"/>
      <c r="AC52" s="7"/>
      <c r="AD52" s="7"/>
      <c r="AE52" s="7"/>
      <c r="AF52" s="7"/>
      <c r="AG52" s="7"/>
    </row>
    <row r="53" spans="1:33" ht="14.25" customHeight="1" x14ac:dyDescent="0.3">
      <c r="A53" s="7"/>
      <c r="B53" s="7"/>
      <c r="C53" s="7"/>
      <c r="D53" s="763">
        <v>45413</v>
      </c>
      <c r="E53" s="764">
        <v>4.3999999999999997E-2</v>
      </c>
      <c r="F53" s="765">
        <f t="shared" si="0"/>
        <v>48.360512248820591</v>
      </c>
      <c r="G53" s="765">
        <f t="shared" si="1"/>
        <v>2275.7888117092043</v>
      </c>
      <c r="H53" s="765">
        <f t="shared" si="2"/>
        <v>227.5788811709204</v>
      </c>
      <c r="I53" s="7"/>
      <c r="J53" s="7"/>
      <c r="K53" s="7"/>
      <c r="L53" s="7"/>
      <c r="M53" s="7"/>
      <c r="N53" s="7"/>
      <c r="O53" s="7"/>
      <c r="P53" s="7"/>
      <c r="Q53" s="7"/>
      <c r="R53" s="7"/>
      <c r="S53" s="7"/>
      <c r="T53" s="7"/>
      <c r="U53" s="7"/>
      <c r="V53" s="7"/>
      <c r="W53" s="7"/>
      <c r="X53" s="7"/>
      <c r="Y53" s="7"/>
      <c r="Z53" s="7"/>
      <c r="AA53" s="7"/>
      <c r="AB53" s="7"/>
      <c r="AC53" s="7"/>
      <c r="AD53" s="7"/>
      <c r="AE53" s="7"/>
      <c r="AF53" s="7"/>
      <c r="AG53" s="7"/>
    </row>
    <row r="54" spans="1:33" ht="14.25" customHeight="1" x14ac:dyDescent="0.3">
      <c r="A54" s="7"/>
      <c r="B54" s="7"/>
      <c r="C54" s="7"/>
      <c r="D54" s="763">
        <v>45444</v>
      </c>
      <c r="E54" s="764">
        <v>4.8000000000000001E-2</v>
      </c>
      <c r="F54" s="765">
        <f t="shared" si="0"/>
        <v>50.681816836763979</v>
      </c>
      <c r="G54" s="765">
        <f t="shared" si="1"/>
        <v>2385.0266746712464</v>
      </c>
      <c r="H54" s="765">
        <f t="shared" si="2"/>
        <v>238.50266746712458</v>
      </c>
      <c r="I54" s="7"/>
      <c r="J54" s="7"/>
      <c r="K54" s="7"/>
      <c r="L54" s="7"/>
      <c r="M54" s="7"/>
      <c r="N54" s="7"/>
      <c r="O54" s="7"/>
      <c r="P54" s="7"/>
      <c r="Q54" s="7"/>
      <c r="R54" s="7"/>
      <c r="S54" s="7"/>
      <c r="T54" s="7"/>
      <c r="U54" s="7"/>
      <c r="V54" s="7"/>
      <c r="W54" s="7"/>
      <c r="X54" s="7"/>
      <c r="Y54" s="7"/>
      <c r="Z54" s="7"/>
      <c r="AA54" s="7"/>
      <c r="AB54" s="7"/>
      <c r="AC54" s="7"/>
      <c r="AD54" s="7"/>
      <c r="AE54" s="7"/>
      <c r="AF54" s="7"/>
      <c r="AG54" s="7"/>
    </row>
    <row r="55" spans="1:33" ht="14.25" customHeight="1" x14ac:dyDescent="0.3">
      <c r="A55" s="7"/>
      <c r="B55" s="7"/>
      <c r="C55" s="7"/>
      <c r="D55" s="763">
        <v>45474</v>
      </c>
      <c r="E55" s="764">
        <v>5.0999999999999997E-2</v>
      </c>
      <c r="F55" s="765">
        <f t="shared" si="0"/>
        <v>53.266589495438936</v>
      </c>
      <c r="G55" s="765">
        <f t="shared" si="1"/>
        <v>2506.6630350794799</v>
      </c>
      <c r="H55" s="765">
        <f t="shared" si="2"/>
        <v>250.66630350794793</v>
      </c>
      <c r="I55" s="7"/>
      <c r="J55" s="7"/>
      <c r="K55" s="7"/>
      <c r="L55" s="7"/>
      <c r="M55" s="7"/>
      <c r="N55" s="7"/>
      <c r="O55" s="7"/>
      <c r="P55" s="7"/>
      <c r="Q55" s="7"/>
      <c r="R55" s="7"/>
      <c r="S55" s="7"/>
      <c r="T55" s="7"/>
      <c r="U55" s="7"/>
      <c r="V55" s="7"/>
      <c r="W55" s="7"/>
      <c r="X55" s="7"/>
      <c r="Y55" s="7"/>
      <c r="Z55" s="7"/>
      <c r="AA55" s="7"/>
      <c r="AB55" s="7"/>
      <c r="AC55" s="7"/>
      <c r="AD55" s="7"/>
      <c r="AE55" s="7"/>
      <c r="AF55" s="7"/>
      <c r="AG55" s="7"/>
    </row>
    <row r="56" spans="1:33" ht="14.25" customHeight="1" x14ac:dyDescent="0.3">
      <c r="A56" s="7"/>
      <c r="B56" s="7"/>
      <c r="C56" s="7"/>
      <c r="D56" s="763">
        <v>45505</v>
      </c>
      <c r="E56" s="764">
        <v>4.2000000000000003E-2</v>
      </c>
      <c r="F56" s="766">
        <f t="shared" si="0"/>
        <v>55.503786254247373</v>
      </c>
      <c r="G56" s="766">
        <f t="shared" si="1"/>
        <v>2611.942882552818</v>
      </c>
      <c r="H56" s="766">
        <f t="shared" si="2"/>
        <v>261.19428825528178</v>
      </c>
      <c r="I56" s="7"/>
      <c r="J56" s="7"/>
      <c r="K56" s="7"/>
      <c r="L56" s="7"/>
      <c r="M56" s="7"/>
      <c r="N56" s="7"/>
      <c r="O56" s="7"/>
      <c r="P56" s="7"/>
      <c r="Q56" s="7"/>
      <c r="R56" s="7"/>
      <c r="S56" s="7"/>
      <c r="T56" s="7"/>
      <c r="U56" s="7"/>
      <c r="V56" s="7"/>
      <c r="W56" s="7"/>
      <c r="X56" s="7"/>
      <c r="Y56" s="7"/>
      <c r="Z56" s="7"/>
      <c r="AA56" s="7"/>
      <c r="AB56" s="7"/>
      <c r="AC56" s="7"/>
      <c r="AD56" s="7"/>
      <c r="AE56" s="7"/>
      <c r="AF56" s="7"/>
      <c r="AG56" s="7"/>
    </row>
    <row r="57" spans="1:33" ht="14.25" customHeight="1" x14ac:dyDescent="0.3">
      <c r="A57" s="7"/>
      <c r="B57" s="7"/>
      <c r="C57" s="7"/>
      <c r="D57" s="763">
        <v>45536</v>
      </c>
      <c r="E57" s="764">
        <v>0.04</v>
      </c>
      <c r="F57" s="765">
        <f t="shared" si="0"/>
        <v>57.723937704417267</v>
      </c>
      <c r="G57" s="765">
        <f t="shared" si="1"/>
        <v>2716.4205978549307</v>
      </c>
      <c r="H57" s="765">
        <f t="shared" si="2"/>
        <v>271.64205978549307</v>
      </c>
      <c r="I57" s="7"/>
      <c r="J57" s="7"/>
      <c r="K57" s="7"/>
      <c r="L57" s="7"/>
      <c r="M57" s="7"/>
      <c r="N57" s="7"/>
      <c r="O57" s="7"/>
      <c r="P57" s="7"/>
      <c r="Q57" s="7"/>
      <c r="R57" s="7"/>
      <c r="S57" s="7"/>
      <c r="T57" s="7"/>
      <c r="U57" s="7"/>
      <c r="V57" s="7"/>
      <c r="W57" s="7"/>
      <c r="X57" s="7"/>
      <c r="Y57" s="7"/>
      <c r="Z57" s="7"/>
      <c r="AA57" s="7"/>
      <c r="AB57" s="7"/>
      <c r="AC57" s="7"/>
      <c r="AD57" s="7"/>
      <c r="AE57" s="7"/>
      <c r="AF57" s="7"/>
      <c r="AG57" s="7"/>
    </row>
    <row r="58" spans="1:33" ht="14.25" customHeight="1" x14ac:dyDescent="0.3">
      <c r="A58" s="7"/>
      <c r="B58" s="7"/>
      <c r="C58" s="7"/>
      <c r="D58" s="763">
        <v>45566</v>
      </c>
      <c r="E58" s="764">
        <v>3.2000000000000001E-2</v>
      </c>
      <c r="F58" s="765">
        <f t="shared" si="0"/>
        <v>59.571103710958624</v>
      </c>
      <c r="G58" s="765">
        <f t="shared" si="1"/>
        <v>2803.3460569862887</v>
      </c>
      <c r="H58" s="765">
        <f t="shared" si="2"/>
        <v>280.33460569862888</v>
      </c>
      <c r="I58" s="7"/>
      <c r="J58" s="7"/>
      <c r="K58" s="7"/>
      <c r="L58" s="7"/>
      <c r="M58" s="7"/>
      <c r="N58" s="7"/>
      <c r="O58" s="7"/>
      <c r="P58" s="7"/>
      <c r="Q58" s="7"/>
      <c r="R58" s="7"/>
      <c r="S58" s="7"/>
      <c r="T58" s="7"/>
      <c r="U58" s="7"/>
      <c r="V58" s="7"/>
      <c r="W58" s="7"/>
      <c r="X58" s="7"/>
      <c r="Y58" s="7"/>
      <c r="Z58" s="7"/>
      <c r="AA58" s="7"/>
      <c r="AB58" s="7"/>
      <c r="AC58" s="7"/>
      <c r="AD58" s="7"/>
      <c r="AE58" s="7"/>
      <c r="AF58" s="7"/>
      <c r="AG58" s="7"/>
    </row>
    <row r="59" spans="1:33" ht="14.25" customHeight="1" x14ac:dyDescent="0.3">
      <c r="A59" s="7"/>
      <c r="B59" s="7"/>
      <c r="C59" s="7"/>
      <c r="D59" s="763">
        <v>45597</v>
      </c>
      <c r="E59" s="764">
        <v>3.2000000000000001E-2</v>
      </c>
      <c r="F59" s="765">
        <f t="shared" si="0"/>
        <v>61.477379029709304</v>
      </c>
      <c r="G59" s="765">
        <f t="shared" si="1"/>
        <v>2893.0531308098498</v>
      </c>
      <c r="H59" s="765">
        <f t="shared" si="2"/>
        <v>289.305313080985</v>
      </c>
      <c r="I59" s="7"/>
      <c r="J59" s="7"/>
      <c r="K59" s="7"/>
      <c r="L59" s="7"/>
      <c r="M59" s="7"/>
      <c r="N59" s="7"/>
      <c r="O59" s="7"/>
      <c r="P59" s="7"/>
      <c r="Q59" s="7"/>
      <c r="R59" s="7"/>
      <c r="S59" s="7"/>
      <c r="T59" s="7"/>
      <c r="U59" s="7"/>
      <c r="V59" s="7"/>
      <c r="W59" s="7"/>
      <c r="X59" s="7"/>
      <c r="Y59" s="7"/>
      <c r="Z59" s="7"/>
      <c r="AA59" s="7"/>
      <c r="AB59" s="7"/>
      <c r="AC59" s="7"/>
      <c r="AD59" s="7"/>
      <c r="AE59" s="7"/>
      <c r="AF59" s="7"/>
      <c r="AG59" s="7"/>
    </row>
    <row r="60" spans="1:33" ht="14.25" customHeight="1" x14ac:dyDescent="0.3">
      <c r="A60" s="7"/>
      <c r="B60" s="7"/>
      <c r="C60" s="7"/>
      <c r="D60" s="763">
        <v>45627</v>
      </c>
      <c r="E60" s="764">
        <v>3.3000000000000002E-2</v>
      </c>
      <c r="F60" s="765">
        <f t="shared" si="0"/>
        <v>63.506132537689709</v>
      </c>
      <c r="G60" s="765">
        <f t="shared" si="1"/>
        <v>2988.5238841265746</v>
      </c>
      <c r="H60" s="765">
        <f t="shared" si="2"/>
        <v>298.85238841265749</v>
      </c>
      <c r="I60" s="7"/>
      <c r="J60" s="7"/>
      <c r="K60" s="7"/>
      <c r="L60" s="7"/>
      <c r="M60" s="7"/>
      <c r="N60" s="7"/>
      <c r="O60" s="7"/>
      <c r="P60" s="7"/>
      <c r="Q60" s="7"/>
      <c r="R60" s="7"/>
      <c r="S60" s="7"/>
      <c r="T60" s="7"/>
      <c r="U60" s="7"/>
      <c r="V60" s="7"/>
      <c r="W60" s="7"/>
      <c r="X60" s="7"/>
      <c r="Y60" s="7"/>
      <c r="Z60" s="7"/>
      <c r="AA60" s="7"/>
      <c r="AB60" s="7"/>
      <c r="AC60" s="7"/>
      <c r="AD60" s="7"/>
      <c r="AE60" s="7"/>
      <c r="AF60" s="7"/>
      <c r="AG60" s="7"/>
    </row>
    <row r="61" spans="1:33" ht="14.25" customHeight="1" x14ac:dyDescent="0.3">
      <c r="A61" s="7"/>
      <c r="B61" s="7"/>
      <c r="C61" s="7"/>
      <c r="D61" s="763">
        <v>45658</v>
      </c>
      <c r="E61" s="764">
        <v>3.1E-2</v>
      </c>
      <c r="F61" s="765">
        <f t="shared" si="0"/>
        <v>65.474822646358078</v>
      </c>
      <c r="G61" s="765">
        <f t="shared" si="1"/>
        <v>3081.168124534498</v>
      </c>
      <c r="H61" s="765">
        <f t="shared" si="2"/>
        <v>308.11681245344982</v>
      </c>
      <c r="I61" s="7"/>
      <c r="J61" s="7"/>
      <c r="K61" s="7"/>
      <c r="L61" s="7"/>
      <c r="M61" s="7"/>
      <c r="N61" s="7"/>
      <c r="O61" s="7"/>
      <c r="P61" s="7"/>
      <c r="Q61" s="7"/>
      <c r="R61" s="7"/>
      <c r="S61" s="7"/>
      <c r="T61" s="7"/>
      <c r="U61" s="7"/>
      <c r="V61" s="7"/>
      <c r="W61" s="7"/>
      <c r="X61" s="7"/>
      <c r="Y61" s="7"/>
      <c r="Z61" s="7"/>
      <c r="AA61" s="7"/>
      <c r="AB61" s="7"/>
      <c r="AC61" s="7"/>
      <c r="AD61" s="7"/>
      <c r="AE61" s="7"/>
      <c r="AF61" s="7"/>
      <c r="AG61" s="7"/>
    </row>
    <row r="62" spans="1:33" ht="14.25" customHeight="1" x14ac:dyDescent="0.3">
      <c r="A62" s="7"/>
      <c r="B62" s="7"/>
      <c r="C62" s="7"/>
      <c r="D62" s="763">
        <v>45689</v>
      </c>
      <c r="E62" s="764">
        <v>2.1000000000000001E-2</v>
      </c>
      <c r="F62" s="765">
        <f t="shared" si="0"/>
        <v>66.849793921931592</v>
      </c>
      <c r="G62" s="765">
        <f t="shared" si="1"/>
        <v>3145.872655149722</v>
      </c>
      <c r="H62" s="765">
        <f t="shared" si="2"/>
        <v>314.58726551497222</v>
      </c>
      <c r="I62" s="7"/>
      <c r="J62" s="7"/>
      <c r="K62" s="7"/>
      <c r="L62" s="7"/>
      <c r="M62" s="7"/>
      <c r="N62" s="7"/>
      <c r="O62" s="7"/>
      <c r="P62" s="7"/>
      <c r="Q62" s="7"/>
      <c r="R62" s="7"/>
      <c r="S62" s="7"/>
      <c r="T62" s="7"/>
      <c r="U62" s="7"/>
      <c r="V62" s="7"/>
      <c r="W62" s="7"/>
      <c r="X62" s="7"/>
      <c r="Y62" s="7"/>
      <c r="Z62" s="7"/>
      <c r="AA62" s="7"/>
      <c r="AB62" s="7"/>
      <c r="AC62" s="7"/>
      <c r="AD62" s="7"/>
      <c r="AE62" s="7"/>
      <c r="AF62" s="7"/>
      <c r="AG62" s="7"/>
    </row>
    <row r="63" spans="1:33" ht="14.25" customHeight="1" x14ac:dyDescent="0.3">
      <c r="A63" s="7"/>
      <c r="B63" s="7"/>
      <c r="C63" s="7"/>
      <c r="D63" s="763">
        <v>45717</v>
      </c>
      <c r="E63" s="764">
        <v>3.2000000000000001E-2</v>
      </c>
      <c r="F63" s="765">
        <f t="shared" si="0"/>
        <v>68.988987327433406</v>
      </c>
      <c r="G63" s="765">
        <f t="shared" si="1"/>
        <v>3246.5405801145134</v>
      </c>
      <c r="H63" s="765">
        <f t="shared" si="2"/>
        <v>324.65405801145135</v>
      </c>
      <c r="I63" s="7"/>
      <c r="J63" s="7"/>
      <c r="K63" s="7"/>
      <c r="L63" s="7"/>
      <c r="M63" s="7"/>
      <c r="N63" s="7"/>
      <c r="O63" s="7"/>
      <c r="P63" s="7"/>
      <c r="Q63" s="7"/>
      <c r="R63" s="7"/>
      <c r="S63" s="7"/>
      <c r="T63" s="7"/>
      <c r="U63" s="7"/>
      <c r="V63" s="7"/>
      <c r="W63" s="7"/>
      <c r="X63" s="7"/>
      <c r="Y63" s="7"/>
      <c r="Z63" s="7"/>
      <c r="AA63" s="7"/>
      <c r="AB63" s="7"/>
      <c r="AC63" s="7"/>
      <c r="AD63" s="7"/>
      <c r="AE63" s="7"/>
      <c r="AF63" s="7"/>
      <c r="AG63" s="7"/>
    </row>
    <row r="64" spans="1:33" ht="14.25" customHeight="1" x14ac:dyDescent="0.3">
      <c r="A64" s="7"/>
      <c r="B64" s="7"/>
      <c r="C64" s="7"/>
      <c r="D64" s="763">
        <v>45748</v>
      </c>
      <c r="E64" s="764">
        <v>2.3E-2</v>
      </c>
      <c r="F64" s="765">
        <f t="shared" si="0"/>
        <v>70.575734035964373</v>
      </c>
      <c r="G64" s="765">
        <f t="shared" si="1"/>
        <v>3321.2110134571471</v>
      </c>
      <c r="H64" s="765">
        <f t="shared" si="2"/>
        <v>332.12110134571469</v>
      </c>
      <c r="I64" s="7"/>
      <c r="J64" s="7"/>
      <c r="K64" s="7"/>
      <c r="L64" s="7"/>
      <c r="M64" s="7"/>
      <c r="N64" s="7"/>
      <c r="O64" s="7"/>
      <c r="P64" s="7"/>
      <c r="Q64" s="7"/>
      <c r="R64" s="7"/>
      <c r="S64" s="7"/>
      <c r="T64" s="7"/>
      <c r="U64" s="7"/>
      <c r="V64" s="7"/>
      <c r="W64" s="7"/>
      <c r="X64" s="7"/>
      <c r="Y64" s="7"/>
      <c r="Z64" s="7"/>
      <c r="AA64" s="7"/>
      <c r="AB64" s="7"/>
      <c r="AC64" s="7"/>
      <c r="AD64" s="7"/>
      <c r="AE64" s="7"/>
      <c r="AF64" s="7"/>
      <c r="AG64" s="7"/>
    </row>
    <row r="65" spans="1:33" ht="14.25" customHeight="1" x14ac:dyDescent="0.3">
      <c r="A65" s="7"/>
      <c r="B65" s="7"/>
      <c r="C65" s="7"/>
      <c r="D65" s="763">
        <v>45778</v>
      </c>
      <c r="E65" s="764">
        <v>1.6E-2</v>
      </c>
      <c r="F65" s="765">
        <f t="shared" si="0"/>
        <v>71.704945780539802</v>
      </c>
      <c r="G65" s="765">
        <f t="shared" si="1"/>
        <v>3374.3503896724615</v>
      </c>
      <c r="H65" s="765">
        <f t="shared" si="2"/>
        <v>337.43503896724616</v>
      </c>
      <c r="I65" s="7"/>
      <c r="J65" s="7"/>
      <c r="K65" s="7"/>
      <c r="L65" s="7"/>
      <c r="M65" s="7"/>
      <c r="N65" s="7"/>
      <c r="O65" s="7"/>
      <c r="P65" s="7"/>
      <c r="Q65" s="7"/>
      <c r="R65" s="7"/>
      <c r="S65" s="7"/>
      <c r="T65" s="7"/>
      <c r="U65" s="7"/>
      <c r="V65" s="7"/>
      <c r="W65" s="7"/>
      <c r="X65" s="7"/>
      <c r="Y65" s="7"/>
      <c r="Z65" s="7"/>
      <c r="AA65" s="7"/>
      <c r="AB65" s="7"/>
      <c r="AC65" s="7"/>
      <c r="AD65" s="7"/>
      <c r="AE65" s="7"/>
      <c r="AF65" s="7"/>
      <c r="AG65" s="7"/>
    </row>
    <row r="66" spans="1:33" ht="14.25" customHeight="1" x14ac:dyDescent="0.3">
      <c r="A66" s="7"/>
      <c r="B66" s="7"/>
      <c r="C66" s="7"/>
      <c r="D66" s="763">
        <v>45809</v>
      </c>
      <c r="E66" s="764">
        <v>2.1000000000000001E-2</v>
      </c>
      <c r="F66" s="765">
        <f t="shared" si="0"/>
        <v>73.21074964193113</v>
      </c>
      <c r="G66" s="765">
        <f t="shared" si="1"/>
        <v>3445.2117478555829</v>
      </c>
      <c r="H66" s="765">
        <f t="shared" si="2"/>
        <v>344.52117478555829</v>
      </c>
      <c r="I66" s="7"/>
      <c r="J66" s="7"/>
      <c r="K66" s="7"/>
      <c r="L66" s="7"/>
      <c r="M66" s="7"/>
      <c r="N66" s="7"/>
      <c r="O66" s="7"/>
      <c r="P66" s="7"/>
      <c r="Q66" s="7"/>
      <c r="R66" s="7"/>
      <c r="S66" s="7"/>
      <c r="T66" s="7"/>
      <c r="U66" s="7"/>
      <c r="V66" s="7"/>
      <c r="W66" s="7"/>
      <c r="X66" s="7"/>
      <c r="Y66" s="7"/>
      <c r="Z66" s="7"/>
      <c r="AA66" s="7"/>
      <c r="AB66" s="7"/>
      <c r="AC66" s="7"/>
      <c r="AD66" s="7"/>
      <c r="AE66" s="7"/>
      <c r="AF66" s="7"/>
      <c r="AG66" s="7"/>
    </row>
    <row r="67" spans="1:33" ht="14.25" customHeight="1" x14ac:dyDescent="0.3">
      <c r="A67" s="7"/>
      <c r="B67" s="7"/>
      <c r="C67" s="7"/>
      <c r="D67" s="763">
        <v>45839</v>
      </c>
      <c r="E67" s="764">
        <v>2.5000000000000001E-2</v>
      </c>
      <c r="F67" s="765">
        <f t="shared" si="0"/>
        <v>75.041018382979402</v>
      </c>
      <c r="G67" s="765">
        <f t="shared" si="1"/>
        <v>3531.3420415519722</v>
      </c>
      <c r="H67" s="765">
        <f t="shared" si="2"/>
        <v>353.13420415519721</v>
      </c>
      <c r="I67" s="7"/>
      <c r="J67" s="7"/>
      <c r="K67" s="7"/>
      <c r="L67" s="7"/>
      <c r="M67" s="7"/>
      <c r="N67" s="7"/>
      <c r="O67" s="7"/>
      <c r="P67" s="7"/>
      <c r="Q67" s="7"/>
      <c r="R67" s="7"/>
      <c r="S67" s="7"/>
      <c r="T67" s="7"/>
      <c r="U67" s="7"/>
      <c r="V67" s="7"/>
      <c r="W67" s="7"/>
      <c r="X67" s="7"/>
      <c r="Y67" s="7"/>
      <c r="Z67" s="7"/>
      <c r="AA67" s="7"/>
      <c r="AB67" s="7"/>
      <c r="AC67" s="7"/>
      <c r="AD67" s="7"/>
      <c r="AE67" s="7"/>
      <c r="AF67" s="7"/>
      <c r="AG67" s="7"/>
    </row>
    <row r="68" spans="1:33" ht="14.25" customHeight="1" x14ac:dyDescent="0.3">
      <c r="A68" s="7"/>
      <c r="B68" s="7"/>
      <c r="C68" s="7"/>
      <c r="D68" s="763">
        <v>45870</v>
      </c>
      <c r="E68" s="764">
        <v>1.6E-2</v>
      </c>
      <c r="F68" s="765">
        <f t="shared" si="0"/>
        <v>76.241674677107071</v>
      </c>
      <c r="G68" s="765">
        <f t="shared" si="1"/>
        <v>3587.8435142168037</v>
      </c>
      <c r="H68" s="765">
        <f t="shared" si="2"/>
        <v>358.78435142168036</v>
      </c>
      <c r="I68" s="7"/>
      <c r="J68" s="7"/>
      <c r="K68" s="7"/>
      <c r="L68" s="7"/>
      <c r="M68" s="7"/>
      <c r="N68" s="7"/>
      <c r="O68" s="7"/>
      <c r="P68" s="7"/>
      <c r="Q68" s="7"/>
      <c r="R68" s="7"/>
      <c r="S68" s="7"/>
      <c r="T68" s="7"/>
      <c r="U68" s="7"/>
      <c r="V68" s="7"/>
      <c r="W68" s="7"/>
      <c r="X68" s="7"/>
      <c r="Y68" s="7"/>
      <c r="Z68" s="7"/>
      <c r="AA68" s="7"/>
      <c r="AB68" s="7"/>
      <c r="AC68" s="7"/>
      <c r="AD68" s="7"/>
      <c r="AE68" s="7"/>
      <c r="AF68" s="7"/>
      <c r="AG68" s="7"/>
    </row>
    <row r="69" spans="1:33" ht="14.25" customHeight="1" x14ac:dyDescent="0.3">
      <c r="A69" s="7"/>
      <c r="B69" s="7"/>
      <c r="C69" s="7"/>
      <c r="D69" s="767">
        <v>45901</v>
      </c>
      <c r="E69" s="768">
        <v>2.1999999999999999E-2</v>
      </c>
      <c r="F69" s="769">
        <f t="shared" si="0"/>
        <v>77.918991520003431</v>
      </c>
      <c r="G69" s="769">
        <f t="shared" si="1"/>
        <v>3666.7760715295735</v>
      </c>
      <c r="H69" s="769">
        <f t="shared" si="2"/>
        <v>366.67760715295731</v>
      </c>
      <c r="I69" s="7"/>
      <c r="J69" s="7"/>
      <c r="K69" s="7"/>
      <c r="L69" s="7"/>
      <c r="M69" s="7"/>
      <c r="N69" s="7"/>
      <c r="O69" s="7"/>
      <c r="P69" s="7"/>
      <c r="Q69" s="7"/>
      <c r="R69" s="7"/>
      <c r="S69" s="7"/>
      <c r="T69" s="7"/>
      <c r="U69" s="7"/>
      <c r="V69" s="7"/>
      <c r="W69" s="7"/>
      <c r="X69" s="7"/>
      <c r="Y69" s="7"/>
      <c r="Z69" s="7"/>
      <c r="AA69" s="7"/>
      <c r="AB69" s="7"/>
      <c r="AC69" s="7"/>
      <c r="AD69" s="7"/>
      <c r="AE69" s="7"/>
      <c r="AF69" s="7"/>
      <c r="AG69" s="7"/>
    </row>
    <row r="70" spans="1:33" ht="14.2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spans="1:33" ht="14.2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spans="1:33" ht="14.2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spans="1:33" ht="14.2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spans="1:33" ht="14.2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spans="1:33" ht="14.2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spans="1:33" ht="14.2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spans="1:33" ht="14.2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1:33" ht="14.2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1:33" ht="14.2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spans="1:33" ht="14.2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spans="1:33" ht="14.2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spans="1:33" ht="14.2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spans="1:33" ht="14.2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spans="1:33" ht="14.2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spans="1:33" ht="14.2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spans="1:33" ht="14.2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spans="1:33" ht="14.2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1:33" ht="14.2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spans="1:33" ht="14.2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1:33" ht="14.2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spans="1:33" ht="14.2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1:33" ht="14.2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spans="1:33" ht="14.2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spans="1:33" ht="14.2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spans="1:33" ht="14.2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ht="14.2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3" ht="14.2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spans="1:33" ht="14.2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spans="1:33" ht="14.2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spans="1:33" ht="14.2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spans="1:33" ht="14.2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spans="1:33" ht="14.2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spans="1:33" ht="14.2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spans="1:33" ht="14.2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spans="1:33" ht="14.2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spans="1:33" ht="14.2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spans="1:33" ht="14.2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spans="1:33" ht="14.2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spans="1:33" ht="14.2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spans="1:33" ht="14.2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spans="1:33" ht="14.2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spans="1:33" ht="14.2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spans="1:33" ht="14.2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spans="1:33" ht="14.2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spans="1:33" ht="14.2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spans="1:33" ht="14.2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spans="1:33" ht="14.2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spans="1:33" ht="14.2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1:33" ht="14.2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1:33" ht="14.2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spans="1:33" ht="14.2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spans="1:33" ht="14.2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spans="1:33" ht="14.2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spans="1:33" ht="14.2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spans="1:33" ht="14.2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spans="1:33" ht="14.2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spans="1:33" ht="14.2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spans="1:33" ht="14.2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spans="1:33" ht="14.2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spans="1:33" ht="14.2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spans="1:33" ht="14.2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spans="1:33" ht="14.2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spans="1:33" ht="14.2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spans="1:33" ht="14.2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spans="1:33" ht="14.2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spans="1:33" ht="14.2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spans="1:33" ht="14.2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spans="1:33" ht="14.2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spans="1:33" ht="14.2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spans="1:33" ht="14.2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spans="1:33" ht="14.2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spans="1:33" ht="14.2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spans="1:33" ht="14.2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spans="1:33" ht="14.2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spans="1:33" ht="14.2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spans="1:33" ht="14.2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spans="1:33" ht="14.2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spans="1:33" ht="14.2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spans="1:33" ht="14.2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spans="1:33" ht="14.2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spans="1:33" ht="14.2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spans="1:33" ht="14.2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spans="1:33" ht="14.2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spans="1:33" ht="14.2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spans="1:33" ht="14.2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spans="1:33" ht="14.2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spans="1:33" ht="14.2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spans="1:33" ht="14.2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spans="1:33" ht="14.2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spans="1:33" ht="14.2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spans="1:33" ht="14.2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spans="1:33" ht="14.2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spans="1:33" ht="14.2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spans="1:33" ht="14.2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spans="1:33" ht="14.2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spans="1:33" ht="14.2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spans="1:33" ht="14.2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spans="1:33" ht="14.2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spans="1:33" ht="14.2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spans="1:33" ht="14.2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spans="1:33" ht="14.2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spans="1:33" ht="14.2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spans="1:33" ht="14.2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spans="1:33" ht="14.2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spans="1:33" ht="14.2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spans="1:33" ht="14.2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spans="1:33" ht="14.2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spans="1:33" ht="14.2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spans="1:33" ht="14.2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spans="1:33" ht="14.2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spans="1:33" ht="14.2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spans="1:33" ht="14.2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spans="1:33" ht="14.2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spans="1:33" ht="14.2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spans="1:33" ht="14.2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spans="1:33" ht="14.2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spans="1:33" ht="14.2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spans="1:33" ht="14.2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spans="1:33" ht="14.2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spans="1:33" ht="14.2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spans="1:33" ht="14.2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spans="1:33" ht="14.2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spans="1:33" ht="14.2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spans="1:33" ht="14.2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spans="1:33" ht="14.2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spans="1:33" ht="14.2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spans="1:33" ht="14.2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spans="1:33" ht="14.2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spans="1:33" ht="14.2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spans="1:33" ht="14.2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spans="1:33" ht="14.2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spans="1:33" ht="14.2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spans="1:33" ht="14.2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spans="1:33" ht="14.2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spans="1:33" ht="14.2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spans="1:33" ht="14.2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spans="1:33" ht="14.2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spans="1:33" ht="14.2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spans="1:33" ht="14.2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spans="1:33" ht="14.2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spans="1:33" ht="14.2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spans="1:33" ht="14.2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spans="1:33" ht="14.2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spans="1:33" ht="14.2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spans="1:33" ht="14.2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spans="1:33" ht="14.2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spans="1:33" ht="14.2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spans="1:33" ht="14.2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spans="1:33" ht="14.2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spans="1:33" ht="14.2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spans="1:33" ht="14.2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spans="1:33" ht="14.2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spans="1:33" ht="14.2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spans="1:33" ht="14.2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spans="1:33" ht="14.2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spans="1:33" ht="14.2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spans="1:33" ht="14.2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spans="1:33" ht="14.2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spans="1:33" ht="14.2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spans="1:33" ht="14.2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spans="1:33" ht="14.2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spans="1:33" ht="14.2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spans="1:33" ht="14.2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spans="1:33" ht="14.2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spans="1:33" ht="14.2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spans="1:33" ht="14.2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spans="1:33" ht="14.2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spans="1:33" ht="14.2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spans="1:33" ht="14.2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spans="1:33" ht="14.2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spans="1:33" ht="14.2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spans="1:33" ht="14.2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spans="1:33" ht="14.2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spans="1:33" ht="14.2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spans="1:33" ht="14.2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spans="1:33" ht="14.2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spans="1:33" ht="14.2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spans="1:33" ht="14.2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spans="1:33" ht="14.2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spans="1:33" ht="14.2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spans="1:33" ht="14.2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spans="1:33" ht="14.2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spans="1:33" ht="14.2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spans="1:33" ht="14.2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spans="1:33" ht="14.2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spans="1:33" ht="14.2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spans="1:33" ht="14.2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spans="1:33" ht="14.2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spans="1:33" ht="14.2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spans="1:33" ht="14.2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spans="1:33" ht="14.2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spans="1:33" ht="14.2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spans="1:33" ht="14.2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spans="1:33" ht="14.2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spans="1:33" ht="14.2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spans="1:33" ht="14.2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spans="1:33" ht="14.2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spans="1:33" ht="14.2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spans="1:33" ht="14.2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spans="1:33" ht="15.75" customHeight="1" x14ac:dyDescent="0.3"/>
    <row r="271" spans="1:33" ht="15.75" customHeight="1" x14ac:dyDescent="0.3"/>
    <row r="272" spans="1:33"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39">
    <mergeCell ref="E30:E34"/>
    <mergeCell ref="C29:C30"/>
    <mergeCell ref="B22:C22"/>
    <mergeCell ref="E23:E24"/>
    <mergeCell ref="M7:M8"/>
    <mergeCell ref="Q23:Q24"/>
    <mergeCell ref="S23:S24"/>
    <mergeCell ref="B21:C21"/>
    <mergeCell ref="D13:E13"/>
    <mergeCell ref="G23:G24"/>
    <mergeCell ref="C33:C34"/>
    <mergeCell ref="D30:D34"/>
    <mergeCell ref="I7:I8"/>
    <mergeCell ref="S7:S8"/>
    <mergeCell ref="G3:G4"/>
    <mergeCell ref="I3:I4"/>
    <mergeCell ref="AD21:AE22"/>
    <mergeCell ref="B14:C14"/>
    <mergeCell ref="B1:C1"/>
    <mergeCell ref="G5:G6"/>
    <mergeCell ref="AC9:AC10"/>
    <mergeCell ref="AE9:AE10"/>
    <mergeCell ref="D1:E2"/>
    <mergeCell ref="H21:I22"/>
    <mergeCell ref="F21:G22"/>
    <mergeCell ref="L1:M2"/>
    <mergeCell ref="N1:O2"/>
    <mergeCell ref="H1:I2"/>
    <mergeCell ref="J1:K2"/>
    <mergeCell ref="B2:C2"/>
    <mergeCell ref="C31:C32"/>
    <mergeCell ref="Y7:Y8"/>
    <mergeCell ref="AA7:AA8"/>
    <mergeCell ref="AC23:AC24"/>
    <mergeCell ref="AE23:AE24"/>
    <mergeCell ref="P21:Q22"/>
    <mergeCell ref="D29:E29"/>
    <mergeCell ref="U9:U10"/>
    <mergeCell ref="Z21:AA22"/>
    <mergeCell ref="Y3:Y4"/>
    <mergeCell ref="AB21:AC22"/>
    <mergeCell ref="T21:U22"/>
    <mergeCell ref="W5:W6"/>
    <mergeCell ref="Y9:Y10"/>
    <mergeCell ref="Y5:Y6"/>
    <mergeCell ref="AA9:AA10"/>
    <mergeCell ref="AC3:AC4"/>
    <mergeCell ref="AE3:AE4"/>
    <mergeCell ref="F32:H32"/>
    <mergeCell ref="T1:U2"/>
    <mergeCell ref="F1:G2"/>
    <mergeCell ref="P1:Q2"/>
    <mergeCell ref="F13:G13"/>
    <mergeCell ref="A21:A22"/>
    <mergeCell ref="M23:M24"/>
    <mergeCell ref="N13:O13"/>
    <mergeCell ref="O23:O24"/>
    <mergeCell ref="D21:E22"/>
    <mergeCell ref="G9:G10"/>
    <mergeCell ref="I9:I10"/>
    <mergeCell ref="N21:O22"/>
    <mergeCell ref="K3:K4"/>
    <mergeCell ref="C3:C4"/>
    <mergeCell ref="E3:E4"/>
    <mergeCell ref="K5:K6"/>
    <mergeCell ref="C5:C6"/>
    <mergeCell ref="M5:M6"/>
    <mergeCell ref="E5:E6"/>
    <mergeCell ref="C23:C24"/>
    <mergeCell ref="I5:I6"/>
    <mergeCell ref="H13:I13"/>
    <mergeCell ref="K9:K10"/>
    <mergeCell ref="M9:M10"/>
    <mergeCell ref="O3:O4"/>
    <mergeCell ref="O9:O10"/>
    <mergeCell ref="O5:O6"/>
    <mergeCell ref="G7:G8"/>
    <mergeCell ref="V21:W22"/>
    <mergeCell ref="AG9:AG10"/>
    <mergeCell ref="AD13:AE13"/>
    <mergeCell ref="Z1:AA2"/>
    <mergeCell ref="U3:U4"/>
    <mergeCell ref="W3:W4"/>
    <mergeCell ref="S5:S6"/>
    <mergeCell ref="U5:U6"/>
    <mergeCell ref="AA3:AA4"/>
    <mergeCell ref="R1:S2"/>
    <mergeCell ref="AB1:AC2"/>
    <mergeCell ref="AD1:AE2"/>
    <mergeCell ref="AC7:AC8"/>
    <mergeCell ref="AF21:AG22"/>
    <mergeCell ref="U7:U8"/>
    <mergeCell ref="W7:W8"/>
    <mergeCell ref="AG3:AG4"/>
    <mergeCell ref="Z13:AA13"/>
    <mergeCell ref="AE5:AE6"/>
    <mergeCell ref="AB13:AC13"/>
    <mergeCell ref="AG5:AG6"/>
    <mergeCell ref="V1:W2"/>
    <mergeCell ref="S3:S4"/>
    <mergeCell ref="AF13:AG13"/>
    <mergeCell ref="K7:K8"/>
    <mergeCell ref="T13:U13"/>
    <mergeCell ref="AF1:AG2"/>
    <mergeCell ref="V13:W13"/>
    <mergeCell ref="AA5:AA6"/>
    <mergeCell ref="X13:Y13"/>
    <mergeCell ref="AC5:AC6"/>
    <mergeCell ref="AE7:AE8"/>
    <mergeCell ref="M3:M4"/>
    <mergeCell ref="AG7:AG8"/>
    <mergeCell ref="P13:Q13"/>
    <mergeCell ref="Q3:Q4"/>
    <mergeCell ref="Q5:Q6"/>
    <mergeCell ref="X1:Y2"/>
    <mergeCell ref="AG23:AG24"/>
    <mergeCell ref="R21:S22"/>
    <mergeCell ref="A1:A2"/>
    <mergeCell ref="W23:W24"/>
    <mergeCell ref="C7:C8"/>
    <mergeCell ref="E7:E8"/>
    <mergeCell ref="I23:I24"/>
    <mergeCell ref="O7:O8"/>
    <mergeCell ref="Q7:Q8"/>
    <mergeCell ref="U23:U24"/>
    <mergeCell ref="Y23:Y24"/>
    <mergeCell ref="AA23:AA24"/>
    <mergeCell ref="R13:S13"/>
    <mergeCell ref="J13:K13"/>
    <mergeCell ref="L13:M13"/>
    <mergeCell ref="C9:C10"/>
    <mergeCell ref="E9:E10"/>
    <mergeCell ref="J21:K22"/>
    <mergeCell ref="L21:M22"/>
    <mergeCell ref="Q9:Q10"/>
    <mergeCell ref="S9:S10"/>
    <mergeCell ref="X21:Y22"/>
    <mergeCell ref="W9:W10"/>
    <mergeCell ref="K23:K24"/>
  </mergeCell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F1000"/>
  <sheetViews>
    <sheetView showGridLines="0" workbookViewId="0">
      <pane xSplit="7" ySplit="10" topLeftCell="H11" activePane="bottomRight" state="frozen"/>
      <selection pane="topRight" activeCell="H1" sqref="H1"/>
      <selection pane="bottomLeft" activeCell="A11" sqref="A11"/>
      <selection pane="bottomRight" activeCell="H11" sqref="H11"/>
    </sheetView>
  </sheetViews>
  <sheetFormatPr baseColWidth="10" defaultColWidth="12.6640625" defaultRowHeight="15" customHeight="1" outlineLevelRow="1" x14ac:dyDescent="0.3"/>
  <cols>
    <col min="1" max="1" width="7.6640625" customWidth="1"/>
    <col min="2" max="2" width="23.21875" customWidth="1"/>
    <col min="3" max="3" width="15.109375" customWidth="1"/>
    <col min="4" max="4" width="21.33203125" customWidth="1"/>
    <col min="5" max="5" width="16.44140625" customWidth="1"/>
    <col min="6" max="6" width="35.21875" customWidth="1"/>
    <col min="7" max="7" width="16.33203125" customWidth="1"/>
    <col min="8" max="8" width="12.33203125" customWidth="1"/>
    <col min="9" max="9" width="15.109375" customWidth="1"/>
    <col min="10" max="10" width="11.44140625" customWidth="1"/>
    <col min="11" max="11" width="13.88671875" customWidth="1"/>
    <col min="12" max="12" width="11.44140625" customWidth="1"/>
    <col min="13" max="13" width="13.77734375" customWidth="1"/>
    <col min="14" max="14" width="11.44140625" customWidth="1"/>
    <col min="15" max="15" width="13.44140625" customWidth="1"/>
    <col min="16" max="16" width="11.44140625" customWidth="1"/>
    <col min="17" max="17" width="13.33203125" customWidth="1"/>
    <col min="18" max="18" width="11.44140625" customWidth="1"/>
    <col min="19" max="19" width="13.88671875" customWidth="1"/>
    <col min="20" max="20" width="11.44140625" customWidth="1"/>
    <col min="21" max="21" width="13.44140625" customWidth="1"/>
    <col min="22" max="22" width="11.44140625" customWidth="1"/>
    <col min="23" max="23" width="13.44140625" customWidth="1"/>
    <col min="24" max="24" width="11.44140625" customWidth="1"/>
    <col min="25" max="25" width="14.109375" customWidth="1"/>
    <col min="26" max="26" width="11.44140625" customWidth="1"/>
    <col min="27" max="27" width="14.21875" customWidth="1"/>
    <col min="28" max="28" width="11.44140625" customWidth="1"/>
    <col min="29" max="29" width="13.44140625" customWidth="1"/>
    <col min="30" max="30" width="11.44140625" customWidth="1"/>
    <col min="31" max="31" width="14" customWidth="1"/>
    <col min="32" max="32" width="11.44140625" customWidth="1"/>
    <col min="33" max="33" width="13.33203125" customWidth="1"/>
    <col min="34" max="34" width="11.44140625" customWidth="1"/>
    <col min="35" max="35" width="14.21875" customWidth="1"/>
    <col min="36" max="36" width="11.44140625" customWidth="1"/>
    <col min="37" max="37" width="13.6640625" customWidth="1"/>
    <col min="38" max="38" width="17.33203125" customWidth="1"/>
    <col min="39" max="58" width="11.44140625" customWidth="1"/>
  </cols>
  <sheetData>
    <row r="1" spans="1:58" ht="14.25" customHeight="1" x14ac:dyDescent="0.3">
      <c r="A1" s="1162" t="s">
        <v>2021</v>
      </c>
      <c r="B1" s="1087"/>
      <c r="C1" s="1087"/>
      <c r="D1" s="1087"/>
      <c r="E1" s="1087"/>
      <c r="F1" s="1087"/>
      <c r="G1" s="1088"/>
      <c r="H1" s="770"/>
      <c r="I1" s="770"/>
      <c r="J1" s="770"/>
      <c r="K1" s="770"/>
      <c r="L1" s="770"/>
      <c r="M1" s="770"/>
      <c r="N1" s="770"/>
      <c r="O1" s="770"/>
      <c r="P1" s="770"/>
      <c r="Q1" s="770"/>
      <c r="R1" s="770"/>
      <c r="S1" s="770"/>
      <c r="T1" s="770"/>
      <c r="U1" s="770"/>
      <c r="V1" s="770"/>
      <c r="W1" s="770"/>
      <c r="X1" s="770"/>
      <c r="Y1" s="770"/>
      <c r="Z1" s="770"/>
      <c r="AA1" s="770"/>
      <c r="AB1" s="770"/>
      <c r="AC1" s="770"/>
      <c r="AD1" s="770"/>
      <c r="AE1" s="770"/>
      <c r="AF1" s="770"/>
      <c r="AG1" s="770"/>
      <c r="AH1" s="770"/>
      <c r="AI1" s="770"/>
      <c r="AJ1" s="770"/>
      <c r="AK1" s="771"/>
      <c r="AL1" s="7"/>
      <c r="AM1" s="7"/>
      <c r="AN1" s="7"/>
      <c r="AO1" s="7"/>
      <c r="AP1" s="7"/>
      <c r="AQ1" s="7"/>
      <c r="AR1" s="7"/>
      <c r="AS1" s="7"/>
      <c r="AT1" s="7"/>
      <c r="AU1" s="7"/>
      <c r="AV1" s="7"/>
      <c r="AW1" s="7"/>
      <c r="AX1" s="7"/>
      <c r="AY1" s="7"/>
      <c r="AZ1" s="7"/>
      <c r="BA1" s="7"/>
      <c r="BB1" s="7"/>
      <c r="BC1" s="7"/>
      <c r="BD1" s="7"/>
      <c r="BE1" s="7"/>
      <c r="BF1" s="7"/>
    </row>
    <row r="2" spans="1:58" ht="14.25" hidden="1" customHeight="1" outlineLevel="1" x14ac:dyDescent="0.3">
      <c r="A2" s="1154" t="s">
        <v>1902</v>
      </c>
      <c r="B2" s="1154" t="s">
        <v>1903</v>
      </c>
      <c r="C2" s="1153" t="s">
        <v>1944</v>
      </c>
      <c r="D2" s="1143"/>
      <c r="E2" s="1143"/>
      <c r="F2" s="1143"/>
      <c r="G2" s="1122"/>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row>
    <row r="3" spans="1:58" ht="14.25" hidden="1" customHeight="1" outlineLevel="1" x14ac:dyDescent="0.3">
      <c r="A3" s="1106"/>
      <c r="B3" s="1106"/>
      <c r="C3" s="1149">
        <v>45901</v>
      </c>
      <c r="D3" s="1087"/>
      <c r="E3" s="1087"/>
      <c r="F3" s="1087"/>
      <c r="G3" s="1088"/>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row>
    <row r="4" spans="1:58" ht="42.75" hidden="1" customHeight="1" outlineLevel="1" x14ac:dyDescent="0.3">
      <c r="A4" s="1107"/>
      <c r="B4" s="1107"/>
      <c r="C4" s="608" t="s">
        <v>1912</v>
      </c>
      <c r="D4" s="607" t="s">
        <v>1913</v>
      </c>
      <c r="E4" s="607" t="s">
        <v>1914</v>
      </c>
      <c r="F4" s="608" t="s">
        <v>1892</v>
      </c>
      <c r="G4" s="608" t="s">
        <v>2022</v>
      </c>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row>
    <row r="5" spans="1:58" ht="14.25" hidden="1" customHeight="1" outlineLevel="1" x14ac:dyDescent="0.3">
      <c r="A5" s="618">
        <v>5080</v>
      </c>
      <c r="B5" s="304" t="s">
        <v>2023</v>
      </c>
      <c r="C5" s="627">
        <v>5306</v>
      </c>
      <c r="D5" s="624">
        <v>223827392.14999801</v>
      </c>
      <c r="E5" s="624">
        <f>D5/C5</f>
        <v>42183.828147379951</v>
      </c>
      <c r="F5" s="764">
        <v>2E-3</v>
      </c>
      <c r="G5" s="624">
        <f>D5*F5</f>
        <v>447654.78429999604</v>
      </c>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row>
    <row r="6" spans="1:58" ht="14.25" hidden="1" customHeight="1" outlineLevel="1" x14ac:dyDescent="0.3">
      <c r="A6" s="618">
        <v>5080</v>
      </c>
      <c r="B6" s="304" t="s">
        <v>2024</v>
      </c>
      <c r="C6" s="627">
        <f>C5</f>
        <v>5306</v>
      </c>
      <c r="D6" s="624">
        <v>223827392.14999801</v>
      </c>
      <c r="E6" s="624">
        <f>D6/C6</f>
        <v>42183.828147379951</v>
      </c>
      <c r="F6" s="764">
        <v>4.0000000000000001E-3</v>
      </c>
      <c r="G6" s="624">
        <f>D6*F6</f>
        <v>895309.56859999208</v>
      </c>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row>
    <row r="7" spans="1:58" ht="14.25" hidden="1" customHeight="1" outlineLevel="1" x14ac:dyDescent="0.3">
      <c r="A7" s="618" t="s">
        <v>320</v>
      </c>
      <c r="B7" s="1112"/>
      <c r="C7" s="1087"/>
      <c r="D7" s="1087"/>
      <c r="E7" s="1087"/>
      <c r="F7" s="1088"/>
      <c r="G7" s="772">
        <f>G5+G6</f>
        <v>1342964.3528999882</v>
      </c>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row>
    <row r="8" spans="1:58" ht="6.75" hidden="1" customHeight="1" outlineLevel="1"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row>
    <row r="9" spans="1:58" ht="14.25" customHeight="1" collapsed="1" x14ac:dyDescent="0.3">
      <c r="A9" s="1164" t="s">
        <v>1902</v>
      </c>
      <c r="B9" s="1164" t="s">
        <v>1903</v>
      </c>
      <c r="C9" s="1113">
        <v>45901</v>
      </c>
      <c r="D9" s="1087"/>
      <c r="E9" s="1087"/>
      <c r="F9" s="1087"/>
      <c r="G9" s="1088"/>
      <c r="H9" s="1156">
        <v>45957</v>
      </c>
      <c r="I9" s="1103"/>
      <c r="J9" s="1156">
        <f>+H9+30</f>
        <v>45987</v>
      </c>
      <c r="K9" s="1103"/>
      <c r="L9" s="1156">
        <f>+J9+30</f>
        <v>46017</v>
      </c>
      <c r="M9" s="1103"/>
      <c r="N9" s="1156">
        <f>+L9+30</f>
        <v>46047</v>
      </c>
      <c r="O9" s="1103"/>
      <c r="P9" s="1147">
        <f>+N9+30</f>
        <v>46077</v>
      </c>
      <c r="Q9" s="1104"/>
      <c r="R9" s="1147">
        <f>+P9+30</f>
        <v>46107</v>
      </c>
      <c r="S9" s="1104"/>
      <c r="T9" s="1147">
        <v>46142</v>
      </c>
      <c r="U9" s="1104"/>
      <c r="V9" s="1147">
        <v>46172</v>
      </c>
      <c r="W9" s="1104"/>
      <c r="X9" s="1147">
        <v>46202</v>
      </c>
      <c r="Y9" s="1104"/>
      <c r="Z9" s="1147">
        <v>46232</v>
      </c>
      <c r="AA9" s="1104"/>
      <c r="AB9" s="1147">
        <v>46262</v>
      </c>
      <c r="AC9" s="1104"/>
      <c r="AD9" s="1147">
        <v>46292</v>
      </c>
      <c r="AE9" s="1104"/>
      <c r="AF9" s="1147">
        <v>46322</v>
      </c>
      <c r="AG9" s="1104"/>
      <c r="AH9" s="1147">
        <v>46352</v>
      </c>
      <c r="AI9" s="1104"/>
      <c r="AJ9" s="1147">
        <v>46382</v>
      </c>
      <c r="AK9" s="1104"/>
      <c r="AL9" s="7"/>
      <c r="AM9" s="7"/>
      <c r="AN9" s="7"/>
      <c r="AO9" s="7"/>
      <c r="AP9" s="7"/>
      <c r="AQ9" s="7"/>
      <c r="AR9" s="7"/>
      <c r="AS9" s="7"/>
      <c r="AT9" s="7"/>
      <c r="AU9" s="7"/>
      <c r="AV9" s="7"/>
      <c r="AW9" s="7"/>
      <c r="AX9" s="7"/>
      <c r="AY9" s="7"/>
      <c r="AZ9" s="7"/>
      <c r="BA9" s="7"/>
      <c r="BB9" s="7"/>
      <c r="BC9" s="7"/>
      <c r="BD9" s="7"/>
      <c r="BE9" s="7"/>
      <c r="BF9" s="7"/>
    </row>
    <row r="10" spans="1:58" ht="36" customHeight="1" x14ac:dyDescent="0.3">
      <c r="A10" s="1135"/>
      <c r="B10" s="1135"/>
      <c r="C10" s="773" t="s">
        <v>2025</v>
      </c>
      <c r="D10" s="774" t="s">
        <v>1914</v>
      </c>
      <c r="E10" s="774" t="s">
        <v>2026</v>
      </c>
      <c r="F10" s="775" t="s">
        <v>2027</v>
      </c>
      <c r="G10" s="773" t="s">
        <v>1915</v>
      </c>
      <c r="H10" s="1148"/>
      <c r="I10" s="1103"/>
      <c r="J10" s="1148"/>
      <c r="K10" s="1103"/>
      <c r="L10" s="1148"/>
      <c r="M10" s="1103"/>
      <c r="N10" s="1148"/>
      <c r="O10" s="1103"/>
      <c r="P10" s="1148"/>
      <c r="Q10" s="1104"/>
      <c r="R10" s="1148"/>
      <c r="S10" s="1104"/>
      <c r="T10" s="1148"/>
      <c r="U10" s="1104"/>
      <c r="V10" s="1148"/>
      <c r="W10" s="1104"/>
      <c r="X10" s="1148"/>
      <c r="Y10" s="1104"/>
      <c r="Z10" s="1148"/>
      <c r="AA10" s="1104"/>
      <c r="AB10" s="1148"/>
      <c r="AC10" s="1104"/>
      <c r="AD10" s="1148"/>
      <c r="AE10" s="1104"/>
      <c r="AF10" s="1148"/>
      <c r="AG10" s="1104"/>
      <c r="AH10" s="1148"/>
      <c r="AI10" s="1104"/>
      <c r="AJ10" s="1148"/>
      <c r="AK10" s="1104"/>
      <c r="AL10" s="7"/>
      <c r="AM10" s="7"/>
      <c r="AN10" s="7"/>
      <c r="AO10" s="7"/>
      <c r="AP10" s="7"/>
      <c r="AQ10" s="7"/>
      <c r="AR10" s="7"/>
      <c r="AS10" s="7"/>
      <c r="AT10" s="7"/>
      <c r="AU10" s="7"/>
      <c r="AV10" s="7"/>
      <c r="AW10" s="7"/>
      <c r="AX10" s="7"/>
      <c r="AY10" s="7"/>
      <c r="AZ10" s="7"/>
      <c r="BA10" s="7"/>
      <c r="BB10" s="7"/>
      <c r="BC10" s="7"/>
      <c r="BD10" s="7"/>
      <c r="BE10" s="7"/>
      <c r="BF10" s="7"/>
    </row>
    <row r="11" spans="1:58" ht="14.25" customHeight="1" x14ac:dyDescent="0.3">
      <c r="A11" s="776">
        <v>5080</v>
      </c>
      <c r="B11" s="777" t="s">
        <v>2028</v>
      </c>
      <c r="C11" s="778">
        <f>C6</f>
        <v>5306</v>
      </c>
      <c r="D11" s="779">
        <f>E6</f>
        <v>42183.828147379951</v>
      </c>
      <c r="E11" s="780">
        <f>C11*D11</f>
        <v>223827392.14999801</v>
      </c>
      <c r="F11" s="781">
        <f>D11*0.6%</f>
        <v>253.1029688842797</v>
      </c>
      <c r="G11" s="782">
        <f>C11*F11</f>
        <v>1342964.3528999882</v>
      </c>
      <c r="H11" s="715"/>
      <c r="I11" s="783">
        <f>+G11*(1+H35)</f>
        <v>1373852.5330166877</v>
      </c>
      <c r="J11" s="715"/>
      <c r="K11" s="783">
        <f>+I11*(1+J35)</f>
        <v>1401329.5836770216</v>
      </c>
      <c r="L11" s="715"/>
      <c r="M11" s="783">
        <f>+K11*(1+L35)</f>
        <v>1429356.175350562</v>
      </c>
      <c r="N11" s="715"/>
      <c r="O11" s="783">
        <f>+M11*(1+N35)</f>
        <v>1470807.5044357281</v>
      </c>
      <c r="P11" s="715"/>
      <c r="Q11" s="783">
        <f>+O11*(1+P35)</f>
        <v>1513460.922064364</v>
      </c>
      <c r="R11" s="715"/>
      <c r="S11" s="783">
        <f>+Q11*(1+R35)</f>
        <v>1564918.5934145523</v>
      </c>
      <c r="T11" s="715"/>
      <c r="U11" s="783">
        <f>+S11*(1+T35)</f>
        <v>1605606.4768433308</v>
      </c>
      <c r="V11" s="715"/>
      <c r="W11" s="783">
        <f>+U11*(1+V35)</f>
        <v>1639324.2128570406</v>
      </c>
      <c r="X11" s="715"/>
      <c r="Y11" s="783">
        <f>+W11*(1+X35)</f>
        <v>1686864.6150298945</v>
      </c>
      <c r="Z11" s="715"/>
      <c r="AA11" s="783">
        <f>+Y11*(1+Z35)</f>
        <v>1735783.6888657613</v>
      </c>
      <c r="AB11" s="715"/>
      <c r="AC11" s="783">
        <f>+AA11*(1+AB35)</f>
        <v>1786121.4158428682</v>
      </c>
      <c r="AD11" s="715"/>
      <c r="AE11" s="783">
        <f>+AC11*(1+AD35)</f>
        <v>1837918.9369023112</v>
      </c>
      <c r="AF11" s="715"/>
      <c r="AG11" s="783">
        <f>+AE11*(1+AF35)</f>
        <v>1891218.586072478</v>
      </c>
      <c r="AH11" s="715"/>
      <c r="AI11" s="783">
        <f>+AG11*(1+AH35)</f>
        <v>1946063.9250685796</v>
      </c>
      <c r="AJ11" s="715"/>
      <c r="AK11" s="783">
        <f>+AI11*(1+AJ35)</f>
        <v>2002499.7788955683</v>
      </c>
      <c r="AL11" s="173">
        <f>+AK11/O11</f>
        <v>1.3614968463625177</v>
      </c>
      <c r="AM11" s="7"/>
      <c r="AN11" s="7"/>
      <c r="AO11" s="7"/>
      <c r="AP11" s="7"/>
      <c r="AQ11" s="7"/>
      <c r="AR11" s="7"/>
      <c r="AS11" s="7"/>
      <c r="AT11" s="7"/>
      <c r="AU11" s="7"/>
      <c r="AV11" s="7"/>
      <c r="AW11" s="7"/>
      <c r="AX11" s="7"/>
      <c r="AY11" s="7"/>
      <c r="AZ11" s="7"/>
      <c r="BA11" s="7"/>
      <c r="BB11" s="7"/>
      <c r="BC11" s="7"/>
      <c r="BD11" s="7"/>
      <c r="BE11" s="7"/>
      <c r="BF11" s="7"/>
    </row>
    <row r="12" spans="1:58" ht="15" customHeight="1" x14ac:dyDescent="0.3">
      <c r="A12" s="269" t="s">
        <v>2029</v>
      </c>
      <c r="B12" s="784" t="s">
        <v>2030</v>
      </c>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row>
    <row r="13" spans="1:58" ht="14.25" customHeight="1" x14ac:dyDescent="0.3">
      <c r="A13" s="269" t="s">
        <v>2031</v>
      </c>
      <c r="B13" s="784" t="s">
        <v>2032</v>
      </c>
      <c r="C13" s="785" t="s">
        <v>2033</v>
      </c>
      <c r="D13" s="786"/>
      <c r="E13" s="786"/>
      <c r="F13" s="786"/>
      <c r="G13" s="787"/>
      <c r="H13" s="770"/>
      <c r="I13" s="770"/>
      <c r="J13" s="770"/>
      <c r="K13" s="770"/>
      <c r="L13" s="770"/>
      <c r="M13" s="770"/>
      <c r="N13" s="770"/>
      <c r="O13" s="770"/>
      <c r="P13" s="770"/>
      <c r="Q13" s="770"/>
      <c r="R13" s="770"/>
      <c r="S13" s="770"/>
      <c r="T13" s="770"/>
      <c r="U13" s="770"/>
      <c r="V13" s="770"/>
      <c r="W13" s="770"/>
      <c r="X13" s="770"/>
      <c r="Y13" s="770"/>
      <c r="Z13" s="770"/>
      <c r="AA13" s="770"/>
      <c r="AB13" s="770"/>
      <c r="AC13" s="770"/>
      <c r="AD13" s="770"/>
      <c r="AE13" s="770"/>
      <c r="AF13" s="770"/>
      <c r="AG13" s="770"/>
      <c r="AH13" s="770"/>
      <c r="AI13" s="770"/>
      <c r="AJ13" s="770"/>
      <c r="AK13" s="771"/>
      <c r="AL13" s="7"/>
      <c r="AM13" s="7"/>
      <c r="AN13" s="7"/>
      <c r="AO13" s="7"/>
      <c r="AP13" s="7"/>
      <c r="AQ13" s="7"/>
      <c r="AR13" s="7"/>
      <c r="AS13" s="7"/>
      <c r="AT13" s="7"/>
      <c r="AU13" s="7"/>
      <c r="AV13" s="7"/>
      <c r="AW13" s="7"/>
      <c r="AX13" s="7"/>
      <c r="AY13" s="7"/>
      <c r="AZ13" s="7"/>
      <c r="BA13" s="7"/>
      <c r="BB13" s="7"/>
      <c r="BC13" s="7"/>
      <c r="BD13" s="7"/>
      <c r="BE13" s="7"/>
      <c r="BF13" s="7"/>
    </row>
    <row r="14" spans="1:58" ht="14.25" customHeight="1" x14ac:dyDescent="0.3">
      <c r="A14" s="7"/>
      <c r="B14" s="7"/>
      <c r="C14" s="1155" t="s">
        <v>1902</v>
      </c>
      <c r="D14" s="1155" t="s">
        <v>1903</v>
      </c>
      <c r="E14" s="1157">
        <v>45901</v>
      </c>
      <c r="F14" s="1143"/>
      <c r="G14" s="1143"/>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row>
    <row r="15" spans="1:58" ht="14.25" customHeight="1" x14ac:dyDescent="0.3">
      <c r="A15" s="7"/>
      <c r="B15" s="7"/>
      <c r="C15" s="1135"/>
      <c r="D15" s="1135"/>
      <c r="E15" s="788" t="s">
        <v>1777</v>
      </c>
      <c r="F15" s="789" t="s">
        <v>1773</v>
      </c>
      <c r="G15" s="789" t="s">
        <v>2034</v>
      </c>
      <c r="H15" s="7"/>
      <c r="I15" s="790" t="s">
        <v>2035</v>
      </c>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row>
    <row r="16" spans="1:58" ht="14.25" customHeight="1" x14ac:dyDescent="0.3">
      <c r="A16" s="791"/>
      <c r="B16" s="792"/>
      <c r="C16" s="793">
        <v>5080</v>
      </c>
      <c r="D16" s="792" t="s">
        <v>1934</v>
      </c>
      <c r="E16" s="794">
        <f>D69</f>
        <v>1041934.0686792965</v>
      </c>
      <c r="F16" s="793">
        <v>1</v>
      </c>
      <c r="G16" s="795">
        <f>E16*F16</f>
        <v>1041934.0686792965</v>
      </c>
      <c r="H16" s="304"/>
      <c r="I16" s="796">
        <f>+C71</f>
        <v>1081894.3240812849</v>
      </c>
      <c r="J16" s="304"/>
      <c r="K16" s="797">
        <f>+I16</f>
        <v>1081894.3240812849</v>
      </c>
      <c r="L16" s="304"/>
      <c r="M16" s="797">
        <f>+K16</f>
        <v>1081894.3240812849</v>
      </c>
      <c r="N16" s="304"/>
      <c r="O16" s="798">
        <f>+M16*N36</f>
        <v>1151491.7204339744</v>
      </c>
      <c r="P16" s="304"/>
      <c r="Q16" s="797">
        <f>+O16</f>
        <v>1151491.7204339744</v>
      </c>
      <c r="R16" s="304"/>
      <c r="S16" s="797">
        <f>+Q16</f>
        <v>1151491.7204339744</v>
      </c>
      <c r="T16" s="304"/>
      <c r="U16" s="798">
        <f>+S16*T36</f>
        <v>1260701.0306777349</v>
      </c>
      <c r="V16" s="304"/>
      <c r="W16" s="797">
        <f>+U16</f>
        <v>1260701.0306777349</v>
      </c>
      <c r="X16" s="304"/>
      <c r="Y16" s="797">
        <f>+W16</f>
        <v>1260701.0306777349</v>
      </c>
      <c r="Z16" s="304"/>
      <c r="AA16" s="798">
        <f>+Y16*Z36</f>
        <v>1358940.949216926</v>
      </c>
      <c r="AB16" s="304"/>
      <c r="AC16" s="797">
        <f>+AA16</f>
        <v>1358940.949216926</v>
      </c>
      <c r="AD16" s="304"/>
      <c r="AE16" s="797">
        <f>+AC16</f>
        <v>1358940.949216926</v>
      </c>
      <c r="AF16" s="304"/>
      <c r="AG16" s="798">
        <f>+AE16*AF36</f>
        <v>1480630.5630244832</v>
      </c>
      <c r="AH16" s="304"/>
      <c r="AI16" s="797">
        <f>+AG16</f>
        <v>1480630.5630244832</v>
      </c>
      <c r="AJ16" s="304"/>
      <c r="AK16" s="797">
        <f>+AI16</f>
        <v>1480630.5630244832</v>
      </c>
      <c r="AL16" s="173">
        <f>+AK16/O16</f>
        <v>1.2858369163665917</v>
      </c>
      <c r="AM16" s="7"/>
      <c r="AN16" s="7"/>
      <c r="AO16" s="7"/>
      <c r="AP16" s="7"/>
      <c r="AQ16" s="7"/>
      <c r="AR16" s="7"/>
      <c r="AS16" s="7"/>
      <c r="AT16" s="7"/>
      <c r="AU16" s="7"/>
      <c r="AV16" s="7"/>
      <c r="AW16" s="7"/>
      <c r="AX16" s="7"/>
      <c r="AY16" s="7"/>
      <c r="AZ16" s="7"/>
      <c r="BA16" s="7"/>
      <c r="BB16" s="7"/>
      <c r="BC16" s="7"/>
      <c r="BD16" s="7"/>
      <c r="BE16" s="7"/>
      <c r="BF16" s="7"/>
    </row>
    <row r="17" spans="1:58" ht="14.25" customHeight="1" x14ac:dyDescent="0.3">
      <c r="A17" s="799"/>
      <c r="B17" s="800"/>
      <c r="C17" s="801">
        <v>5080</v>
      </c>
      <c r="D17" s="800" t="s">
        <v>1935</v>
      </c>
      <c r="E17" s="802">
        <v>0.13</v>
      </c>
      <c r="F17" s="803">
        <v>42322</v>
      </c>
      <c r="G17" s="804">
        <f>(E17*F17)*D20</f>
        <v>7785131.9000000004</v>
      </c>
      <c r="H17" s="805">
        <f>+E17</f>
        <v>0.13</v>
      </c>
      <c r="I17" s="806">
        <f>+H17*$F$17*H20</f>
        <v>8252790.0000000009</v>
      </c>
      <c r="J17" s="805">
        <f>+H17</f>
        <v>0.13</v>
      </c>
      <c r="K17" s="797">
        <f>+J17*$F$17*J20</f>
        <v>8401340.2200000007</v>
      </c>
      <c r="L17" s="805">
        <f>+J17</f>
        <v>0.13</v>
      </c>
      <c r="M17" s="797">
        <f>+L17*$F$17*L20</f>
        <v>8552564.3439600021</v>
      </c>
      <c r="N17" s="805">
        <f>+L17</f>
        <v>0.13</v>
      </c>
      <c r="O17" s="797">
        <f>+N17*$F$17*N20</f>
        <v>7785131.9000000004</v>
      </c>
      <c r="P17" s="805">
        <f>+N17</f>
        <v>0.13</v>
      </c>
      <c r="Q17" s="797">
        <f>+P17*$F$17*P20</f>
        <v>7925264.2742000008</v>
      </c>
      <c r="R17" s="805">
        <f>+P17</f>
        <v>0.13</v>
      </c>
      <c r="S17" s="797">
        <f>+R17*$F$17*R20</f>
        <v>8067919.0311356019</v>
      </c>
      <c r="T17" s="805">
        <f>+R17</f>
        <v>0.13</v>
      </c>
      <c r="U17" s="797">
        <f>+T17*$F$17*T20</f>
        <v>8213141.5736960424</v>
      </c>
      <c r="V17" s="805">
        <f>+T17</f>
        <v>0.13</v>
      </c>
      <c r="W17" s="797">
        <f>+V17*$F$17*V20</f>
        <v>8360978.122022571</v>
      </c>
      <c r="X17" s="805">
        <f>+V17</f>
        <v>0.13</v>
      </c>
      <c r="Y17" s="797">
        <f>+X17*$F$17*X20</f>
        <v>8511475.7282189783</v>
      </c>
      <c r="Z17" s="805">
        <f>+X17</f>
        <v>0.13</v>
      </c>
      <c r="AA17" s="797">
        <f>+Z17*$F$17*Z20</f>
        <v>8664682.2913269196</v>
      </c>
      <c r="AB17" s="805">
        <f>+Z17</f>
        <v>0.13</v>
      </c>
      <c r="AC17" s="797">
        <f>+AB17*$F$17*AB20</f>
        <v>8820646.5725708045</v>
      </c>
      <c r="AD17" s="805">
        <f>+AB17</f>
        <v>0.13</v>
      </c>
      <c r="AE17" s="797">
        <f>+AD17*$F$17*AD20</f>
        <v>8979418.2108770795</v>
      </c>
      <c r="AF17" s="805">
        <f>+AD17</f>
        <v>0.13</v>
      </c>
      <c r="AG17" s="797">
        <f>+AF17*$F$17*AF20</f>
        <v>9141047.7386728674</v>
      </c>
      <c r="AH17" s="805">
        <f>+AF17</f>
        <v>0.13</v>
      </c>
      <c r="AI17" s="797">
        <f>+AH17*$F$17*AH20</f>
        <v>9305586.5979689788</v>
      </c>
      <c r="AJ17" s="805">
        <f>+AH17</f>
        <v>0.13</v>
      </c>
      <c r="AK17" s="797">
        <f>+AJ17*$F$17*AJ20</f>
        <v>9473087.1567324195</v>
      </c>
      <c r="AL17" s="173">
        <f>+AK17/O17</f>
        <v>1.2168178109779257</v>
      </c>
      <c r="AM17" s="7"/>
      <c r="AN17" s="7"/>
      <c r="AO17" s="7"/>
      <c r="AP17" s="7"/>
      <c r="AQ17" s="7"/>
      <c r="AR17" s="7"/>
      <c r="AS17" s="7"/>
      <c r="AT17" s="7"/>
      <c r="AU17" s="7"/>
      <c r="AV17" s="7"/>
      <c r="AW17" s="7"/>
      <c r="AX17" s="7"/>
      <c r="AY17" s="7"/>
      <c r="AZ17" s="7"/>
      <c r="BA17" s="7"/>
      <c r="BB17" s="7"/>
      <c r="BC17" s="7"/>
      <c r="BD17" s="7"/>
      <c r="BE17" s="7"/>
      <c r="BF17" s="7"/>
    </row>
    <row r="18" spans="1:58" ht="14.25" customHeight="1" x14ac:dyDescent="0.3">
      <c r="A18" s="7"/>
      <c r="B18" s="7"/>
      <c r="C18" s="1168" t="s">
        <v>320</v>
      </c>
      <c r="D18" s="1096"/>
      <c r="E18" s="1096"/>
      <c r="F18" s="1169"/>
      <c r="G18" s="807">
        <f>G16+G17</f>
        <v>8827065.9686792977</v>
      </c>
      <c r="H18" s="7"/>
      <c r="I18" s="808">
        <f>SUM(I16:I17)</f>
        <v>9334684.3240812868</v>
      </c>
      <c r="J18" s="7"/>
      <c r="K18" s="808">
        <f>SUM(K16:K17)</f>
        <v>9483234.5440812856</v>
      </c>
      <c r="L18" s="7"/>
      <c r="M18" s="808">
        <f>SUM(M16:M17)</f>
        <v>9634458.668041287</v>
      </c>
      <c r="N18" s="7"/>
      <c r="O18" s="808">
        <f>SUM(O16:O17)</f>
        <v>8936623.620433975</v>
      </c>
      <c r="P18" s="7"/>
      <c r="Q18" s="808">
        <f>SUM(Q16:Q17)</f>
        <v>9076755.9946339745</v>
      </c>
      <c r="R18" s="7"/>
      <c r="S18" s="808">
        <f>SUM(S16:S17)</f>
        <v>9219410.7515695766</v>
      </c>
      <c r="T18" s="7"/>
      <c r="U18" s="808">
        <f>SUM(U16:U17)</f>
        <v>9473842.6043737773</v>
      </c>
      <c r="V18" s="7"/>
      <c r="W18" s="808">
        <f>SUM(W16:W17)</f>
        <v>9621679.152700305</v>
      </c>
      <c r="X18" s="7"/>
      <c r="Y18" s="808">
        <f>SUM(Y16:Y17)</f>
        <v>9772176.7588967122</v>
      </c>
      <c r="Z18" s="7"/>
      <c r="AA18" s="808">
        <f>SUM(AA16:AA17)</f>
        <v>10023623.240543846</v>
      </c>
      <c r="AB18" s="7"/>
      <c r="AC18" s="808">
        <f>SUM(AC16:AC17)</f>
        <v>10179587.521787731</v>
      </c>
      <c r="AD18" s="7"/>
      <c r="AE18" s="808">
        <f>SUM(AE16:AE17)</f>
        <v>10338359.160094006</v>
      </c>
      <c r="AF18" s="7"/>
      <c r="AG18" s="808">
        <f>SUM(AG16:AG17)</f>
        <v>10621678.301697351</v>
      </c>
      <c r="AH18" s="7"/>
      <c r="AI18" s="808">
        <f>SUM(AI16:AI17)</f>
        <v>10786217.160993462</v>
      </c>
      <c r="AJ18" s="7"/>
      <c r="AK18" s="808">
        <f>SUM(AK16:AK17)</f>
        <v>10953717.719756903</v>
      </c>
      <c r="AL18" s="173">
        <f>+AK18/O18</f>
        <v>1.225710982692698</v>
      </c>
      <c r="AM18" s="7"/>
      <c r="AN18" s="7"/>
      <c r="AO18" s="7"/>
      <c r="AP18" s="7"/>
      <c r="AQ18" s="7"/>
      <c r="AR18" s="7"/>
      <c r="AS18" s="7"/>
      <c r="AT18" s="7"/>
      <c r="AU18" s="7"/>
      <c r="AV18" s="7"/>
      <c r="AW18" s="7"/>
      <c r="AX18" s="7"/>
      <c r="AY18" s="7"/>
      <c r="AZ18" s="7"/>
      <c r="BA18" s="7"/>
      <c r="BB18" s="7"/>
      <c r="BC18" s="7"/>
      <c r="BD18" s="7"/>
      <c r="BE18" s="7"/>
      <c r="BF18" s="7"/>
    </row>
    <row r="19" spans="1:58" ht="9.7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row>
    <row r="20" spans="1:58" ht="14.25" customHeight="1" x14ac:dyDescent="0.3">
      <c r="A20" s="7"/>
      <c r="B20" s="7"/>
      <c r="C20" s="809" t="s">
        <v>2036</v>
      </c>
      <c r="D20" s="810">
        <v>1415</v>
      </c>
      <c r="E20" s="811"/>
      <c r="F20" s="811"/>
      <c r="G20" s="811"/>
      <c r="H20" s="616">
        <v>1500</v>
      </c>
      <c r="I20" s="616"/>
      <c r="J20" s="616">
        <f>+H20*1.018</f>
        <v>1527</v>
      </c>
      <c r="K20" s="616"/>
      <c r="L20" s="616">
        <f>+J20*1.018</f>
        <v>1554.4860000000001</v>
      </c>
      <c r="M20" s="616"/>
      <c r="N20" s="616">
        <f>+SidusDermo!J17</f>
        <v>1415</v>
      </c>
      <c r="O20" s="616"/>
      <c r="P20" s="616">
        <f>+N20*1.018</f>
        <v>1440.47</v>
      </c>
      <c r="Q20" s="616"/>
      <c r="R20" s="616">
        <f>+P20*1.018</f>
        <v>1466.3984600000001</v>
      </c>
      <c r="S20" s="616"/>
      <c r="T20" s="616">
        <f>+R20*1.018</f>
        <v>1492.7936322800001</v>
      </c>
      <c r="U20" s="616"/>
      <c r="V20" s="616">
        <f>+T20*1.018</f>
        <v>1519.6639176610402</v>
      </c>
      <c r="W20" s="7"/>
      <c r="X20" s="616">
        <f>+V20*1.018</f>
        <v>1547.0178681789389</v>
      </c>
      <c r="Y20" s="7"/>
      <c r="Z20" s="616">
        <f>+X20*1.018</f>
        <v>1574.8641898061599</v>
      </c>
      <c r="AA20" s="7"/>
      <c r="AB20" s="616">
        <f>+Z20*1.018</f>
        <v>1603.2117452226707</v>
      </c>
      <c r="AC20" s="7"/>
      <c r="AD20" s="616">
        <f>+AB20*1.018</f>
        <v>1632.069556636679</v>
      </c>
      <c r="AE20" s="7"/>
      <c r="AF20" s="616">
        <f>+AD20*1.018</f>
        <v>1661.4468086561392</v>
      </c>
      <c r="AG20" s="7"/>
      <c r="AH20" s="616">
        <f>+AF20*1.018</f>
        <v>1691.3528512119497</v>
      </c>
      <c r="AI20" s="7"/>
      <c r="AJ20" s="616">
        <f>+AH20*1.018</f>
        <v>1721.7972025337647</v>
      </c>
      <c r="AK20" s="7"/>
      <c r="AL20" s="7"/>
      <c r="AM20" s="7"/>
      <c r="AN20" s="7"/>
      <c r="AO20" s="7"/>
      <c r="AP20" s="7"/>
      <c r="AQ20" s="7"/>
      <c r="AR20" s="7"/>
      <c r="AS20" s="7"/>
      <c r="AT20" s="7"/>
      <c r="AU20" s="7"/>
      <c r="AV20" s="7"/>
      <c r="AW20" s="7"/>
      <c r="AX20" s="7"/>
      <c r="AY20" s="7"/>
      <c r="AZ20" s="7"/>
      <c r="BA20" s="7"/>
      <c r="BB20" s="7"/>
      <c r="BC20" s="7"/>
      <c r="BD20" s="7"/>
      <c r="BE20" s="7"/>
      <c r="BF20" s="7"/>
    </row>
    <row r="21" spans="1:58" ht="8.2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row>
    <row r="22" spans="1:58" ht="14.25" customHeight="1" x14ac:dyDescent="0.3">
      <c r="A22" s="1162" t="s">
        <v>2037</v>
      </c>
      <c r="B22" s="1087"/>
      <c r="C22" s="1087"/>
      <c r="D22" s="1087"/>
      <c r="E22" s="1087"/>
      <c r="F22" s="1087"/>
      <c r="G22" s="1088"/>
      <c r="H22" s="770"/>
      <c r="I22" s="770"/>
      <c r="J22" s="770"/>
      <c r="K22" s="770"/>
      <c r="L22" s="770"/>
      <c r="M22" s="770"/>
      <c r="N22" s="770"/>
      <c r="O22" s="770"/>
      <c r="P22" s="770"/>
      <c r="Q22" s="770"/>
      <c r="R22" s="770"/>
      <c r="S22" s="770"/>
      <c r="T22" s="770"/>
      <c r="U22" s="770"/>
      <c r="V22" s="770"/>
      <c r="W22" s="770"/>
      <c r="X22" s="770"/>
      <c r="Y22" s="770"/>
      <c r="Z22" s="770"/>
      <c r="AA22" s="770"/>
      <c r="AB22" s="770"/>
      <c r="AC22" s="770"/>
      <c r="AD22" s="770"/>
      <c r="AE22" s="770"/>
      <c r="AF22" s="770"/>
      <c r="AG22" s="770"/>
      <c r="AH22" s="770"/>
      <c r="AI22" s="770"/>
      <c r="AJ22" s="770"/>
      <c r="AK22" s="771"/>
      <c r="AL22" s="7"/>
      <c r="AM22" s="7"/>
      <c r="AN22" s="7"/>
      <c r="AO22" s="7"/>
      <c r="AP22" s="7"/>
      <c r="AQ22" s="7"/>
      <c r="AR22" s="7"/>
      <c r="AS22" s="7"/>
      <c r="AT22" s="7"/>
      <c r="AU22" s="7"/>
      <c r="AV22" s="7"/>
      <c r="AW22" s="7"/>
      <c r="AX22" s="7"/>
      <c r="AY22" s="7"/>
      <c r="AZ22" s="7"/>
      <c r="BA22" s="7"/>
      <c r="BB22" s="7"/>
      <c r="BC22" s="7"/>
      <c r="BD22" s="7"/>
      <c r="BE22" s="7"/>
      <c r="BF22" s="7"/>
    </row>
    <row r="23" spans="1:58" ht="14.25" customHeight="1" x14ac:dyDescent="0.3">
      <c r="A23" s="1155" t="s">
        <v>1902</v>
      </c>
      <c r="B23" s="1155" t="s">
        <v>1903</v>
      </c>
      <c r="C23" s="1170">
        <v>45901</v>
      </c>
      <c r="D23" s="1143"/>
      <c r="E23" s="1143"/>
      <c r="F23" s="1143"/>
      <c r="G23" s="1122"/>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row>
    <row r="24" spans="1:58" ht="14.25" customHeight="1" x14ac:dyDescent="0.3">
      <c r="A24" s="1135"/>
      <c r="B24" s="1135"/>
      <c r="C24" s="773" t="s">
        <v>1912</v>
      </c>
      <c r="D24" s="774" t="s">
        <v>1913</v>
      </c>
      <c r="E24" s="774" t="s">
        <v>1914</v>
      </c>
      <c r="F24" s="775" t="s">
        <v>1892</v>
      </c>
      <c r="G24" s="773" t="s">
        <v>2022</v>
      </c>
      <c r="H24" s="7"/>
      <c r="I24" s="812"/>
      <c r="J24" s="7"/>
      <c r="K24" s="7"/>
      <c r="L24" s="7"/>
      <c r="M24" s="7"/>
      <c r="N24" s="7"/>
      <c r="O24" s="813" t="s">
        <v>2038</v>
      </c>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row>
    <row r="25" spans="1:58" ht="14.25" customHeight="1" x14ac:dyDescent="0.3">
      <c r="A25" s="776">
        <v>5081</v>
      </c>
      <c r="B25" s="777" t="s">
        <v>2039</v>
      </c>
      <c r="C25" s="778">
        <v>76780</v>
      </c>
      <c r="D25" s="779">
        <v>3101794671.0590501</v>
      </c>
      <c r="E25" s="780">
        <f>D25/C25</f>
        <v>40398.47188146718</v>
      </c>
      <c r="F25" s="814">
        <v>4.0000000000000001E-3</v>
      </c>
      <c r="G25" s="782">
        <f>D25*F25</f>
        <v>12407178.684236201</v>
      </c>
      <c r="H25" s="304"/>
      <c r="I25" s="783">
        <f>+G25*(1+H35)</f>
        <v>12692543.793973632</v>
      </c>
      <c r="J25" s="304"/>
      <c r="K25" s="783">
        <f>+I25*(1+J35)</f>
        <v>12946394.669853104</v>
      </c>
      <c r="L25" s="304"/>
      <c r="M25" s="783">
        <f>+K25*(1+L35)</f>
        <v>13205322.563250167</v>
      </c>
      <c r="N25" s="304"/>
      <c r="O25" s="783">
        <f>+M25*(1+N35)*1.05</f>
        <v>14267690.763463642</v>
      </c>
      <c r="P25" s="304"/>
      <c r="Q25" s="783">
        <f>+O25*(1+P35)*1.05</f>
        <v>15415526.485384293</v>
      </c>
      <c r="R25" s="304"/>
      <c r="S25" s="783">
        <f>+Q25*(1+R35)*1.05</f>
        <v>16736637.105181729</v>
      </c>
      <c r="T25" s="304"/>
      <c r="U25" s="783">
        <f>+S25*(1+T35)*1.05</f>
        <v>18030379.153412279</v>
      </c>
      <c r="V25" s="304"/>
      <c r="W25" s="783">
        <f>+U25*(1+V35)*1.05</f>
        <v>19329467.971415631</v>
      </c>
      <c r="X25" s="304"/>
      <c r="Y25" s="783">
        <f>+W25*(1+X35)*1.05</f>
        <v>20884523.669716019</v>
      </c>
      <c r="Z25" s="304"/>
      <c r="AA25" s="783">
        <f>+Y25*(1+Z35)*1.05</f>
        <v>22564683.598944671</v>
      </c>
      <c r="AB25" s="304"/>
      <c r="AC25" s="783">
        <f>+AA25*(1+AB35)*1.05</f>
        <v>24380012.39447977</v>
      </c>
      <c r="AD25" s="304"/>
      <c r="AE25" s="783">
        <f>+AC25*(1+AD35)*1.05</f>
        <v>26341384.391615666</v>
      </c>
      <c r="AF25" s="304"/>
      <c r="AG25" s="783">
        <f>+AE25*(1+AF35)*1.05</f>
        <v>28460548.765921146</v>
      </c>
      <c r="AH25" s="304"/>
      <c r="AI25" s="783">
        <f>+AG25*(1+AH35)*1.05</f>
        <v>30750199.914139498</v>
      </c>
      <c r="AJ25" s="304"/>
      <c r="AK25" s="783">
        <f>+AI25*(1+AJ35)*1.05</f>
        <v>33224053.49723202</v>
      </c>
      <c r="AL25" s="173">
        <f>+AK25/O25</f>
        <v>2.328621642285055</v>
      </c>
      <c r="AM25" s="7"/>
      <c r="AN25" s="7"/>
      <c r="AO25" s="7"/>
      <c r="AP25" s="7"/>
      <c r="AQ25" s="7"/>
      <c r="AR25" s="7"/>
      <c r="AS25" s="7"/>
      <c r="AT25" s="7"/>
      <c r="AU25" s="7"/>
      <c r="AV25" s="7"/>
      <c r="AW25" s="7"/>
      <c r="AX25" s="7"/>
      <c r="AY25" s="7"/>
      <c r="AZ25" s="7"/>
      <c r="BA25" s="7"/>
      <c r="BB25" s="7"/>
      <c r="BC25" s="7"/>
      <c r="BD25" s="7"/>
      <c r="BE25" s="7"/>
      <c r="BF25" s="7"/>
    </row>
    <row r="26" spans="1:58" ht="8.2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row>
    <row r="27" spans="1:58" ht="30.75" customHeight="1" x14ac:dyDescent="0.3">
      <c r="A27" s="7"/>
      <c r="B27" s="7"/>
      <c r="C27" s="7"/>
      <c r="D27" s="7"/>
      <c r="E27" s="1159" t="s">
        <v>2040</v>
      </c>
      <c r="F27" s="1087"/>
      <c r="G27" s="1088"/>
      <c r="H27" s="815"/>
      <c r="I27" s="815"/>
      <c r="J27" s="815"/>
      <c r="K27" s="815"/>
      <c r="L27" s="815"/>
      <c r="M27" s="815"/>
      <c r="N27" s="815"/>
      <c r="O27" s="815"/>
      <c r="P27" s="815"/>
      <c r="Q27" s="815"/>
      <c r="R27" s="815"/>
      <c r="S27" s="815"/>
      <c r="T27" s="815"/>
      <c r="U27" s="815"/>
      <c r="V27" s="815"/>
      <c r="W27" s="815"/>
      <c r="X27" s="815"/>
      <c r="Y27" s="815"/>
      <c r="Z27" s="815"/>
      <c r="AA27" s="815"/>
      <c r="AB27" s="815"/>
      <c r="AC27" s="815"/>
      <c r="AD27" s="815"/>
      <c r="AE27" s="815"/>
      <c r="AF27" s="815"/>
      <c r="AG27" s="815"/>
      <c r="AH27" s="815"/>
      <c r="AI27" s="815"/>
      <c r="AJ27" s="815"/>
      <c r="AK27" s="815"/>
      <c r="AL27" s="7"/>
      <c r="AM27" s="7"/>
      <c r="AN27" s="7"/>
      <c r="AO27" s="7"/>
      <c r="AP27" s="7"/>
      <c r="AQ27" s="7"/>
      <c r="AR27" s="7"/>
      <c r="AS27" s="7"/>
      <c r="AT27" s="7"/>
      <c r="AU27" s="7"/>
      <c r="AV27" s="7"/>
      <c r="AW27" s="7"/>
      <c r="AX27" s="7"/>
      <c r="AY27" s="7"/>
      <c r="AZ27" s="7"/>
      <c r="BA27" s="7"/>
      <c r="BB27" s="7"/>
      <c r="BC27" s="7"/>
      <c r="BD27" s="7"/>
      <c r="BE27" s="7"/>
      <c r="BF27" s="7"/>
    </row>
    <row r="28" spans="1:58" ht="14.25" customHeight="1" x14ac:dyDescent="0.3">
      <c r="A28" s="813" t="s">
        <v>2038</v>
      </c>
      <c r="B28" s="7"/>
      <c r="C28" s="7"/>
      <c r="D28" s="7"/>
      <c r="E28" s="1114" t="s">
        <v>1902</v>
      </c>
      <c r="F28" s="1114" t="s">
        <v>1903</v>
      </c>
      <c r="G28" s="816">
        <v>45901</v>
      </c>
      <c r="H28" s="1160">
        <f>+H9</f>
        <v>45957</v>
      </c>
      <c r="I28" s="1152"/>
      <c r="J28" s="1151">
        <f>+J9</f>
        <v>45987</v>
      </c>
      <c r="K28" s="1152"/>
      <c r="L28" s="1151">
        <f>+L9</f>
        <v>46017</v>
      </c>
      <c r="M28" s="1152"/>
      <c r="N28" s="1151">
        <f>+N9</f>
        <v>46047</v>
      </c>
      <c r="O28" s="1152"/>
      <c r="P28" s="1151">
        <f>+P9</f>
        <v>46077</v>
      </c>
      <c r="Q28" s="1152"/>
      <c r="R28" s="1151">
        <f>+R9</f>
        <v>46107</v>
      </c>
      <c r="S28" s="1152"/>
      <c r="T28" s="1151">
        <f>+T9</f>
        <v>46142</v>
      </c>
      <c r="U28" s="1152"/>
      <c r="V28" s="1151">
        <f>+V9</f>
        <v>46172</v>
      </c>
      <c r="W28" s="1152"/>
      <c r="X28" s="1151">
        <f>+X9</f>
        <v>46202</v>
      </c>
      <c r="Y28" s="1152"/>
      <c r="Z28" s="1151">
        <f>+Z9</f>
        <v>46232</v>
      </c>
      <c r="AA28" s="1152"/>
      <c r="AB28" s="1151">
        <f>+AB9</f>
        <v>46262</v>
      </c>
      <c r="AC28" s="1152"/>
      <c r="AD28" s="1151">
        <f>+AD9</f>
        <v>46292</v>
      </c>
      <c r="AE28" s="1152"/>
      <c r="AF28" s="1151">
        <f>+AF9</f>
        <v>46322</v>
      </c>
      <c r="AG28" s="1152"/>
      <c r="AH28" s="1151">
        <f>+AH9</f>
        <v>46352</v>
      </c>
      <c r="AI28" s="1152"/>
      <c r="AJ28" s="1165">
        <f>+AJ9</f>
        <v>46382</v>
      </c>
      <c r="AK28" s="1166"/>
      <c r="AL28" s="7"/>
      <c r="AM28" s="7"/>
      <c r="AN28" s="7"/>
      <c r="AO28" s="7"/>
      <c r="AP28" s="7"/>
      <c r="AQ28" s="7"/>
      <c r="AR28" s="7"/>
      <c r="AS28" s="7"/>
      <c r="AT28" s="7"/>
      <c r="AU28" s="7"/>
      <c r="AV28" s="7"/>
      <c r="AW28" s="7"/>
      <c r="AX28" s="7"/>
      <c r="AY28" s="7"/>
      <c r="AZ28" s="7"/>
      <c r="BA28" s="7"/>
      <c r="BB28" s="7"/>
      <c r="BC28" s="7"/>
      <c r="BD28" s="7"/>
      <c r="BE28" s="7"/>
      <c r="BF28" s="7"/>
    </row>
    <row r="29" spans="1:58" ht="14.25" customHeight="1" x14ac:dyDescent="0.3">
      <c r="A29" s="817" t="s">
        <v>2041</v>
      </c>
      <c r="B29" s="7"/>
      <c r="C29" s="7"/>
      <c r="D29" s="7"/>
      <c r="E29" s="1107"/>
      <c r="F29" s="1107"/>
      <c r="G29" s="818" t="s">
        <v>1777</v>
      </c>
      <c r="H29" s="1161"/>
      <c r="I29" s="1143"/>
      <c r="J29" s="1121"/>
      <c r="K29" s="1143"/>
      <c r="L29" s="1121"/>
      <c r="M29" s="1143"/>
      <c r="N29" s="1121"/>
      <c r="O29" s="1143"/>
      <c r="P29" s="1121"/>
      <c r="Q29" s="1143"/>
      <c r="R29" s="1121"/>
      <c r="S29" s="1143"/>
      <c r="T29" s="1121"/>
      <c r="U29" s="1143"/>
      <c r="V29" s="1121"/>
      <c r="W29" s="1143"/>
      <c r="X29" s="1121"/>
      <c r="Y29" s="1143"/>
      <c r="Z29" s="1121"/>
      <c r="AA29" s="1143"/>
      <c r="AB29" s="1121"/>
      <c r="AC29" s="1143"/>
      <c r="AD29" s="1121"/>
      <c r="AE29" s="1143"/>
      <c r="AF29" s="1121"/>
      <c r="AG29" s="1143"/>
      <c r="AH29" s="1121"/>
      <c r="AI29" s="1143"/>
      <c r="AJ29" s="1121"/>
      <c r="AK29" s="1167"/>
      <c r="AL29" s="7"/>
      <c r="AM29" s="7"/>
      <c r="AN29" s="7"/>
      <c r="AO29" s="7"/>
      <c r="AP29" s="7"/>
      <c r="AQ29" s="7"/>
      <c r="AR29" s="7"/>
      <c r="AS29" s="7"/>
      <c r="AT29" s="7"/>
      <c r="AU29" s="7"/>
      <c r="AV29" s="7"/>
      <c r="AW29" s="7"/>
      <c r="AX29" s="7"/>
      <c r="AY29" s="7"/>
      <c r="AZ29" s="7"/>
      <c r="BA29" s="7"/>
      <c r="BB29" s="7"/>
      <c r="BC29" s="7"/>
      <c r="BD29" s="7"/>
      <c r="BE29" s="7"/>
      <c r="BF29" s="7"/>
    </row>
    <row r="30" spans="1:58" ht="14.25" customHeight="1" x14ac:dyDescent="0.3">
      <c r="A30" s="817" t="s">
        <v>2042</v>
      </c>
      <c r="B30" s="7"/>
      <c r="C30" s="7"/>
      <c r="D30" s="7"/>
      <c r="E30" s="618">
        <v>5080</v>
      </c>
      <c r="F30" s="304" t="s">
        <v>2043</v>
      </c>
      <c r="G30" s="819">
        <f>+G11</f>
        <v>1342964.3528999882</v>
      </c>
      <c r="H30" s="820"/>
      <c r="I30" s="797">
        <f>+I11</f>
        <v>1373852.5330166877</v>
      </c>
      <c r="J30" s="304"/>
      <c r="K30" s="797">
        <f>+K11</f>
        <v>1401329.5836770216</v>
      </c>
      <c r="L30" s="304"/>
      <c r="M30" s="797">
        <f>+M11</f>
        <v>1429356.175350562</v>
      </c>
      <c r="N30" s="304"/>
      <c r="O30" s="797">
        <f>+O11</f>
        <v>1470807.5044357281</v>
      </c>
      <c r="P30" s="304"/>
      <c r="Q30" s="797">
        <f>+Q11</f>
        <v>1513460.922064364</v>
      </c>
      <c r="R30" s="304"/>
      <c r="S30" s="797">
        <f>+S11</f>
        <v>1564918.5934145523</v>
      </c>
      <c r="T30" s="304"/>
      <c r="U30" s="797">
        <f>+U11</f>
        <v>1605606.4768433308</v>
      </c>
      <c r="V30" s="304"/>
      <c r="W30" s="797">
        <f>+W11</f>
        <v>1639324.2128570406</v>
      </c>
      <c r="X30" s="304"/>
      <c r="Y30" s="797">
        <f>+Y11</f>
        <v>1686864.6150298945</v>
      </c>
      <c r="Z30" s="304"/>
      <c r="AA30" s="797">
        <f>+AA11</f>
        <v>1735783.6888657613</v>
      </c>
      <c r="AB30" s="304"/>
      <c r="AC30" s="797">
        <f>+AC11</f>
        <v>1786121.4158428682</v>
      </c>
      <c r="AD30" s="304"/>
      <c r="AE30" s="797">
        <f>+AE11</f>
        <v>1837918.9369023112</v>
      </c>
      <c r="AF30" s="304"/>
      <c r="AG30" s="797">
        <f>+AG11</f>
        <v>1891218.586072478</v>
      </c>
      <c r="AH30" s="304"/>
      <c r="AI30" s="797">
        <f>+AI11</f>
        <v>1946063.9250685796</v>
      </c>
      <c r="AJ30" s="304"/>
      <c r="AK30" s="821">
        <f>+AK11</f>
        <v>2002499.7788955683</v>
      </c>
      <c r="AL30" s="173">
        <f>+AK30/O30</f>
        <v>1.3614968463625177</v>
      </c>
      <c r="AM30" s="7"/>
      <c r="AN30" s="7"/>
      <c r="AO30" s="7"/>
      <c r="AP30" s="7"/>
      <c r="AQ30" s="7"/>
      <c r="AR30" s="7"/>
      <c r="AS30" s="7"/>
      <c r="AT30" s="7"/>
      <c r="AU30" s="7"/>
      <c r="AV30" s="7"/>
      <c r="AW30" s="7"/>
      <c r="AX30" s="7"/>
      <c r="AY30" s="7"/>
      <c r="AZ30" s="7"/>
      <c r="BA30" s="7"/>
      <c r="BB30" s="7"/>
      <c r="BC30" s="7"/>
      <c r="BD30" s="7"/>
      <c r="BE30" s="7"/>
      <c r="BF30" s="7"/>
    </row>
    <row r="31" spans="1:58" ht="14.25" customHeight="1" x14ac:dyDescent="0.3">
      <c r="A31" s="7"/>
      <c r="B31" s="7"/>
      <c r="C31" s="7"/>
      <c r="D31" s="7"/>
      <c r="E31" s="618">
        <v>5080</v>
      </c>
      <c r="F31" s="304" t="s">
        <v>2044</v>
      </c>
      <c r="G31" s="819">
        <f>G18</f>
        <v>8827065.9686792977</v>
      </c>
      <c r="H31" s="820"/>
      <c r="I31" s="797">
        <f>+I18</f>
        <v>9334684.3240812868</v>
      </c>
      <c r="J31" s="304"/>
      <c r="K31" s="797">
        <f>+K18</f>
        <v>9483234.5440812856</v>
      </c>
      <c r="L31" s="304"/>
      <c r="M31" s="797">
        <f>+M18</f>
        <v>9634458.668041287</v>
      </c>
      <c r="N31" s="304"/>
      <c r="O31" s="797">
        <f>+O18</f>
        <v>8936623.620433975</v>
      </c>
      <c r="P31" s="304"/>
      <c r="Q31" s="797">
        <f>+Q18</f>
        <v>9076755.9946339745</v>
      </c>
      <c r="R31" s="304"/>
      <c r="S31" s="797">
        <f>+S18</f>
        <v>9219410.7515695766</v>
      </c>
      <c r="T31" s="304"/>
      <c r="U31" s="797">
        <f>+U18</f>
        <v>9473842.6043737773</v>
      </c>
      <c r="V31" s="304"/>
      <c r="W31" s="797">
        <f>+W18</f>
        <v>9621679.152700305</v>
      </c>
      <c r="X31" s="304"/>
      <c r="Y31" s="797">
        <f>+Y18</f>
        <v>9772176.7588967122</v>
      </c>
      <c r="Z31" s="304"/>
      <c r="AA31" s="797">
        <f>+AA18</f>
        <v>10023623.240543846</v>
      </c>
      <c r="AB31" s="304"/>
      <c r="AC31" s="797">
        <f>+AC18</f>
        <v>10179587.521787731</v>
      </c>
      <c r="AD31" s="304"/>
      <c r="AE31" s="797">
        <f>+AE18</f>
        <v>10338359.160094006</v>
      </c>
      <c r="AF31" s="304"/>
      <c r="AG31" s="797">
        <f>+AG18</f>
        <v>10621678.301697351</v>
      </c>
      <c r="AH31" s="304"/>
      <c r="AI31" s="797">
        <f>+AI18</f>
        <v>10786217.160993462</v>
      </c>
      <c r="AJ31" s="304"/>
      <c r="AK31" s="821">
        <f>+AK18</f>
        <v>10953717.719756903</v>
      </c>
      <c r="AL31" s="173">
        <f>+AK31/O31</f>
        <v>1.225710982692698</v>
      </c>
      <c r="AM31" s="7"/>
      <c r="AN31" s="7"/>
      <c r="AO31" s="7"/>
      <c r="AP31" s="7"/>
      <c r="AQ31" s="7"/>
      <c r="AR31" s="7"/>
      <c r="AS31" s="7"/>
      <c r="AT31" s="7"/>
      <c r="AU31" s="7"/>
      <c r="AV31" s="7"/>
      <c r="AW31" s="7"/>
      <c r="AX31" s="7"/>
      <c r="AY31" s="7"/>
      <c r="AZ31" s="7"/>
      <c r="BA31" s="7"/>
      <c r="BB31" s="7"/>
      <c r="BC31" s="7"/>
      <c r="BD31" s="7"/>
      <c r="BE31" s="7"/>
      <c r="BF31" s="7"/>
    </row>
    <row r="32" spans="1:58" ht="14.25" customHeight="1" x14ac:dyDescent="0.3">
      <c r="A32" s="7"/>
      <c r="B32" s="7"/>
      <c r="C32" s="7"/>
      <c r="D32" s="7"/>
      <c r="E32" s="618">
        <v>5081</v>
      </c>
      <c r="F32" s="304" t="s">
        <v>2045</v>
      </c>
      <c r="G32" s="819">
        <f>G25</f>
        <v>12407178.684236201</v>
      </c>
      <c r="H32" s="820"/>
      <c r="I32" s="797">
        <f>+I25</f>
        <v>12692543.793973632</v>
      </c>
      <c r="J32" s="304"/>
      <c r="K32" s="797">
        <f>+K25</f>
        <v>12946394.669853104</v>
      </c>
      <c r="L32" s="304"/>
      <c r="M32" s="797">
        <f>+M25</f>
        <v>13205322.563250167</v>
      </c>
      <c r="N32" s="304"/>
      <c r="O32" s="797">
        <f>+O25</f>
        <v>14267690.763463642</v>
      </c>
      <c r="P32" s="304"/>
      <c r="Q32" s="797">
        <f>+Q25</f>
        <v>15415526.485384293</v>
      </c>
      <c r="R32" s="304"/>
      <c r="S32" s="797">
        <f>+S25</f>
        <v>16736637.105181729</v>
      </c>
      <c r="T32" s="304"/>
      <c r="U32" s="797">
        <f>+U25</f>
        <v>18030379.153412279</v>
      </c>
      <c r="V32" s="304"/>
      <c r="W32" s="797">
        <f>+W25</f>
        <v>19329467.971415631</v>
      </c>
      <c r="X32" s="304"/>
      <c r="Y32" s="797">
        <f>+Y25</f>
        <v>20884523.669716019</v>
      </c>
      <c r="Z32" s="304"/>
      <c r="AA32" s="797">
        <f>+AA25</f>
        <v>22564683.598944671</v>
      </c>
      <c r="AB32" s="304"/>
      <c r="AC32" s="797">
        <f>+AC25</f>
        <v>24380012.39447977</v>
      </c>
      <c r="AD32" s="304"/>
      <c r="AE32" s="797">
        <f>+AE25</f>
        <v>26341384.391615666</v>
      </c>
      <c r="AF32" s="304"/>
      <c r="AG32" s="797">
        <f>+AG25</f>
        <v>28460548.765921146</v>
      </c>
      <c r="AH32" s="304"/>
      <c r="AI32" s="797">
        <f>+AI25</f>
        <v>30750199.914139498</v>
      </c>
      <c r="AJ32" s="304"/>
      <c r="AK32" s="821">
        <f>+AK25</f>
        <v>33224053.49723202</v>
      </c>
      <c r="AL32" s="173">
        <f>+AK32/O32</f>
        <v>2.328621642285055</v>
      </c>
      <c r="AM32" s="7"/>
      <c r="AN32" s="7"/>
      <c r="AO32" s="7"/>
      <c r="AP32" s="7"/>
      <c r="AQ32" s="7"/>
      <c r="AR32" s="7"/>
      <c r="AS32" s="7"/>
      <c r="AT32" s="7"/>
      <c r="AU32" s="7"/>
      <c r="AV32" s="7"/>
      <c r="AW32" s="7"/>
      <c r="AX32" s="7"/>
      <c r="AY32" s="7"/>
      <c r="AZ32" s="7"/>
      <c r="BA32" s="7"/>
      <c r="BB32" s="7"/>
      <c r="BC32" s="7"/>
      <c r="BD32" s="7"/>
      <c r="BE32" s="7"/>
      <c r="BF32" s="7"/>
    </row>
    <row r="33" spans="1:58" ht="14.25" customHeight="1" x14ac:dyDescent="0.3">
      <c r="A33" s="7"/>
      <c r="B33" s="7"/>
      <c r="C33" s="7"/>
      <c r="D33" s="7"/>
      <c r="E33" s="1158" t="s">
        <v>320</v>
      </c>
      <c r="F33" s="1088"/>
      <c r="G33" s="822">
        <f>G30+G31+G32</f>
        <v>22577209.005815484</v>
      </c>
      <c r="H33" s="823"/>
      <c r="I33" s="824">
        <f>SUM(I30:I32)</f>
        <v>23401080.651071608</v>
      </c>
      <c r="J33" s="825"/>
      <c r="K33" s="825">
        <f>SUM(K30:K32)</f>
        <v>23830958.797611412</v>
      </c>
      <c r="L33" s="825"/>
      <c r="M33" s="825">
        <f>SUM(M30:M32)</f>
        <v>24269137.406642016</v>
      </c>
      <c r="N33" s="825"/>
      <c r="O33" s="825">
        <f>SUM(O30:O32)</f>
        <v>24675121.888333343</v>
      </c>
      <c r="P33" s="825"/>
      <c r="Q33" s="825">
        <f>SUM(Q30:Q32)</f>
        <v>26005743.40208263</v>
      </c>
      <c r="R33" s="825"/>
      <c r="S33" s="825">
        <f>SUM(S30:S32)</f>
        <v>27520966.45016586</v>
      </c>
      <c r="T33" s="825"/>
      <c r="U33" s="825">
        <f>SUM(U30:U32)</f>
        <v>29109828.234629385</v>
      </c>
      <c r="V33" s="825"/>
      <c r="W33" s="825">
        <f>SUM(W30:W32)</f>
        <v>30590471.336972978</v>
      </c>
      <c r="X33" s="825"/>
      <c r="Y33" s="825">
        <f>SUM(Y30:Y32)</f>
        <v>32343565.043642625</v>
      </c>
      <c r="Z33" s="825"/>
      <c r="AA33" s="825">
        <f>SUM(AA30:AA32)</f>
        <v>34324090.52835428</v>
      </c>
      <c r="AB33" s="825"/>
      <c r="AC33" s="825">
        <f>SUM(AC30:AC32)</f>
        <v>36345721.332110368</v>
      </c>
      <c r="AD33" s="825"/>
      <c r="AE33" s="825">
        <f>SUM(AE30:AE32)</f>
        <v>38517662.488611981</v>
      </c>
      <c r="AF33" s="825"/>
      <c r="AG33" s="825">
        <f>SUM(AG30:AG32)</f>
        <v>40973445.653690979</v>
      </c>
      <c r="AH33" s="825"/>
      <c r="AI33" s="825">
        <f>SUM(AI30:AI32)</f>
        <v>43482481.000201538</v>
      </c>
      <c r="AJ33" s="825"/>
      <c r="AK33" s="826">
        <f>SUM(AK30:AK32)</f>
        <v>46180270.995884493</v>
      </c>
      <c r="AL33" s="732">
        <f>SUM(N33:AK33)</f>
        <v>410069368.35468048</v>
      </c>
      <c r="AM33" s="7"/>
      <c r="AN33" s="7"/>
      <c r="AO33" s="7"/>
      <c r="AP33" s="7"/>
      <c r="AQ33" s="7"/>
      <c r="AR33" s="7"/>
      <c r="AS33" s="7"/>
      <c r="AT33" s="7"/>
      <c r="AU33" s="7"/>
      <c r="AV33" s="7"/>
      <c r="AW33" s="7"/>
      <c r="AX33" s="7"/>
      <c r="AY33" s="7"/>
      <c r="AZ33" s="7"/>
      <c r="BA33" s="7"/>
      <c r="BB33" s="7"/>
      <c r="BC33" s="7"/>
      <c r="BD33" s="7"/>
      <c r="BE33" s="7"/>
      <c r="BF33" s="7"/>
    </row>
    <row r="34" spans="1:58" ht="14.2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row>
    <row r="35" spans="1:58" ht="14.25" customHeight="1" x14ac:dyDescent="0.3">
      <c r="A35" s="7"/>
      <c r="B35" s="7"/>
      <c r="C35" s="7"/>
      <c r="D35" s="7"/>
      <c r="E35" s="7"/>
      <c r="F35" s="412"/>
      <c r="G35" s="412" t="s">
        <v>1996</v>
      </c>
      <c r="H35" s="1133">
        <f t="array" ref="H35:I35">+'Panalab Man'!D13:E13</f>
        <v>2.3E-2</v>
      </c>
      <c r="I35" s="1088">
        <v>0</v>
      </c>
      <c r="J35" s="1133">
        <f t="array" ref="J35:K35">+'Panalab Man'!F13:G13</f>
        <v>0.02</v>
      </c>
      <c r="K35" s="1088">
        <v>0</v>
      </c>
      <c r="L35" s="1133">
        <f t="array" ref="L35:M35">+'Panalab Man'!H13:I13</f>
        <v>0.02</v>
      </c>
      <c r="M35" s="1088">
        <v>0</v>
      </c>
      <c r="N35" s="1133">
        <f t="array" ref="N35:O35">+'Panalab Man'!J13:K13</f>
        <v>2.9000000000000001E-2</v>
      </c>
      <c r="O35" s="1088">
        <v>0</v>
      </c>
      <c r="P35" s="1133">
        <f t="array" ref="P35:Q35">+'Panalab Man'!L13:M13</f>
        <v>2.9000000000000001E-2</v>
      </c>
      <c r="Q35" s="1088">
        <v>0</v>
      </c>
      <c r="R35" s="1133">
        <f t="array" ref="R35:S35">+'Panalab Man'!N13:O13</f>
        <v>3.4000000000000002E-2</v>
      </c>
      <c r="S35" s="1088">
        <v>0</v>
      </c>
      <c r="T35" s="1133">
        <f t="array" ref="T35:U35">+'Panalab Man'!P13:Q13</f>
        <v>2.5999999999999999E-2</v>
      </c>
      <c r="U35" s="1088">
        <v>0</v>
      </c>
      <c r="V35" s="1133">
        <f t="array" ref="V35:W35">+'Panalab Man'!R13:S13</f>
        <v>2.1000000000000001E-2</v>
      </c>
      <c r="W35" s="1088">
        <v>0</v>
      </c>
      <c r="X35" s="1133">
        <f t="array" ref="X35:Y35">+'Panalab Man'!T13:U13</f>
        <v>2.9000000000000001E-2</v>
      </c>
      <c r="Y35" s="1088">
        <v>0</v>
      </c>
      <c r="Z35" s="1133">
        <f t="array" ref="Z35:AA35">+'Panalab Man'!V13:W13</f>
        <v>2.9000000000000001E-2</v>
      </c>
      <c r="AA35" s="1088">
        <v>0</v>
      </c>
      <c r="AB35" s="1133">
        <f t="array" ref="AB35:AC35">+'Panalab Man'!X13:Y13</f>
        <v>2.9000000000000001E-2</v>
      </c>
      <c r="AC35" s="1088">
        <v>0</v>
      </c>
      <c r="AD35" s="1133">
        <f t="array" ref="AD35:AE35">+'Panalab Man'!Z13:AA13</f>
        <v>2.9000000000000001E-2</v>
      </c>
      <c r="AE35" s="1088">
        <v>0</v>
      </c>
      <c r="AF35" s="1133">
        <f t="array" ref="AF35:AG35">+'Panalab Man'!AB13:AC13</f>
        <v>2.9000000000000001E-2</v>
      </c>
      <c r="AG35" s="1088">
        <v>0</v>
      </c>
      <c r="AH35" s="1133">
        <f t="array" ref="AH35:AI35">+'Panalab Man'!AD13:AE13</f>
        <v>2.9000000000000001E-2</v>
      </c>
      <c r="AI35" s="1088">
        <v>0</v>
      </c>
      <c r="AJ35" s="1133">
        <f t="array" ref="AJ35:AK35">+'Panalab Man'!AF13:AG13</f>
        <v>2.9000000000000001E-2</v>
      </c>
      <c r="AK35" s="1088">
        <v>0</v>
      </c>
      <c r="AL35" s="7"/>
      <c r="AM35" s="7"/>
      <c r="AN35" s="7"/>
      <c r="AO35" s="7"/>
      <c r="AP35" s="7"/>
      <c r="AQ35" s="7"/>
      <c r="AR35" s="7"/>
      <c r="AS35" s="7"/>
      <c r="AT35" s="7"/>
      <c r="AU35" s="7"/>
      <c r="AV35" s="7"/>
      <c r="AW35" s="7"/>
      <c r="AX35" s="7"/>
      <c r="AY35" s="7"/>
      <c r="AZ35" s="7"/>
      <c r="BA35" s="7"/>
      <c r="BB35" s="7"/>
      <c r="BC35" s="7"/>
      <c r="BD35" s="7"/>
      <c r="BE35" s="7"/>
      <c r="BF35" s="7"/>
    </row>
    <row r="36" spans="1:58" ht="14.25" customHeight="1" x14ac:dyDescent="0.3">
      <c r="A36" s="827"/>
      <c r="B36" s="827"/>
      <c r="C36" s="827"/>
      <c r="D36" s="827"/>
      <c r="E36" s="828">
        <v>2.5000000000000001E-2</v>
      </c>
      <c r="F36" s="828">
        <v>1.6E-2</v>
      </c>
      <c r="G36" s="828">
        <v>2.1999999999999999E-2</v>
      </c>
      <c r="H36" s="829">
        <f>1*(1+E36)*(1+F36)*(1+G36)</f>
        <v>1.0643107999999999</v>
      </c>
      <c r="I36" s="827"/>
      <c r="J36" s="827"/>
      <c r="K36" s="827"/>
      <c r="L36" s="827"/>
      <c r="M36" s="827"/>
      <c r="N36" s="829">
        <f>1*(1+H35)*(1+J35)*(1+L35)</f>
        <v>1.0643291999999998</v>
      </c>
      <c r="O36" s="827"/>
      <c r="P36" s="827"/>
      <c r="Q36" s="827"/>
      <c r="R36" s="827"/>
      <c r="S36" s="827"/>
      <c r="T36" s="829">
        <f>1*(1+N35)*(1+P35)*(1+R35)</f>
        <v>1.094841594</v>
      </c>
      <c r="U36" s="827"/>
      <c r="V36" s="827"/>
      <c r="W36" s="827"/>
      <c r="X36" s="827"/>
      <c r="Y36" s="827"/>
      <c r="Z36" s="829">
        <f>1*(1+T35)*(1+V35)*(1+X35)</f>
        <v>1.0779248339999998</v>
      </c>
      <c r="AA36" s="827"/>
      <c r="AB36" s="827"/>
      <c r="AC36" s="827"/>
      <c r="AD36" s="827"/>
      <c r="AE36" s="827"/>
      <c r="AF36" s="829">
        <f>1*(1+Z35)*(1+AB35)*(1+AD35)</f>
        <v>1.0895473889999998</v>
      </c>
      <c r="AG36" s="827"/>
      <c r="AH36" s="827"/>
      <c r="AI36" s="827"/>
      <c r="AJ36" s="827"/>
      <c r="AK36" s="827"/>
      <c r="AL36" s="827"/>
      <c r="AM36" s="7"/>
      <c r="AN36" s="7"/>
      <c r="AO36" s="7"/>
      <c r="AP36" s="7"/>
      <c r="AQ36" s="7"/>
      <c r="AR36" s="7"/>
      <c r="AS36" s="7"/>
      <c r="AT36" s="7"/>
      <c r="AU36" s="7"/>
      <c r="AV36" s="7"/>
      <c r="AW36" s="7"/>
      <c r="AX36" s="7"/>
      <c r="AY36" s="7"/>
      <c r="AZ36" s="7"/>
      <c r="BA36" s="7"/>
      <c r="BB36" s="7"/>
      <c r="BC36" s="7"/>
      <c r="BD36" s="7"/>
      <c r="BE36" s="7"/>
      <c r="BF36" s="7"/>
    </row>
    <row r="37" spans="1:58" ht="8.2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row>
    <row r="38" spans="1:58" ht="14.25" customHeight="1" x14ac:dyDescent="0.3">
      <c r="A38" s="815"/>
      <c r="B38" s="830" t="s">
        <v>2046</v>
      </c>
      <c r="C38" s="1172" t="s">
        <v>1903</v>
      </c>
      <c r="D38" s="1120"/>
      <c r="E38" s="1163">
        <v>45901</v>
      </c>
      <c r="F38" s="1143"/>
      <c r="G38" s="1143"/>
      <c r="H38" s="1150">
        <f>+H28</f>
        <v>45957</v>
      </c>
      <c r="I38" s="1103"/>
      <c r="J38" s="1150">
        <f>+J28</f>
        <v>45987</v>
      </c>
      <c r="K38" s="1103"/>
      <c r="L38" s="1150">
        <f>+L28</f>
        <v>46017</v>
      </c>
      <c r="M38" s="1103"/>
      <c r="N38" s="1150">
        <f>+N28</f>
        <v>46047</v>
      </c>
      <c r="O38" s="1103"/>
      <c r="P38" s="1150">
        <f>+P28</f>
        <v>46077</v>
      </c>
      <c r="Q38" s="1103"/>
      <c r="R38" s="1150">
        <f>+R28</f>
        <v>46107</v>
      </c>
      <c r="S38" s="1103"/>
      <c r="T38" s="1150">
        <f>+T28</f>
        <v>46142</v>
      </c>
      <c r="U38" s="1103"/>
      <c r="V38" s="1150">
        <f>+V28</f>
        <v>46172</v>
      </c>
      <c r="W38" s="1103"/>
      <c r="X38" s="1150">
        <f>+X28</f>
        <v>46202</v>
      </c>
      <c r="Y38" s="1103"/>
      <c r="Z38" s="1150">
        <f>+Z28</f>
        <v>46232</v>
      </c>
      <c r="AA38" s="1103"/>
      <c r="AB38" s="1150">
        <f>+AB28</f>
        <v>46262</v>
      </c>
      <c r="AC38" s="1103"/>
      <c r="AD38" s="1150">
        <f>+AD28</f>
        <v>46292</v>
      </c>
      <c r="AE38" s="1103"/>
      <c r="AF38" s="1150">
        <f>+AF28</f>
        <v>46322</v>
      </c>
      <c r="AG38" s="1103"/>
      <c r="AH38" s="1150">
        <f>+AH28</f>
        <v>46352</v>
      </c>
      <c r="AI38" s="1103"/>
      <c r="AJ38" s="1150">
        <f>+AJ28</f>
        <v>46382</v>
      </c>
      <c r="AK38" s="1103"/>
      <c r="AL38" s="7"/>
      <c r="AM38" s="7"/>
      <c r="AN38" s="7"/>
      <c r="AO38" s="7"/>
      <c r="AP38" s="7"/>
      <c r="AQ38" s="7"/>
      <c r="AR38" s="7"/>
      <c r="AS38" s="7"/>
      <c r="AT38" s="7"/>
      <c r="AU38" s="7"/>
      <c r="AV38" s="7"/>
      <c r="AW38" s="7"/>
      <c r="AX38" s="7"/>
      <c r="AY38" s="7"/>
      <c r="AZ38" s="7"/>
      <c r="BA38" s="7"/>
      <c r="BB38" s="7"/>
      <c r="BC38" s="7"/>
      <c r="BD38" s="7"/>
      <c r="BE38" s="7"/>
      <c r="BF38" s="7"/>
    </row>
    <row r="39" spans="1:58" ht="14.25" customHeight="1" x14ac:dyDescent="0.3">
      <c r="A39" s="7"/>
      <c r="B39" s="7"/>
      <c r="C39" s="1148"/>
      <c r="D39" s="1104"/>
      <c r="E39" s="831" t="s">
        <v>1777</v>
      </c>
      <c r="F39" s="832" t="s">
        <v>1773</v>
      </c>
      <c r="G39" s="832" t="s">
        <v>2034</v>
      </c>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row>
    <row r="40" spans="1:58" ht="14.25" customHeight="1" x14ac:dyDescent="0.3">
      <c r="A40" s="7"/>
      <c r="B40" s="7"/>
      <c r="C40" s="1112" t="s">
        <v>1934</v>
      </c>
      <c r="D40" s="1088"/>
      <c r="E40" s="624">
        <v>732919.71</v>
      </c>
      <c r="F40" s="618">
        <v>1</v>
      </c>
      <c r="G40" s="669">
        <f>E40*F40</f>
        <v>732919.71</v>
      </c>
      <c r="H40" s="304"/>
      <c r="I40" s="796">
        <f>+G40*H36</f>
        <v>780054.36288586783</v>
      </c>
      <c r="J40" s="304"/>
      <c r="K40" s="797">
        <f>+I40</f>
        <v>780054.36288586783</v>
      </c>
      <c r="L40" s="304"/>
      <c r="M40" s="797">
        <f>+K40</f>
        <v>780054.36288586783</v>
      </c>
      <c r="N40" s="304"/>
      <c r="O40" s="798">
        <f>+M40*N36</f>
        <v>830234.63600682525</v>
      </c>
      <c r="P40" s="304"/>
      <c r="Q40" s="797">
        <f>+O40</f>
        <v>830234.63600682525</v>
      </c>
      <c r="R40" s="304"/>
      <c r="S40" s="797">
        <f>+Q40</f>
        <v>830234.63600682525</v>
      </c>
      <c r="T40" s="304"/>
      <c r="U40" s="798">
        <f>+S40*T36</f>
        <v>908975.4122797224</v>
      </c>
      <c r="V40" s="304"/>
      <c r="W40" s="797">
        <f>+U40</f>
        <v>908975.4122797224</v>
      </c>
      <c r="X40" s="304"/>
      <c r="Y40" s="797">
        <f>+W40</f>
        <v>908975.4122797224</v>
      </c>
      <c r="Z40" s="304"/>
      <c r="AA40" s="798">
        <f>+Y40*Z36</f>
        <v>979807.17039170116</v>
      </c>
      <c r="AB40" s="304"/>
      <c r="AC40" s="797">
        <f>+AA40</f>
        <v>979807.17039170116</v>
      </c>
      <c r="AD40" s="304"/>
      <c r="AE40" s="797">
        <f>+AC40</f>
        <v>979807.17039170116</v>
      </c>
      <c r="AF40" s="304"/>
      <c r="AG40" s="798">
        <f>+AE40*AF36</f>
        <v>1067546.3442237559</v>
      </c>
      <c r="AH40" s="304"/>
      <c r="AI40" s="797">
        <f>+AG40</f>
        <v>1067546.3442237559</v>
      </c>
      <c r="AJ40" s="304"/>
      <c r="AK40" s="797">
        <f>+AI40</f>
        <v>1067546.3442237559</v>
      </c>
      <c r="AL40" s="173">
        <f>+AK40/O40</f>
        <v>1.2858369163665917</v>
      </c>
      <c r="AM40" s="7"/>
      <c r="AN40" s="7"/>
      <c r="AO40" s="7"/>
      <c r="AP40" s="7"/>
      <c r="AQ40" s="7"/>
      <c r="AR40" s="7"/>
      <c r="AS40" s="7"/>
      <c r="AT40" s="7"/>
      <c r="AU40" s="7"/>
      <c r="AV40" s="7"/>
      <c r="AW40" s="7"/>
      <c r="AX40" s="7"/>
      <c r="AY40" s="7"/>
      <c r="AZ40" s="7"/>
      <c r="BA40" s="7"/>
      <c r="BB40" s="7"/>
      <c r="BC40" s="7"/>
      <c r="BD40" s="7"/>
      <c r="BE40" s="7"/>
      <c r="BF40" s="7"/>
    </row>
    <row r="41" spans="1:58" ht="14.25" customHeight="1" x14ac:dyDescent="0.3">
      <c r="A41" s="7"/>
      <c r="B41" s="7"/>
      <c r="C41" s="1112" t="s">
        <v>1935</v>
      </c>
      <c r="D41" s="1088"/>
      <c r="E41" s="626">
        <v>0.1</v>
      </c>
      <c r="F41" s="627">
        <v>42322</v>
      </c>
      <c r="G41" s="669">
        <f>(E41*F41)*D20</f>
        <v>5988563</v>
      </c>
      <c r="H41" s="626">
        <f>+E41</f>
        <v>0.1</v>
      </c>
      <c r="I41" s="806">
        <f>+H41*$F$41*H20</f>
        <v>6348300</v>
      </c>
      <c r="J41" s="833">
        <f>+H41</f>
        <v>0.1</v>
      </c>
      <c r="K41" s="797">
        <f>+J41*$F$41*J20</f>
        <v>6462569.3999999994</v>
      </c>
      <c r="L41" s="833">
        <f>+J41</f>
        <v>0.1</v>
      </c>
      <c r="M41" s="797">
        <f>+L41*$F$41*L20</f>
        <v>6578895.6491999999</v>
      </c>
      <c r="N41" s="833">
        <f>+L41</f>
        <v>0.1</v>
      </c>
      <c r="O41" s="797">
        <f>+N41*$F$41*N20</f>
        <v>5988563</v>
      </c>
      <c r="P41" s="833">
        <f>+N41</f>
        <v>0.1</v>
      </c>
      <c r="Q41" s="797">
        <f>+P41*$F$41*P20</f>
        <v>6096357.1339999996</v>
      </c>
      <c r="R41" s="833">
        <f>+P41</f>
        <v>0.1</v>
      </c>
      <c r="S41" s="797">
        <f>+R41*$F$41*R20</f>
        <v>6206091.5624120003</v>
      </c>
      <c r="T41" s="833">
        <f>+R41</f>
        <v>0.1</v>
      </c>
      <c r="U41" s="797">
        <f>+T41*$F$41*T20</f>
        <v>6317801.2105354164</v>
      </c>
      <c r="V41" s="833">
        <f>+T41</f>
        <v>0.1</v>
      </c>
      <c r="W41" s="797">
        <f>+V41*$F$41*V20</f>
        <v>6431521.6323250541</v>
      </c>
      <c r="X41" s="833">
        <f>+V41</f>
        <v>0.1</v>
      </c>
      <c r="Y41" s="797">
        <f>+X41*$F$41*X20</f>
        <v>6547289.0217069052</v>
      </c>
      <c r="Z41" s="833">
        <f>+X41</f>
        <v>0.1</v>
      </c>
      <c r="AA41" s="797">
        <f>+Z41*$F$41*Z20</f>
        <v>6665140.2240976291</v>
      </c>
      <c r="AB41" s="833">
        <f>+Z41</f>
        <v>0.1</v>
      </c>
      <c r="AC41" s="797">
        <f>+AB41*$F$41*AB20</f>
        <v>6785112.7481313869</v>
      </c>
      <c r="AD41" s="833">
        <f>+AB41</f>
        <v>0.1</v>
      </c>
      <c r="AE41" s="797">
        <f>+AD41*$F$41*AD20</f>
        <v>6907244.7775977524</v>
      </c>
      <c r="AF41" s="833">
        <f>+AD41</f>
        <v>0.1</v>
      </c>
      <c r="AG41" s="797">
        <f>+AF41*$F$41*AF20</f>
        <v>7031575.1835945118</v>
      </c>
      <c r="AH41" s="833">
        <f>+AF41</f>
        <v>0.1</v>
      </c>
      <c r="AI41" s="797">
        <f>+AH41*$F$41*AH20</f>
        <v>7158143.5368992127</v>
      </c>
      <c r="AJ41" s="833">
        <f>+AH41</f>
        <v>0.1</v>
      </c>
      <c r="AK41" s="797">
        <f>+AJ41*$F$41*AJ20</f>
        <v>7286990.1205633981</v>
      </c>
      <c r="AL41" s="173">
        <f>+AK41/O41</f>
        <v>1.2168178109779255</v>
      </c>
      <c r="AM41" s="7"/>
      <c r="AN41" s="7"/>
      <c r="AO41" s="7"/>
      <c r="AP41" s="7"/>
      <c r="AQ41" s="7"/>
      <c r="AR41" s="7"/>
      <c r="AS41" s="7"/>
      <c r="AT41" s="7"/>
      <c r="AU41" s="7"/>
      <c r="AV41" s="7"/>
      <c r="AW41" s="7"/>
      <c r="AX41" s="7"/>
      <c r="AY41" s="7"/>
      <c r="AZ41" s="7"/>
      <c r="BA41" s="7"/>
      <c r="BB41" s="7"/>
      <c r="BC41" s="7"/>
      <c r="BD41" s="7"/>
      <c r="BE41" s="7"/>
      <c r="BF41" s="7"/>
    </row>
    <row r="42" spans="1:58" ht="14.25" customHeight="1" x14ac:dyDescent="0.3">
      <c r="A42" s="7"/>
      <c r="B42" s="7"/>
      <c r="C42" s="1112" t="s">
        <v>1949</v>
      </c>
      <c r="D42" s="1088"/>
      <c r="E42" s="624">
        <v>74.81</v>
      </c>
      <c r="F42" s="627">
        <v>4674</v>
      </c>
      <c r="G42" s="669">
        <f>(E42*F42)</f>
        <v>349661.94</v>
      </c>
      <c r="H42" s="624">
        <f>+E42*H36</f>
        <v>79.621090947999988</v>
      </c>
      <c r="I42" s="806">
        <f>+H42*$F$42</f>
        <v>372148.97909095197</v>
      </c>
      <c r="J42" s="624">
        <f>+H42</f>
        <v>79.621090947999988</v>
      </c>
      <c r="K42" s="624">
        <f>+J42*$F$42</f>
        <v>372148.97909095197</v>
      </c>
      <c r="L42" s="624">
        <f>+J42</f>
        <v>79.621090947999988</v>
      </c>
      <c r="M42" s="624">
        <f>+L42*$F$42</f>
        <v>372148.97909095197</v>
      </c>
      <c r="N42" s="624">
        <f>+L42*N36</f>
        <v>84.743052031812056</v>
      </c>
      <c r="O42" s="834">
        <f>+N42*$F$42</f>
        <v>396089.02519668953</v>
      </c>
      <c r="P42" s="624">
        <f>+N42</f>
        <v>84.743052031812056</v>
      </c>
      <c r="Q42" s="624">
        <f>+P42*$F$42</f>
        <v>396089.02519668953</v>
      </c>
      <c r="R42" s="624">
        <f>+P42</f>
        <v>84.743052031812056</v>
      </c>
      <c r="S42" s="624">
        <f>+R42*$F$42</f>
        <v>396089.02519668953</v>
      </c>
      <c r="T42" s="624">
        <f>+R42*T36</f>
        <v>92.780218166934048</v>
      </c>
      <c r="U42" s="798">
        <f>+T42*F42</f>
        <v>433654.73971224972</v>
      </c>
      <c r="V42" s="624">
        <f>+T42</f>
        <v>92.780218166934048</v>
      </c>
      <c r="W42" s="624">
        <f>+V42*$F$42</f>
        <v>433654.73971224972</v>
      </c>
      <c r="X42" s="624">
        <f>+V42</f>
        <v>92.780218166934048</v>
      </c>
      <c r="Y42" s="624">
        <f>+X42*$F$42</f>
        <v>433654.73971224972</v>
      </c>
      <c r="Z42" s="624">
        <f>+X42*Z36</f>
        <v>100.01010126607615</v>
      </c>
      <c r="AA42" s="798">
        <f>+Z42*$F$42</f>
        <v>467447.21331763989</v>
      </c>
      <c r="AB42" s="624">
        <f>+Z42</f>
        <v>100.01010126607615</v>
      </c>
      <c r="AC42" s="624">
        <f>+AB42*$F$42</f>
        <v>467447.21331763989</v>
      </c>
      <c r="AD42" s="624">
        <f>+AB42</f>
        <v>100.01010126607615</v>
      </c>
      <c r="AE42" s="624">
        <f>+AD42*$F$42</f>
        <v>467447.21331763989</v>
      </c>
      <c r="AF42" s="624">
        <f>+AD42*AF36</f>
        <v>108.96574470807884</v>
      </c>
      <c r="AG42" s="798">
        <f>+AF42*$F$42</f>
        <v>509305.8907655605</v>
      </c>
      <c r="AH42" s="624">
        <f>+AF42</f>
        <v>108.96574470807884</v>
      </c>
      <c r="AI42" s="624">
        <f>+AH42*$F$42</f>
        <v>509305.8907655605</v>
      </c>
      <c r="AJ42" s="624">
        <f>+AH42</f>
        <v>108.96574470807884</v>
      </c>
      <c r="AK42" s="624">
        <f>+AJ42*$F$42</f>
        <v>509305.8907655605</v>
      </c>
      <c r="AL42" s="173">
        <f>+AK42/O42</f>
        <v>1.2858369163665917</v>
      </c>
      <c r="AM42" s="7"/>
      <c r="AN42" s="7"/>
      <c r="AO42" s="7"/>
      <c r="AP42" s="7"/>
      <c r="AQ42" s="7"/>
      <c r="AR42" s="7"/>
      <c r="AS42" s="7"/>
      <c r="AT42" s="7"/>
      <c r="AU42" s="7"/>
      <c r="AV42" s="7"/>
      <c r="AW42" s="7"/>
      <c r="AX42" s="7"/>
      <c r="AY42" s="7"/>
      <c r="AZ42" s="7"/>
      <c r="BA42" s="7"/>
      <c r="BB42" s="7"/>
      <c r="BC42" s="7"/>
      <c r="BD42" s="7"/>
      <c r="BE42" s="7"/>
      <c r="BF42" s="7"/>
    </row>
    <row r="43" spans="1:58" ht="14.25" customHeight="1" x14ac:dyDescent="0.3">
      <c r="A43" s="7"/>
      <c r="B43" s="7"/>
      <c r="C43" s="1171" t="s">
        <v>2047</v>
      </c>
      <c r="D43" s="1143"/>
      <c r="E43" s="1143"/>
      <c r="F43" s="1122"/>
      <c r="G43" s="807">
        <f>G40+G41</f>
        <v>6721482.71</v>
      </c>
      <c r="H43" s="7"/>
      <c r="I43" s="835">
        <f>SUM(I40:I42)</f>
        <v>7500503.3419768205</v>
      </c>
      <c r="J43" s="7"/>
      <c r="K43" s="835">
        <f>SUM(K40:K42)</f>
        <v>7614772.7419768199</v>
      </c>
      <c r="L43" s="7"/>
      <c r="M43" s="835">
        <f>SUM(M40:M42)</f>
        <v>7731098.9911768204</v>
      </c>
      <c r="N43" s="7"/>
      <c r="O43" s="835">
        <f>SUM(O40:O42)</f>
        <v>7214886.6612035148</v>
      </c>
      <c r="P43" s="7"/>
      <c r="Q43" s="835">
        <f>SUM(Q40:Q42)</f>
        <v>7322680.7952035144</v>
      </c>
      <c r="R43" s="7"/>
      <c r="S43" s="835">
        <f>SUM(S40:S42)</f>
        <v>7432415.223615515</v>
      </c>
      <c r="T43" s="7"/>
      <c r="U43" s="835">
        <f>SUM(U40:U42)</f>
        <v>7660431.3625273881</v>
      </c>
      <c r="V43" s="7"/>
      <c r="W43" s="835">
        <f>SUM(W40:W42)</f>
        <v>7774151.7843170259</v>
      </c>
      <c r="X43" s="7"/>
      <c r="Y43" s="835">
        <f>SUM(Y40:Y42)</f>
        <v>7889919.173698877</v>
      </c>
      <c r="Z43" s="7"/>
      <c r="AA43" s="835">
        <f>SUM(AA40:AA42)</f>
        <v>8112394.6078069704</v>
      </c>
      <c r="AB43" s="7"/>
      <c r="AC43" s="835">
        <f>SUM(AC40:AC42)</f>
        <v>8232367.1318407282</v>
      </c>
      <c r="AD43" s="7"/>
      <c r="AE43" s="835">
        <f>SUM(AE40:AE42)</f>
        <v>8354499.1613070937</v>
      </c>
      <c r="AF43" s="7"/>
      <c r="AG43" s="835">
        <f>SUM(AG40:AG42)</f>
        <v>8608427.418583829</v>
      </c>
      <c r="AH43" s="7"/>
      <c r="AI43" s="835">
        <f>SUM(AI40:AI42)</f>
        <v>8734995.7718885299</v>
      </c>
      <c r="AJ43" s="7"/>
      <c r="AK43" s="835">
        <f>SUM(AK40:AK42)</f>
        <v>8863842.3555527143</v>
      </c>
      <c r="AL43" s="732">
        <f>SUM(N43:AK43)</f>
        <v>96201011.447545707</v>
      </c>
      <c r="AM43" s="7"/>
      <c r="AN43" s="7"/>
      <c r="AO43" s="7"/>
      <c r="AP43" s="7"/>
      <c r="AQ43" s="7"/>
      <c r="AR43" s="7"/>
      <c r="AS43" s="7"/>
      <c r="AT43" s="7"/>
      <c r="AU43" s="7"/>
      <c r="AV43" s="7"/>
      <c r="AW43" s="7"/>
      <c r="AX43" s="7"/>
      <c r="AY43" s="7"/>
      <c r="AZ43" s="7"/>
      <c r="BA43" s="7"/>
      <c r="BB43" s="7"/>
      <c r="BC43" s="7"/>
      <c r="BD43" s="7"/>
      <c r="BE43" s="7"/>
      <c r="BF43" s="7"/>
    </row>
    <row r="44" spans="1:58" ht="14.25" customHeight="1" x14ac:dyDescent="0.3">
      <c r="A44" s="53"/>
      <c r="B44" s="53"/>
      <c r="C44" s="53"/>
      <c r="D44" s="53"/>
      <c r="E44" s="53"/>
      <c r="F44" s="53"/>
      <c r="G44" s="53"/>
      <c r="H44" s="53"/>
      <c r="I44" s="53"/>
      <c r="J44" s="53"/>
      <c r="K44" s="53"/>
      <c r="L44" s="53"/>
      <c r="M44" s="53"/>
      <c r="N44" s="836"/>
      <c r="O44" s="53"/>
      <c r="P44" s="53"/>
      <c r="Q44" s="53"/>
      <c r="R44" s="53"/>
      <c r="S44" s="53"/>
      <c r="T44" s="836"/>
      <c r="U44" s="53"/>
      <c r="V44" s="53"/>
      <c r="W44" s="53"/>
      <c r="X44" s="53"/>
      <c r="Y44" s="53"/>
      <c r="Z44" s="836"/>
      <c r="AA44" s="53"/>
      <c r="AB44" s="53"/>
      <c r="AC44" s="53"/>
      <c r="AD44" s="53"/>
      <c r="AE44" s="53"/>
      <c r="AF44" s="836"/>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row>
    <row r="45" spans="1:58" ht="14.25" customHeight="1" x14ac:dyDescent="0.3">
      <c r="A45" s="837" t="s">
        <v>2048</v>
      </c>
      <c r="B45" s="83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row>
    <row r="46" spans="1:58" ht="14.25" customHeight="1" x14ac:dyDescent="0.3">
      <c r="A46" s="261"/>
      <c r="B46" s="261"/>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row>
    <row r="47" spans="1:58" ht="14.25" customHeight="1" x14ac:dyDescent="0.3">
      <c r="A47" s="7"/>
      <c r="B47" s="7"/>
      <c r="C47" s="639" t="s">
        <v>2049</v>
      </c>
      <c r="D47" s="838" t="s">
        <v>1941</v>
      </c>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row>
    <row r="48" spans="1:58" ht="14.25" customHeight="1" x14ac:dyDescent="0.3">
      <c r="A48" s="7"/>
      <c r="B48" s="639" t="s">
        <v>1942</v>
      </c>
      <c r="C48" s="614">
        <v>275000</v>
      </c>
      <c r="D48" s="614">
        <v>275000</v>
      </c>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row>
    <row r="49" spans="1:58" ht="14.25" customHeight="1" x14ac:dyDescent="0.3">
      <c r="A49" s="304" t="s">
        <v>1846</v>
      </c>
      <c r="B49" s="764">
        <v>0.11899999999999999</v>
      </c>
      <c r="C49" s="614">
        <f>(D48*B49)+D48</f>
        <v>307725</v>
      </c>
      <c r="D49" s="614">
        <v>275000</v>
      </c>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row>
    <row r="50" spans="1:58" ht="14.25" customHeight="1" x14ac:dyDescent="0.3">
      <c r="A50" s="304" t="s">
        <v>1847</v>
      </c>
      <c r="B50" s="764">
        <v>0.21099999999999999</v>
      </c>
      <c r="C50" s="614">
        <f>(C49*B50)+C49</f>
        <v>372654.97499999998</v>
      </c>
      <c r="D50" s="614">
        <v>275000</v>
      </c>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row>
    <row r="51" spans="1:58" ht="14.25" customHeight="1" x14ac:dyDescent="0.3">
      <c r="A51" s="304" t="s">
        <v>1848</v>
      </c>
      <c r="B51" s="764">
        <v>0.217</v>
      </c>
      <c r="C51" s="614">
        <f>(C50*B51)+C50</f>
        <v>453521.104575</v>
      </c>
      <c r="D51" s="614">
        <v>453521.104575</v>
      </c>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row>
    <row r="52" spans="1:58" ht="14.25" customHeight="1" x14ac:dyDescent="0.3">
      <c r="A52" s="304" t="s">
        <v>1849</v>
      </c>
      <c r="B52" s="764">
        <v>0.14099999999999999</v>
      </c>
      <c r="C52" s="614">
        <f>(C51*B52)+C51</f>
        <v>517467.58032007498</v>
      </c>
      <c r="D52" s="614">
        <v>453521.104575</v>
      </c>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row>
    <row r="53" spans="1:58" ht="14.25" customHeight="1" x14ac:dyDescent="0.3">
      <c r="A53" s="304" t="s">
        <v>1862</v>
      </c>
      <c r="B53" s="764">
        <v>0.13200000000000001</v>
      </c>
      <c r="C53" s="614">
        <f>(C52*B53)+C52</f>
        <v>585773.30092232488</v>
      </c>
      <c r="D53" s="614">
        <v>453521.104575</v>
      </c>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row>
    <row r="54" spans="1:58" ht="14.25" customHeight="1" x14ac:dyDescent="0.3">
      <c r="A54" s="304" t="s">
        <v>2050</v>
      </c>
      <c r="B54" s="764">
        <v>9.8000000000000004E-2</v>
      </c>
      <c r="C54" s="614">
        <v>642156.36</v>
      </c>
      <c r="D54" s="614">
        <v>642156.36</v>
      </c>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row>
    <row r="55" spans="1:58" ht="14.25" customHeight="1" x14ac:dyDescent="0.3">
      <c r="A55" s="304" t="s">
        <v>2051</v>
      </c>
      <c r="B55" s="764">
        <v>4.3999999999999997E-2</v>
      </c>
      <c r="C55" s="614">
        <f>(C54*B55)+C54</f>
        <v>670411.23983999994</v>
      </c>
      <c r="D55" s="614">
        <v>642156.36</v>
      </c>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row>
    <row r="56" spans="1:58" ht="14.25" customHeight="1" x14ac:dyDescent="0.3">
      <c r="A56" s="304" t="s">
        <v>2052</v>
      </c>
      <c r="B56" s="764">
        <v>4.8000000000000001E-2</v>
      </c>
      <c r="C56" s="614">
        <f>(C55*B56)+C55</f>
        <v>702590.97935231996</v>
      </c>
      <c r="D56" s="614">
        <v>642156.36</v>
      </c>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row>
    <row r="57" spans="1:58" ht="14.25" customHeight="1" x14ac:dyDescent="0.3">
      <c r="A57" s="304" t="s">
        <v>2053</v>
      </c>
      <c r="B57" s="764">
        <v>5.0999999999999997E-2</v>
      </c>
      <c r="C57" s="614">
        <v>739599.16207961505</v>
      </c>
      <c r="D57" s="614">
        <f>C57</f>
        <v>739599.16207961505</v>
      </c>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row>
    <row r="58" spans="1:58" ht="14.25" customHeight="1" x14ac:dyDescent="0.3">
      <c r="A58" s="304" t="s">
        <v>2054</v>
      </c>
      <c r="B58" s="764">
        <v>4.2000000000000003E-2</v>
      </c>
      <c r="C58" s="614">
        <f t="shared" ref="C58:C71" si="0">(C57*B58)+C57</f>
        <v>770662.32688695891</v>
      </c>
      <c r="D58" s="614">
        <v>739599.16207961505</v>
      </c>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row>
    <row r="59" spans="1:58" ht="14.25" customHeight="1" x14ac:dyDescent="0.3">
      <c r="A59" s="304" t="s">
        <v>2055</v>
      </c>
      <c r="B59" s="764">
        <v>0.04</v>
      </c>
      <c r="C59" s="614">
        <f t="shared" si="0"/>
        <v>801488.81996243726</v>
      </c>
      <c r="D59" s="614">
        <v>739599.16207961505</v>
      </c>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row>
    <row r="60" spans="1:58" ht="14.25" customHeight="1" x14ac:dyDescent="0.3">
      <c r="A60" s="304" t="s">
        <v>2056</v>
      </c>
      <c r="B60" s="764">
        <v>3.2000000000000001E-2</v>
      </c>
      <c r="C60" s="614">
        <f t="shared" si="0"/>
        <v>827136.46220123523</v>
      </c>
      <c r="D60" s="614">
        <f>C60</f>
        <v>827136.46220123523</v>
      </c>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row>
    <row r="61" spans="1:58" ht="14.25" customHeight="1" x14ac:dyDescent="0.3">
      <c r="A61" s="304" t="s">
        <v>1870</v>
      </c>
      <c r="B61" s="764">
        <v>3.2000000000000001E-2</v>
      </c>
      <c r="C61" s="614">
        <f t="shared" si="0"/>
        <v>853604.82899167482</v>
      </c>
      <c r="D61" s="614">
        <v>827136.46220123523</v>
      </c>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row>
    <row r="62" spans="1:58" ht="14.25" customHeight="1" x14ac:dyDescent="0.3">
      <c r="A62" s="304" t="s">
        <v>2057</v>
      </c>
      <c r="B62" s="764">
        <v>3.3000000000000002E-2</v>
      </c>
      <c r="C62" s="614">
        <f t="shared" si="0"/>
        <v>881773.78834840003</v>
      </c>
      <c r="D62" s="614">
        <v>827136.46220123523</v>
      </c>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row>
    <row r="63" spans="1:58" ht="14.25" customHeight="1" x14ac:dyDescent="0.3">
      <c r="A63" s="304" t="s">
        <v>2058</v>
      </c>
      <c r="B63" s="764">
        <v>3.1E-2</v>
      </c>
      <c r="C63" s="614">
        <f t="shared" si="0"/>
        <v>909108.77578720043</v>
      </c>
      <c r="D63" s="614">
        <f>C63</f>
        <v>909108.77578720043</v>
      </c>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row>
    <row r="64" spans="1:58" ht="14.25" customHeight="1" x14ac:dyDescent="0.3">
      <c r="A64" s="304" t="s">
        <v>2059</v>
      </c>
      <c r="B64" s="764">
        <v>2.1000000000000001E-2</v>
      </c>
      <c r="C64" s="614">
        <f t="shared" si="0"/>
        <v>928200.06007873162</v>
      </c>
      <c r="D64" s="614">
        <v>909108.77578720043</v>
      </c>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row>
    <row r="65" spans="1:58" ht="14.25" customHeight="1" x14ac:dyDescent="0.3">
      <c r="A65" s="304" t="s">
        <v>2060</v>
      </c>
      <c r="B65" s="764">
        <v>3.2000000000000001E-2</v>
      </c>
      <c r="C65" s="614">
        <f t="shared" si="0"/>
        <v>957902.46200125106</v>
      </c>
      <c r="D65" s="614">
        <v>909108.77578720043</v>
      </c>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row>
    <row r="66" spans="1:58" ht="14.25" customHeight="1" x14ac:dyDescent="0.3">
      <c r="A66" s="304" t="s">
        <v>2061</v>
      </c>
      <c r="B66" s="764">
        <v>2.3E-2</v>
      </c>
      <c r="C66" s="614">
        <f t="shared" si="0"/>
        <v>979934.21862727986</v>
      </c>
      <c r="D66" s="614">
        <v>979934.21862727986</v>
      </c>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row>
    <row r="67" spans="1:58" ht="14.25" customHeight="1" x14ac:dyDescent="0.3">
      <c r="A67" s="304" t="s">
        <v>2062</v>
      </c>
      <c r="B67" s="764">
        <v>1.6E-2</v>
      </c>
      <c r="C67" s="614">
        <f t="shared" si="0"/>
        <v>995613.16612531629</v>
      </c>
      <c r="D67" s="614">
        <v>979934.21862727986</v>
      </c>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row>
    <row r="68" spans="1:58" ht="14.25" customHeight="1" x14ac:dyDescent="0.3">
      <c r="A68" s="304" t="s">
        <v>2063</v>
      </c>
      <c r="B68" s="764">
        <v>2.1000000000000001E-2</v>
      </c>
      <c r="C68" s="614">
        <f t="shared" si="0"/>
        <v>1016521.0426139479</v>
      </c>
      <c r="D68" s="614">
        <v>979934.21862727986</v>
      </c>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row>
    <row r="69" spans="1:58" ht="14.25" customHeight="1" x14ac:dyDescent="0.3">
      <c r="A69" s="839" t="s">
        <v>2064</v>
      </c>
      <c r="B69" s="768">
        <v>2.5000000000000001E-2</v>
      </c>
      <c r="C69" s="646">
        <f t="shared" si="0"/>
        <v>1041934.0686792965</v>
      </c>
      <c r="D69" s="646">
        <f>C69</f>
        <v>1041934.0686792965</v>
      </c>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row>
    <row r="70" spans="1:58" ht="14.25" customHeight="1" x14ac:dyDescent="0.3">
      <c r="A70" s="839" t="s">
        <v>2065</v>
      </c>
      <c r="B70" s="768">
        <v>1.6E-2</v>
      </c>
      <c r="C70" s="646">
        <f t="shared" si="0"/>
        <v>1058605.0137781652</v>
      </c>
      <c r="D70" s="646">
        <v>1041934.068679297</v>
      </c>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row>
    <row r="71" spans="1:58" ht="14.25" customHeight="1" x14ac:dyDescent="0.3">
      <c r="A71" s="839" t="s">
        <v>2066</v>
      </c>
      <c r="B71" s="768">
        <v>2.1999999999999999E-2</v>
      </c>
      <c r="C71" s="646">
        <f t="shared" si="0"/>
        <v>1081894.3240812849</v>
      </c>
      <c r="D71" s="646">
        <v>1041934.068679297</v>
      </c>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row>
    <row r="72" spans="1:58" ht="14.2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row>
    <row r="73" spans="1:58" ht="14.2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row>
    <row r="74" spans="1:58" ht="14.25" customHeight="1" x14ac:dyDescent="0.3">
      <c r="A74" s="261" t="s">
        <v>2067</v>
      </c>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row>
    <row r="75" spans="1:58" ht="14.25" customHeight="1" x14ac:dyDescent="0.3">
      <c r="A75" s="261" t="s">
        <v>2068</v>
      </c>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row>
    <row r="76" spans="1:58" ht="14.2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row>
    <row r="77" spans="1:58" ht="14.2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row>
    <row r="78" spans="1:58" ht="14.2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row>
    <row r="79" spans="1:58" ht="14.2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row>
    <row r="80" spans="1:58" ht="14.2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row>
    <row r="81" spans="1:58" ht="14.2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row>
    <row r="82" spans="1:58" ht="14.2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row>
    <row r="83" spans="1:58" ht="14.2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row>
    <row r="84" spans="1:58" ht="14.2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row>
    <row r="85" spans="1:58" ht="14.2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row>
    <row r="86" spans="1:58" ht="14.2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row>
    <row r="87" spans="1:58" ht="14.2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row>
    <row r="88" spans="1:58" ht="14.2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row>
    <row r="89" spans="1:58" ht="14.2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row>
    <row r="90" spans="1:58" ht="14.2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row>
    <row r="91" spans="1:58" ht="14.2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row>
    <row r="92" spans="1:58" ht="14.2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row>
    <row r="93" spans="1:58" ht="14.2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row>
    <row r="94" spans="1:58" ht="14.2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row>
    <row r="95" spans="1:58" ht="14.2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row>
    <row r="96" spans="1:58" ht="14.2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row>
    <row r="97" spans="1:58" ht="14.2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row>
    <row r="98" spans="1:58" ht="14.2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row>
    <row r="99" spans="1:58" ht="14.2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row>
    <row r="100" spans="1:58" ht="14.2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row>
    <row r="101" spans="1:58" ht="14.2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row>
    <row r="102" spans="1:58" ht="14.2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row>
    <row r="103" spans="1:58" ht="14.2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row>
    <row r="104" spans="1:58" ht="14.2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row>
    <row r="105" spans="1:58" ht="14.2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row>
    <row r="106" spans="1:58" ht="14.2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row>
    <row r="107" spans="1:58" ht="14.2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row>
    <row r="108" spans="1:58" ht="14.2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row>
    <row r="109" spans="1:58" ht="14.2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row>
    <row r="110" spans="1:58" ht="14.2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row>
    <row r="111" spans="1:58" ht="14.2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row>
    <row r="112" spans="1:58" ht="14.2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row>
    <row r="113" spans="1:58" ht="14.2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row>
    <row r="114" spans="1:58" ht="14.2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row>
    <row r="115" spans="1:58" ht="14.2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row>
    <row r="116" spans="1:58" ht="14.2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row>
    <row r="117" spans="1:58" ht="14.2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row>
    <row r="118" spans="1:58" ht="14.2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row>
    <row r="119" spans="1:58" ht="14.2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row>
    <row r="120" spans="1:58" ht="14.2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row>
    <row r="121" spans="1:58" ht="14.2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row>
    <row r="122" spans="1:58" ht="14.2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row>
    <row r="123" spans="1:58" ht="14.2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row>
    <row r="124" spans="1:58" ht="14.2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row>
    <row r="125" spans="1:58" ht="14.2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row>
    <row r="126" spans="1:58" ht="14.2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row>
    <row r="127" spans="1:58" ht="14.2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row>
    <row r="128" spans="1:58" ht="14.2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row>
    <row r="129" spans="1:58" ht="14.2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row>
    <row r="130" spans="1:58" ht="14.2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row>
    <row r="131" spans="1:58" ht="14.2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row>
    <row r="132" spans="1:58" ht="14.2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row>
    <row r="133" spans="1:58" ht="14.2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row>
    <row r="134" spans="1:58" ht="14.2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row>
    <row r="135" spans="1:58" ht="14.2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row>
    <row r="136" spans="1:58" ht="14.2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row>
    <row r="137" spans="1:58" ht="14.2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row>
    <row r="138" spans="1:58" ht="14.2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row>
    <row r="139" spans="1:58" ht="14.2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row>
    <row r="140" spans="1:58" ht="14.2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row>
    <row r="141" spans="1:58" ht="14.2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row>
    <row r="142" spans="1:58" ht="14.2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row>
    <row r="143" spans="1:58" ht="14.2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row>
    <row r="144" spans="1:58" ht="14.2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row>
    <row r="145" spans="1:58" ht="14.2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row>
    <row r="146" spans="1:58" ht="14.2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row>
    <row r="147" spans="1:58" ht="14.2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row>
    <row r="148" spans="1:58" ht="14.2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row>
    <row r="149" spans="1:58" ht="14.2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row>
    <row r="150" spans="1:58" ht="14.2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row>
    <row r="151" spans="1:58" ht="14.2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row>
    <row r="152" spans="1:58" ht="14.2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row>
    <row r="153" spans="1:58" ht="14.2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row>
    <row r="154" spans="1:58" ht="14.2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row>
    <row r="155" spans="1:58" ht="14.2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row>
    <row r="156" spans="1:58" ht="14.2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row>
    <row r="157" spans="1:58" ht="14.2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row>
    <row r="158" spans="1:58" ht="14.2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row>
    <row r="159" spans="1:58" ht="14.2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row>
    <row r="160" spans="1:58" ht="14.2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row>
    <row r="161" spans="1:58" ht="14.2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row>
    <row r="162" spans="1:58" ht="14.2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row>
    <row r="163" spans="1:58" ht="14.2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row>
    <row r="164" spans="1:58" ht="14.2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row>
    <row r="165" spans="1:58" ht="14.2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row>
    <row r="166" spans="1:58" ht="14.2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row>
    <row r="167" spans="1:58" ht="14.2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row>
    <row r="168" spans="1:58" ht="14.2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row>
    <row r="169" spans="1:58" ht="14.2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row>
    <row r="170" spans="1:58" ht="14.2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row>
    <row r="171" spans="1:58" ht="14.2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row>
    <row r="172" spans="1:58" ht="14.2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row>
    <row r="173" spans="1:58" ht="14.2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row>
    <row r="174" spans="1:58" ht="14.2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row>
    <row r="175" spans="1:58" ht="14.2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row>
    <row r="176" spans="1:58" ht="14.2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row>
    <row r="177" spans="1:58" ht="14.2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row>
    <row r="178" spans="1:58" ht="14.2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row>
    <row r="179" spans="1:58" ht="14.2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row>
    <row r="180" spans="1:58" ht="14.2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row>
    <row r="181" spans="1:58" ht="14.2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row>
    <row r="182" spans="1:58" ht="14.2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row>
    <row r="183" spans="1:58" ht="14.2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row>
    <row r="184" spans="1:58" ht="14.2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row>
    <row r="185" spans="1:58" ht="14.2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row>
    <row r="186" spans="1:58" ht="14.2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row>
    <row r="187" spans="1:58" ht="14.2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row>
    <row r="188" spans="1:58" ht="14.2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row>
    <row r="189" spans="1:58" ht="14.2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row>
    <row r="190" spans="1:58" ht="14.2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row>
    <row r="191" spans="1:58" ht="14.2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row>
    <row r="192" spans="1:58" ht="14.2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row>
    <row r="193" spans="1:58" ht="14.2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row>
    <row r="194" spans="1:58" ht="14.2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row>
    <row r="195" spans="1:58" ht="14.2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row>
    <row r="196" spans="1:58" ht="14.2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row>
    <row r="197" spans="1:58" ht="14.2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row>
    <row r="198" spans="1:58" ht="14.2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row>
    <row r="199" spans="1:58" ht="14.2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row>
    <row r="200" spans="1:58" ht="14.2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row>
    <row r="201" spans="1:58" ht="14.2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row>
    <row r="202" spans="1:58" ht="14.2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row>
    <row r="203" spans="1:58" ht="14.2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row>
    <row r="204" spans="1:58" ht="14.2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row>
    <row r="205" spans="1:58" ht="14.2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row>
    <row r="206" spans="1:58" ht="14.2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row>
    <row r="207" spans="1:58" ht="14.2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row>
    <row r="208" spans="1:58" ht="14.2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row>
    <row r="209" spans="1:58" ht="14.2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row>
    <row r="210" spans="1:58" ht="14.2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row>
    <row r="211" spans="1:58" ht="14.2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row>
    <row r="212" spans="1:58" ht="14.2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row>
    <row r="213" spans="1:58" ht="14.2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row>
    <row r="214" spans="1:58" ht="14.2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row>
    <row r="215" spans="1:58" ht="14.2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row>
    <row r="216" spans="1:58" ht="14.2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row>
    <row r="217" spans="1:58" ht="14.2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row>
    <row r="218" spans="1:58" ht="14.2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row>
    <row r="219" spans="1:58" ht="14.2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row>
    <row r="220" spans="1:58" ht="14.2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row>
    <row r="221" spans="1:58" ht="14.2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row>
    <row r="222" spans="1:58" ht="14.2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row>
    <row r="223" spans="1:58" ht="14.2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row>
    <row r="224" spans="1:58" ht="14.2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row>
    <row r="225" spans="1:58" ht="14.2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row>
    <row r="226" spans="1:58" ht="14.2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row>
    <row r="227" spans="1:58" ht="14.2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row>
    <row r="228" spans="1:58" ht="14.2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row>
    <row r="229" spans="1:58" ht="14.2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row>
    <row r="230" spans="1:58" ht="14.2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row>
    <row r="231" spans="1:58" ht="14.2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row>
    <row r="232" spans="1:58" ht="14.2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row>
    <row r="233" spans="1:58" ht="14.2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row>
    <row r="234" spans="1:58" ht="14.2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row>
    <row r="235" spans="1:58" ht="14.2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row>
    <row r="236" spans="1:58" ht="14.2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row>
    <row r="237" spans="1:58" ht="14.2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row>
    <row r="238" spans="1:58" ht="14.2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row>
    <row r="239" spans="1:58" ht="14.2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row>
    <row r="240" spans="1:58" ht="14.2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row>
    <row r="241" spans="1:58" ht="14.2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row>
    <row r="242" spans="1:58" ht="14.2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row>
    <row r="243" spans="1:58" ht="14.2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row>
    <row r="244" spans="1:58" ht="14.2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row>
    <row r="245" spans="1:58" ht="14.2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row>
    <row r="246" spans="1:58" ht="14.2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row>
    <row r="247" spans="1:58" ht="14.2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row>
    <row r="248" spans="1:58" ht="14.2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row>
    <row r="249" spans="1:58" ht="14.2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row>
    <row r="250" spans="1:58" ht="14.2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row>
    <row r="251" spans="1:58" ht="14.2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row>
    <row r="252" spans="1:58" ht="14.2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row>
    <row r="253" spans="1:58" ht="14.2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row>
    <row r="254" spans="1:58" ht="14.2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row>
    <row r="255" spans="1:58" ht="14.2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row>
    <row r="256" spans="1:58" ht="14.2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row>
    <row r="257" spans="1:58" ht="14.2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row>
    <row r="258" spans="1:58" ht="14.2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row>
    <row r="259" spans="1:58" ht="14.2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row>
    <row r="260" spans="1:58" ht="14.2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row>
    <row r="261" spans="1:58" ht="14.2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row>
    <row r="262" spans="1:58" ht="14.2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row>
    <row r="263" spans="1:58" ht="14.2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row>
    <row r="264" spans="1:58" ht="14.2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row>
    <row r="265" spans="1:58" ht="14.2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row>
    <row r="266" spans="1:58" ht="14.2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row>
    <row r="267" spans="1:58" ht="14.2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row>
    <row r="268" spans="1:58" ht="14.2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row>
    <row r="269" spans="1:58" ht="14.2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row>
    <row r="270" spans="1:58" ht="14.2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row>
    <row r="271" spans="1:58" ht="14.2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row>
    <row r="272" spans="1:58" ht="14.2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row>
    <row r="273" spans="1:58" ht="14.2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row>
    <row r="274" spans="1:58" ht="14.2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row>
    <row r="275" spans="1:58" ht="14.2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row>
    <row r="276" spans="1:58" ht="15.75" customHeight="1" x14ac:dyDescent="0.3"/>
    <row r="277" spans="1:58" ht="15.75" customHeight="1" x14ac:dyDescent="0.3"/>
    <row r="278" spans="1:58" ht="15.75" customHeight="1" x14ac:dyDescent="0.3"/>
    <row r="279" spans="1:58" ht="15.75" customHeight="1" x14ac:dyDescent="0.3"/>
    <row r="280" spans="1:58" ht="15.75" customHeight="1" x14ac:dyDescent="0.3"/>
    <row r="281" spans="1:58" ht="15.75" customHeight="1" x14ac:dyDescent="0.3"/>
    <row r="282" spans="1:58" ht="15.75" customHeight="1" x14ac:dyDescent="0.3"/>
    <row r="283" spans="1:58" ht="15.75" customHeight="1" x14ac:dyDescent="0.3"/>
    <row r="284" spans="1:58" ht="15.75" customHeight="1" x14ac:dyDescent="0.3"/>
    <row r="285" spans="1:58" ht="15.75" customHeight="1" x14ac:dyDescent="0.3"/>
    <row r="286" spans="1:58" ht="15.75" customHeight="1" x14ac:dyDescent="0.3"/>
    <row r="287" spans="1:58" ht="15.75" customHeight="1" x14ac:dyDescent="0.3"/>
    <row r="288" spans="1:5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87">
    <mergeCell ref="AH35:AI35"/>
    <mergeCell ref="X9:Y10"/>
    <mergeCell ref="N28:O29"/>
    <mergeCell ref="L9:M10"/>
    <mergeCell ref="N9:O10"/>
    <mergeCell ref="R9:S10"/>
    <mergeCell ref="Z9:AA10"/>
    <mergeCell ref="AF9:AG10"/>
    <mergeCell ref="B7:F7"/>
    <mergeCell ref="AH9:AI10"/>
    <mergeCell ref="A22:G22"/>
    <mergeCell ref="P28:Q29"/>
    <mergeCell ref="B23:B24"/>
    <mergeCell ref="C9:G9"/>
    <mergeCell ref="B9:B10"/>
    <mergeCell ref="C23:G23"/>
    <mergeCell ref="AB38:AC38"/>
    <mergeCell ref="C43:F43"/>
    <mergeCell ref="V28:W29"/>
    <mergeCell ref="C40:D40"/>
    <mergeCell ref="C42:D42"/>
    <mergeCell ref="C41:D41"/>
    <mergeCell ref="C38:D39"/>
    <mergeCell ref="T28:U29"/>
    <mergeCell ref="L38:M38"/>
    <mergeCell ref="N38:O38"/>
    <mergeCell ref="F28:F29"/>
    <mergeCell ref="H35:I35"/>
    <mergeCell ref="J35:K35"/>
    <mergeCell ref="L35:M35"/>
    <mergeCell ref="P38:Q38"/>
    <mergeCell ref="R38:S38"/>
    <mergeCell ref="X38:Y38"/>
    <mergeCell ref="AB35:AC35"/>
    <mergeCell ref="AD35:AE35"/>
    <mergeCell ref="T35:U35"/>
    <mergeCell ref="V35:W35"/>
    <mergeCell ref="V38:W38"/>
    <mergeCell ref="Z38:AA38"/>
    <mergeCell ref="A1:G1"/>
    <mergeCell ref="E38:G38"/>
    <mergeCell ref="A23:A24"/>
    <mergeCell ref="R28:S29"/>
    <mergeCell ref="A9:A10"/>
    <mergeCell ref="J28:K29"/>
    <mergeCell ref="L28:M29"/>
    <mergeCell ref="H38:I38"/>
    <mergeCell ref="A2:A4"/>
    <mergeCell ref="J38:K38"/>
    <mergeCell ref="C14:C15"/>
    <mergeCell ref="N35:O35"/>
    <mergeCell ref="P35:Q35"/>
    <mergeCell ref="C18:F18"/>
    <mergeCell ref="E28:E29"/>
    <mergeCell ref="R35:S35"/>
    <mergeCell ref="C2:G2"/>
    <mergeCell ref="B2:B4"/>
    <mergeCell ref="D14:D15"/>
    <mergeCell ref="H9:I10"/>
    <mergeCell ref="AJ35:AK35"/>
    <mergeCell ref="J9:K10"/>
    <mergeCell ref="AB9:AC10"/>
    <mergeCell ref="E14:G14"/>
    <mergeCell ref="X28:Y29"/>
    <mergeCell ref="E33:F33"/>
    <mergeCell ref="E27:G27"/>
    <mergeCell ref="H28:I29"/>
    <mergeCell ref="Z28:AA29"/>
    <mergeCell ref="X35:Y35"/>
    <mergeCell ref="Z35:AA35"/>
    <mergeCell ref="P9:Q10"/>
    <mergeCell ref="T9:U10"/>
    <mergeCell ref="V9:W10"/>
    <mergeCell ref="C3:G3"/>
    <mergeCell ref="AH38:AI38"/>
    <mergeCell ref="AJ38:AK38"/>
    <mergeCell ref="AB28:AC29"/>
    <mergeCell ref="AF28:AG29"/>
    <mergeCell ref="AH28:AI29"/>
    <mergeCell ref="AF35:AG35"/>
    <mergeCell ref="AJ9:AK10"/>
    <mergeCell ref="AD9:AE10"/>
    <mergeCell ref="AD28:AE29"/>
    <mergeCell ref="AJ28:AK29"/>
    <mergeCell ref="T38:U38"/>
    <mergeCell ref="AD38:AE38"/>
    <mergeCell ref="AF38:AG38"/>
  </mergeCells>
  <pageMargins left="0.7" right="0.7" top="0.75" bottom="0.75" header="0" footer="0"/>
  <pageSetup paperSize="9"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1000"/>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2.6640625" defaultRowHeight="15" customHeight="1" outlineLevelCol="1" x14ac:dyDescent="0.3"/>
  <cols>
    <col min="1" max="1" width="20.21875" customWidth="1"/>
    <col min="2" max="2" width="14" hidden="1" customWidth="1" outlineLevel="1"/>
    <col min="3" max="8" width="13.21875" hidden="1" customWidth="1" outlineLevel="1"/>
    <col min="9" max="9" width="15.21875" hidden="1" customWidth="1" outlineLevel="1"/>
    <col min="10" max="14" width="13.21875" hidden="1" customWidth="1" outlineLevel="1"/>
    <col min="15" max="17" width="13.21875" customWidth="1"/>
    <col min="18" max="38" width="11.44140625" customWidth="1"/>
    <col min="39" max="39" width="11.77734375" customWidth="1"/>
  </cols>
  <sheetData>
    <row r="1" spans="1:39" ht="12" customHeight="1" x14ac:dyDescent="0.3">
      <c r="A1" s="295"/>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row>
    <row r="2" spans="1:39" ht="12" customHeight="1" x14ac:dyDescent="0.3">
      <c r="A2" s="840" t="s">
        <v>2069</v>
      </c>
      <c r="B2" s="295"/>
      <c r="C2" s="841">
        <f>+C5/B5-1</f>
        <v>0.87971934366408711</v>
      </c>
      <c r="D2" s="295"/>
      <c r="E2" s="295"/>
      <c r="F2" s="841">
        <f>+F5/E5-1</f>
        <v>0.51536314740768807</v>
      </c>
      <c r="G2" s="295"/>
      <c r="H2" s="295"/>
      <c r="I2" s="842">
        <v>0.20100000000000001</v>
      </c>
      <c r="J2" s="295"/>
      <c r="K2" s="295"/>
      <c r="L2" s="843">
        <f>(+K14-1)*0</f>
        <v>0</v>
      </c>
      <c r="M2" s="295"/>
      <c r="N2" s="295"/>
      <c r="O2" s="843">
        <f>(+N14-1)*0</f>
        <v>0</v>
      </c>
      <c r="P2" s="295"/>
      <c r="Q2" s="295"/>
      <c r="R2" s="842">
        <f>+R5/Q5</f>
        <v>1.1529000156264082</v>
      </c>
      <c r="S2" s="295"/>
      <c r="T2" s="295"/>
      <c r="U2" s="842">
        <f>+U5/T5</f>
        <v>1</v>
      </c>
      <c r="V2" s="295"/>
      <c r="W2" s="295"/>
      <c r="X2" s="842">
        <v>1.14300446753906</v>
      </c>
      <c r="Y2" s="295"/>
      <c r="Z2" s="295"/>
      <c r="AA2" s="842">
        <f>+AA5/Z5</f>
        <v>1.0643291999999998</v>
      </c>
      <c r="AB2" s="295"/>
      <c r="AC2" s="295"/>
      <c r="AD2" s="842">
        <f>+AD5/AC5</f>
        <v>1.0456783749999996</v>
      </c>
      <c r="AE2" s="295"/>
      <c r="AF2" s="295"/>
      <c r="AG2" s="842">
        <f>+AG5/AF5</f>
        <v>1.0456783749999996</v>
      </c>
      <c r="AH2" s="295"/>
      <c r="AI2" s="295"/>
      <c r="AJ2" s="842">
        <f>+AJ5/AI5</f>
        <v>1.0456783749999996</v>
      </c>
      <c r="AK2" s="295"/>
      <c r="AL2" s="295"/>
      <c r="AM2" s="295"/>
    </row>
    <row r="3" spans="1:39" ht="12" customHeight="1" x14ac:dyDescent="0.3">
      <c r="A3" s="844">
        <v>70000</v>
      </c>
      <c r="B3" s="295"/>
      <c r="C3" s="845"/>
      <c r="D3" s="295"/>
      <c r="E3" s="295"/>
      <c r="F3" s="846"/>
      <c r="G3" s="295"/>
      <c r="H3" s="295"/>
      <c r="I3" s="845"/>
      <c r="J3" s="295"/>
      <c r="K3" s="295"/>
      <c r="L3" s="845"/>
      <c r="M3" s="295"/>
      <c r="N3" s="295"/>
      <c r="O3" s="845"/>
      <c r="P3" s="295"/>
      <c r="Q3" s="295"/>
      <c r="R3" s="845"/>
      <c r="S3" s="295"/>
      <c r="T3" s="295"/>
      <c r="U3" s="845"/>
      <c r="V3" s="295"/>
      <c r="W3" s="847">
        <f>+W5/A3</f>
        <v>139.53865714285715</v>
      </c>
      <c r="X3" s="848">
        <f>+X5/$A$3</f>
        <v>159.49330850868753</v>
      </c>
      <c r="Y3" s="295"/>
      <c r="Z3" s="849"/>
      <c r="AA3" s="848">
        <f>+AA5/$A$3</f>
        <v>169.75338545040455</v>
      </c>
      <c r="AB3" s="295"/>
      <c r="AC3" s="849"/>
      <c r="AD3" s="848">
        <f>+AD5/$A$3</f>
        <v>177.50744424852761</v>
      </c>
      <c r="AE3" s="295"/>
      <c r="AF3" s="849"/>
      <c r="AG3" s="848">
        <f>+AG5/$A$3</f>
        <v>185.61569585220337</v>
      </c>
      <c r="AH3" s="295"/>
      <c r="AI3" s="849"/>
      <c r="AJ3" s="848">
        <f>+AJ5/$A$3</f>
        <v>194.09431921322619</v>
      </c>
      <c r="AK3" s="295"/>
      <c r="AL3" s="848"/>
      <c r="AM3" s="295"/>
    </row>
    <row r="4" spans="1:39" ht="12" customHeight="1" x14ac:dyDescent="0.3">
      <c r="A4" s="850"/>
      <c r="B4" s="851">
        <v>45170</v>
      </c>
      <c r="C4" s="852">
        <v>45292</v>
      </c>
      <c r="D4" s="853">
        <v>45323</v>
      </c>
      <c r="E4" s="853">
        <v>45352</v>
      </c>
      <c r="F4" s="852">
        <v>45383</v>
      </c>
      <c r="G4" s="853">
        <v>45413</v>
      </c>
      <c r="H4" s="853">
        <v>45444</v>
      </c>
      <c r="I4" s="852">
        <v>45474</v>
      </c>
      <c r="J4" s="853">
        <v>45505</v>
      </c>
      <c r="K4" s="853">
        <v>45536</v>
      </c>
      <c r="L4" s="852">
        <v>45566</v>
      </c>
      <c r="M4" s="853">
        <v>45597</v>
      </c>
      <c r="N4" s="853">
        <v>45627</v>
      </c>
      <c r="O4" s="852">
        <f t="shared" ref="O4:X4" si="0">+N4+31</f>
        <v>45658</v>
      </c>
      <c r="P4" s="853">
        <f t="shared" si="0"/>
        <v>45689</v>
      </c>
      <c r="Q4" s="853">
        <f t="shared" si="0"/>
        <v>45720</v>
      </c>
      <c r="R4" s="852">
        <f t="shared" si="0"/>
        <v>45751</v>
      </c>
      <c r="S4" s="853">
        <f t="shared" si="0"/>
        <v>45782</v>
      </c>
      <c r="T4" s="853">
        <f t="shared" si="0"/>
        <v>45813</v>
      </c>
      <c r="U4" s="852">
        <f t="shared" si="0"/>
        <v>45844</v>
      </c>
      <c r="V4" s="853">
        <f t="shared" si="0"/>
        <v>45875</v>
      </c>
      <c r="W4" s="854">
        <f t="shared" si="0"/>
        <v>45906</v>
      </c>
      <c r="X4" s="855">
        <f t="shared" si="0"/>
        <v>45937</v>
      </c>
      <c r="Y4" s="856">
        <f>+X4+30</f>
        <v>45967</v>
      </c>
      <c r="Z4" s="857">
        <f>+Y4+30</f>
        <v>45997</v>
      </c>
      <c r="AA4" s="856">
        <f>+Z4+30</f>
        <v>46027</v>
      </c>
      <c r="AB4" s="856">
        <f>+AA4+28</f>
        <v>46055</v>
      </c>
      <c r="AC4" s="857">
        <f t="shared" ref="AC4:AH4" si="1">+AB4+30</f>
        <v>46085</v>
      </c>
      <c r="AD4" s="856">
        <f t="shared" si="1"/>
        <v>46115</v>
      </c>
      <c r="AE4" s="856">
        <f t="shared" si="1"/>
        <v>46145</v>
      </c>
      <c r="AF4" s="857">
        <f t="shared" si="1"/>
        <v>46175</v>
      </c>
      <c r="AG4" s="856">
        <f t="shared" si="1"/>
        <v>46205</v>
      </c>
      <c r="AH4" s="856">
        <f t="shared" si="1"/>
        <v>46235</v>
      </c>
      <c r="AI4" s="857">
        <f>+AH4+31</f>
        <v>46266</v>
      </c>
      <c r="AJ4" s="856">
        <f>+AI4+30</f>
        <v>46296</v>
      </c>
      <c r="AK4" s="856">
        <f>+AJ4+31</f>
        <v>46327</v>
      </c>
      <c r="AL4" s="857">
        <f>+AK4+30</f>
        <v>46357</v>
      </c>
      <c r="AM4" s="295"/>
    </row>
    <row r="5" spans="1:39" ht="12" customHeight="1" x14ac:dyDescent="0.3">
      <c r="A5" s="858" t="s">
        <v>2070</v>
      </c>
      <c r="B5" s="859">
        <v>2476556.2400000002</v>
      </c>
      <c r="C5" s="860">
        <f>4655230.67</f>
        <v>4655230.67</v>
      </c>
      <c r="D5" s="859">
        <f>4655230.67</f>
        <v>4655230.67</v>
      </c>
      <c r="E5" s="859">
        <f>4655230.67</f>
        <v>4655230.67</v>
      </c>
      <c r="F5" s="860">
        <v>7054365</v>
      </c>
      <c r="G5" s="859">
        <v>7054365</v>
      </c>
      <c r="H5" s="859">
        <v>7054365</v>
      </c>
      <c r="I5" s="860">
        <f>+H5*(1+I2)</f>
        <v>8472292.3650000002</v>
      </c>
      <c r="J5" s="859">
        <f>+I5</f>
        <v>8472292.3650000002</v>
      </c>
      <c r="K5" s="859">
        <f>+J5</f>
        <v>8472292.3650000002</v>
      </c>
      <c r="L5" s="861">
        <f>+I5*(1+L2)</f>
        <v>8472292.3650000002</v>
      </c>
      <c r="M5" s="859">
        <f>+L5</f>
        <v>8472292.3650000002</v>
      </c>
      <c r="N5" s="859">
        <f>+M5</f>
        <v>8472292.3650000002</v>
      </c>
      <c r="O5" s="861">
        <f>+L5*(1+O2)</f>
        <v>8472292.3650000002</v>
      </c>
      <c r="P5" s="859">
        <f>+O5</f>
        <v>8472292.3650000002</v>
      </c>
      <c r="Q5" s="859">
        <f>+P5</f>
        <v>8472292.3650000002</v>
      </c>
      <c r="R5" s="861">
        <v>9767706</v>
      </c>
      <c r="S5" s="859">
        <f>+R5</f>
        <v>9767706</v>
      </c>
      <c r="T5" s="859">
        <f>+S5</f>
        <v>9767706</v>
      </c>
      <c r="U5" s="861">
        <v>9767706</v>
      </c>
      <c r="V5" s="859">
        <f>+U5</f>
        <v>9767706</v>
      </c>
      <c r="W5" s="862">
        <f>+V5</f>
        <v>9767706</v>
      </c>
      <c r="X5" s="863">
        <f>+X13</f>
        <v>11164531.595608128</v>
      </c>
      <c r="Y5" s="862">
        <f>+X5</f>
        <v>11164531.595608128</v>
      </c>
      <c r="Z5" s="862">
        <f>+Y5</f>
        <v>11164531.595608128</v>
      </c>
      <c r="AA5" s="864">
        <f>+Z5*AA19</f>
        <v>11882736.981528319</v>
      </c>
      <c r="AB5" s="862">
        <f>+AA5</f>
        <v>11882736.981528319</v>
      </c>
      <c r="AC5" s="862">
        <f>+AB5</f>
        <v>11882736.981528319</v>
      </c>
      <c r="AD5" s="864">
        <f>+AC5*AD19</f>
        <v>12425521.097396933</v>
      </c>
      <c r="AE5" s="862">
        <f>+AD5</f>
        <v>12425521.097396933</v>
      </c>
      <c r="AF5" s="862">
        <f>+AE5</f>
        <v>12425521.097396933</v>
      </c>
      <c r="AG5" s="864">
        <f>+AF5*AG19</f>
        <v>12993098.709654236</v>
      </c>
      <c r="AH5" s="862">
        <f>+AG5</f>
        <v>12993098.709654236</v>
      </c>
      <c r="AI5" s="862">
        <f>+AH5</f>
        <v>12993098.709654236</v>
      </c>
      <c r="AJ5" s="864">
        <f>+AI5*AJ19</f>
        <v>13586602.344925834</v>
      </c>
      <c r="AK5" s="862">
        <f>+AJ5</f>
        <v>13586602.344925834</v>
      </c>
      <c r="AL5" s="862">
        <f>+AK5</f>
        <v>13586602.344925834</v>
      </c>
      <c r="AM5" s="865"/>
    </row>
    <row r="6" spans="1:39" ht="12" customHeight="1" x14ac:dyDescent="0.3">
      <c r="A6" s="866" t="s">
        <v>2071</v>
      </c>
      <c r="B6" s="867"/>
      <c r="C6" s="868">
        <v>61433</v>
      </c>
      <c r="D6" s="869">
        <v>60301</v>
      </c>
      <c r="E6" s="869">
        <v>66283</v>
      </c>
      <c r="F6" s="868">
        <v>71760</v>
      </c>
      <c r="G6" s="869">
        <v>76379</v>
      </c>
      <c r="H6" s="870">
        <v>61932</v>
      </c>
      <c r="I6" s="868">
        <f>70000+I7</f>
        <v>71195</v>
      </c>
      <c r="J6" s="868">
        <f>70000+J7</f>
        <v>71883</v>
      </c>
      <c r="K6" s="868">
        <v>67978</v>
      </c>
      <c r="L6" s="868">
        <v>71178</v>
      </c>
      <c r="M6" s="869">
        <v>65631</v>
      </c>
      <c r="N6" s="869">
        <v>62378</v>
      </c>
      <c r="O6" s="868">
        <v>62369</v>
      </c>
      <c r="P6" s="868">
        <v>60426</v>
      </c>
      <c r="Q6" s="869">
        <v>65677</v>
      </c>
      <c r="R6" s="868">
        <v>70989</v>
      </c>
      <c r="S6" s="869">
        <v>69445</v>
      </c>
      <c r="T6" s="869">
        <v>67278</v>
      </c>
      <c r="U6" s="868">
        <v>73360</v>
      </c>
      <c r="V6" s="869">
        <v>69061</v>
      </c>
      <c r="W6" s="871">
        <v>69485</v>
      </c>
      <c r="X6" s="871">
        <v>69457</v>
      </c>
      <c r="Y6" s="871"/>
      <c r="Z6" s="871"/>
      <c r="AA6" s="871"/>
      <c r="AB6" s="871"/>
      <c r="AC6" s="871"/>
      <c r="AD6" s="871"/>
      <c r="AE6" s="871"/>
      <c r="AF6" s="871"/>
      <c r="AG6" s="871"/>
      <c r="AH6" s="871"/>
      <c r="AI6" s="871"/>
      <c r="AJ6" s="871"/>
      <c r="AK6" s="871"/>
      <c r="AL6" s="871"/>
      <c r="AM6" s="295"/>
    </row>
    <row r="7" spans="1:39" ht="12" customHeight="1" x14ac:dyDescent="0.3">
      <c r="A7" s="866" t="s">
        <v>2072</v>
      </c>
      <c r="B7" s="867"/>
      <c r="C7" s="868">
        <v>0</v>
      </c>
      <c r="D7" s="869">
        <v>0</v>
      </c>
      <c r="E7" s="869">
        <v>0</v>
      </c>
      <c r="F7" s="868">
        <f>+F6-$A$3</f>
        <v>1760</v>
      </c>
      <c r="G7" s="868">
        <f>+G6-$A$3</f>
        <v>6379</v>
      </c>
      <c r="H7" s="868">
        <v>0</v>
      </c>
      <c r="I7" s="868">
        <v>1195</v>
      </c>
      <c r="J7" s="869">
        <v>1883</v>
      </c>
      <c r="K7" s="869">
        <v>0</v>
      </c>
      <c r="L7" s="868">
        <f>+L6-70000</f>
        <v>1178</v>
      </c>
      <c r="M7" s="869">
        <v>0</v>
      </c>
      <c r="N7" s="870">
        <v>0</v>
      </c>
      <c r="O7" s="868">
        <v>0</v>
      </c>
      <c r="P7" s="869">
        <v>0</v>
      </c>
      <c r="Q7" s="870">
        <v>0</v>
      </c>
      <c r="R7" s="872">
        <f>+R6-70000</f>
        <v>989</v>
      </c>
      <c r="S7" s="870">
        <v>0</v>
      </c>
      <c r="T7" s="870">
        <v>0</v>
      </c>
      <c r="U7" s="872">
        <f>+U6-70000</f>
        <v>3360</v>
      </c>
      <c r="V7" s="870">
        <v>0</v>
      </c>
      <c r="W7" s="873">
        <v>0</v>
      </c>
      <c r="X7" s="873">
        <v>0</v>
      </c>
      <c r="Y7" s="873"/>
      <c r="Z7" s="873"/>
      <c r="AA7" s="873"/>
      <c r="AB7" s="873"/>
      <c r="AC7" s="873"/>
      <c r="AD7" s="873"/>
      <c r="AE7" s="873"/>
      <c r="AF7" s="873"/>
      <c r="AG7" s="873"/>
      <c r="AH7" s="873"/>
      <c r="AI7" s="873"/>
      <c r="AJ7" s="873"/>
      <c r="AK7" s="873"/>
      <c r="AL7" s="873"/>
      <c r="AM7" s="295"/>
    </row>
    <row r="8" spans="1:39" ht="12" customHeight="1" x14ac:dyDescent="0.3">
      <c r="A8" s="866" t="s">
        <v>2073</v>
      </c>
      <c r="B8" s="874"/>
      <c r="C8" s="875">
        <v>44.43</v>
      </c>
      <c r="D8" s="874">
        <v>44.43</v>
      </c>
      <c r="E8" s="874">
        <v>44.43</v>
      </c>
      <c r="F8" s="875">
        <v>67.33</v>
      </c>
      <c r="G8" s="876">
        <v>67.33</v>
      </c>
      <c r="H8" s="876">
        <v>67.33</v>
      </c>
      <c r="I8" s="875">
        <v>80.86</v>
      </c>
      <c r="J8" s="874">
        <f t="shared" ref="J8:Q8" si="2">+I8</f>
        <v>80.86</v>
      </c>
      <c r="K8" s="874">
        <f t="shared" si="2"/>
        <v>80.86</v>
      </c>
      <c r="L8" s="876">
        <f t="shared" si="2"/>
        <v>80.86</v>
      </c>
      <c r="M8" s="876">
        <f t="shared" si="2"/>
        <v>80.86</v>
      </c>
      <c r="N8" s="876">
        <f t="shared" si="2"/>
        <v>80.86</v>
      </c>
      <c r="O8" s="876">
        <f t="shared" si="2"/>
        <v>80.86</v>
      </c>
      <c r="P8" s="876">
        <f t="shared" si="2"/>
        <v>80.86</v>
      </c>
      <c r="Q8" s="876">
        <f t="shared" si="2"/>
        <v>80.86</v>
      </c>
      <c r="R8" s="876">
        <v>93.22</v>
      </c>
      <c r="S8" s="876">
        <f>+R8</f>
        <v>93.22</v>
      </c>
      <c r="T8" s="876">
        <f>+S8</f>
        <v>93.22</v>
      </c>
      <c r="U8" s="876">
        <v>93.22</v>
      </c>
      <c r="V8" s="876">
        <f>+U8</f>
        <v>93.22</v>
      </c>
      <c r="W8" s="877">
        <f>+V8</f>
        <v>93.22</v>
      </c>
      <c r="X8" s="877">
        <f>+W8*X2</f>
        <v>106.55087646399117</v>
      </c>
      <c r="Y8" s="877">
        <f>+X8</f>
        <v>106.55087646399117</v>
      </c>
      <c r="Z8" s="877">
        <f>+Y8</f>
        <v>106.55087646399117</v>
      </c>
      <c r="AA8" s="877">
        <f>+Z8*AA19</f>
        <v>113.40520910621852</v>
      </c>
      <c r="AB8" s="878">
        <f>+AA8</f>
        <v>113.40520910621852</v>
      </c>
      <c r="AC8" s="878">
        <f>+AB8</f>
        <v>113.40520910621852</v>
      </c>
      <c r="AD8" s="877">
        <f>+AC8*AD19</f>
        <v>118.58537477472574</v>
      </c>
      <c r="AE8" s="878">
        <f>+AD8</f>
        <v>118.58537477472574</v>
      </c>
      <c r="AF8" s="878">
        <f>+AE8</f>
        <v>118.58537477472574</v>
      </c>
      <c r="AG8" s="877">
        <f>+AF8*AG19</f>
        <v>124.00216199320116</v>
      </c>
      <c r="AH8" s="878">
        <f>+AG8</f>
        <v>124.00216199320116</v>
      </c>
      <c r="AI8" s="878">
        <f>+AH8</f>
        <v>124.00216199320116</v>
      </c>
      <c r="AJ8" s="877">
        <f>+AI8*AJ19</f>
        <v>129.6663792495373</v>
      </c>
      <c r="AK8" s="878">
        <f>+AJ8</f>
        <v>129.6663792495373</v>
      </c>
      <c r="AL8" s="878">
        <f>+AK8</f>
        <v>129.6663792495373</v>
      </c>
      <c r="AM8" s="295"/>
    </row>
    <row r="9" spans="1:39" ht="12" customHeight="1" x14ac:dyDescent="0.3">
      <c r="A9" s="858" t="s">
        <v>2074</v>
      </c>
      <c r="B9" s="879"/>
      <c r="C9" s="880"/>
      <c r="D9" s="881"/>
      <c r="E9" s="881"/>
      <c r="F9" s="861">
        <f t="shared" ref="F9:AL9" si="3">+F8*F7</f>
        <v>118500.8</v>
      </c>
      <c r="G9" s="861">
        <f t="shared" si="3"/>
        <v>429498.07</v>
      </c>
      <c r="H9" s="861">
        <f t="shared" si="3"/>
        <v>0</v>
      </c>
      <c r="I9" s="861">
        <f t="shared" si="3"/>
        <v>96627.7</v>
      </c>
      <c r="J9" s="861">
        <f t="shared" si="3"/>
        <v>152259.38</v>
      </c>
      <c r="K9" s="861">
        <f t="shared" si="3"/>
        <v>0</v>
      </c>
      <c r="L9" s="861">
        <f t="shared" si="3"/>
        <v>95253.08</v>
      </c>
      <c r="M9" s="861">
        <f t="shared" si="3"/>
        <v>0</v>
      </c>
      <c r="N9" s="861">
        <f t="shared" si="3"/>
        <v>0</v>
      </c>
      <c r="O9" s="861">
        <f t="shared" si="3"/>
        <v>0</v>
      </c>
      <c r="P9" s="861">
        <f t="shared" si="3"/>
        <v>0</v>
      </c>
      <c r="Q9" s="861">
        <f t="shared" si="3"/>
        <v>0</v>
      </c>
      <c r="R9" s="861">
        <f t="shared" si="3"/>
        <v>92194.58</v>
      </c>
      <c r="S9" s="861">
        <f t="shared" si="3"/>
        <v>0</v>
      </c>
      <c r="T9" s="861">
        <f t="shared" si="3"/>
        <v>0</v>
      </c>
      <c r="U9" s="861">
        <f t="shared" si="3"/>
        <v>313219.20000000001</v>
      </c>
      <c r="V9" s="861">
        <f t="shared" si="3"/>
        <v>0</v>
      </c>
      <c r="W9" s="882">
        <f t="shared" si="3"/>
        <v>0</v>
      </c>
      <c r="X9" s="877">
        <f t="shared" si="3"/>
        <v>0</v>
      </c>
      <c r="Y9" s="877">
        <f t="shared" si="3"/>
        <v>0</v>
      </c>
      <c r="Z9" s="877">
        <f t="shared" si="3"/>
        <v>0</v>
      </c>
      <c r="AA9" s="877">
        <f t="shared" si="3"/>
        <v>0</v>
      </c>
      <c r="AB9" s="877">
        <f t="shared" si="3"/>
        <v>0</v>
      </c>
      <c r="AC9" s="877">
        <f t="shared" si="3"/>
        <v>0</v>
      </c>
      <c r="AD9" s="877">
        <f t="shared" si="3"/>
        <v>0</v>
      </c>
      <c r="AE9" s="877">
        <f t="shared" si="3"/>
        <v>0</v>
      </c>
      <c r="AF9" s="877">
        <f t="shared" si="3"/>
        <v>0</v>
      </c>
      <c r="AG9" s="877">
        <f t="shared" si="3"/>
        <v>0</v>
      </c>
      <c r="AH9" s="877">
        <f t="shared" si="3"/>
        <v>0</v>
      </c>
      <c r="AI9" s="877">
        <f t="shared" si="3"/>
        <v>0</v>
      </c>
      <c r="AJ9" s="877">
        <f t="shared" si="3"/>
        <v>0</v>
      </c>
      <c r="AK9" s="877">
        <f t="shared" si="3"/>
        <v>0</v>
      </c>
      <c r="AL9" s="877">
        <f t="shared" si="3"/>
        <v>0</v>
      </c>
      <c r="AM9" s="865"/>
    </row>
    <row r="10" spans="1:39" ht="12" customHeight="1" x14ac:dyDescent="0.3">
      <c r="A10" s="883" t="s">
        <v>2034</v>
      </c>
      <c r="B10" s="884"/>
      <c r="C10" s="885">
        <f>+C5</f>
        <v>4655230.67</v>
      </c>
      <c r="D10" s="886">
        <f>+D5</f>
        <v>4655230.67</v>
      </c>
      <c r="E10" s="886">
        <f>+E5</f>
        <v>4655230.67</v>
      </c>
      <c r="F10" s="885">
        <f t="shared" ref="F10:AL10" si="4">+F5+F9</f>
        <v>7172865.7999999998</v>
      </c>
      <c r="G10" s="885">
        <f t="shared" si="4"/>
        <v>7483863.0700000003</v>
      </c>
      <c r="H10" s="885">
        <f t="shared" si="4"/>
        <v>7054365</v>
      </c>
      <c r="I10" s="885">
        <f t="shared" si="4"/>
        <v>8568920.0649999995</v>
      </c>
      <c r="J10" s="885">
        <f t="shared" si="4"/>
        <v>8624551.745000001</v>
      </c>
      <c r="K10" s="885">
        <f t="shared" si="4"/>
        <v>8472292.3650000002</v>
      </c>
      <c r="L10" s="885">
        <f t="shared" si="4"/>
        <v>8567545.4450000003</v>
      </c>
      <c r="M10" s="885">
        <f t="shared" si="4"/>
        <v>8472292.3650000002</v>
      </c>
      <c r="N10" s="885">
        <f t="shared" si="4"/>
        <v>8472292.3650000002</v>
      </c>
      <c r="O10" s="885">
        <f t="shared" si="4"/>
        <v>8472292.3650000002</v>
      </c>
      <c r="P10" s="885">
        <f t="shared" si="4"/>
        <v>8472292.3650000002</v>
      </c>
      <c r="Q10" s="885">
        <f t="shared" si="4"/>
        <v>8472292.3650000002</v>
      </c>
      <c r="R10" s="885">
        <f t="shared" si="4"/>
        <v>9859900.5800000001</v>
      </c>
      <c r="S10" s="885">
        <f t="shared" si="4"/>
        <v>9767706</v>
      </c>
      <c r="T10" s="885">
        <f t="shared" si="4"/>
        <v>9767706</v>
      </c>
      <c r="U10" s="885">
        <f t="shared" si="4"/>
        <v>10080925.199999999</v>
      </c>
      <c r="V10" s="885">
        <f t="shared" si="4"/>
        <v>9767706</v>
      </c>
      <c r="W10" s="887">
        <f t="shared" si="4"/>
        <v>9767706</v>
      </c>
      <c r="X10" s="887">
        <f t="shared" si="4"/>
        <v>11164531.595608128</v>
      </c>
      <c r="Y10" s="888">
        <f t="shared" si="4"/>
        <v>11164531.595608128</v>
      </c>
      <c r="Z10" s="888">
        <f t="shared" si="4"/>
        <v>11164531.595608128</v>
      </c>
      <c r="AA10" s="888">
        <f t="shared" si="4"/>
        <v>11882736.981528319</v>
      </c>
      <c r="AB10" s="888">
        <f t="shared" si="4"/>
        <v>11882736.981528319</v>
      </c>
      <c r="AC10" s="888">
        <f t="shared" si="4"/>
        <v>11882736.981528319</v>
      </c>
      <c r="AD10" s="888">
        <f t="shared" si="4"/>
        <v>12425521.097396933</v>
      </c>
      <c r="AE10" s="888">
        <f t="shared" si="4"/>
        <v>12425521.097396933</v>
      </c>
      <c r="AF10" s="888">
        <f t="shared" si="4"/>
        <v>12425521.097396933</v>
      </c>
      <c r="AG10" s="888">
        <f t="shared" si="4"/>
        <v>12993098.709654236</v>
      </c>
      <c r="AH10" s="888">
        <f t="shared" si="4"/>
        <v>12993098.709654236</v>
      </c>
      <c r="AI10" s="888">
        <f t="shared" si="4"/>
        <v>12993098.709654236</v>
      </c>
      <c r="AJ10" s="888">
        <f t="shared" si="4"/>
        <v>13586602.344925834</v>
      </c>
      <c r="AK10" s="888">
        <f t="shared" si="4"/>
        <v>13586602.344925834</v>
      </c>
      <c r="AL10" s="888">
        <f t="shared" si="4"/>
        <v>13586602.344925834</v>
      </c>
      <c r="AM10" s="889">
        <f>SUM(AA10:AL10)</f>
        <v>152663877.40051597</v>
      </c>
    </row>
    <row r="11" spans="1:39" ht="12" customHeight="1" x14ac:dyDescent="0.3">
      <c r="A11" s="295"/>
      <c r="B11" s="295"/>
      <c r="C11" s="295"/>
      <c r="D11" s="295"/>
      <c r="E11" s="295"/>
      <c r="F11" s="295"/>
      <c r="G11" s="295"/>
      <c r="H11" s="295"/>
      <c r="I11" s="295"/>
      <c r="J11" s="295"/>
      <c r="K11" s="295"/>
      <c r="L11" s="295"/>
      <c r="M11" s="295"/>
      <c r="N11" s="295"/>
      <c r="O11" s="295"/>
      <c r="P11" s="295"/>
      <c r="Q11" s="295"/>
      <c r="R11" s="295"/>
      <c r="S11" s="295"/>
      <c r="T11" s="295"/>
      <c r="U11" s="295"/>
      <c r="V11" s="295"/>
      <c r="W11" s="295"/>
      <c r="X11" s="295"/>
      <c r="Y11" s="890"/>
      <c r="Z11" s="890"/>
      <c r="AA11" s="890"/>
      <c r="AB11" s="890"/>
      <c r="AC11" s="890"/>
      <c r="AD11" s="890"/>
      <c r="AE11" s="890"/>
      <c r="AF11" s="890"/>
      <c r="AG11" s="890"/>
      <c r="AH11" s="890"/>
      <c r="AI11" s="890"/>
      <c r="AJ11" s="890"/>
      <c r="AK11" s="890"/>
      <c r="AL11" s="890"/>
      <c r="AM11" s="295"/>
    </row>
    <row r="12" spans="1:39" ht="12" customHeight="1" x14ac:dyDescent="0.3">
      <c r="A12" s="295"/>
      <c r="B12" s="295"/>
      <c r="C12" s="295"/>
      <c r="D12" s="295"/>
      <c r="E12" s="295"/>
      <c r="F12" s="295"/>
      <c r="G12" s="295"/>
      <c r="H12" s="295"/>
      <c r="I12" s="891"/>
      <c r="J12" s="892"/>
      <c r="K12" s="892"/>
      <c r="L12" s="891"/>
      <c r="M12" s="295"/>
      <c r="N12" s="295"/>
      <c r="O12" s="891"/>
      <c r="P12" s="295"/>
      <c r="Q12" s="295"/>
      <c r="R12" s="295"/>
      <c r="S12" s="295"/>
      <c r="T12" s="295">
        <f>+T5/70000</f>
        <v>139.53865714285715</v>
      </c>
      <c r="U12" s="295"/>
      <c r="V12" s="295"/>
      <c r="W12" s="295"/>
      <c r="X12" s="295">
        <f>+X13/A3</f>
        <v>159.49330850868753</v>
      </c>
      <c r="Y12" s="890"/>
      <c r="Z12" s="890"/>
      <c r="AA12" s="890"/>
      <c r="AB12" s="890"/>
      <c r="AC12" s="890"/>
      <c r="AD12" s="890"/>
      <c r="AE12" s="890"/>
      <c r="AF12" s="890"/>
      <c r="AG12" s="890"/>
      <c r="AH12" s="890"/>
      <c r="AI12" s="890"/>
      <c r="AJ12" s="890"/>
      <c r="AK12" s="890"/>
      <c r="AL12" s="890"/>
      <c r="AM12" s="295"/>
    </row>
    <row r="13" spans="1:39" ht="12" customHeight="1" x14ac:dyDescent="0.3">
      <c r="A13" s="893" t="s">
        <v>2007</v>
      </c>
      <c r="B13" s="295"/>
      <c r="C13" s="295"/>
      <c r="D13" s="295"/>
      <c r="E13" s="295"/>
      <c r="F13" s="892">
        <v>9.8000000000000004E-2</v>
      </c>
      <c r="G13" s="892">
        <v>4.3999999999999997E-2</v>
      </c>
      <c r="H13" s="892">
        <v>4.8000000000000001E-2</v>
      </c>
      <c r="I13" s="892">
        <v>5.0999999999999997E-2</v>
      </c>
      <c r="J13" s="892">
        <v>4.2000000000000003E-2</v>
      </c>
      <c r="K13" s="892">
        <v>0.04</v>
      </c>
      <c r="L13" s="892">
        <v>3.2000000000000001E-2</v>
      </c>
      <c r="M13" s="892">
        <v>3.2000000000000001E-2</v>
      </c>
      <c r="N13" s="295"/>
      <c r="O13" s="892">
        <v>3.2000000000000001E-2</v>
      </c>
      <c r="P13" s="892">
        <v>3.2000000000000001E-2</v>
      </c>
      <c r="Q13" s="295"/>
      <c r="R13" s="295"/>
      <c r="S13" s="295"/>
      <c r="T13" s="295"/>
      <c r="U13" s="877">
        <f>+T5*U19</f>
        <v>10530922.022723267</v>
      </c>
      <c r="V13" s="295"/>
      <c r="W13" s="295"/>
      <c r="X13" s="894">
        <f>+U13*X19</f>
        <v>11164531.595608128</v>
      </c>
      <c r="Y13" s="890"/>
      <c r="Z13" s="890"/>
      <c r="AA13" s="890"/>
      <c r="AB13" s="890"/>
      <c r="AC13" s="890"/>
      <c r="AD13" s="890"/>
      <c r="AE13" s="890"/>
      <c r="AF13" s="890"/>
      <c r="AG13" s="890"/>
      <c r="AH13" s="890"/>
      <c r="AI13" s="890"/>
      <c r="AJ13" s="890"/>
      <c r="AK13" s="890"/>
      <c r="AL13" s="890"/>
      <c r="AM13" s="295"/>
    </row>
    <row r="14" spans="1:39" ht="12" customHeight="1" x14ac:dyDescent="0.3">
      <c r="A14" s="295"/>
      <c r="B14" s="295"/>
      <c r="C14" s="295"/>
      <c r="D14" s="295"/>
      <c r="E14" s="295"/>
      <c r="F14" s="895"/>
      <c r="G14" s="295"/>
      <c r="H14" s="896">
        <f>(1+F13)*(1+G13)*(1+H13)</f>
        <v>1.2013349760000003</v>
      </c>
      <c r="I14" s="295"/>
      <c r="J14" s="295"/>
      <c r="K14" s="897">
        <f>(1+I13)*(1+J13)*(1+K13)</f>
        <v>1.13894768</v>
      </c>
      <c r="L14" s="295"/>
      <c r="M14" s="295"/>
      <c r="N14" s="295"/>
      <c r="O14" s="295"/>
      <c r="P14" s="295"/>
      <c r="Q14" s="295"/>
      <c r="R14" s="295"/>
      <c r="S14" s="295"/>
      <c r="T14" s="295"/>
      <c r="U14" s="295"/>
      <c r="V14" s="295"/>
      <c r="W14" s="295"/>
      <c r="X14" s="891">
        <f>+X13/T5</f>
        <v>1.1430044675390647</v>
      </c>
      <c r="Y14" s="890"/>
      <c r="Z14" s="890"/>
      <c r="AA14" s="890"/>
      <c r="AB14" s="890"/>
      <c r="AC14" s="890"/>
      <c r="AD14" s="890"/>
      <c r="AE14" s="890"/>
      <c r="AF14" s="890"/>
      <c r="AG14" s="890"/>
      <c r="AH14" s="890"/>
      <c r="AI14" s="890"/>
      <c r="AJ14" s="890"/>
      <c r="AK14" s="890"/>
      <c r="AL14" s="890"/>
      <c r="AM14" s="295"/>
    </row>
    <row r="15" spans="1:39" ht="12" customHeight="1" x14ac:dyDescent="0.3">
      <c r="A15" s="295"/>
      <c r="B15" s="295"/>
      <c r="C15" s="295"/>
      <c r="D15" s="295"/>
      <c r="E15" s="295"/>
      <c r="F15" s="295"/>
      <c r="G15" s="295"/>
      <c r="H15" s="295"/>
      <c r="I15" s="295"/>
      <c r="J15" s="295"/>
      <c r="K15" s="295"/>
      <c r="L15" s="295"/>
      <c r="M15" s="295"/>
      <c r="N15" s="295"/>
      <c r="O15" s="295"/>
      <c r="P15" s="295"/>
      <c r="Q15" s="295"/>
      <c r="R15" s="295"/>
      <c r="S15" s="295"/>
      <c r="T15" s="295"/>
      <c r="U15" s="295"/>
      <c r="V15" s="295"/>
      <c r="W15" s="295"/>
      <c r="X15" s="295"/>
      <c r="Y15" s="890"/>
      <c r="Z15" s="890"/>
      <c r="AA15" s="890"/>
      <c r="AB15" s="890"/>
      <c r="AC15" s="890"/>
      <c r="AD15" s="890"/>
      <c r="AE15" s="890"/>
      <c r="AF15" s="890"/>
      <c r="AG15" s="890"/>
      <c r="AH15" s="890"/>
      <c r="AI15" s="890"/>
      <c r="AJ15" s="890"/>
      <c r="AK15" s="890"/>
      <c r="AL15" s="890"/>
      <c r="AM15" s="295"/>
    </row>
    <row r="16" spans="1:39" ht="12" customHeight="1" x14ac:dyDescent="0.3">
      <c r="A16" s="295"/>
      <c r="B16" s="295"/>
      <c r="C16" s="295"/>
      <c r="D16" s="295"/>
      <c r="E16" s="295"/>
      <c r="F16" s="295"/>
      <c r="G16" s="295"/>
      <c r="H16" s="295"/>
      <c r="I16" s="295"/>
      <c r="J16" s="295"/>
      <c r="K16" s="295"/>
      <c r="L16" s="295"/>
      <c r="M16" s="295"/>
      <c r="N16" s="295"/>
      <c r="O16" s="228">
        <v>2.1999999999999999E-2</v>
      </c>
      <c r="P16" s="228">
        <v>2.4E-2</v>
      </c>
      <c r="Q16" s="228">
        <v>3.6999999999999998E-2</v>
      </c>
      <c r="R16" s="228">
        <v>2.8000000000000001E-2</v>
      </c>
      <c r="S16" s="228">
        <v>1.4999999999999999E-2</v>
      </c>
      <c r="T16" s="228">
        <v>1.6E-2</v>
      </c>
      <c r="U16" s="228">
        <v>1.9E-2</v>
      </c>
      <c r="V16" s="228">
        <v>1.9E-2</v>
      </c>
      <c r="W16" s="228">
        <v>2.1000000000000001E-2</v>
      </c>
      <c r="X16" s="228">
        <v>2.3E-2</v>
      </c>
      <c r="Y16" s="228">
        <v>0.02</v>
      </c>
      <c r="Z16" s="228">
        <f>+Y16</f>
        <v>0.02</v>
      </c>
      <c r="AA16" s="228">
        <v>1.4999999999999999E-2</v>
      </c>
      <c r="AB16" s="228">
        <f t="shared" ref="AB16:AL16" si="5">+AA16</f>
        <v>1.4999999999999999E-2</v>
      </c>
      <c r="AC16" s="228">
        <f t="shared" si="5"/>
        <v>1.4999999999999999E-2</v>
      </c>
      <c r="AD16" s="228">
        <f t="shared" si="5"/>
        <v>1.4999999999999999E-2</v>
      </c>
      <c r="AE16" s="228">
        <f t="shared" si="5"/>
        <v>1.4999999999999999E-2</v>
      </c>
      <c r="AF16" s="228">
        <f t="shared" si="5"/>
        <v>1.4999999999999999E-2</v>
      </c>
      <c r="AG16" s="228">
        <f t="shared" si="5"/>
        <v>1.4999999999999999E-2</v>
      </c>
      <c r="AH16" s="228">
        <f t="shared" si="5"/>
        <v>1.4999999999999999E-2</v>
      </c>
      <c r="AI16" s="228">
        <f t="shared" si="5"/>
        <v>1.4999999999999999E-2</v>
      </c>
      <c r="AJ16" s="228">
        <f t="shared" si="5"/>
        <v>1.4999999999999999E-2</v>
      </c>
      <c r="AK16" s="228">
        <f t="shared" si="5"/>
        <v>1.4999999999999999E-2</v>
      </c>
      <c r="AL16" s="228">
        <f t="shared" si="5"/>
        <v>1.4999999999999999E-2</v>
      </c>
      <c r="AM16" s="295"/>
    </row>
    <row r="17" spans="1:39" ht="12" customHeight="1" x14ac:dyDescent="0.3">
      <c r="A17" s="295"/>
      <c r="B17" s="295"/>
      <c r="C17" s="295"/>
      <c r="D17" s="295"/>
      <c r="E17" s="295"/>
      <c r="F17" s="295"/>
      <c r="G17" s="295"/>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c r="AL17" s="295"/>
      <c r="AM17" s="295"/>
    </row>
    <row r="18" spans="1:39" ht="12" customHeight="1" x14ac:dyDescent="0.3">
      <c r="A18" s="295"/>
      <c r="B18" s="295"/>
      <c r="C18" s="295"/>
      <c r="D18" s="295"/>
      <c r="E18" s="295"/>
      <c r="F18" s="295"/>
      <c r="G18" s="295"/>
      <c r="H18" s="295"/>
      <c r="I18" s="295"/>
      <c r="J18" s="295"/>
      <c r="K18" s="295"/>
      <c r="L18" s="295"/>
      <c r="M18" s="295"/>
      <c r="N18" s="295"/>
      <c r="O18" s="295"/>
      <c r="P18" s="295"/>
      <c r="Q18" s="228">
        <v>0.02</v>
      </c>
      <c r="R18" s="295"/>
      <c r="S18" s="295"/>
      <c r="T18" s="295"/>
      <c r="U18" s="295"/>
      <c r="V18" s="295"/>
      <c r="W18" s="295"/>
      <c r="X18" s="295"/>
      <c r="Y18" s="295"/>
      <c r="Z18" s="295"/>
      <c r="AA18" s="295"/>
      <c r="AB18" s="295"/>
      <c r="AC18" s="295"/>
      <c r="AD18" s="295"/>
      <c r="AE18" s="295"/>
      <c r="AF18" s="295"/>
      <c r="AG18" s="295"/>
      <c r="AH18" s="295"/>
      <c r="AI18" s="295"/>
      <c r="AJ18" s="295"/>
      <c r="AK18" s="295"/>
      <c r="AL18" s="295"/>
      <c r="AM18" s="295"/>
    </row>
    <row r="19" spans="1:39" ht="12" customHeight="1" x14ac:dyDescent="0.3">
      <c r="A19" s="295"/>
      <c r="B19" s="295"/>
      <c r="C19" s="295"/>
      <c r="D19" s="295"/>
      <c r="E19" s="295"/>
      <c r="F19" s="295"/>
      <c r="G19" s="295"/>
      <c r="H19" s="295"/>
      <c r="I19" s="295"/>
      <c r="J19" s="295"/>
      <c r="K19" s="295"/>
      <c r="L19" s="295"/>
      <c r="M19" s="295"/>
      <c r="N19" s="295"/>
      <c r="O19" s="295"/>
      <c r="P19" s="295"/>
      <c r="Q19" s="228">
        <f>+Q16-Q18</f>
        <v>1.6999999999999998E-2</v>
      </c>
      <c r="R19" s="295"/>
      <c r="S19" s="295"/>
      <c r="T19" s="295"/>
      <c r="U19" s="842">
        <f>1*(1+Q19)*(1+R16)*(1+S16)*(1+T16)</f>
        <v>1.0781366702399997</v>
      </c>
      <c r="V19" s="295"/>
      <c r="W19" s="295"/>
      <c r="X19" s="842">
        <f>1*(1+U16)*(1+V16)*(1+W16)</f>
        <v>1.0601665809999998</v>
      </c>
      <c r="Y19" s="295"/>
      <c r="Z19" s="295"/>
      <c r="AA19" s="842">
        <f>1*(1+X16)*(1+Y16)*(1+Z16)</f>
        <v>1.0643291999999998</v>
      </c>
      <c r="AB19" s="295"/>
      <c r="AC19" s="295"/>
      <c r="AD19" s="842">
        <f>1*(1+AA16)*(1+AB16)*(1+AC16)</f>
        <v>1.0456783749999996</v>
      </c>
      <c r="AE19" s="295"/>
      <c r="AF19" s="295"/>
      <c r="AG19" s="842">
        <f>1*(1+AD16)*(1+AE16)*(1+AF16)</f>
        <v>1.0456783749999996</v>
      </c>
      <c r="AH19" s="295"/>
      <c r="AI19" s="295"/>
      <c r="AJ19" s="842">
        <f>1*(1+AG16)*(1+AH16)*(1+AI16)</f>
        <v>1.0456783749999996</v>
      </c>
      <c r="AK19" s="295"/>
      <c r="AL19" s="295"/>
      <c r="AM19" s="295"/>
    </row>
    <row r="20" spans="1:39" ht="12" customHeight="1" x14ac:dyDescent="0.3">
      <c r="A20" s="295"/>
      <c r="B20" s="295"/>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c r="AL20" s="295"/>
      <c r="AM20" s="295"/>
    </row>
    <row r="21" spans="1:39" ht="12" customHeight="1" x14ac:dyDescent="0.3">
      <c r="A21" s="295"/>
      <c r="B21" s="295"/>
      <c r="C21" s="295"/>
      <c r="D21" s="295"/>
      <c r="E21" s="295"/>
      <c r="F21" s="295"/>
      <c r="G21" s="295"/>
      <c r="H21" s="295"/>
      <c r="I21" s="295"/>
      <c r="J21" s="295"/>
      <c r="K21" s="295"/>
      <c r="L21" s="295"/>
      <c r="M21" s="295"/>
      <c r="N21" s="295"/>
      <c r="O21" s="295"/>
      <c r="P21" s="295"/>
      <c r="Q21" s="295"/>
      <c r="R21" s="295"/>
      <c r="S21" s="295"/>
      <c r="T21" s="295"/>
      <c r="U21" s="295"/>
      <c r="V21" s="295"/>
      <c r="W21" s="295"/>
      <c r="X21" s="295"/>
      <c r="Y21" s="295"/>
      <c r="Z21" s="295"/>
      <c r="AA21" s="295"/>
      <c r="AB21" s="295"/>
      <c r="AC21" s="295"/>
      <c r="AD21" s="295"/>
      <c r="AE21" s="295"/>
      <c r="AF21" s="295"/>
      <c r="AG21" s="295"/>
      <c r="AH21" s="295"/>
      <c r="AI21" s="295"/>
      <c r="AJ21" s="295"/>
      <c r="AK21" s="295"/>
      <c r="AL21" s="295"/>
      <c r="AM21" s="295"/>
    </row>
    <row r="22" spans="1:39" ht="12" customHeight="1" x14ac:dyDescent="0.3">
      <c r="A22" s="295"/>
      <c r="B22" s="295"/>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c r="AL22" s="295"/>
      <c r="AM22" s="295"/>
    </row>
    <row r="23" spans="1:39" ht="12" customHeight="1" x14ac:dyDescent="0.3">
      <c r="A23" s="295"/>
      <c r="B23" s="295"/>
      <c r="C23" s="295"/>
      <c r="D23" s="295"/>
      <c r="E23" s="295"/>
      <c r="F23" s="295"/>
      <c r="G23" s="295"/>
      <c r="H23" s="295"/>
      <c r="I23" s="295"/>
      <c r="J23" s="295"/>
      <c r="K23" s="295"/>
      <c r="L23" s="295"/>
      <c r="M23" s="295"/>
      <c r="N23" s="295"/>
      <c r="O23" s="295"/>
      <c r="P23" s="295"/>
      <c r="Q23" s="295"/>
      <c r="R23" s="295"/>
      <c r="S23" s="295"/>
      <c r="T23" s="295"/>
      <c r="U23" s="295"/>
      <c r="V23" s="295"/>
      <c r="W23" s="295"/>
      <c r="X23" s="295"/>
      <c r="Y23" s="295"/>
      <c r="Z23" s="295"/>
      <c r="AA23" s="295"/>
      <c r="AB23" s="295"/>
      <c r="AC23" s="295"/>
      <c r="AD23" s="295"/>
      <c r="AE23" s="295"/>
      <c r="AF23" s="295"/>
      <c r="AG23" s="295"/>
      <c r="AH23" s="295"/>
      <c r="AI23" s="295"/>
      <c r="AJ23" s="295"/>
      <c r="AK23" s="295"/>
      <c r="AL23" s="295"/>
      <c r="AM23" s="295"/>
    </row>
    <row r="24" spans="1:39" ht="12" customHeight="1" x14ac:dyDescent="0.3">
      <c r="A24" s="295"/>
      <c r="B24" s="295"/>
      <c r="C24" s="295"/>
      <c r="D24" s="295"/>
      <c r="E24" s="295"/>
      <c r="F24" s="295"/>
      <c r="G24" s="295"/>
      <c r="H24" s="295"/>
      <c r="I24" s="295"/>
      <c r="J24" s="295"/>
      <c r="K24" s="295"/>
      <c r="L24" s="295"/>
      <c r="M24" s="295"/>
      <c r="N24" s="295"/>
      <c r="O24" s="295"/>
      <c r="P24" s="295"/>
      <c r="Q24" s="295"/>
      <c r="R24" s="295"/>
      <c r="S24" s="295"/>
      <c r="T24" s="295"/>
      <c r="U24" s="295"/>
      <c r="V24" s="295"/>
      <c r="W24" s="295"/>
      <c r="X24" s="295"/>
      <c r="Y24" s="295"/>
      <c r="Z24" s="295"/>
      <c r="AA24" s="295"/>
      <c r="AB24" s="295"/>
      <c r="AC24" s="295"/>
      <c r="AD24" s="295"/>
      <c r="AE24" s="295"/>
      <c r="AF24" s="295"/>
      <c r="AG24" s="295"/>
      <c r="AH24" s="295"/>
      <c r="AI24" s="295"/>
      <c r="AJ24" s="295"/>
      <c r="AK24" s="295"/>
      <c r="AL24" s="295"/>
      <c r="AM24" s="295"/>
    </row>
    <row r="25" spans="1:39" ht="12" customHeight="1" x14ac:dyDescent="0.3">
      <c r="A25" s="295"/>
      <c r="B25" s="295"/>
      <c r="C25" s="295"/>
      <c r="D25" s="295"/>
      <c r="E25" s="295"/>
      <c r="F25" s="295"/>
      <c r="G25" s="295"/>
      <c r="H25" s="295"/>
      <c r="I25" s="295"/>
      <c r="J25" s="295"/>
      <c r="K25" s="295"/>
      <c r="L25" s="295"/>
      <c r="M25" s="295"/>
      <c r="N25" s="295"/>
      <c r="O25" s="295"/>
      <c r="P25" s="295"/>
      <c r="Q25" s="295"/>
      <c r="R25" s="295"/>
      <c r="S25" s="295"/>
      <c r="T25" s="295"/>
      <c r="U25" s="295"/>
      <c r="V25" s="295"/>
      <c r="W25" s="295"/>
      <c r="X25" s="295"/>
      <c r="Y25" s="295"/>
      <c r="Z25" s="295"/>
      <c r="AA25" s="295"/>
      <c r="AB25" s="295"/>
      <c r="AC25" s="295"/>
      <c r="AD25" s="295"/>
      <c r="AE25" s="295"/>
      <c r="AF25" s="295"/>
      <c r="AG25" s="295"/>
      <c r="AH25" s="295"/>
      <c r="AI25" s="295"/>
      <c r="AJ25" s="295"/>
      <c r="AK25" s="295"/>
      <c r="AL25" s="295"/>
      <c r="AM25" s="295"/>
    </row>
    <row r="26" spans="1:39" ht="12" customHeight="1" x14ac:dyDescent="0.3">
      <c r="A26" s="295"/>
      <c r="B26" s="295"/>
      <c r="C26" s="295"/>
      <c r="D26" s="295"/>
      <c r="E26" s="295"/>
      <c r="F26" s="295"/>
      <c r="G26" s="295"/>
      <c r="H26" s="295"/>
      <c r="I26" s="295"/>
      <c r="J26" s="295"/>
      <c r="K26" s="295"/>
      <c r="L26" s="295"/>
      <c r="M26" s="295"/>
      <c r="N26" s="295"/>
      <c r="O26" s="295"/>
      <c r="P26" s="295"/>
      <c r="Q26" s="295"/>
      <c r="R26" s="295"/>
      <c r="S26" s="295"/>
      <c r="T26" s="295"/>
      <c r="U26" s="295"/>
      <c r="V26" s="295"/>
      <c r="W26" s="295"/>
      <c r="X26" s="295"/>
      <c r="Y26" s="295"/>
      <c r="Z26" s="295"/>
      <c r="AA26" s="295"/>
      <c r="AB26" s="295"/>
      <c r="AC26" s="295"/>
      <c r="AD26" s="295"/>
      <c r="AE26" s="295"/>
      <c r="AF26" s="295"/>
      <c r="AG26" s="295"/>
      <c r="AH26" s="295"/>
      <c r="AI26" s="295"/>
      <c r="AJ26" s="295"/>
      <c r="AK26" s="295"/>
      <c r="AL26" s="295"/>
      <c r="AM26" s="295"/>
    </row>
    <row r="27" spans="1:39" ht="12" customHeight="1" x14ac:dyDescent="0.3">
      <c r="A27" s="295"/>
      <c r="B27" s="295"/>
      <c r="C27" s="295"/>
      <c r="D27" s="295"/>
      <c r="E27" s="295"/>
      <c r="F27" s="295"/>
      <c r="G27" s="295"/>
      <c r="H27" s="295"/>
      <c r="I27" s="295"/>
      <c r="J27" s="295"/>
      <c r="K27" s="295"/>
      <c r="L27" s="295"/>
      <c r="M27" s="295"/>
      <c r="N27" s="295"/>
      <c r="O27" s="295"/>
      <c r="P27" s="295"/>
      <c r="Q27" s="295"/>
      <c r="R27" s="295"/>
      <c r="S27" s="295"/>
      <c r="T27" s="295"/>
      <c r="U27" s="295"/>
      <c r="V27" s="295"/>
      <c r="W27" s="295"/>
      <c r="X27" s="295"/>
      <c r="Y27" s="295"/>
      <c r="Z27" s="295"/>
      <c r="AA27" s="295"/>
      <c r="AB27" s="295"/>
      <c r="AC27" s="295"/>
      <c r="AD27" s="295"/>
      <c r="AE27" s="295"/>
      <c r="AF27" s="295"/>
      <c r="AG27" s="295"/>
      <c r="AH27" s="295"/>
      <c r="AI27" s="295"/>
      <c r="AJ27" s="295"/>
      <c r="AK27" s="295"/>
      <c r="AL27" s="295"/>
      <c r="AM27" s="295"/>
    </row>
    <row r="28" spans="1:39" ht="12" customHeight="1" x14ac:dyDescent="0.3">
      <c r="A28" s="295"/>
      <c r="B28" s="295"/>
      <c r="C28" s="295"/>
      <c r="D28" s="295"/>
      <c r="E28" s="295"/>
      <c r="F28" s="295"/>
      <c r="G28" s="29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5"/>
      <c r="AI28" s="295"/>
      <c r="AJ28" s="295"/>
      <c r="AK28" s="295"/>
      <c r="AL28" s="295"/>
      <c r="AM28" s="295"/>
    </row>
    <row r="29" spans="1:39" ht="12" customHeight="1" x14ac:dyDescent="0.3">
      <c r="A29" s="295"/>
      <c r="B29" s="295"/>
      <c r="C29" s="295"/>
      <c r="D29" s="295"/>
      <c r="E29" s="295"/>
      <c r="F29" s="295"/>
      <c r="G29" s="295"/>
      <c r="H29" s="295"/>
      <c r="I29" s="295"/>
      <c r="J29" s="295"/>
      <c r="K29" s="295"/>
      <c r="L29" s="295"/>
      <c r="M29" s="295"/>
      <c r="N29" s="295"/>
      <c r="O29" s="295"/>
      <c r="P29" s="295"/>
      <c r="Q29" s="295"/>
      <c r="R29" s="295"/>
      <c r="S29" s="295"/>
      <c r="T29" s="295"/>
      <c r="U29" s="295"/>
      <c r="V29" s="295"/>
      <c r="W29" s="295"/>
      <c r="X29" s="295"/>
      <c r="Y29" s="295"/>
      <c r="Z29" s="295"/>
      <c r="AA29" s="295"/>
      <c r="AB29" s="295"/>
      <c r="AC29" s="295"/>
      <c r="AD29" s="295"/>
      <c r="AE29" s="295"/>
      <c r="AF29" s="295"/>
      <c r="AG29" s="295"/>
      <c r="AH29" s="295"/>
      <c r="AI29" s="295"/>
      <c r="AJ29" s="295"/>
      <c r="AK29" s="295"/>
      <c r="AL29" s="295"/>
      <c r="AM29" s="295"/>
    </row>
    <row r="30" spans="1:39" ht="12" customHeight="1" x14ac:dyDescent="0.3">
      <c r="A30" s="295"/>
      <c r="B30" s="295"/>
      <c r="C30" s="295"/>
      <c r="D30" s="295"/>
      <c r="E30" s="295"/>
      <c r="F30" s="295"/>
      <c r="G30" s="295"/>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5"/>
      <c r="AF30" s="295"/>
      <c r="AG30" s="295"/>
      <c r="AH30" s="295"/>
      <c r="AI30" s="295"/>
      <c r="AJ30" s="295"/>
      <c r="AK30" s="295"/>
      <c r="AL30" s="295"/>
      <c r="AM30" s="295"/>
    </row>
    <row r="31" spans="1:39" ht="12" customHeight="1" x14ac:dyDescent="0.3">
      <c r="A31" s="295"/>
      <c r="B31" s="295"/>
      <c r="C31" s="295"/>
      <c r="D31" s="295"/>
      <c r="E31" s="295"/>
      <c r="F31" s="295"/>
      <c r="G31" s="295"/>
      <c r="H31" s="295"/>
      <c r="I31" s="295"/>
      <c r="J31" s="295"/>
      <c r="K31" s="295"/>
      <c r="L31" s="295"/>
      <c r="M31" s="295"/>
      <c r="N31" s="295"/>
      <c r="O31" s="295"/>
      <c r="P31" s="295"/>
      <c r="Q31" s="295"/>
      <c r="R31" s="295"/>
      <c r="S31" s="295"/>
      <c r="T31" s="295"/>
      <c r="U31" s="295"/>
      <c r="V31" s="295"/>
      <c r="W31" s="295"/>
      <c r="X31" s="295"/>
      <c r="Y31" s="295"/>
      <c r="Z31" s="295"/>
      <c r="AA31" s="295"/>
      <c r="AB31" s="295"/>
      <c r="AC31" s="295"/>
      <c r="AD31" s="295"/>
      <c r="AE31" s="295"/>
      <c r="AF31" s="295"/>
      <c r="AG31" s="295"/>
      <c r="AH31" s="295"/>
      <c r="AI31" s="295"/>
      <c r="AJ31" s="295"/>
      <c r="AK31" s="295"/>
      <c r="AL31" s="295"/>
      <c r="AM31" s="295"/>
    </row>
    <row r="32" spans="1:39" ht="12" customHeight="1" x14ac:dyDescent="0.3">
      <c r="A32" s="295"/>
      <c r="B32" s="295"/>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c r="AL32" s="295"/>
      <c r="AM32" s="295"/>
    </row>
    <row r="33" spans="1:39" ht="12" customHeight="1" x14ac:dyDescent="0.3">
      <c r="A33" s="295"/>
      <c r="B33" s="295"/>
      <c r="C33" s="295"/>
      <c r="D33" s="295"/>
      <c r="E33" s="295"/>
      <c r="F33" s="295"/>
      <c r="G33" s="295"/>
      <c r="H33" s="295"/>
      <c r="I33" s="295"/>
      <c r="J33" s="295"/>
      <c r="K33" s="295"/>
      <c r="L33" s="295"/>
      <c r="M33" s="295"/>
      <c r="N33" s="295"/>
      <c r="O33" s="295"/>
      <c r="P33" s="295"/>
      <c r="Q33" s="295"/>
      <c r="R33" s="295"/>
      <c r="S33" s="295"/>
      <c r="T33" s="295"/>
      <c r="U33" s="295"/>
      <c r="V33" s="295"/>
      <c r="W33" s="295"/>
      <c r="X33" s="295"/>
      <c r="Y33" s="295"/>
      <c r="Z33" s="295"/>
      <c r="AA33" s="295"/>
      <c r="AB33" s="295"/>
      <c r="AC33" s="295"/>
      <c r="AD33" s="295"/>
      <c r="AE33" s="295"/>
      <c r="AF33" s="295"/>
      <c r="AG33" s="295"/>
      <c r="AH33" s="295"/>
      <c r="AI33" s="295"/>
      <c r="AJ33" s="295"/>
      <c r="AK33" s="295"/>
      <c r="AL33" s="295"/>
      <c r="AM33" s="295"/>
    </row>
    <row r="34" spans="1:39" ht="12" customHeight="1" x14ac:dyDescent="0.3">
      <c r="A34" s="295"/>
      <c r="B34" s="295"/>
      <c r="C34" s="295"/>
      <c r="D34" s="295"/>
      <c r="E34" s="295"/>
      <c r="F34" s="295"/>
      <c r="G34" s="295"/>
      <c r="H34" s="295"/>
      <c r="I34" s="295"/>
      <c r="J34" s="295"/>
      <c r="K34" s="295"/>
      <c r="L34" s="295"/>
      <c r="M34" s="295"/>
      <c r="N34" s="295"/>
      <c r="O34" s="295"/>
      <c r="P34" s="295"/>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row>
    <row r="35" spans="1:39" ht="12" customHeight="1" x14ac:dyDescent="0.3">
      <c r="A35" s="295"/>
      <c r="B35" s="295"/>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5"/>
    </row>
    <row r="36" spans="1:39" ht="12" customHeight="1" x14ac:dyDescent="0.3">
      <c r="A36" s="295"/>
      <c r="B36" s="295"/>
      <c r="C36" s="295"/>
      <c r="D36" s="295"/>
      <c r="E36" s="295"/>
      <c r="F36" s="295"/>
      <c r="G36" s="295"/>
      <c r="H36" s="295"/>
      <c r="I36" s="295"/>
      <c r="J36" s="295"/>
      <c r="K36" s="295"/>
      <c r="L36" s="295"/>
      <c r="M36" s="295"/>
      <c r="N36" s="295"/>
      <c r="O36" s="295"/>
      <c r="P36" s="295"/>
      <c r="Q36" s="295"/>
      <c r="R36" s="295"/>
      <c r="S36" s="295"/>
      <c r="T36" s="295"/>
      <c r="U36" s="295"/>
      <c r="V36" s="295"/>
      <c r="W36" s="295"/>
      <c r="X36" s="295"/>
      <c r="Y36" s="295"/>
      <c r="Z36" s="295"/>
      <c r="AA36" s="295"/>
      <c r="AB36" s="295"/>
      <c r="AC36" s="295"/>
      <c r="AD36" s="295"/>
      <c r="AE36" s="295"/>
      <c r="AF36" s="295"/>
      <c r="AG36" s="295"/>
      <c r="AH36" s="295"/>
      <c r="AI36" s="295"/>
      <c r="AJ36" s="295"/>
      <c r="AK36" s="295"/>
      <c r="AL36" s="295"/>
      <c r="AM36" s="295"/>
    </row>
    <row r="37" spans="1:39" ht="12" customHeight="1" x14ac:dyDescent="0.3">
      <c r="A37" s="295"/>
      <c r="B37" s="295"/>
      <c r="C37" s="295"/>
      <c r="D37" s="295"/>
      <c r="E37" s="295"/>
      <c r="F37" s="295"/>
      <c r="G37" s="295"/>
      <c r="H37" s="295"/>
      <c r="I37" s="295"/>
      <c r="J37" s="295"/>
      <c r="K37" s="295"/>
      <c r="L37" s="295"/>
      <c r="M37" s="295"/>
      <c r="N37" s="295"/>
      <c r="O37" s="295"/>
      <c r="P37" s="295"/>
      <c r="Q37" s="295"/>
      <c r="R37" s="295"/>
      <c r="S37" s="295"/>
      <c r="T37" s="295"/>
      <c r="U37" s="295"/>
      <c r="V37" s="295"/>
      <c r="W37" s="295"/>
      <c r="X37" s="295"/>
      <c r="Y37" s="295"/>
      <c r="Z37" s="295"/>
      <c r="AA37" s="295"/>
      <c r="AB37" s="295"/>
      <c r="AC37" s="295"/>
      <c r="AD37" s="295"/>
      <c r="AE37" s="295"/>
      <c r="AF37" s="295"/>
      <c r="AG37" s="295"/>
      <c r="AH37" s="295"/>
      <c r="AI37" s="295"/>
      <c r="AJ37" s="295"/>
      <c r="AK37" s="295"/>
      <c r="AL37" s="295"/>
      <c r="AM37" s="295"/>
    </row>
    <row r="38" spans="1:39" ht="12" customHeight="1" x14ac:dyDescent="0.3">
      <c r="A38" s="295"/>
      <c r="B38" s="295"/>
      <c r="C38" s="295"/>
      <c r="D38" s="295"/>
      <c r="E38" s="295"/>
      <c r="F38" s="295"/>
      <c r="G38" s="295"/>
      <c r="H38" s="295"/>
      <c r="I38" s="295"/>
      <c r="J38" s="295"/>
      <c r="K38" s="295"/>
      <c r="L38" s="295"/>
      <c r="M38" s="295"/>
      <c r="N38" s="295"/>
      <c r="O38" s="295"/>
      <c r="P38" s="295"/>
      <c r="Q38" s="295"/>
      <c r="R38" s="295"/>
      <c r="S38" s="295"/>
      <c r="T38" s="295"/>
      <c r="U38" s="295"/>
      <c r="V38" s="295"/>
      <c r="W38" s="295"/>
      <c r="X38" s="295"/>
      <c r="Y38" s="295"/>
      <c r="Z38" s="295"/>
      <c r="AA38" s="295"/>
      <c r="AB38" s="295"/>
      <c r="AC38" s="295"/>
      <c r="AD38" s="295"/>
      <c r="AE38" s="295"/>
      <c r="AF38" s="295"/>
      <c r="AG38" s="295"/>
      <c r="AH38" s="295"/>
      <c r="AI38" s="295"/>
      <c r="AJ38" s="295"/>
      <c r="AK38" s="295"/>
      <c r="AL38" s="295"/>
      <c r="AM38" s="295"/>
    </row>
    <row r="39" spans="1:39" ht="12" customHeight="1" x14ac:dyDescent="0.3">
      <c r="A39" s="295"/>
      <c r="B39" s="295"/>
      <c r="C39" s="295"/>
      <c r="D39" s="295"/>
      <c r="E39" s="295"/>
      <c r="F39" s="295"/>
      <c r="G39" s="295"/>
      <c r="H39" s="295"/>
      <c r="I39" s="295"/>
      <c r="J39" s="295"/>
      <c r="K39" s="295"/>
      <c r="L39" s="295"/>
      <c r="M39" s="295"/>
      <c r="N39" s="295"/>
      <c r="O39" s="295"/>
      <c r="P39" s="295"/>
      <c r="Q39" s="295"/>
      <c r="R39" s="295"/>
      <c r="S39" s="295"/>
      <c r="T39" s="295"/>
      <c r="U39" s="295"/>
      <c r="V39" s="295"/>
      <c r="W39" s="295"/>
      <c r="X39" s="295"/>
      <c r="Y39" s="295"/>
      <c r="Z39" s="295"/>
      <c r="AA39" s="295"/>
      <c r="AB39" s="295"/>
      <c r="AC39" s="295"/>
      <c r="AD39" s="295"/>
      <c r="AE39" s="295"/>
      <c r="AF39" s="295"/>
      <c r="AG39" s="295"/>
      <c r="AH39" s="295"/>
      <c r="AI39" s="295"/>
      <c r="AJ39" s="295"/>
      <c r="AK39" s="295"/>
      <c r="AL39" s="295"/>
      <c r="AM39" s="295"/>
    </row>
    <row r="40" spans="1:39" ht="12" customHeight="1" x14ac:dyDescent="0.3">
      <c r="A40" s="295"/>
      <c r="B40" s="295"/>
      <c r="C40" s="295"/>
      <c r="D40" s="295"/>
      <c r="E40" s="295"/>
      <c r="F40" s="295"/>
      <c r="G40" s="295"/>
      <c r="H40" s="295"/>
      <c r="I40" s="295"/>
      <c r="J40" s="295"/>
      <c r="K40" s="295"/>
      <c r="L40" s="295"/>
      <c r="M40" s="295"/>
      <c r="N40" s="295"/>
      <c r="O40" s="295"/>
      <c r="P40" s="295"/>
      <c r="Q40" s="295"/>
      <c r="R40" s="295"/>
      <c r="S40" s="295"/>
      <c r="T40" s="295"/>
      <c r="U40" s="295"/>
      <c r="V40" s="295"/>
      <c r="W40" s="295"/>
      <c r="X40" s="295"/>
      <c r="Y40" s="295"/>
      <c r="Z40" s="295"/>
      <c r="AA40" s="295"/>
      <c r="AB40" s="295"/>
      <c r="AC40" s="295"/>
      <c r="AD40" s="295"/>
      <c r="AE40" s="295"/>
      <c r="AF40" s="295"/>
      <c r="AG40" s="295"/>
      <c r="AH40" s="295"/>
      <c r="AI40" s="295"/>
      <c r="AJ40" s="295"/>
      <c r="AK40" s="295"/>
      <c r="AL40" s="295"/>
      <c r="AM40" s="295"/>
    </row>
    <row r="41" spans="1:39" ht="12" customHeight="1" x14ac:dyDescent="0.3">
      <c r="A41" s="295"/>
      <c r="B41" s="295"/>
      <c r="C41" s="295"/>
      <c r="D41" s="295"/>
      <c r="E41" s="295"/>
      <c r="F41" s="295"/>
      <c r="G41" s="295"/>
      <c r="H41" s="295"/>
      <c r="I41" s="295"/>
      <c r="J41" s="295"/>
      <c r="K41" s="295"/>
      <c r="L41" s="295"/>
      <c r="M41" s="295"/>
      <c r="N41" s="295"/>
      <c r="O41" s="295"/>
      <c r="P41" s="295"/>
      <c r="Q41" s="295"/>
      <c r="R41" s="295"/>
      <c r="S41" s="295"/>
      <c r="T41" s="295"/>
      <c r="U41" s="295"/>
      <c r="V41" s="295"/>
      <c r="W41" s="295"/>
      <c r="X41" s="295"/>
      <c r="Y41" s="295"/>
      <c r="Z41" s="295"/>
      <c r="AA41" s="295"/>
      <c r="AB41" s="295"/>
      <c r="AC41" s="295"/>
      <c r="AD41" s="295"/>
      <c r="AE41" s="295"/>
      <c r="AF41" s="295"/>
      <c r="AG41" s="295"/>
      <c r="AH41" s="295"/>
      <c r="AI41" s="295"/>
      <c r="AJ41" s="295"/>
      <c r="AK41" s="295"/>
      <c r="AL41" s="295"/>
      <c r="AM41" s="295"/>
    </row>
    <row r="42" spans="1:39" ht="12" customHeight="1" x14ac:dyDescent="0.3">
      <c r="A42" s="295"/>
      <c r="B42" s="295"/>
      <c r="C42" s="295"/>
      <c r="D42" s="295"/>
      <c r="E42" s="295"/>
      <c r="F42" s="295"/>
      <c r="G42" s="295"/>
      <c r="H42" s="295"/>
      <c r="I42" s="295"/>
      <c r="J42" s="295"/>
      <c r="K42" s="295"/>
      <c r="L42" s="295"/>
      <c r="M42" s="295"/>
      <c r="N42" s="295"/>
      <c r="O42" s="295"/>
      <c r="P42" s="295"/>
      <c r="Q42" s="295"/>
      <c r="R42" s="295"/>
      <c r="S42" s="295"/>
      <c r="T42" s="295"/>
      <c r="U42" s="295"/>
      <c r="V42" s="295"/>
      <c r="W42" s="295"/>
      <c r="X42" s="295"/>
      <c r="Y42" s="295"/>
      <c r="Z42" s="295"/>
      <c r="AA42" s="295"/>
      <c r="AB42" s="295"/>
      <c r="AC42" s="295"/>
      <c r="AD42" s="295"/>
      <c r="AE42" s="295"/>
      <c r="AF42" s="295"/>
      <c r="AG42" s="295"/>
      <c r="AH42" s="295"/>
      <c r="AI42" s="295"/>
      <c r="AJ42" s="295"/>
      <c r="AK42" s="295"/>
      <c r="AL42" s="295"/>
      <c r="AM42" s="295"/>
    </row>
    <row r="43" spans="1:39" ht="12" customHeight="1" x14ac:dyDescent="0.3">
      <c r="A43" s="295"/>
      <c r="B43" s="295"/>
      <c r="C43" s="295"/>
      <c r="D43" s="295"/>
      <c r="E43" s="295"/>
      <c r="F43" s="295"/>
      <c r="G43" s="295"/>
      <c r="H43" s="295"/>
      <c r="I43" s="295"/>
      <c r="J43" s="295"/>
      <c r="K43" s="295"/>
      <c r="L43" s="295"/>
      <c r="M43" s="295"/>
      <c r="N43" s="295"/>
      <c r="O43" s="295"/>
      <c r="P43" s="295"/>
      <c r="Q43" s="295"/>
      <c r="R43" s="295"/>
      <c r="S43" s="295"/>
      <c r="T43" s="295"/>
      <c r="U43" s="295"/>
      <c r="V43" s="295"/>
      <c r="W43" s="295"/>
      <c r="X43" s="295"/>
      <c r="Y43" s="295"/>
      <c r="Z43" s="295"/>
      <c r="AA43" s="295"/>
      <c r="AB43" s="295"/>
      <c r="AC43" s="295"/>
      <c r="AD43" s="295"/>
      <c r="AE43" s="295"/>
      <c r="AF43" s="295"/>
      <c r="AG43" s="295"/>
      <c r="AH43" s="295"/>
      <c r="AI43" s="295"/>
      <c r="AJ43" s="295"/>
      <c r="AK43" s="295"/>
      <c r="AL43" s="295"/>
      <c r="AM43" s="295"/>
    </row>
    <row r="44" spans="1:39" ht="12" customHeight="1" x14ac:dyDescent="0.3">
      <c r="A44" s="295"/>
      <c r="B44" s="295"/>
      <c r="C44" s="295"/>
      <c r="D44" s="295"/>
      <c r="E44" s="295"/>
      <c r="F44" s="295"/>
      <c r="G44" s="295"/>
      <c r="H44" s="295"/>
      <c r="I44" s="295"/>
      <c r="J44" s="295"/>
      <c r="K44" s="295"/>
      <c r="L44" s="295"/>
      <c r="M44" s="295"/>
      <c r="N44" s="295"/>
      <c r="O44" s="295"/>
      <c r="P44" s="295"/>
      <c r="Q44" s="295"/>
      <c r="R44" s="295"/>
      <c r="S44" s="295"/>
      <c r="T44" s="295"/>
      <c r="U44" s="295"/>
      <c r="V44" s="295"/>
      <c r="W44" s="295"/>
      <c r="X44" s="295"/>
      <c r="Y44" s="295"/>
      <c r="Z44" s="295"/>
      <c r="AA44" s="295"/>
      <c r="AB44" s="295"/>
      <c r="AC44" s="295"/>
      <c r="AD44" s="295"/>
      <c r="AE44" s="295"/>
      <c r="AF44" s="295"/>
      <c r="AG44" s="295"/>
      <c r="AH44" s="295"/>
      <c r="AI44" s="295"/>
      <c r="AJ44" s="295"/>
      <c r="AK44" s="295"/>
      <c r="AL44" s="295"/>
      <c r="AM44" s="295"/>
    </row>
    <row r="45" spans="1:39" ht="12" customHeight="1" x14ac:dyDescent="0.3">
      <c r="A45" s="295"/>
      <c r="B45" s="295"/>
      <c r="C45" s="295"/>
      <c r="D45" s="295"/>
      <c r="E45" s="295"/>
      <c r="F45" s="295"/>
      <c r="G45" s="295"/>
      <c r="H45" s="295"/>
      <c r="I45" s="295"/>
      <c r="J45" s="295"/>
      <c r="K45" s="295"/>
      <c r="L45" s="295"/>
      <c r="M45" s="295"/>
      <c r="N45" s="295"/>
      <c r="O45" s="295"/>
      <c r="P45" s="295"/>
      <c r="Q45" s="295"/>
      <c r="R45" s="295"/>
      <c r="S45" s="295"/>
      <c r="T45" s="295"/>
      <c r="U45" s="295"/>
      <c r="V45" s="295"/>
      <c r="W45" s="295"/>
      <c r="X45" s="295"/>
      <c r="Y45" s="295"/>
      <c r="Z45" s="295"/>
      <c r="AA45" s="295"/>
      <c r="AB45" s="295"/>
      <c r="AC45" s="295"/>
      <c r="AD45" s="295"/>
      <c r="AE45" s="295"/>
      <c r="AF45" s="295"/>
      <c r="AG45" s="295"/>
      <c r="AH45" s="295"/>
      <c r="AI45" s="295"/>
      <c r="AJ45" s="295"/>
      <c r="AK45" s="295"/>
      <c r="AL45" s="295"/>
      <c r="AM45" s="295"/>
    </row>
    <row r="46" spans="1:39" ht="12" customHeight="1" x14ac:dyDescent="0.3">
      <c r="A46" s="295"/>
      <c r="B46" s="295"/>
      <c r="C46" s="295"/>
      <c r="D46" s="295"/>
      <c r="E46" s="295"/>
      <c r="F46" s="295"/>
      <c r="G46" s="295"/>
      <c r="H46" s="295"/>
      <c r="I46" s="295"/>
      <c r="J46" s="295"/>
      <c r="K46" s="295"/>
      <c r="L46" s="295"/>
      <c r="M46" s="295"/>
      <c r="N46" s="295"/>
      <c r="O46" s="295"/>
      <c r="P46" s="295"/>
      <c r="Q46" s="295"/>
      <c r="R46" s="295"/>
      <c r="S46" s="295"/>
      <c r="T46" s="295"/>
      <c r="U46" s="295"/>
      <c r="V46" s="295"/>
      <c r="W46" s="295"/>
      <c r="X46" s="295"/>
      <c r="Y46" s="295"/>
      <c r="Z46" s="295"/>
      <c r="AA46" s="295"/>
      <c r="AB46" s="295"/>
      <c r="AC46" s="295"/>
      <c r="AD46" s="295"/>
      <c r="AE46" s="295"/>
      <c r="AF46" s="295"/>
      <c r="AG46" s="295"/>
      <c r="AH46" s="295"/>
      <c r="AI46" s="295"/>
      <c r="AJ46" s="295"/>
      <c r="AK46" s="295"/>
      <c r="AL46" s="295"/>
      <c r="AM46" s="295"/>
    </row>
    <row r="47" spans="1:39" ht="12" customHeight="1" x14ac:dyDescent="0.3">
      <c r="A47" s="295"/>
      <c r="B47" s="295"/>
      <c r="C47" s="295"/>
      <c r="D47" s="295"/>
      <c r="E47" s="295"/>
      <c r="F47" s="295"/>
      <c r="G47" s="295"/>
      <c r="H47" s="295"/>
      <c r="I47" s="295"/>
      <c r="J47" s="295"/>
      <c r="K47" s="295"/>
      <c r="L47" s="295"/>
      <c r="M47" s="295"/>
      <c r="N47" s="295"/>
      <c r="O47" s="295"/>
      <c r="P47" s="295"/>
      <c r="Q47" s="295"/>
      <c r="R47" s="295"/>
      <c r="S47" s="295"/>
      <c r="T47" s="295"/>
      <c r="U47" s="295"/>
      <c r="V47" s="295"/>
      <c r="W47" s="295"/>
      <c r="X47" s="295"/>
      <c r="Y47" s="295"/>
      <c r="Z47" s="295"/>
      <c r="AA47" s="295"/>
      <c r="AB47" s="295"/>
      <c r="AC47" s="295"/>
      <c r="AD47" s="295"/>
      <c r="AE47" s="295"/>
      <c r="AF47" s="295"/>
      <c r="AG47" s="295"/>
      <c r="AH47" s="295"/>
      <c r="AI47" s="295"/>
      <c r="AJ47" s="295"/>
      <c r="AK47" s="295"/>
      <c r="AL47" s="295"/>
      <c r="AM47" s="295"/>
    </row>
    <row r="48" spans="1:39" ht="12" customHeight="1" x14ac:dyDescent="0.3">
      <c r="A48" s="295"/>
      <c r="B48" s="295"/>
      <c r="C48" s="295"/>
      <c r="D48" s="295"/>
      <c r="E48" s="295"/>
      <c r="F48" s="295"/>
      <c r="G48" s="295"/>
      <c r="H48" s="295"/>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c r="AL48" s="295"/>
      <c r="AM48" s="295"/>
    </row>
    <row r="49" spans="1:39" ht="12" customHeight="1" x14ac:dyDescent="0.3">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c r="AL49" s="295"/>
      <c r="AM49" s="295"/>
    </row>
    <row r="50" spans="1:39" ht="12" customHeight="1" x14ac:dyDescent="0.3">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c r="AL50" s="295"/>
      <c r="AM50" s="295"/>
    </row>
    <row r="51" spans="1:39" ht="12" customHeight="1" x14ac:dyDescent="0.3">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c r="AL51" s="295"/>
      <c r="AM51" s="295"/>
    </row>
    <row r="52" spans="1:39" ht="12" customHeight="1" x14ac:dyDescent="0.3">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c r="AL52" s="295"/>
      <c r="AM52" s="295"/>
    </row>
    <row r="53" spans="1:39" ht="12" customHeight="1" x14ac:dyDescent="0.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c r="AL53" s="295"/>
      <c r="AM53" s="295"/>
    </row>
    <row r="54" spans="1:39" ht="12" customHeight="1" x14ac:dyDescent="0.3">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295"/>
      <c r="AH54" s="295"/>
      <c r="AI54" s="295"/>
      <c r="AJ54" s="295"/>
      <c r="AK54" s="295"/>
      <c r="AL54" s="295"/>
      <c r="AM54" s="295"/>
    </row>
    <row r="55" spans="1:39" ht="12" customHeight="1" x14ac:dyDescent="0.3">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row>
    <row r="56" spans="1:39" ht="12" customHeight="1" x14ac:dyDescent="0.3">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row>
    <row r="57" spans="1:39" ht="12" customHeight="1" x14ac:dyDescent="0.3">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row>
    <row r="58" spans="1:39" ht="12" customHeight="1" x14ac:dyDescent="0.3">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row>
    <row r="59" spans="1:39" ht="12" customHeight="1" x14ac:dyDescent="0.3">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c r="AL59" s="295"/>
      <c r="AM59" s="295"/>
    </row>
    <row r="60" spans="1:39" ht="12" customHeight="1" x14ac:dyDescent="0.3">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c r="AL60" s="295"/>
      <c r="AM60" s="295"/>
    </row>
    <row r="61" spans="1:39" ht="12" customHeight="1" x14ac:dyDescent="0.3">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295"/>
      <c r="AH61" s="295"/>
      <c r="AI61" s="295"/>
      <c r="AJ61" s="295"/>
      <c r="AK61" s="295"/>
      <c r="AL61" s="295"/>
      <c r="AM61" s="295"/>
    </row>
    <row r="62" spans="1:39" ht="12" customHeight="1" x14ac:dyDescent="0.3">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5"/>
      <c r="AL62" s="295"/>
      <c r="AM62" s="295"/>
    </row>
    <row r="63" spans="1:39" ht="12" customHeight="1" x14ac:dyDescent="0.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c r="AA63" s="295"/>
      <c r="AB63" s="295"/>
      <c r="AC63" s="295"/>
      <c r="AD63" s="295"/>
      <c r="AE63" s="295"/>
      <c r="AF63" s="295"/>
      <c r="AG63" s="295"/>
      <c r="AH63" s="295"/>
      <c r="AI63" s="295"/>
      <c r="AJ63" s="295"/>
      <c r="AK63" s="295"/>
      <c r="AL63" s="295"/>
      <c r="AM63" s="295"/>
    </row>
    <row r="64" spans="1:39" ht="12" customHeight="1" x14ac:dyDescent="0.3">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c r="AA64" s="295"/>
      <c r="AB64" s="295"/>
      <c r="AC64" s="295"/>
      <c r="AD64" s="295"/>
      <c r="AE64" s="295"/>
      <c r="AF64" s="295"/>
      <c r="AG64" s="295"/>
      <c r="AH64" s="295"/>
      <c r="AI64" s="295"/>
      <c r="AJ64" s="295"/>
      <c r="AK64" s="295"/>
      <c r="AL64" s="295"/>
      <c r="AM64" s="295"/>
    </row>
    <row r="65" spans="1:39" ht="12" customHeight="1" x14ac:dyDescent="0.3">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295"/>
      <c r="AH65" s="295"/>
      <c r="AI65" s="295"/>
      <c r="AJ65" s="295"/>
      <c r="AK65" s="295"/>
      <c r="AL65" s="295"/>
      <c r="AM65" s="295"/>
    </row>
    <row r="66" spans="1:39" ht="12" customHeight="1" x14ac:dyDescent="0.3">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c r="AL66" s="295"/>
      <c r="AM66" s="295"/>
    </row>
    <row r="67" spans="1:39" ht="12" customHeight="1" x14ac:dyDescent="0.3">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295"/>
      <c r="AH67" s="295"/>
      <c r="AI67" s="295"/>
      <c r="AJ67" s="295"/>
      <c r="AK67" s="295"/>
      <c r="AL67" s="295"/>
      <c r="AM67" s="295"/>
    </row>
    <row r="68" spans="1:39" ht="12" customHeight="1" x14ac:dyDescent="0.3">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row>
    <row r="69" spans="1:39" ht="12" customHeight="1" x14ac:dyDescent="0.3">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c r="AL69" s="295"/>
      <c r="AM69" s="295"/>
    </row>
    <row r="70" spans="1:39" ht="12" customHeight="1" x14ac:dyDescent="0.3">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c r="AB70" s="295"/>
      <c r="AC70" s="295"/>
      <c r="AD70" s="295"/>
      <c r="AE70" s="295"/>
      <c r="AF70" s="295"/>
      <c r="AG70" s="295"/>
      <c r="AH70" s="295"/>
      <c r="AI70" s="295"/>
      <c r="AJ70" s="295"/>
      <c r="AK70" s="295"/>
      <c r="AL70" s="295"/>
      <c r="AM70" s="295"/>
    </row>
    <row r="71" spans="1:39" ht="12" customHeight="1" x14ac:dyDescent="0.3">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c r="AB71" s="295"/>
      <c r="AC71" s="295"/>
      <c r="AD71" s="295"/>
      <c r="AE71" s="295"/>
      <c r="AF71" s="295"/>
      <c r="AG71" s="295"/>
      <c r="AH71" s="295"/>
      <c r="AI71" s="295"/>
      <c r="AJ71" s="295"/>
      <c r="AK71" s="295"/>
      <c r="AL71" s="295"/>
      <c r="AM71" s="295"/>
    </row>
    <row r="72" spans="1:39" ht="12" customHeight="1" x14ac:dyDescent="0.3">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c r="AA72" s="295"/>
      <c r="AB72" s="295"/>
      <c r="AC72" s="295"/>
      <c r="AD72" s="295"/>
      <c r="AE72" s="295"/>
      <c r="AF72" s="295"/>
      <c r="AG72" s="295"/>
      <c r="AH72" s="295"/>
      <c r="AI72" s="295"/>
      <c r="AJ72" s="295"/>
      <c r="AK72" s="295"/>
      <c r="AL72" s="295"/>
      <c r="AM72" s="295"/>
    </row>
    <row r="73" spans="1:39" ht="12" customHeight="1" x14ac:dyDescent="0.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295"/>
      <c r="AH73" s="295"/>
      <c r="AI73" s="295"/>
      <c r="AJ73" s="295"/>
      <c r="AK73" s="295"/>
      <c r="AL73" s="295"/>
      <c r="AM73" s="295"/>
    </row>
    <row r="74" spans="1:39" ht="12" customHeight="1" x14ac:dyDescent="0.3">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c r="AA74" s="295"/>
      <c r="AB74" s="295"/>
      <c r="AC74" s="295"/>
      <c r="AD74" s="295"/>
      <c r="AE74" s="295"/>
      <c r="AF74" s="295"/>
      <c r="AG74" s="295"/>
      <c r="AH74" s="295"/>
      <c r="AI74" s="295"/>
      <c r="AJ74" s="295"/>
      <c r="AK74" s="295"/>
      <c r="AL74" s="295"/>
      <c r="AM74" s="295"/>
    </row>
    <row r="75" spans="1:39" ht="12" customHeight="1" x14ac:dyDescent="0.3">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c r="AA75" s="295"/>
      <c r="AB75" s="295"/>
      <c r="AC75" s="295"/>
      <c r="AD75" s="295"/>
      <c r="AE75" s="295"/>
      <c r="AF75" s="295"/>
      <c r="AG75" s="295"/>
      <c r="AH75" s="295"/>
      <c r="AI75" s="295"/>
      <c r="AJ75" s="295"/>
      <c r="AK75" s="295"/>
      <c r="AL75" s="295"/>
      <c r="AM75" s="295"/>
    </row>
    <row r="76" spans="1:39" ht="12" customHeight="1" x14ac:dyDescent="0.3">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c r="AA76" s="295"/>
      <c r="AB76" s="295"/>
      <c r="AC76" s="295"/>
      <c r="AD76" s="295"/>
      <c r="AE76" s="295"/>
      <c r="AF76" s="295"/>
      <c r="AG76" s="295"/>
      <c r="AH76" s="295"/>
      <c r="AI76" s="295"/>
      <c r="AJ76" s="295"/>
      <c r="AK76" s="295"/>
      <c r="AL76" s="295"/>
      <c r="AM76" s="295"/>
    </row>
    <row r="77" spans="1:39" ht="12" customHeight="1" x14ac:dyDescent="0.3">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295"/>
      <c r="AH77" s="295"/>
      <c r="AI77" s="295"/>
      <c r="AJ77" s="295"/>
      <c r="AK77" s="295"/>
      <c r="AL77" s="295"/>
      <c r="AM77" s="295"/>
    </row>
    <row r="78" spans="1:39" ht="12" customHeight="1" x14ac:dyDescent="0.3">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c r="AA78" s="295"/>
      <c r="AB78" s="295"/>
      <c r="AC78" s="295"/>
      <c r="AD78" s="295"/>
      <c r="AE78" s="295"/>
      <c r="AF78" s="295"/>
      <c r="AG78" s="295"/>
      <c r="AH78" s="295"/>
      <c r="AI78" s="295"/>
      <c r="AJ78" s="295"/>
      <c r="AK78" s="295"/>
      <c r="AL78" s="295"/>
      <c r="AM78" s="295"/>
    </row>
    <row r="79" spans="1:39" ht="12" customHeight="1" x14ac:dyDescent="0.3">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c r="AA79" s="295"/>
      <c r="AB79" s="295"/>
      <c r="AC79" s="295"/>
      <c r="AD79" s="295"/>
      <c r="AE79" s="295"/>
      <c r="AF79" s="295"/>
      <c r="AG79" s="295"/>
      <c r="AH79" s="295"/>
      <c r="AI79" s="295"/>
      <c r="AJ79" s="295"/>
      <c r="AK79" s="295"/>
      <c r="AL79" s="295"/>
      <c r="AM79" s="295"/>
    </row>
    <row r="80" spans="1:39" ht="12" customHeight="1" x14ac:dyDescent="0.3">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5"/>
      <c r="AH80" s="295"/>
      <c r="AI80" s="295"/>
      <c r="AJ80" s="295"/>
      <c r="AK80" s="295"/>
      <c r="AL80" s="295"/>
      <c r="AM80" s="295"/>
    </row>
    <row r="81" spans="1:39" ht="12" customHeight="1" x14ac:dyDescent="0.3">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c r="AA81" s="295"/>
      <c r="AB81" s="295"/>
      <c r="AC81" s="295"/>
      <c r="AD81" s="295"/>
      <c r="AE81" s="295"/>
      <c r="AF81" s="295"/>
      <c r="AG81" s="295"/>
      <c r="AH81" s="295"/>
      <c r="AI81" s="295"/>
      <c r="AJ81" s="295"/>
      <c r="AK81" s="295"/>
      <c r="AL81" s="295"/>
      <c r="AM81" s="295"/>
    </row>
    <row r="82" spans="1:39" ht="12" customHeight="1" x14ac:dyDescent="0.3">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c r="AA82" s="295"/>
      <c r="AB82" s="295"/>
      <c r="AC82" s="295"/>
      <c r="AD82" s="295"/>
      <c r="AE82" s="295"/>
      <c r="AF82" s="295"/>
      <c r="AG82" s="295"/>
      <c r="AH82" s="295"/>
      <c r="AI82" s="295"/>
      <c r="AJ82" s="295"/>
      <c r="AK82" s="295"/>
      <c r="AL82" s="295"/>
      <c r="AM82" s="295"/>
    </row>
    <row r="83" spans="1:39" ht="12" customHeight="1" x14ac:dyDescent="0.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c r="AA83" s="295"/>
      <c r="AB83" s="295"/>
      <c r="AC83" s="295"/>
      <c r="AD83" s="295"/>
      <c r="AE83" s="295"/>
      <c r="AF83" s="295"/>
      <c r="AG83" s="295"/>
      <c r="AH83" s="295"/>
      <c r="AI83" s="295"/>
      <c r="AJ83" s="295"/>
      <c r="AK83" s="295"/>
      <c r="AL83" s="295"/>
      <c r="AM83" s="295"/>
    </row>
    <row r="84" spans="1:39" ht="12" customHeight="1" x14ac:dyDescent="0.3">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c r="AA84" s="295"/>
      <c r="AB84" s="295"/>
      <c r="AC84" s="295"/>
      <c r="AD84" s="295"/>
      <c r="AE84" s="295"/>
      <c r="AF84" s="295"/>
      <c r="AG84" s="295"/>
      <c r="AH84" s="295"/>
      <c r="AI84" s="295"/>
      <c r="AJ84" s="295"/>
      <c r="AK84" s="295"/>
      <c r="AL84" s="295"/>
      <c r="AM84" s="295"/>
    </row>
    <row r="85" spans="1:39" ht="12" customHeight="1" x14ac:dyDescent="0.3">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c r="AA85" s="295"/>
      <c r="AB85" s="295"/>
      <c r="AC85" s="295"/>
      <c r="AD85" s="295"/>
      <c r="AE85" s="295"/>
      <c r="AF85" s="295"/>
      <c r="AG85" s="295"/>
      <c r="AH85" s="295"/>
      <c r="AI85" s="295"/>
      <c r="AJ85" s="295"/>
      <c r="AK85" s="295"/>
      <c r="AL85" s="295"/>
      <c r="AM85" s="295"/>
    </row>
    <row r="86" spans="1:39" ht="12" customHeight="1" x14ac:dyDescent="0.3">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c r="AA86" s="295"/>
      <c r="AB86" s="295"/>
      <c r="AC86" s="295"/>
      <c r="AD86" s="295"/>
      <c r="AE86" s="295"/>
      <c r="AF86" s="295"/>
      <c r="AG86" s="295"/>
      <c r="AH86" s="295"/>
      <c r="AI86" s="295"/>
      <c r="AJ86" s="295"/>
      <c r="AK86" s="295"/>
      <c r="AL86" s="295"/>
      <c r="AM86" s="295"/>
    </row>
    <row r="87" spans="1:39" ht="12" customHeight="1" x14ac:dyDescent="0.3">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295"/>
      <c r="AH87" s="295"/>
      <c r="AI87" s="295"/>
      <c r="AJ87" s="295"/>
      <c r="AK87" s="295"/>
      <c r="AL87" s="295"/>
      <c r="AM87" s="295"/>
    </row>
    <row r="88" spans="1:39" ht="12" customHeight="1" x14ac:dyDescent="0.3">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c r="AA88" s="295"/>
      <c r="AB88" s="295"/>
      <c r="AC88" s="295"/>
      <c r="AD88" s="295"/>
      <c r="AE88" s="295"/>
      <c r="AF88" s="295"/>
      <c r="AG88" s="295"/>
      <c r="AH88" s="295"/>
      <c r="AI88" s="295"/>
      <c r="AJ88" s="295"/>
      <c r="AK88" s="295"/>
      <c r="AL88" s="295"/>
      <c r="AM88" s="295"/>
    </row>
    <row r="89" spans="1:39" ht="12" customHeight="1" x14ac:dyDescent="0.3">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c r="AA89" s="295"/>
      <c r="AB89" s="295"/>
      <c r="AC89" s="295"/>
      <c r="AD89" s="295"/>
      <c r="AE89" s="295"/>
      <c r="AF89" s="295"/>
      <c r="AG89" s="295"/>
      <c r="AH89" s="295"/>
      <c r="AI89" s="295"/>
      <c r="AJ89" s="295"/>
      <c r="AK89" s="295"/>
      <c r="AL89" s="295"/>
      <c r="AM89" s="295"/>
    </row>
    <row r="90" spans="1:39" ht="12" customHeight="1" x14ac:dyDescent="0.3">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c r="AA90" s="295"/>
      <c r="AB90" s="295"/>
      <c r="AC90" s="295"/>
      <c r="AD90" s="295"/>
      <c r="AE90" s="295"/>
      <c r="AF90" s="295"/>
      <c r="AG90" s="295"/>
      <c r="AH90" s="295"/>
      <c r="AI90" s="295"/>
      <c r="AJ90" s="295"/>
      <c r="AK90" s="295"/>
      <c r="AL90" s="295"/>
      <c r="AM90" s="295"/>
    </row>
    <row r="91" spans="1:39" ht="12" customHeight="1" x14ac:dyDescent="0.3">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c r="AA91" s="295"/>
      <c r="AB91" s="295"/>
      <c r="AC91" s="295"/>
      <c r="AD91" s="295"/>
      <c r="AE91" s="295"/>
      <c r="AF91" s="295"/>
      <c r="AG91" s="295"/>
      <c r="AH91" s="295"/>
      <c r="AI91" s="295"/>
      <c r="AJ91" s="295"/>
      <c r="AK91" s="295"/>
      <c r="AL91" s="295"/>
      <c r="AM91" s="295"/>
    </row>
    <row r="92" spans="1:39" ht="12" customHeight="1" x14ac:dyDescent="0.3">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c r="AA92" s="295"/>
      <c r="AB92" s="295"/>
      <c r="AC92" s="295"/>
      <c r="AD92" s="295"/>
      <c r="AE92" s="295"/>
      <c r="AF92" s="295"/>
      <c r="AG92" s="295"/>
      <c r="AH92" s="295"/>
      <c r="AI92" s="295"/>
      <c r="AJ92" s="295"/>
      <c r="AK92" s="295"/>
      <c r="AL92" s="295"/>
      <c r="AM92" s="295"/>
    </row>
    <row r="93" spans="1:39" ht="12" customHeight="1" x14ac:dyDescent="0.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295"/>
      <c r="AH93" s="295"/>
      <c r="AI93" s="295"/>
      <c r="AJ93" s="295"/>
      <c r="AK93" s="295"/>
      <c r="AL93" s="295"/>
      <c r="AM93" s="295"/>
    </row>
    <row r="94" spans="1:39" ht="12" customHeight="1" x14ac:dyDescent="0.3">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295"/>
      <c r="AH94" s="295"/>
      <c r="AI94" s="295"/>
      <c r="AJ94" s="295"/>
      <c r="AK94" s="295"/>
      <c r="AL94" s="295"/>
      <c r="AM94" s="295"/>
    </row>
    <row r="95" spans="1:39" ht="12" customHeight="1" x14ac:dyDescent="0.3">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c r="AB95" s="295"/>
      <c r="AC95" s="295"/>
      <c r="AD95" s="295"/>
      <c r="AE95" s="295"/>
      <c r="AF95" s="295"/>
      <c r="AG95" s="295"/>
      <c r="AH95" s="295"/>
      <c r="AI95" s="295"/>
      <c r="AJ95" s="295"/>
      <c r="AK95" s="295"/>
      <c r="AL95" s="295"/>
      <c r="AM95" s="295"/>
    </row>
    <row r="96" spans="1:39" ht="12" customHeight="1" x14ac:dyDescent="0.3">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295"/>
      <c r="AH96" s="295"/>
      <c r="AI96" s="295"/>
      <c r="AJ96" s="295"/>
      <c r="AK96" s="295"/>
      <c r="AL96" s="295"/>
      <c r="AM96" s="295"/>
    </row>
    <row r="97" spans="1:39" ht="12" customHeight="1" x14ac:dyDescent="0.3">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c r="AB97" s="295"/>
      <c r="AC97" s="295"/>
      <c r="AD97" s="295"/>
      <c r="AE97" s="295"/>
      <c r="AF97" s="295"/>
      <c r="AG97" s="295"/>
      <c r="AH97" s="295"/>
      <c r="AI97" s="295"/>
      <c r="AJ97" s="295"/>
      <c r="AK97" s="295"/>
      <c r="AL97" s="295"/>
      <c r="AM97" s="295"/>
    </row>
    <row r="98" spans="1:39" ht="12" customHeight="1" x14ac:dyDescent="0.3">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c r="AA98" s="295"/>
      <c r="AB98" s="295"/>
      <c r="AC98" s="295"/>
      <c r="AD98" s="295"/>
      <c r="AE98" s="295"/>
      <c r="AF98" s="295"/>
      <c r="AG98" s="295"/>
      <c r="AH98" s="295"/>
      <c r="AI98" s="295"/>
      <c r="AJ98" s="295"/>
      <c r="AK98" s="295"/>
      <c r="AL98" s="295"/>
      <c r="AM98" s="295"/>
    </row>
    <row r="99" spans="1:39" ht="12" customHeight="1" x14ac:dyDescent="0.3">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c r="AA99" s="295"/>
      <c r="AB99" s="295"/>
      <c r="AC99" s="295"/>
      <c r="AD99" s="295"/>
      <c r="AE99" s="295"/>
      <c r="AF99" s="295"/>
      <c r="AG99" s="295"/>
      <c r="AH99" s="295"/>
      <c r="AI99" s="295"/>
      <c r="AJ99" s="295"/>
      <c r="AK99" s="295"/>
      <c r="AL99" s="295"/>
      <c r="AM99" s="295"/>
    </row>
    <row r="100" spans="1:39" ht="12" customHeight="1" x14ac:dyDescent="0.3">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c r="AA100" s="295"/>
      <c r="AB100" s="295"/>
      <c r="AC100" s="295"/>
      <c r="AD100" s="295"/>
      <c r="AE100" s="295"/>
      <c r="AF100" s="295"/>
      <c r="AG100" s="295"/>
      <c r="AH100" s="295"/>
      <c r="AI100" s="295"/>
      <c r="AJ100" s="295"/>
      <c r="AK100" s="295"/>
      <c r="AL100" s="295"/>
      <c r="AM100" s="295"/>
    </row>
    <row r="101" spans="1:39" ht="12" customHeight="1" x14ac:dyDescent="0.3">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c r="AA101" s="295"/>
      <c r="AB101" s="295"/>
      <c r="AC101" s="295"/>
      <c r="AD101" s="295"/>
      <c r="AE101" s="295"/>
      <c r="AF101" s="295"/>
      <c r="AG101" s="295"/>
      <c r="AH101" s="295"/>
      <c r="AI101" s="295"/>
      <c r="AJ101" s="295"/>
      <c r="AK101" s="295"/>
      <c r="AL101" s="295"/>
      <c r="AM101" s="295"/>
    </row>
    <row r="102" spans="1:39" ht="12" customHeight="1" x14ac:dyDescent="0.3">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c r="AA102" s="295"/>
      <c r="AB102" s="295"/>
      <c r="AC102" s="295"/>
      <c r="AD102" s="295"/>
      <c r="AE102" s="295"/>
      <c r="AF102" s="295"/>
      <c r="AG102" s="295"/>
      <c r="AH102" s="295"/>
      <c r="AI102" s="295"/>
      <c r="AJ102" s="295"/>
      <c r="AK102" s="295"/>
      <c r="AL102" s="295"/>
      <c r="AM102" s="295"/>
    </row>
    <row r="103" spans="1:39" ht="12" customHeight="1" x14ac:dyDescent="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c r="AA103" s="295"/>
      <c r="AB103" s="295"/>
      <c r="AC103" s="295"/>
      <c r="AD103" s="295"/>
      <c r="AE103" s="295"/>
      <c r="AF103" s="295"/>
      <c r="AG103" s="295"/>
      <c r="AH103" s="295"/>
      <c r="AI103" s="295"/>
      <c r="AJ103" s="295"/>
      <c r="AK103" s="295"/>
      <c r="AL103" s="295"/>
      <c r="AM103" s="295"/>
    </row>
    <row r="104" spans="1:39" ht="12" customHeight="1" x14ac:dyDescent="0.3">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5"/>
      <c r="AL104" s="295"/>
      <c r="AM104" s="295"/>
    </row>
    <row r="105" spans="1:39" ht="12" customHeight="1" x14ac:dyDescent="0.3">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c r="AA105" s="295"/>
      <c r="AB105" s="295"/>
      <c r="AC105" s="295"/>
      <c r="AD105" s="295"/>
      <c r="AE105" s="295"/>
      <c r="AF105" s="295"/>
      <c r="AG105" s="295"/>
      <c r="AH105" s="295"/>
      <c r="AI105" s="295"/>
      <c r="AJ105" s="295"/>
      <c r="AK105" s="295"/>
      <c r="AL105" s="295"/>
      <c r="AM105" s="295"/>
    </row>
    <row r="106" spans="1:39" ht="12" customHeight="1" x14ac:dyDescent="0.3">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c r="AA106" s="295"/>
      <c r="AB106" s="295"/>
      <c r="AC106" s="295"/>
      <c r="AD106" s="295"/>
      <c r="AE106" s="295"/>
      <c r="AF106" s="295"/>
      <c r="AG106" s="295"/>
      <c r="AH106" s="295"/>
      <c r="AI106" s="295"/>
      <c r="AJ106" s="295"/>
      <c r="AK106" s="295"/>
      <c r="AL106" s="295"/>
      <c r="AM106" s="295"/>
    </row>
    <row r="107" spans="1:39" ht="12" customHeight="1" x14ac:dyDescent="0.3">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c r="AA107" s="295"/>
      <c r="AB107" s="295"/>
      <c r="AC107" s="295"/>
      <c r="AD107" s="295"/>
      <c r="AE107" s="295"/>
      <c r="AF107" s="295"/>
      <c r="AG107" s="295"/>
      <c r="AH107" s="295"/>
      <c r="AI107" s="295"/>
      <c r="AJ107" s="295"/>
      <c r="AK107" s="295"/>
      <c r="AL107" s="295"/>
      <c r="AM107" s="295"/>
    </row>
    <row r="108" spans="1:39" ht="12" customHeight="1" x14ac:dyDescent="0.3">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c r="AA108" s="295"/>
      <c r="AB108" s="295"/>
      <c r="AC108" s="295"/>
      <c r="AD108" s="295"/>
      <c r="AE108" s="295"/>
      <c r="AF108" s="295"/>
      <c r="AG108" s="295"/>
      <c r="AH108" s="295"/>
      <c r="AI108" s="295"/>
      <c r="AJ108" s="295"/>
      <c r="AK108" s="295"/>
      <c r="AL108" s="295"/>
      <c r="AM108" s="295"/>
    </row>
    <row r="109" spans="1:39" ht="12" customHeight="1" x14ac:dyDescent="0.3">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c r="AA109" s="295"/>
      <c r="AB109" s="295"/>
      <c r="AC109" s="295"/>
      <c r="AD109" s="295"/>
      <c r="AE109" s="295"/>
      <c r="AF109" s="295"/>
      <c r="AG109" s="295"/>
      <c r="AH109" s="295"/>
      <c r="AI109" s="295"/>
      <c r="AJ109" s="295"/>
      <c r="AK109" s="295"/>
      <c r="AL109" s="295"/>
      <c r="AM109" s="295"/>
    </row>
    <row r="110" spans="1:39" ht="12" customHeight="1" x14ac:dyDescent="0.3">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c r="AA110" s="295"/>
      <c r="AB110" s="295"/>
      <c r="AC110" s="295"/>
      <c r="AD110" s="295"/>
      <c r="AE110" s="295"/>
      <c r="AF110" s="295"/>
      <c r="AG110" s="295"/>
      <c r="AH110" s="295"/>
      <c r="AI110" s="295"/>
      <c r="AJ110" s="295"/>
      <c r="AK110" s="295"/>
      <c r="AL110" s="295"/>
      <c r="AM110" s="295"/>
    </row>
    <row r="111" spans="1:39" ht="12" customHeight="1" x14ac:dyDescent="0.3">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c r="AA111" s="295"/>
      <c r="AB111" s="295"/>
      <c r="AC111" s="295"/>
      <c r="AD111" s="295"/>
      <c r="AE111" s="295"/>
      <c r="AF111" s="295"/>
      <c r="AG111" s="295"/>
      <c r="AH111" s="295"/>
      <c r="AI111" s="295"/>
      <c r="AJ111" s="295"/>
      <c r="AK111" s="295"/>
      <c r="AL111" s="295"/>
      <c r="AM111" s="295"/>
    </row>
    <row r="112" spans="1:39" ht="12" customHeight="1" x14ac:dyDescent="0.3">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c r="AA112" s="295"/>
      <c r="AB112" s="295"/>
      <c r="AC112" s="295"/>
      <c r="AD112" s="295"/>
      <c r="AE112" s="295"/>
      <c r="AF112" s="295"/>
      <c r="AG112" s="295"/>
      <c r="AH112" s="295"/>
      <c r="AI112" s="295"/>
      <c r="AJ112" s="295"/>
      <c r="AK112" s="295"/>
      <c r="AL112" s="295"/>
      <c r="AM112" s="295"/>
    </row>
    <row r="113" spans="1:39" ht="12" customHeight="1" x14ac:dyDescent="0.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c r="AA113" s="295"/>
      <c r="AB113" s="295"/>
      <c r="AC113" s="295"/>
      <c r="AD113" s="295"/>
      <c r="AE113" s="295"/>
      <c r="AF113" s="295"/>
      <c r="AG113" s="295"/>
      <c r="AH113" s="295"/>
      <c r="AI113" s="295"/>
      <c r="AJ113" s="295"/>
      <c r="AK113" s="295"/>
      <c r="AL113" s="295"/>
      <c r="AM113" s="295"/>
    </row>
    <row r="114" spans="1:39" ht="12" customHeight="1" x14ac:dyDescent="0.3">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c r="AA114" s="295"/>
      <c r="AB114" s="295"/>
      <c r="AC114" s="295"/>
      <c r="AD114" s="295"/>
      <c r="AE114" s="295"/>
      <c r="AF114" s="295"/>
      <c r="AG114" s="295"/>
      <c r="AH114" s="295"/>
      <c r="AI114" s="295"/>
      <c r="AJ114" s="295"/>
      <c r="AK114" s="295"/>
      <c r="AL114" s="295"/>
      <c r="AM114" s="295"/>
    </row>
    <row r="115" spans="1:39" ht="12" customHeight="1" x14ac:dyDescent="0.3">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c r="AA115" s="295"/>
      <c r="AB115" s="295"/>
      <c r="AC115" s="295"/>
      <c r="AD115" s="295"/>
      <c r="AE115" s="295"/>
      <c r="AF115" s="295"/>
      <c r="AG115" s="295"/>
      <c r="AH115" s="295"/>
      <c r="AI115" s="295"/>
      <c r="AJ115" s="295"/>
      <c r="AK115" s="295"/>
      <c r="AL115" s="295"/>
      <c r="AM115" s="295"/>
    </row>
    <row r="116" spans="1:39" ht="12" customHeight="1" x14ac:dyDescent="0.3">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c r="AA116" s="295"/>
      <c r="AB116" s="295"/>
      <c r="AC116" s="295"/>
      <c r="AD116" s="295"/>
      <c r="AE116" s="295"/>
      <c r="AF116" s="295"/>
      <c r="AG116" s="295"/>
      <c r="AH116" s="295"/>
      <c r="AI116" s="295"/>
      <c r="AJ116" s="295"/>
      <c r="AK116" s="295"/>
      <c r="AL116" s="295"/>
      <c r="AM116" s="295"/>
    </row>
    <row r="117" spans="1:39" ht="12" customHeight="1" x14ac:dyDescent="0.3">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c r="AA117" s="295"/>
      <c r="AB117" s="295"/>
      <c r="AC117" s="295"/>
      <c r="AD117" s="295"/>
      <c r="AE117" s="295"/>
      <c r="AF117" s="295"/>
      <c r="AG117" s="295"/>
      <c r="AH117" s="295"/>
      <c r="AI117" s="295"/>
      <c r="AJ117" s="295"/>
      <c r="AK117" s="295"/>
      <c r="AL117" s="295"/>
      <c r="AM117" s="295"/>
    </row>
    <row r="118" spans="1:39" ht="12" customHeight="1" x14ac:dyDescent="0.3">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c r="AA118" s="295"/>
      <c r="AB118" s="295"/>
      <c r="AC118" s="295"/>
      <c r="AD118" s="295"/>
      <c r="AE118" s="295"/>
      <c r="AF118" s="295"/>
      <c r="AG118" s="295"/>
      <c r="AH118" s="295"/>
      <c r="AI118" s="295"/>
      <c r="AJ118" s="295"/>
      <c r="AK118" s="295"/>
      <c r="AL118" s="295"/>
      <c r="AM118" s="295"/>
    </row>
    <row r="119" spans="1:39" ht="12" customHeight="1" x14ac:dyDescent="0.3">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c r="AA119" s="295"/>
      <c r="AB119" s="295"/>
      <c r="AC119" s="295"/>
      <c r="AD119" s="295"/>
      <c r="AE119" s="295"/>
      <c r="AF119" s="295"/>
      <c r="AG119" s="295"/>
      <c r="AH119" s="295"/>
      <c r="AI119" s="295"/>
      <c r="AJ119" s="295"/>
      <c r="AK119" s="295"/>
      <c r="AL119" s="295"/>
      <c r="AM119" s="295"/>
    </row>
    <row r="120" spans="1:39" ht="12" customHeight="1" x14ac:dyDescent="0.3">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c r="AA120" s="295"/>
      <c r="AB120" s="295"/>
      <c r="AC120" s="295"/>
      <c r="AD120" s="295"/>
      <c r="AE120" s="295"/>
      <c r="AF120" s="295"/>
      <c r="AG120" s="295"/>
      <c r="AH120" s="295"/>
      <c r="AI120" s="295"/>
      <c r="AJ120" s="295"/>
      <c r="AK120" s="295"/>
      <c r="AL120" s="295"/>
      <c r="AM120" s="295"/>
    </row>
    <row r="121" spans="1:39" ht="12" customHeight="1" x14ac:dyDescent="0.3">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c r="AA121" s="295"/>
      <c r="AB121" s="295"/>
      <c r="AC121" s="295"/>
      <c r="AD121" s="295"/>
      <c r="AE121" s="295"/>
      <c r="AF121" s="295"/>
      <c r="AG121" s="295"/>
      <c r="AH121" s="295"/>
      <c r="AI121" s="295"/>
      <c r="AJ121" s="295"/>
      <c r="AK121" s="295"/>
      <c r="AL121" s="295"/>
      <c r="AM121" s="295"/>
    </row>
    <row r="122" spans="1:39" ht="12" customHeight="1" x14ac:dyDescent="0.3">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c r="AL122" s="295"/>
      <c r="AM122" s="295"/>
    </row>
    <row r="123" spans="1:39" ht="12" customHeight="1" x14ac:dyDescent="0.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c r="AA123" s="295"/>
      <c r="AB123" s="295"/>
      <c r="AC123" s="295"/>
      <c r="AD123" s="295"/>
      <c r="AE123" s="295"/>
      <c r="AF123" s="295"/>
      <c r="AG123" s="295"/>
      <c r="AH123" s="295"/>
      <c r="AI123" s="295"/>
      <c r="AJ123" s="295"/>
      <c r="AK123" s="295"/>
      <c r="AL123" s="295"/>
      <c r="AM123" s="295"/>
    </row>
    <row r="124" spans="1:39" ht="12" customHeight="1" x14ac:dyDescent="0.3">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c r="AA124" s="295"/>
      <c r="AB124" s="295"/>
      <c r="AC124" s="295"/>
      <c r="AD124" s="295"/>
      <c r="AE124" s="295"/>
      <c r="AF124" s="295"/>
      <c r="AG124" s="295"/>
      <c r="AH124" s="295"/>
      <c r="AI124" s="295"/>
      <c r="AJ124" s="295"/>
      <c r="AK124" s="295"/>
      <c r="AL124" s="295"/>
      <c r="AM124" s="295"/>
    </row>
    <row r="125" spans="1:39" ht="12" customHeight="1" x14ac:dyDescent="0.3">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c r="AA125" s="295"/>
      <c r="AB125" s="295"/>
      <c r="AC125" s="295"/>
      <c r="AD125" s="295"/>
      <c r="AE125" s="295"/>
      <c r="AF125" s="295"/>
      <c r="AG125" s="295"/>
      <c r="AH125" s="295"/>
      <c r="AI125" s="295"/>
      <c r="AJ125" s="295"/>
      <c r="AK125" s="295"/>
      <c r="AL125" s="295"/>
      <c r="AM125" s="295"/>
    </row>
    <row r="126" spans="1:39" ht="12" customHeight="1" x14ac:dyDescent="0.3">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c r="AA126" s="295"/>
      <c r="AB126" s="295"/>
      <c r="AC126" s="295"/>
      <c r="AD126" s="295"/>
      <c r="AE126" s="295"/>
      <c r="AF126" s="295"/>
      <c r="AG126" s="295"/>
      <c r="AH126" s="295"/>
      <c r="AI126" s="295"/>
      <c r="AJ126" s="295"/>
      <c r="AK126" s="295"/>
      <c r="AL126" s="295"/>
      <c r="AM126" s="295"/>
    </row>
    <row r="127" spans="1:39" ht="12" customHeight="1" x14ac:dyDescent="0.3">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c r="AA127" s="295"/>
      <c r="AB127" s="295"/>
      <c r="AC127" s="295"/>
      <c r="AD127" s="295"/>
      <c r="AE127" s="295"/>
      <c r="AF127" s="295"/>
      <c r="AG127" s="295"/>
      <c r="AH127" s="295"/>
      <c r="AI127" s="295"/>
      <c r="AJ127" s="295"/>
      <c r="AK127" s="295"/>
      <c r="AL127" s="295"/>
      <c r="AM127" s="295"/>
    </row>
    <row r="128" spans="1:39" ht="12" customHeight="1" x14ac:dyDescent="0.3">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c r="AA128" s="295"/>
      <c r="AB128" s="295"/>
      <c r="AC128" s="295"/>
      <c r="AD128" s="295"/>
      <c r="AE128" s="295"/>
      <c r="AF128" s="295"/>
      <c r="AG128" s="295"/>
      <c r="AH128" s="295"/>
      <c r="AI128" s="295"/>
      <c r="AJ128" s="295"/>
      <c r="AK128" s="295"/>
      <c r="AL128" s="295"/>
      <c r="AM128" s="295"/>
    </row>
    <row r="129" spans="1:39" ht="12" customHeight="1" x14ac:dyDescent="0.3">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c r="AA129" s="295"/>
      <c r="AB129" s="295"/>
      <c r="AC129" s="295"/>
      <c r="AD129" s="295"/>
      <c r="AE129" s="295"/>
      <c r="AF129" s="295"/>
      <c r="AG129" s="295"/>
      <c r="AH129" s="295"/>
      <c r="AI129" s="295"/>
      <c r="AJ129" s="295"/>
      <c r="AK129" s="295"/>
      <c r="AL129" s="295"/>
      <c r="AM129" s="295"/>
    </row>
    <row r="130" spans="1:39" ht="12" customHeight="1" x14ac:dyDescent="0.3">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c r="AA130" s="295"/>
      <c r="AB130" s="295"/>
      <c r="AC130" s="295"/>
      <c r="AD130" s="295"/>
      <c r="AE130" s="295"/>
      <c r="AF130" s="295"/>
      <c r="AG130" s="295"/>
      <c r="AH130" s="295"/>
      <c r="AI130" s="295"/>
      <c r="AJ130" s="295"/>
      <c r="AK130" s="295"/>
      <c r="AL130" s="295"/>
      <c r="AM130" s="295"/>
    </row>
    <row r="131" spans="1:39" ht="12" customHeight="1" x14ac:dyDescent="0.3">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295"/>
      <c r="AH131" s="295"/>
      <c r="AI131" s="295"/>
      <c r="AJ131" s="295"/>
      <c r="AK131" s="295"/>
      <c r="AL131" s="295"/>
      <c r="AM131" s="295"/>
    </row>
    <row r="132" spans="1:39" ht="12" customHeight="1" x14ac:dyDescent="0.3">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c r="AB132" s="295"/>
      <c r="AC132" s="295"/>
      <c r="AD132" s="295"/>
      <c r="AE132" s="295"/>
      <c r="AF132" s="295"/>
      <c r="AG132" s="295"/>
      <c r="AH132" s="295"/>
      <c r="AI132" s="295"/>
      <c r="AJ132" s="295"/>
      <c r="AK132" s="295"/>
      <c r="AL132" s="295"/>
      <c r="AM132" s="295"/>
    </row>
    <row r="133" spans="1:39" ht="12" customHeight="1" x14ac:dyDescent="0.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c r="AA133" s="295"/>
      <c r="AB133" s="295"/>
      <c r="AC133" s="295"/>
      <c r="AD133" s="295"/>
      <c r="AE133" s="295"/>
      <c r="AF133" s="295"/>
      <c r="AG133" s="295"/>
      <c r="AH133" s="295"/>
      <c r="AI133" s="295"/>
      <c r="AJ133" s="295"/>
      <c r="AK133" s="295"/>
      <c r="AL133" s="295"/>
      <c r="AM133" s="295"/>
    </row>
    <row r="134" spans="1:39" ht="12" customHeight="1" x14ac:dyDescent="0.3">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c r="AA134" s="295"/>
      <c r="AB134" s="295"/>
      <c r="AC134" s="295"/>
      <c r="AD134" s="295"/>
      <c r="AE134" s="295"/>
      <c r="AF134" s="295"/>
      <c r="AG134" s="295"/>
      <c r="AH134" s="295"/>
      <c r="AI134" s="295"/>
      <c r="AJ134" s="295"/>
      <c r="AK134" s="295"/>
      <c r="AL134" s="295"/>
      <c r="AM134" s="295"/>
    </row>
    <row r="135" spans="1:39" ht="12" customHeight="1" x14ac:dyDescent="0.3">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c r="AA135" s="295"/>
      <c r="AB135" s="295"/>
      <c r="AC135" s="295"/>
      <c r="AD135" s="295"/>
      <c r="AE135" s="295"/>
      <c r="AF135" s="295"/>
      <c r="AG135" s="295"/>
      <c r="AH135" s="295"/>
      <c r="AI135" s="295"/>
      <c r="AJ135" s="295"/>
      <c r="AK135" s="295"/>
      <c r="AL135" s="295"/>
      <c r="AM135" s="295"/>
    </row>
    <row r="136" spans="1:39" ht="12" customHeight="1" x14ac:dyDescent="0.3">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c r="AA136" s="295"/>
      <c r="AB136" s="295"/>
      <c r="AC136" s="295"/>
      <c r="AD136" s="295"/>
      <c r="AE136" s="295"/>
      <c r="AF136" s="295"/>
      <c r="AG136" s="295"/>
      <c r="AH136" s="295"/>
      <c r="AI136" s="295"/>
      <c r="AJ136" s="295"/>
      <c r="AK136" s="295"/>
      <c r="AL136" s="295"/>
      <c r="AM136" s="295"/>
    </row>
    <row r="137" spans="1:39" ht="12" customHeight="1" x14ac:dyDescent="0.3">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c r="AA137" s="295"/>
      <c r="AB137" s="295"/>
      <c r="AC137" s="295"/>
      <c r="AD137" s="295"/>
      <c r="AE137" s="295"/>
      <c r="AF137" s="295"/>
      <c r="AG137" s="295"/>
      <c r="AH137" s="295"/>
      <c r="AI137" s="295"/>
      <c r="AJ137" s="295"/>
      <c r="AK137" s="295"/>
      <c r="AL137" s="295"/>
      <c r="AM137" s="295"/>
    </row>
    <row r="138" spans="1:39" ht="12" customHeight="1" x14ac:dyDescent="0.3">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c r="AA138" s="295"/>
      <c r="AB138" s="295"/>
      <c r="AC138" s="295"/>
      <c r="AD138" s="295"/>
      <c r="AE138" s="295"/>
      <c r="AF138" s="295"/>
      <c r="AG138" s="295"/>
      <c r="AH138" s="295"/>
      <c r="AI138" s="295"/>
      <c r="AJ138" s="295"/>
      <c r="AK138" s="295"/>
      <c r="AL138" s="295"/>
      <c r="AM138" s="295"/>
    </row>
    <row r="139" spans="1:39" ht="12" customHeight="1" x14ac:dyDescent="0.3">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c r="AA139" s="295"/>
      <c r="AB139" s="295"/>
      <c r="AC139" s="295"/>
      <c r="AD139" s="295"/>
      <c r="AE139" s="295"/>
      <c r="AF139" s="295"/>
      <c r="AG139" s="295"/>
      <c r="AH139" s="295"/>
      <c r="AI139" s="295"/>
      <c r="AJ139" s="295"/>
      <c r="AK139" s="295"/>
      <c r="AL139" s="295"/>
      <c r="AM139" s="295"/>
    </row>
    <row r="140" spans="1:39" ht="12" customHeight="1" x14ac:dyDescent="0.3">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c r="AA140" s="295"/>
      <c r="AB140" s="295"/>
      <c r="AC140" s="295"/>
      <c r="AD140" s="295"/>
      <c r="AE140" s="295"/>
      <c r="AF140" s="295"/>
      <c r="AG140" s="295"/>
      <c r="AH140" s="295"/>
      <c r="AI140" s="295"/>
      <c r="AJ140" s="295"/>
      <c r="AK140" s="295"/>
      <c r="AL140" s="295"/>
      <c r="AM140" s="295"/>
    </row>
    <row r="141" spans="1:39" ht="12" customHeight="1" x14ac:dyDescent="0.3">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c r="AA141" s="295"/>
      <c r="AB141" s="295"/>
      <c r="AC141" s="295"/>
      <c r="AD141" s="295"/>
      <c r="AE141" s="295"/>
      <c r="AF141" s="295"/>
      <c r="AG141" s="295"/>
      <c r="AH141" s="295"/>
      <c r="AI141" s="295"/>
      <c r="AJ141" s="295"/>
      <c r="AK141" s="295"/>
      <c r="AL141" s="295"/>
      <c r="AM141" s="295"/>
    </row>
    <row r="142" spans="1:39" ht="12" customHeight="1" x14ac:dyDescent="0.3">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row>
    <row r="143" spans="1:39" ht="12" customHeight="1" x14ac:dyDescent="0.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c r="AA143" s="295"/>
      <c r="AB143" s="295"/>
      <c r="AC143" s="295"/>
      <c r="AD143" s="295"/>
      <c r="AE143" s="295"/>
      <c r="AF143" s="295"/>
      <c r="AG143" s="295"/>
      <c r="AH143" s="295"/>
      <c r="AI143" s="295"/>
      <c r="AJ143" s="295"/>
      <c r="AK143" s="295"/>
      <c r="AL143" s="295"/>
      <c r="AM143" s="295"/>
    </row>
    <row r="144" spans="1:39" ht="12" customHeight="1" x14ac:dyDescent="0.3">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c r="AA144" s="295"/>
      <c r="AB144" s="295"/>
      <c r="AC144" s="295"/>
      <c r="AD144" s="295"/>
      <c r="AE144" s="295"/>
      <c r="AF144" s="295"/>
      <c r="AG144" s="295"/>
      <c r="AH144" s="295"/>
      <c r="AI144" s="295"/>
      <c r="AJ144" s="295"/>
      <c r="AK144" s="295"/>
      <c r="AL144" s="295"/>
      <c r="AM144" s="295"/>
    </row>
    <row r="145" spans="1:39" ht="12" customHeight="1" x14ac:dyDescent="0.3">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c r="AA145" s="295"/>
      <c r="AB145" s="295"/>
      <c r="AC145" s="295"/>
      <c r="AD145" s="295"/>
      <c r="AE145" s="295"/>
      <c r="AF145" s="295"/>
      <c r="AG145" s="295"/>
      <c r="AH145" s="295"/>
      <c r="AI145" s="295"/>
      <c r="AJ145" s="295"/>
      <c r="AK145" s="295"/>
      <c r="AL145" s="295"/>
      <c r="AM145" s="295"/>
    </row>
    <row r="146" spans="1:39" ht="12" customHeight="1" x14ac:dyDescent="0.3">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c r="AA146" s="295"/>
      <c r="AB146" s="295"/>
      <c r="AC146" s="295"/>
      <c r="AD146" s="295"/>
      <c r="AE146" s="295"/>
      <c r="AF146" s="295"/>
      <c r="AG146" s="295"/>
      <c r="AH146" s="295"/>
      <c r="AI146" s="295"/>
      <c r="AJ146" s="295"/>
      <c r="AK146" s="295"/>
      <c r="AL146" s="295"/>
      <c r="AM146" s="295"/>
    </row>
    <row r="147" spans="1:39" ht="12" customHeight="1" x14ac:dyDescent="0.3">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c r="AA147" s="295"/>
      <c r="AB147" s="295"/>
      <c r="AC147" s="295"/>
      <c r="AD147" s="295"/>
      <c r="AE147" s="295"/>
      <c r="AF147" s="295"/>
      <c r="AG147" s="295"/>
      <c r="AH147" s="295"/>
      <c r="AI147" s="295"/>
      <c r="AJ147" s="295"/>
      <c r="AK147" s="295"/>
      <c r="AL147" s="295"/>
      <c r="AM147" s="295"/>
    </row>
    <row r="148" spans="1:39" ht="12" customHeight="1" x14ac:dyDescent="0.3">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c r="AA148" s="295"/>
      <c r="AB148" s="295"/>
      <c r="AC148" s="295"/>
      <c r="AD148" s="295"/>
      <c r="AE148" s="295"/>
      <c r="AF148" s="295"/>
      <c r="AG148" s="295"/>
      <c r="AH148" s="295"/>
      <c r="AI148" s="295"/>
      <c r="AJ148" s="295"/>
      <c r="AK148" s="295"/>
      <c r="AL148" s="295"/>
      <c r="AM148" s="295"/>
    </row>
    <row r="149" spans="1:39" ht="12" customHeight="1" x14ac:dyDescent="0.3">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c r="AA149" s="295"/>
      <c r="AB149" s="295"/>
      <c r="AC149" s="295"/>
      <c r="AD149" s="295"/>
      <c r="AE149" s="295"/>
      <c r="AF149" s="295"/>
      <c r="AG149" s="295"/>
      <c r="AH149" s="295"/>
      <c r="AI149" s="295"/>
      <c r="AJ149" s="295"/>
      <c r="AK149" s="295"/>
      <c r="AL149" s="295"/>
      <c r="AM149" s="295"/>
    </row>
    <row r="150" spans="1:39" ht="12" customHeight="1" x14ac:dyDescent="0.3">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c r="AA150" s="295"/>
      <c r="AB150" s="295"/>
      <c r="AC150" s="295"/>
      <c r="AD150" s="295"/>
      <c r="AE150" s="295"/>
      <c r="AF150" s="295"/>
      <c r="AG150" s="295"/>
      <c r="AH150" s="295"/>
      <c r="AI150" s="295"/>
      <c r="AJ150" s="295"/>
      <c r="AK150" s="295"/>
      <c r="AL150" s="295"/>
      <c r="AM150" s="295"/>
    </row>
    <row r="151" spans="1:39" ht="12" customHeight="1" x14ac:dyDescent="0.3">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c r="AA151" s="295"/>
      <c r="AB151" s="295"/>
      <c r="AC151" s="295"/>
      <c r="AD151" s="295"/>
      <c r="AE151" s="295"/>
      <c r="AF151" s="295"/>
      <c r="AG151" s="295"/>
      <c r="AH151" s="295"/>
      <c r="AI151" s="295"/>
      <c r="AJ151" s="295"/>
      <c r="AK151" s="295"/>
      <c r="AL151" s="295"/>
      <c r="AM151" s="295"/>
    </row>
    <row r="152" spans="1:39" ht="12" customHeight="1" x14ac:dyDescent="0.3">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295"/>
      <c r="AH152" s="295"/>
      <c r="AI152" s="295"/>
      <c r="AJ152" s="295"/>
      <c r="AK152" s="295"/>
      <c r="AL152" s="295"/>
      <c r="AM152" s="295"/>
    </row>
    <row r="153" spans="1:39" ht="12" customHeight="1" x14ac:dyDescent="0.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row>
    <row r="154" spans="1:39" ht="12" customHeight="1" x14ac:dyDescent="0.3">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295"/>
      <c r="AH154" s="295"/>
      <c r="AI154" s="295"/>
      <c r="AJ154" s="295"/>
      <c r="AK154" s="295"/>
      <c r="AL154" s="295"/>
      <c r="AM154" s="295"/>
    </row>
    <row r="155" spans="1:39" ht="12" customHeight="1" x14ac:dyDescent="0.3">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295"/>
      <c r="AH155" s="295"/>
      <c r="AI155" s="295"/>
      <c r="AJ155" s="295"/>
      <c r="AK155" s="295"/>
      <c r="AL155" s="295"/>
      <c r="AM155" s="295"/>
    </row>
    <row r="156" spans="1:39" ht="12" customHeight="1" x14ac:dyDescent="0.3">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295"/>
      <c r="AH156" s="295"/>
      <c r="AI156" s="295"/>
      <c r="AJ156" s="295"/>
      <c r="AK156" s="295"/>
      <c r="AL156" s="295"/>
      <c r="AM156" s="295"/>
    </row>
    <row r="157" spans="1:39" ht="12" customHeight="1" x14ac:dyDescent="0.3">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c r="AA157" s="295"/>
      <c r="AB157" s="295"/>
      <c r="AC157" s="295"/>
      <c r="AD157" s="295"/>
      <c r="AE157" s="295"/>
      <c r="AF157" s="295"/>
      <c r="AG157" s="295"/>
      <c r="AH157" s="295"/>
      <c r="AI157" s="295"/>
      <c r="AJ157" s="295"/>
      <c r="AK157" s="295"/>
      <c r="AL157" s="295"/>
      <c r="AM157" s="295"/>
    </row>
    <row r="158" spans="1:39" ht="12" customHeight="1" x14ac:dyDescent="0.3">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c r="AA158" s="295"/>
      <c r="AB158" s="295"/>
      <c r="AC158" s="295"/>
      <c r="AD158" s="295"/>
      <c r="AE158" s="295"/>
      <c r="AF158" s="295"/>
      <c r="AG158" s="295"/>
      <c r="AH158" s="295"/>
      <c r="AI158" s="295"/>
      <c r="AJ158" s="295"/>
      <c r="AK158" s="295"/>
      <c r="AL158" s="295"/>
      <c r="AM158" s="295"/>
    </row>
    <row r="159" spans="1:39" ht="12" customHeight="1" x14ac:dyDescent="0.3">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295"/>
      <c r="AC159" s="295"/>
      <c r="AD159" s="295"/>
      <c r="AE159" s="295"/>
      <c r="AF159" s="295"/>
      <c r="AG159" s="295"/>
      <c r="AH159" s="295"/>
      <c r="AI159" s="295"/>
      <c r="AJ159" s="295"/>
      <c r="AK159" s="295"/>
      <c r="AL159" s="295"/>
      <c r="AM159" s="295"/>
    </row>
    <row r="160" spans="1:39" ht="12" customHeight="1" x14ac:dyDescent="0.3">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95"/>
      <c r="AI160" s="295"/>
      <c r="AJ160" s="295"/>
      <c r="AK160" s="295"/>
      <c r="AL160" s="295"/>
      <c r="AM160" s="295"/>
    </row>
    <row r="161" spans="1:39" ht="12" customHeight="1" x14ac:dyDescent="0.3">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c r="AA161" s="295"/>
      <c r="AB161" s="295"/>
      <c r="AC161" s="295"/>
      <c r="AD161" s="295"/>
      <c r="AE161" s="295"/>
      <c r="AF161" s="295"/>
      <c r="AG161" s="295"/>
      <c r="AH161" s="295"/>
      <c r="AI161" s="295"/>
      <c r="AJ161" s="295"/>
      <c r="AK161" s="295"/>
      <c r="AL161" s="295"/>
      <c r="AM161" s="295"/>
    </row>
    <row r="162" spans="1:39" ht="12" customHeight="1" x14ac:dyDescent="0.3">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c r="AA162" s="295"/>
      <c r="AB162" s="295"/>
      <c r="AC162" s="295"/>
      <c r="AD162" s="295"/>
      <c r="AE162" s="295"/>
      <c r="AF162" s="295"/>
      <c r="AG162" s="295"/>
      <c r="AH162" s="295"/>
      <c r="AI162" s="295"/>
      <c r="AJ162" s="295"/>
      <c r="AK162" s="295"/>
      <c r="AL162" s="295"/>
      <c r="AM162" s="295"/>
    </row>
    <row r="163" spans="1:39" ht="12" customHeight="1" x14ac:dyDescent="0.3">
      <c r="A163" s="295"/>
      <c r="B163" s="295"/>
      <c r="C163" s="295"/>
      <c r="D163" s="295"/>
      <c r="E163" s="295"/>
      <c r="F163" s="295"/>
      <c r="G163" s="295"/>
      <c r="H163" s="295"/>
      <c r="I163" s="295"/>
      <c r="J163" s="295"/>
      <c r="K163" s="295"/>
      <c r="L163" s="295"/>
      <c r="M163" s="295"/>
      <c r="N163" s="295"/>
      <c r="O163" s="295"/>
      <c r="P163" s="295"/>
      <c r="Q163" s="295"/>
      <c r="R163" s="295"/>
      <c r="S163" s="295"/>
      <c r="T163" s="295"/>
      <c r="U163" s="295"/>
      <c r="V163" s="295"/>
      <c r="W163" s="295"/>
      <c r="X163" s="295"/>
      <c r="Y163" s="295"/>
      <c r="Z163" s="295"/>
      <c r="AA163" s="295"/>
      <c r="AB163" s="295"/>
      <c r="AC163" s="295"/>
      <c r="AD163" s="295"/>
      <c r="AE163" s="295"/>
      <c r="AF163" s="295"/>
      <c r="AG163" s="295"/>
      <c r="AH163" s="295"/>
      <c r="AI163" s="295"/>
      <c r="AJ163" s="295"/>
      <c r="AK163" s="295"/>
      <c r="AL163" s="295"/>
      <c r="AM163" s="295"/>
    </row>
    <row r="164" spans="1:39" ht="12" customHeight="1" x14ac:dyDescent="0.3">
      <c r="A164" s="295"/>
      <c r="B164" s="295"/>
      <c r="C164" s="295"/>
      <c r="D164" s="295"/>
      <c r="E164" s="295"/>
      <c r="F164" s="295"/>
      <c r="G164" s="295"/>
      <c r="H164" s="295"/>
      <c r="I164" s="295"/>
      <c r="J164" s="295"/>
      <c r="K164" s="295"/>
      <c r="L164" s="295"/>
      <c r="M164" s="295"/>
      <c r="N164" s="295"/>
      <c r="O164" s="295"/>
      <c r="P164" s="295"/>
      <c r="Q164" s="295"/>
      <c r="R164" s="295"/>
      <c r="S164" s="295"/>
      <c r="T164" s="295"/>
      <c r="U164" s="295"/>
      <c r="V164" s="295"/>
      <c r="W164" s="295"/>
      <c r="X164" s="295"/>
      <c r="Y164" s="295"/>
      <c r="Z164" s="295"/>
      <c r="AA164" s="295"/>
      <c r="AB164" s="295"/>
      <c r="AC164" s="295"/>
      <c r="AD164" s="295"/>
      <c r="AE164" s="295"/>
      <c r="AF164" s="295"/>
      <c r="AG164" s="295"/>
      <c r="AH164" s="295"/>
      <c r="AI164" s="295"/>
      <c r="AJ164" s="295"/>
      <c r="AK164" s="295"/>
      <c r="AL164" s="295"/>
      <c r="AM164" s="295"/>
    </row>
    <row r="165" spans="1:39" ht="12" customHeight="1" x14ac:dyDescent="0.3">
      <c r="A165" s="295"/>
      <c r="B165" s="295"/>
      <c r="C165" s="295"/>
      <c r="D165" s="295"/>
      <c r="E165" s="295"/>
      <c r="F165" s="295"/>
      <c r="G165" s="295"/>
      <c r="H165" s="295"/>
      <c r="I165" s="295"/>
      <c r="J165" s="295"/>
      <c r="K165" s="295"/>
      <c r="L165" s="295"/>
      <c r="M165" s="295"/>
      <c r="N165" s="295"/>
      <c r="O165" s="295"/>
      <c r="P165" s="295"/>
      <c r="Q165" s="295"/>
      <c r="R165" s="295"/>
      <c r="S165" s="295"/>
      <c r="T165" s="295"/>
      <c r="U165" s="295"/>
      <c r="V165" s="295"/>
      <c r="W165" s="295"/>
      <c r="X165" s="295"/>
      <c r="Y165" s="295"/>
      <c r="Z165" s="295"/>
      <c r="AA165" s="295"/>
      <c r="AB165" s="295"/>
      <c r="AC165" s="295"/>
      <c r="AD165" s="295"/>
      <c r="AE165" s="295"/>
      <c r="AF165" s="295"/>
      <c r="AG165" s="295"/>
      <c r="AH165" s="295"/>
      <c r="AI165" s="295"/>
      <c r="AJ165" s="295"/>
      <c r="AK165" s="295"/>
      <c r="AL165" s="295"/>
      <c r="AM165" s="295"/>
    </row>
    <row r="166" spans="1:39" ht="12" customHeight="1" x14ac:dyDescent="0.3">
      <c r="A166" s="295"/>
      <c r="B166" s="295"/>
      <c r="C166" s="295"/>
      <c r="D166" s="295"/>
      <c r="E166" s="295"/>
      <c r="F166" s="295"/>
      <c r="G166" s="295"/>
      <c r="H166" s="295"/>
      <c r="I166" s="295"/>
      <c r="J166" s="295"/>
      <c r="K166" s="295"/>
      <c r="L166" s="295"/>
      <c r="M166" s="295"/>
      <c r="N166" s="295"/>
      <c r="O166" s="295"/>
      <c r="P166" s="295"/>
      <c r="Q166" s="295"/>
      <c r="R166" s="295"/>
      <c r="S166" s="295"/>
      <c r="T166" s="295"/>
      <c r="U166" s="295"/>
      <c r="V166" s="295"/>
      <c r="W166" s="295"/>
      <c r="X166" s="295"/>
      <c r="Y166" s="295"/>
      <c r="Z166" s="295"/>
      <c r="AA166" s="295"/>
      <c r="AB166" s="295"/>
      <c r="AC166" s="295"/>
      <c r="AD166" s="295"/>
      <c r="AE166" s="295"/>
      <c r="AF166" s="295"/>
      <c r="AG166" s="295"/>
      <c r="AH166" s="295"/>
      <c r="AI166" s="295"/>
      <c r="AJ166" s="295"/>
      <c r="AK166" s="295"/>
      <c r="AL166" s="295"/>
      <c r="AM166" s="295"/>
    </row>
    <row r="167" spans="1:39" ht="12" customHeight="1" x14ac:dyDescent="0.3">
      <c r="A167" s="295"/>
      <c r="B167" s="295"/>
      <c r="C167" s="295"/>
      <c r="D167" s="295"/>
      <c r="E167" s="295"/>
      <c r="F167" s="295"/>
      <c r="G167" s="295"/>
      <c r="H167" s="295"/>
      <c r="I167" s="295"/>
      <c r="J167" s="295"/>
      <c r="K167" s="295"/>
      <c r="L167" s="295"/>
      <c r="M167" s="295"/>
      <c r="N167" s="295"/>
      <c r="O167" s="295"/>
      <c r="P167" s="295"/>
      <c r="Q167" s="295"/>
      <c r="R167" s="295"/>
      <c r="S167" s="295"/>
      <c r="T167" s="295"/>
      <c r="U167" s="295"/>
      <c r="V167" s="295"/>
      <c r="W167" s="295"/>
      <c r="X167" s="295"/>
      <c r="Y167" s="295"/>
      <c r="Z167" s="295"/>
      <c r="AA167" s="295"/>
      <c r="AB167" s="295"/>
      <c r="AC167" s="295"/>
      <c r="AD167" s="295"/>
      <c r="AE167" s="295"/>
      <c r="AF167" s="295"/>
      <c r="AG167" s="295"/>
      <c r="AH167" s="295"/>
      <c r="AI167" s="295"/>
      <c r="AJ167" s="295"/>
      <c r="AK167" s="295"/>
      <c r="AL167" s="295"/>
      <c r="AM167" s="295"/>
    </row>
    <row r="168" spans="1:39" ht="12" customHeight="1" x14ac:dyDescent="0.3">
      <c r="A168" s="295"/>
      <c r="B168" s="295"/>
      <c r="C168" s="295"/>
      <c r="D168" s="295"/>
      <c r="E168" s="295"/>
      <c r="F168" s="295"/>
      <c r="G168" s="295"/>
      <c r="H168" s="295"/>
      <c r="I168" s="295"/>
      <c r="J168" s="295"/>
      <c r="K168" s="295"/>
      <c r="L168" s="295"/>
      <c r="M168" s="295"/>
      <c r="N168" s="295"/>
      <c r="O168" s="295"/>
      <c r="P168" s="295"/>
      <c r="Q168" s="295"/>
      <c r="R168" s="295"/>
      <c r="S168" s="295"/>
      <c r="T168" s="295"/>
      <c r="U168" s="295"/>
      <c r="V168" s="295"/>
      <c r="W168" s="295"/>
      <c r="X168" s="295"/>
      <c r="Y168" s="295"/>
      <c r="Z168" s="295"/>
      <c r="AA168" s="295"/>
      <c r="AB168" s="295"/>
      <c r="AC168" s="295"/>
      <c r="AD168" s="295"/>
      <c r="AE168" s="295"/>
      <c r="AF168" s="295"/>
      <c r="AG168" s="295"/>
      <c r="AH168" s="295"/>
      <c r="AI168" s="295"/>
      <c r="AJ168" s="295"/>
      <c r="AK168" s="295"/>
      <c r="AL168" s="295"/>
      <c r="AM168" s="295"/>
    </row>
    <row r="169" spans="1:39" ht="12" customHeight="1" x14ac:dyDescent="0.3">
      <c r="A169" s="295"/>
      <c r="B169" s="295"/>
      <c r="C169" s="295"/>
      <c r="D169" s="295"/>
      <c r="E169" s="295"/>
      <c r="F169" s="295"/>
      <c r="G169" s="295"/>
      <c r="H169" s="295"/>
      <c r="I169" s="295"/>
      <c r="J169" s="295"/>
      <c r="K169" s="295"/>
      <c r="L169" s="295"/>
      <c r="M169" s="295"/>
      <c r="N169" s="295"/>
      <c r="O169" s="295"/>
      <c r="P169" s="295"/>
      <c r="Q169" s="295"/>
      <c r="R169" s="295"/>
      <c r="S169" s="295"/>
      <c r="T169" s="295"/>
      <c r="U169" s="295"/>
      <c r="V169" s="295"/>
      <c r="W169" s="295"/>
      <c r="X169" s="295"/>
      <c r="Y169" s="295"/>
      <c r="Z169" s="295"/>
      <c r="AA169" s="295"/>
      <c r="AB169" s="295"/>
      <c r="AC169" s="295"/>
      <c r="AD169" s="295"/>
      <c r="AE169" s="295"/>
      <c r="AF169" s="295"/>
      <c r="AG169" s="295"/>
      <c r="AH169" s="295"/>
      <c r="AI169" s="295"/>
      <c r="AJ169" s="295"/>
      <c r="AK169" s="295"/>
      <c r="AL169" s="295"/>
      <c r="AM169" s="295"/>
    </row>
    <row r="170" spans="1:39" ht="12" customHeight="1" x14ac:dyDescent="0.3">
      <c r="A170" s="295"/>
      <c r="B170" s="295"/>
      <c r="C170" s="295"/>
      <c r="D170" s="295"/>
      <c r="E170" s="295"/>
      <c r="F170" s="295"/>
      <c r="G170" s="295"/>
      <c r="H170" s="295"/>
      <c r="I170" s="295"/>
      <c r="J170" s="295"/>
      <c r="K170" s="295"/>
      <c r="L170" s="295"/>
      <c r="M170" s="295"/>
      <c r="N170" s="295"/>
      <c r="O170" s="295"/>
      <c r="P170" s="295"/>
      <c r="Q170" s="295"/>
      <c r="R170" s="295"/>
      <c r="S170" s="295"/>
      <c r="T170" s="295"/>
      <c r="U170" s="295"/>
      <c r="V170" s="295"/>
      <c r="W170" s="295"/>
      <c r="X170" s="295"/>
      <c r="Y170" s="295"/>
      <c r="Z170" s="295"/>
      <c r="AA170" s="295"/>
      <c r="AB170" s="295"/>
      <c r="AC170" s="295"/>
      <c r="AD170" s="295"/>
      <c r="AE170" s="295"/>
      <c r="AF170" s="295"/>
      <c r="AG170" s="295"/>
      <c r="AH170" s="295"/>
      <c r="AI170" s="295"/>
      <c r="AJ170" s="295"/>
      <c r="AK170" s="295"/>
      <c r="AL170" s="295"/>
      <c r="AM170" s="295"/>
    </row>
    <row r="171" spans="1:39" ht="12" customHeight="1" x14ac:dyDescent="0.3">
      <c r="A171" s="295"/>
      <c r="B171" s="295"/>
      <c r="C171" s="295"/>
      <c r="D171" s="295"/>
      <c r="E171" s="295"/>
      <c r="F171" s="295"/>
      <c r="G171" s="295"/>
      <c r="H171" s="295"/>
      <c r="I171" s="295"/>
      <c r="J171" s="295"/>
      <c r="K171" s="295"/>
      <c r="L171" s="295"/>
      <c r="M171" s="295"/>
      <c r="N171" s="295"/>
      <c r="O171" s="295"/>
      <c r="P171" s="295"/>
      <c r="Q171" s="295"/>
      <c r="R171" s="295"/>
      <c r="S171" s="295"/>
      <c r="T171" s="295"/>
      <c r="U171" s="295"/>
      <c r="V171" s="295"/>
      <c r="W171" s="295"/>
      <c r="X171" s="295"/>
      <c r="Y171" s="295"/>
      <c r="Z171" s="295"/>
      <c r="AA171" s="295"/>
      <c r="AB171" s="295"/>
      <c r="AC171" s="295"/>
      <c r="AD171" s="295"/>
      <c r="AE171" s="295"/>
      <c r="AF171" s="295"/>
      <c r="AG171" s="295"/>
      <c r="AH171" s="295"/>
      <c r="AI171" s="295"/>
      <c r="AJ171" s="295"/>
      <c r="AK171" s="295"/>
      <c r="AL171" s="295"/>
      <c r="AM171" s="295"/>
    </row>
    <row r="172" spans="1:39" ht="12" customHeight="1" x14ac:dyDescent="0.3">
      <c r="A172" s="295"/>
      <c r="B172" s="295"/>
      <c r="C172" s="295"/>
      <c r="D172" s="295"/>
      <c r="E172" s="295"/>
      <c r="F172" s="295"/>
      <c r="G172" s="295"/>
      <c r="H172" s="295"/>
      <c r="I172" s="295"/>
      <c r="J172" s="295"/>
      <c r="K172" s="295"/>
      <c r="L172" s="295"/>
      <c r="M172" s="295"/>
      <c r="N172" s="295"/>
      <c r="O172" s="295"/>
      <c r="P172" s="295"/>
      <c r="Q172" s="295"/>
      <c r="R172" s="295"/>
      <c r="S172" s="295"/>
      <c r="T172" s="295"/>
      <c r="U172" s="295"/>
      <c r="V172" s="295"/>
      <c r="W172" s="295"/>
      <c r="X172" s="295"/>
      <c r="Y172" s="295"/>
      <c r="Z172" s="295"/>
      <c r="AA172" s="295"/>
      <c r="AB172" s="295"/>
      <c r="AC172" s="295"/>
      <c r="AD172" s="295"/>
      <c r="AE172" s="295"/>
      <c r="AF172" s="295"/>
      <c r="AG172" s="295"/>
      <c r="AH172" s="295"/>
      <c r="AI172" s="295"/>
      <c r="AJ172" s="295"/>
      <c r="AK172" s="295"/>
      <c r="AL172" s="295"/>
      <c r="AM172" s="295"/>
    </row>
    <row r="173" spans="1:39" ht="12" customHeight="1" x14ac:dyDescent="0.3">
      <c r="A173" s="295"/>
      <c r="B173" s="295"/>
      <c r="C173" s="295"/>
      <c r="D173" s="295"/>
      <c r="E173" s="295"/>
      <c r="F173" s="295"/>
      <c r="G173" s="295"/>
      <c r="H173" s="295"/>
      <c r="I173" s="295"/>
      <c r="J173" s="295"/>
      <c r="K173" s="295"/>
      <c r="L173" s="295"/>
      <c r="M173" s="295"/>
      <c r="N173" s="295"/>
      <c r="O173" s="295"/>
      <c r="P173" s="295"/>
      <c r="Q173" s="295"/>
      <c r="R173" s="295"/>
      <c r="S173" s="295"/>
      <c r="T173" s="295"/>
      <c r="U173" s="295"/>
      <c r="V173" s="295"/>
      <c r="W173" s="295"/>
      <c r="X173" s="295"/>
      <c r="Y173" s="295"/>
      <c r="Z173" s="295"/>
      <c r="AA173" s="295"/>
      <c r="AB173" s="295"/>
      <c r="AC173" s="295"/>
      <c r="AD173" s="295"/>
      <c r="AE173" s="295"/>
      <c r="AF173" s="295"/>
      <c r="AG173" s="295"/>
      <c r="AH173" s="295"/>
      <c r="AI173" s="295"/>
      <c r="AJ173" s="295"/>
      <c r="AK173" s="295"/>
      <c r="AL173" s="295"/>
      <c r="AM173" s="295"/>
    </row>
    <row r="174" spans="1:39" ht="12" customHeight="1" x14ac:dyDescent="0.3">
      <c r="A174" s="295"/>
      <c r="B174" s="295"/>
      <c r="C174" s="295"/>
      <c r="D174" s="295"/>
      <c r="E174" s="295"/>
      <c r="F174" s="295"/>
      <c r="G174" s="295"/>
      <c r="H174" s="295"/>
      <c r="I174" s="295"/>
      <c r="J174" s="295"/>
      <c r="K174" s="295"/>
      <c r="L174" s="295"/>
      <c r="M174" s="295"/>
      <c r="N174" s="295"/>
      <c r="O174" s="295"/>
      <c r="P174" s="295"/>
      <c r="Q174" s="295"/>
      <c r="R174" s="295"/>
      <c r="S174" s="295"/>
      <c r="T174" s="295"/>
      <c r="U174" s="295"/>
      <c r="V174" s="295"/>
      <c r="W174" s="295"/>
      <c r="X174" s="295"/>
      <c r="Y174" s="295"/>
      <c r="Z174" s="295"/>
      <c r="AA174" s="295"/>
      <c r="AB174" s="295"/>
      <c r="AC174" s="295"/>
      <c r="AD174" s="295"/>
      <c r="AE174" s="295"/>
      <c r="AF174" s="295"/>
      <c r="AG174" s="295"/>
      <c r="AH174" s="295"/>
      <c r="AI174" s="295"/>
      <c r="AJ174" s="295"/>
      <c r="AK174" s="295"/>
      <c r="AL174" s="295"/>
      <c r="AM174" s="295"/>
    </row>
    <row r="175" spans="1:39" ht="12" customHeight="1" x14ac:dyDescent="0.3">
      <c r="A175" s="295"/>
      <c r="B175" s="295"/>
      <c r="C175" s="295"/>
      <c r="D175" s="295"/>
      <c r="E175" s="295"/>
      <c r="F175" s="295"/>
      <c r="G175" s="295"/>
      <c r="H175" s="295"/>
      <c r="I175" s="295"/>
      <c r="J175" s="295"/>
      <c r="K175" s="295"/>
      <c r="L175" s="295"/>
      <c r="M175" s="295"/>
      <c r="N175" s="295"/>
      <c r="O175" s="295"/>
      <c r="P175" s="295"/>
      <c r="Q175" s="295"/>
      <c r="R175" s="295"/>
      <c r="S175" s="295"/>
      <c r="T175" s="295"/>
      <c r="U175" s="295"/>
      <c r="V175" s="295"/>
      <c r="W175" s="295"/>
      <c r="X175" s="295"/>
      <c r="Y175" s="295"/>
      <c r="Z175" s="295"/>
      <c r="AA175" s="295"/>
      <c r="AB175" s="295"/>
      <c r="AC175" s="295"/>
      <c r="AD175" s="295"/>
      <c r="AE175" s="295"/>
      <c r="AF175" s="295"/>
      <c r="AG175" s="295"/>
      <c r="AH175" s="295"/>
      <c r="AI175" s="295"/>
      <c r="AJ175" s="295"/>
      <c r="AK175" s="295"/>
      <c r="AL175" s="295"/>
      <c r="AM175" s="295"/>
    </row>
    <row r="176" spans="1:39" ht="12" customHeight="1" x14ac:dyDescent="0.3">
      <c r="A176" s="295"/>
      <c r="B176" s="295"/>
      <c r="C176" s="295"/>
      <c r="D176" s="295"/>
      <c r="E176" s="295"/>
      <c r="F176" s="295"/>
      <c r="G176" s="295"/>
      <c r="H176" s="295"/>
      <c r="I176" s="295"/>
      <c r="J176" s="295"/>
      <c r="K176" s="295"/>
      <c r="L176" s="295"/>
      <c r="M176" s="295"/>
      <c r="N176" s="295"/>
      <c r="O176" s="295"/>
      <c r="P176" s="295"/>
      <c r="Q176" s="295"/>
      <c r="R176" s="295"/>
      <c r="S176" s="295"/>
      <c r="T176" s="295"/>
      <c r="U176" s="295"/>
      <c r="V176" s="295"/>
      <c r="W176" s="295"/>
      <c r="X176" s="295"/>
      <c r="Y176" s="295"/>
      <c r="Z176" s="295"/>
      <c r="AA176" s="295"/>
      <c r="AB176" s="295"/>
      <c r="AC176" s="295"/>
      <c r="AD176" s="295"/>
      <c r="AE176" s="295"/>
      <c r="AF176" s="295"/>
      <c r="AG176" s="295"/>
      <c r="AH176" s="295"/>
      <c r="AI176" s="295"/>
      <c r="AJ176" s="295"/>
      <c r="AK176" s="295"/>
      <c r="AL176" s="295"/>
      <c r="AM176" s="295"/>
    </row>
    <row r="177" spans="1:39" ht="12" customHeight="1" x14ac:dyDescent="0.3">
      <c r="A177" s="295"/>
      <c r="B177" s="295"/>
      <c r="C177" s="295"/>
      <c r="D177" s="295"/>
      <c r="E177" s="295"/>
      <c r="F177" s="295"/>
      <c r="G177" s="295"/>
      <c r="H177" s="295"/>
      <c r="I177" s="295"/>
      <c r="J177" s="295"/>
      <c r="K177" s="295"/>
      <c r="L177" s="295"/>
      <c r="M177" s="295"/>
      <c r="N177" s="295"/>
      <c r="O177" s="295"/>
      <c r="P177" s="295"/>
      <c r="Q177" s="295"/>
      <c r="R177" s="295"/>
      <c r="S177" s="295"/>
      <c r="T177" s="295"/>
      <c r="U177" s="295"/>
      <c r="V177" s="295"/>
      <c r="W177" s="295"/>
      <c r="X177" s="295"/>
      <c r="Y177" s="295"/>
      <c r="Z177" s="295"/>
      <c r="AA177" s="295"/>
      <c r="AB177" s="295"/>
      <c r="AC177" s="295"/>
      <c r="AD177" s="295"/>
      <c r="AE177" s="295"/>
      <c r="AF177" s="295"/>
      <c r="AG177" s="295"/>
      <c r="AH177" s="295"/>
      <c r="AI177" s="295"/>
      <c r="AJ177" s="295"/>
      <c r="AK177" s="295"/>
      <c r="AL177" s="295"/>
      <c r="AM177" s="295"/>
    </row>
    <row r="178" spans="1:39" ht="12" customHeight="1" x14ac:dyDescent="0.3">
      <c r="A178" s="295"/>
      <c r="B178" s="295"/>
      <c r="C178" s="295"/>
      <c r="D178" s="295"/>
      <c r="E178" s="295"/>
      <c r="F178" s="295"/>
      <c r="G178" s="295"/>
      <c r="H178" s="295"/>
      <c r="I178" s="295"/>
      <c r="J178" s="295"/>
      <c r="K178" s="295"/>
      <c r="L178" s="295"/>
      <c r="M178" s="295"/>
      <c r="N178" s="295"/>
      <c r="O178" s="295"/>
      <c r="P178" s="295"/>
      <c r="Q178" s="295"/>
      <c r="R178" s="295"/>
      <c r="S178" s="295"/>
      <c r="T178" s="295"/>
      <c r="U178" s="295"/>
      <c r="V178" s="295"/>
      <c r="W178" s="295"/>
      <c r="X178" s="295"/>
      <c r="Y178" s="295"/>
      <c r="Z178" s="295"/>
      <c r="AA178" s="295"/>
      <c r="AB178" s="295"/>
      <c r="AC178" s="295"/>
      <c r="AD178" s="295"/>
      <c r="AE178" s="295"/>
      <c r="AF178" s="295"/>
      <c r="AG178" s="295"/>
      <c r="AH178" s="295"/>
      <c r="AI178" s="295"/>
      <c r="AJ178" s="295"/>
      <c r="AK178" s="295"/>
      <c r="AL178" s="295"/>
      <c r="AM178" s="295"/>
    </row>
    <row r="179" spans="1:39" ht="12" customHeight="1" x14ac:dyDescent="0.3">
      <c r="A179" s="295"/>
      <c r="B179" s="295"/>
      <c r="C179" s="295"/>
      <c r="D179" s="295"/>
      <c r="E179" s="295"/>
      <c r="F179" s="295"/>
      <c r="G179" s="295"/>
      <c r="H179" s="295"/>
      <c r="I179" s="295"/>
      <c r="J179" s="295"/>
      <c r="K179" s="295"/>
      <c r="L179" s="295"/>
      <c r="M179" s="295"/>
      <c r="N179" s="295"/>
      <c r="O179" s="295"/>
      <c r="P179" s="295"/>
      <c r="Q179" s="295"/>
      <c r="R179" s="295"/>
      <c r="S179" s="295"/>
      <c r="T179" s="295"/>
      <c r="U179" s="295"/>
      <c r="V179" s="295"/>
      <c r="W179" s="295"/>
      <c r="X179" s="295"/>
      <c r="Y179" s="295"/>
      <c r="Z179" s="295"/>
      <c r="AA179" s="295"/>
      <c r="AB179" s="295"/>
      <c r="AC179" s="295"/>
      <c r="AD179" s="295"/>
      <c r="AE179" s="295"/>
      <c r="AF179" s="295"/>
      <c r="AG179" s="295"/>
      <c r="AH179" s="295"/>
      <c r="AI179" s="295"/>
      <c r="AJ179" s="295"/>
      <c r="AK179" s="295"/>
      <c r="AL179" s="295"/>
      <c r="AM179" s="295"/>
    </row>
    <row r="180" spans="1:39" ht="12" customHeight="1" x14ac:dyDescent="0.3">
      <c r="A180" s="295"/>
      <c r="B180" s="295"/>
      <c r="C180" s="295"/>
      <c r="D180" s="295"/>
      <c r="E180" s="295"/>
      <c r="F180" s="295"/>
      <c r="G180" s="295"/>
      <c r="H180" s="295"/>
      <c r="I180" s="295"/>
      <c r="J180" s="295"/>
      <c r="K180" s="295"/>
      <c r="L180" s="295"/>
      <c r="M180" s="295"/>
      <c r="N180" s="295"/>
      <c r="O180" s="295"/>
      <c r="P180" s="295"/>
      <c r="Q180" s="295"/>
      <c r="R180" s="295"/>
      <c r="S180" s="295"/>
      <c r="T180" s="295"/>
      <c r="U180" s="295"/>
      <c r="V180" s="295"/>
      <c r="W180" s="295"/>
      <c r="X180" s="295"/>
      <c r="Y180" s="295"/>
      <c r="Z180" s="295"/>
      <c r="AA180" s="295"/>
      <c r="AB180" s="295"/>
      <c r="AC180" s="295"/>
      <c r="AD180" s="295"/>
      <c r="AE180" s="295"/>
      <c r="AF180" s="295"/>
      <c r="AG180" s="295"/>
      <c r="AH180" s="295"/>
      <c r="AI180" s="295"/>
      <c r="AJ180" s="295"/>
      <c r="AK180" s="295"/>
      <c r="AL180" s="295"/>
      <c r="AM180" s="295"/>
    </row>
    <row r="181" spans="1:39" ht="12" customHeight="1" x14ac:dyDescent="0.3">
      <c r="A181" s="295"/>
      <c r="B181" s="295"/>
      <c r="C181" s="295"/>
      <c r="D181" s="295"/>
      <c r="E181" s="295"/>
      <c r="F181" s="295"/>
      <c r="G181" s="295"/>
      <c r="H181" s="295"/>
      <c r="I181" s="295"/>
      <c r="J181" s="295"/>
      <c r="K181" s="295"/>
      <c r="L181" s="295"/>
      <c r="M181" s="295"/>
      <c r="N181" s="295"/>
      <c r="O181" s="295"/>
      <c r="P181" s="295"/>
      <c r="Q181" s="295"/>
      <c r="R181" s="295"/>
      <c r="S181" s="295"/>
      <c r="T181" s="295"/>
      <c r="U181" s="295"/>
      <c r="V181" s="295"/>
      <c r="W181" s="295"/>
      <c r="X181" s="295"/>
      <c r="Y181" s="295"/>
      <c r="Z181" s="295"/>
      <c r="AA181" s="295"/>
      <c r="AB181" s="295"/>
      <c r="AC181" s="295"/>
      <c r="AD181" s="295"/>
      <c r="AE181" s="295"/>
      <c r="AF181" s="295"/>
      <c r="AG181" s="295"/>
      <c r="AH181" s="295"/>
      <c r="AI181" s="295"/>
      <c r="AJ181" s="295"/>
      <c r="AK181" s="295"/>
      <c r="AL181" s="295"/>
      <c r="AM181" s="295"/>
    </row>
    <row r="182" spans="1:39" ht="12" customHeight="1" x14ac:dyDescent="0.3">
      <c r="A182" s="295"/>
      <c r="B182" s="295"/>
      <c r="C182" s="295"/>
      <c r="D182" s="295"/>
      <c r="E182" s="295"/>
      <c r="F182" s="295"/>
      <c r="G182" s="295"/>
      <c r="H182" s="295"/>
      <c r="I182" s="295"/>
      <c r="J182" s="295"/>
      <c r="K182" s="295"/>
      <c r="L182" s="295"/>
      <c r="M182" s="295"/>
      <c r="N182" s="295"/>
      <c r="O182" s="295"/>
      <c r="P182" s="295"/>
      <c r="Q182" s="295"/>
      <c r="R182" s="295"/>
      <c r="S182" s="295"/>
      <c r="T182" s="295"/>
      <c r="U182" s="295"/>
      <c r="V182" s="295"/>
      <c r="W182" s="295"/>
      <c r="X182" s="295"/>
      <c r="Y182" s="295"/>
      <c r="Z182" s="295"/>
      <c r="AA182" s="295"/>
      <c r="AB182" s="295"/>
      <c r="AC182" s="295"/>
      <c r="AD182" s="295"/>
      <c r="AE182" s="295"/>
      <c r="AF182" s="295"/>
      <c r="AG182" s="295"/>
      <c r="AH182" s="295"/>
      <c r="AI182" s="295"/>
      <c r="AJ182" s="295"/>
      <c r="AK182" s="295"/>
      <c r="AL182" s="295"/>
      <c r="AM182" s="295"/>
    </row>
    <row r="183" spans="1:39" ht="12" customHeight="1" x14ac:dyDescent="0.3">
      <c r="A183" s="295"/>
      <c r="B183" s="295"/>
      <c r="C183" s="295"/>
      <c r="D183" s="295"/>
      <c r="E183" s="295"/>
      <c r="F183" s="295"/>
      <c r="G183" s="295"/>
      <c r="H183" s="295"/>
      <c r="I183" s="295"/>
      <c r="J183" s="295"/>
      <c r="K183" s="295"/>
      <c r="L183" s="295"/>
      <c r="M183" s="295"/>
      <c r="N183" s="295"/>
      <c r="O183" s="295"/>
      <c r="P183" s="295"/>
      <c r="Q183" s="295"/>
      <c r="R183" s="295"/>
      <c r="S183" s="295"/>
      <c r="T183" s="295"/>
      <c r="U183" s="295"/>
      <c r="V183" s="295"/>
      <c r="W183" s="295"/>
      <c r="X183" s="295"/>
      <c r="Y183" s="295"/>
      <c r="Z183" s="295"/>
      <c r="AA183" s="295"/>
      <c r="AB183" s="295"/>
      <c r="AC183" s="295"/>
      <c r="AD183" s="295"/>
      <c r="AE183" s="295"/>
      <c r="AF183" s="295"/>
      <c r="AG183" s="295"/>
      <c r="AH183" s="295"/>
      <c r="AI183" s="295"/>
      <c r="AJ183" s="295"/>
      <c r="AK183" s="295"/>
      <c r="AL183" s="295"/>
      <c r="AM183" s="295"/>
    </row>
    <row r="184" spans="1:39" ht="12" customHeight="1" x14ac:dyDescent="0.3">
      <c r="A184" s="295"/>
      <c r="B184" s="295"/>
      <c r="C184" s="295"/>
      <c r="D184" s="295"/>
      <c r="E184" s="295"/>
      <c r="F184" s="295"/>
      <c r="G184" s="295"/>
      <c r="H184" s="295"/>
      <c r="I184" s="295"/>
      <c r="J184" s="295"/>
      <c r="K184" s="295"/>
      <c r="L184" s="295"/>
      <c r="M184" s="295"/>
      <c r="N184" s="295"/>
      <c r="O184" s="295"/>
      <c r="P184" s="295"/>
      <c r="Q184" s="295"/>
      <c r="R184" s="295"/>
      <c r="S184" s="295"/>
      <c r="T184" s="295"/>
      <c r="U184" s="295"/>
      <c r="V184" s="295"/>
      <c r="W184" s="295"/>
      <c r="X184" s="295"/>
      <c r="Y184" s="295"/>
      <c r="Z184" s="295"/>
      <c r="AA184" s="295"/>
      <c r="AB184" s="295"/>
      <c r="AC184" s="295"/>
      <c r="AD184" s="295"/>
      <c r="AE184" s="295"/>
      <c r="AF184" s="295"/>
      <c r="AG184" s="295"/>
      <c r="AH184" s="295"/>
      <c r="AI184" s="295"/>
      <c r="AJ184" s="295"/>
      <c r="AK184" s="295"/>
      <c r="AL184" s="295"/>
      <c r="AM184" s="295"/>
    </row>
    <row r="185" spans="1:39" ht="12" customHeight="1" x14ac:dyDescent="0.3">
      <c r="A185" s="295"/>
      <c r="B185" s="295"/>
      <c r="C185" s="295"/>
      <c r="D185" s="295"/>
      <c r="E185" s="295"/>
      <c r="F185" s="295"/>
      <c r="G185" s="295"/>
      <c r="H185" s="295"/>
      <c r="I185" s="295"/>
      <c r="J185" s="295"/>
      <c r="K185" s="295"/>
      <c r="L185" s="295"/>
      <c r="M185" s="295"/>
      <c r="N185" s="295"/>
      <c r="O185" s="295"/>
      <c r="P185" s="295"/>
      <c r="Q185" s="295"/>
      <c r="R185" s="295"/>
      <c r="S185" s="295"/>
      <c r="T185" s="295"/>
      <c r="U185" s="295"/>
      <c r="V185" s="295"/>
      <c r="W185" s="295"/>
      <c r="X185" s="295"/>
      <c r="Y185" s="295"/>
      <c r="Z185" s="295"/>
      <c r="AA185" s="295"/>
      <c r="AB185" s="295"/>
      <c r="AC185" s="295"/>
      <c r="AD185" s="295"/>
      <c r="AE185" s="295"/>
      <c r="AF185" s="295"/>
      <c r="AG185" s="295"/>
      <c r="AH185" s="295"/>
      <c r="AI185" s="295"/>
      <c r="AJ185" s="295"/>
      <c r="AK185" s="295"/>
      <c r="AL185" s="295"/>
      <c r="AM185" s="295"/>
    </row>
    <row r="186" spans="1:39" ht="12" customHeight="1" x14ac:dyDescent="0.3">
      <c r="A186" s="295"/>
      <c r="B186" s="295"/>
      <c r="C186" s="295"/>
      <c r="D186" s="295"/>
      <c r="E186" s="295"/>
      <c r="F186" s="295"/>
      <c r="G186" s="295"/>
      <c r="H186" s="295"/>
      <c r="I186" s="295"/>
      <c r="J186" s="295"/>
      <c r="K186" s="295"/>
      <c r="L186" s="295"/>
      <c r="M186" s="295"/>
      <c r="N186" s="295"/>
      <c r="O186" s="295"/>
      <c r="P186" s="295"/>
      <c r="Q186" s="295"/>
      <c r="R186" s="295"/>
      <c r="S186" s="295"/>
      <c r="T186" s="295"/>
      <c r="U186" s="295"/>
      <c r="V186" s="295"/>
      <c r="W186" s="295"/>
      <c r="X186" s="295"/>
      <c r="Y186" s="295"/>
      <c r="Z186" s="295"/>
      <c r="AA186" s="295"/>
      <c r="AB186" s="295"/>
      <c r="AC186" s="295"/>
      <c r="AD186" s="295"/>
      <c r="AE186" s="295"/>
      <c r="AF186" s="295"/>
      <c r="AG186" s="295"/>
      <c r="AH186" s="295"/>
      <c r="AI186" s="295"/>
      <c r="AJ186" s="295"/>
      <c r="AK186" s="295"/>
      <c r="AL186" s="295"/>
      <c r="AM186" s="295"/>
    </row>
    <row r="187" spans="1:39" ht="12" customHeight="1" x14ac:dyDescent="0.3">
      <c r="A187" s="295"/>
      <c r="B187" s="295"/>
      <c r="C187" s="295"/>
      <c r="D187" s="295"/>
      <c r="E187" s="295"/>
      <c r="F187" s="295"/>
      <c r="G187" s="295"/>
      <c r="H187" s="295"/>
      <c r="I187" s="295"/>
      <c r="J187" s="295"/>
      <c r="K187" s="295"/>
      <c r="L187" s="295"/>
      <c r="M187" s="295"/>
      <c r="N187" s="295"/>
      <c r="O187" s="295"/>
      <c r="P187" s="295"/>
      <c r="Q187" s="295"/>
      <c r="R187" s="295"/>
      <c r="S187" s="295"/>
      <c r="T187" s="295"/>
      <c r="U187" s="295"/>
      <c r="V187" s="295"/>
      <c r="W187" s="295"/>
      <c r="X187" s="295"/>
      <c r="Y187" s="295"/>
      <c r="Z187" s="295"/>
      <c r="AA187" s="295"/>
      <c r="AB187" s="295"/>
      <c r="AC187" s="295"/>
      <c r="AD187" s="295"/>
      <c r="AE187" s="295"/>
      <c r="AF187" s="295"/>
      <c r="AG187" s="295"/>
      <c r="AH187" s="295"/>
      <c r="AI187" s="295"/>
      <c r="AJ187" s="295"/>
      <c r="AK187" s="295"/>
      <c r="AL187" s="295"/>
      <c r="AM187" s="295"/>
    </row>
    <row r="188" spans="1:39" ht="12" customHeight="1" x14ac:dyDescent="0.3">
      <c r="A188" s="295"/>
      <c r="B188" s="295"/>
      <c r="C188" s="295"/>
      <c r="D188" s="295"/>
      <c r="E188" s="295"/>
      <c r="F188" s="295"/>
      <c r="G188" s="295"/>
      <c r="H188" s="295"/>
      <c r="I188" s="295"/>
      <c r="J188" s="295"/>
      <c r="K188" s="295"/>
      <c r="L188" s="295"/>
      <c r="M188" s="295"/>
      <c r="N188" s="295"/>
      <c r="O188" s="295"/>
      <c r="P188" s="295"/>
      <c r="Q188" s="295"/>
      <c r="R188" s="295"/>
      <c r="S188" s="295"/>
      <c r="T188" s="295"/>
      <c r="U188" s="295"/>
      <c r="V188" s="295"/>
      <c r="W188" s="295"/>
      <c r="X188" s="295"/>
      <c r="Y188" s="295"/>
      <c r="Z188" s="295"/>
      <c r="AA188" s="295"/>
      <c r="AB188" s="295"/>
      <c r="AC188" s="295"/>
      <c r="AD188" s="295"/>
      <c r="AE188" s="295"/>
      <c r="AF188" s="295"/>
      <c r="AG188" s="295"/>
      <c r="AH188" s="295"/>
      <c r="AI188" s="295"/>
      <c r="AJ188" s="295"/>
      <c r="AK188" s="295"/>
      <c r="AL188" s="295"/>
      <c r="AM188" s="295"/>
    </row>
    <row r="189" spans="1:39" ht="12" customHeight="1" x14ac:dyDescent="0.3">
      <c r="A189" s="295"/>
      <c r="B189" s="295"/>
      <c r="C189" s="295"/>
      <c r="D189" s="295"/>
      <c r="E189" s="295"/>
      <c r="F189" s="295"/>
      <c r="G189" s="295"/>
      <c r="H189" s="295"/>
      <c r="I189" s="295"/>
      <c r="J189" s="295"/>
      <c r="K189" s="295"/>
      <c r="L189" s="295"/>
      <c r="M189" s="295"/>
      <c r="N189" s="295"/>
      <c r="O189" s="295"/>
      <c r="P189" s="295"/>
      <c r="Q189" s="295"/>
      <c r="R189" s="295"/>
      <c r="S189" s="295"/>
      <c r="T189" s="295"/>
      <c r="U189" s="295"/>
      <c r="V189" s="295"/>
      <c r="W189" s="295"/>
      <c r="X189" s="295"/>
      <c r="Y189" s="295"/>
      <c r="Z189" s="295"/>
      <c r="AA189" s="295"/>
      <c r="AB189" s="295"/>
      <c r="AC189" s="295"/>
      <c r="AD189" s="295"/>
      <c r="AE189" s="295"/>
      <c r="AF189" s="295"/>
      <c r="AG189" s="295"/>
      <c r="AH189" s="295"/>
      <c r="AI189" s="295"/>
      <c r="AJ189" s="295"/>
      <c r="AK189" s="295"/>
      <c r="AL189" s="295"/>
      <c r="AM189" s="295"/>
    </row>
    <row r="190" spans="1:39" ht="12" customHeight="1" x14ac:dyDescent="0.3">
      <c r="A190" s="295"/>
      <c r="B190" s="295"/>
      <c r="C190" s="295"/>
      <c r="D190" s="295"/>
      <c r="E190" s="295"/>
      <c r="F190" s="295"/>
      <c r="G190" s="295"/>
      <c r="H190" s="295"/>
      <c r="I190" s="295"/>
      <c r="J190" s="295"/>
      <c r="K190" s="295"/>
      <c r="L190" s="295"/>
      <c r="M190" s="295"/>
      <c r="N190" s="295"/>
      <c r="O190" s="295"/>
      <c r="P190" s="295"/>
      <c r="Q190" s="295"/>
      <c r="R190" s="295"/>
      <c r="S190" s="295"/>
      <c r="T190" s="295"/>
      <c r="U190" s="295"/>
      <c r="V190" s="295"/>
      <c r="W190" s="295"/>
      <c r="X190" s="295"/>
      <c r="Y190" s="295"/>
      <c r="Z190" s="295"/>
      <c r="AA190" s="295"/>
      <c r="AB190" s="295"/>
      <c r="AC190" s="295"/>
      <c r="AD190" s="295"/>
      <c r="AE190" s="295"/>
      <c r="AF190" s="295"/>
      <c r="AG190" s="295"/>
      <c r="AH190" s="295"/>
      <c r="AI190" s="295"/>
      <c r="AJ190" s="295"/>
      <c r="AK190" s="295"/>
      <c r="AL190" s="295"/>
      <c r="AM190" s="295"/>
    </row>
    <row r="191" spans="1:39" ht="12" customHeight="1" x14ac:dyDescent="0.3">
      <c r="A191" s="295"/>
      <c r="B191" s="295"/>
      <c r="C191" s="295"/>
      <c r="D191" s="295"/>
      <c r="E191" s="295"/>
      <c r="F191" s="295"/>
      <c r="G191" s="295"/>
      <c r="H191" s="295"/>
      <c r="I191" s="295"/>
      <c r="J191" s="295"/>
      <c r="K191" s="295"/>
      <c r="L191" s="295"/>
      <c r="M191" s="295"/>
      <c r="N191" s="295"/>
      <c r="O191" s="295"/>
      <c r="P191" s="295"/>
      <c r="Q191" s="295"/>
      <c r="R191" s="295"/>
      <c r="S191" s="295"/>
      <c r="T191" s="295"/>
      <c r="U191" s="295"/>
      <c r="V191" s="295"/>
      <c r="W191" s="295"/>
      <c r="X191" s="295"/>
      <c r="Y191" s="295"/>
      <c r="Z191" s="295"/>
      <c r="AA191" s="295"/>
      <c r="AB191" s="295"/>
      <c r="AC191" s="295"/>
      <c r="AD191" s="295"/>
      <c r="AE191" s="295"/>
      <c r="AF191" s="295"/>
      <c r="AG191" s="295"/>
      <c r="AH191" s="295"/>
      <c r="AI191" s="295"/>
      <c r="AJ191" s="295"/>
      <c r="AK191" s="295"/>
      <c r="AL191" s="295"/>
      <c r="AM191" s="295"/>
    </row>
    <row r="192" spans="1:39" ht="12" customHeight="1" x14ac:dyDescent="0.3">
      <c r="A192" s="295"/>
      <c r="B192" s="295"/>
      <c r="C192" s="295"/>
      <c r="D192" s="295"/>
      <c r="E192" s="295"/>
      <c r="F192" s="295"/>
      <c r="G192" s="295"/>
      <c r="H192" s="295"/>
      <c r="I192" s="295"/>
      <c r="J192" s="295"/>
      <c r="K192" s="295"/>
      <c r="L192" s="295"/>
      <c r="M192" s="295"/>
      <c r="N192" s="295"/>
      <c r="O192" s="295"/>
      <c r="P192" s="295"/>
      <c r="Q192" s="295"/>
      <c r="R192" s="295"/>
      <c r="S192" s="295"/>
      <c r="T192" s="295"/>
      <c r="U192" s="295"/>
      <c r="V192" s="295"/>
      <c r="W192" s="295"/>
      <c r="X192" s="295"/>
      <c r="Y192" s="295"/>
      <c r="Z192" s="295"/>
      <c r="AA192" s="295"/>
      <c r="AB192" s="295"/>
      <c r="AC192" s="295"/>
      <c r="AD192" s="295"/>
      <c r="AE192" s="295"/>
      <c r="AF192" s="295"/>
      <c r="AG192" s="295"/>
      <c r="AH192" s="295"/>
      <c r="AI192" s="295"/>
      <c r="AJ192" s="295"/>
      <c r="AK192" s="295"/>
      <c r="AL192" s="295"/>
      <c r="AM192" s="295"/>
    </row>
    <row r="193" spans="1:39" ht="12" customHeight="1" x14ac:dyDescent="0.3">
      <c r="A193" s="295"/>
      <c r="B193" s="295"/>
      <c r="C193" s="295"/>
      <c r="D193" s="295"/>
      <c r="E193" s="295"/>
      <c r="F193" s="295"/>
      <c r="G193" s="295"/>
      <c r="H193" s="295"/>
      <c r="I193" s="295"/>
      <c r="J193" s="295"/>
      <c r="K193" s="295"/>
      <c r="L193" s="295"/>
      <c r="M193" s="295"/>
      <c r="N193" s="295"/>
      <c r="O193" s="295"/>
      <c r="P193" s="295"/>
      <c r="Q193" s="295"/>
      <c r="R193" s="295"/>
      <c r="S193" s="295"/>
      <c r="T193" s="295"/>
      <c r="U193" s="295"/>
      <c r="V193" s="295"/>
      <c r="W193" s="295"/>
      <c r="X193" s="295"/>
      <c r="Y193" s="295"/>
      <c r="Z193" s="295"/>
      <c r="AA193" s="295"/>
      <c r="AB193" s="295"/>
      <c r="AC193" s="295"/>
      <c r="AD193" s="295"/>
      <c r="AE193" s="295"/>
      <c r="AF193" s="295"/>
      <c r="AG193" s="295"/>
      <c r="AH193" s="295"/>
      <c r="AI193" s="295"/>
      <c r="AJ193" s="295"/>
      <c r="AK193" s="295"/>
      <c r="AL193" s="295"/>
      <c r="AM193" s="295"/>
    </row>
    <row r="194" spans="1:39" ht="12" customHeight="1" x14ac:dyDescent="0.3">
      <c r="A194" s="295"/>
      <c r="B194" s="295"/>
      <c r="C194" s="295"/>
      <c r="D194" s="295"/>
      <c r="E194" s="295"/>
      <c r="F194" s="295"/>
      <c r="G194" s="295"/>
      <c r="H194" s="295"/>
      <c r="I194" s="295"/>
      <c r="J194" s="295"/>
      <c r="K194" s="295"/>
      <c r="L194" s="295"/>
      <c r="M194" s="295"/>
      <c r="N194" s="295"/>
      <c r="O194" s="295"/>
      <c r="P194" s="295"/>
      <c r="Q194" s="295"/>
      <c r="R194" s="295"/>
      <c r="S194" s="295"/>
      <c r="T194" s="295"/>
      <c r="U194" s="295"/>
      <c r="V194" s="295"/>
      <c r="W194" s="295"/>
      <c r="X194" s="295"/>
      <c r="Y194" s="295"/>
      <c r="Z194" s="295"/>
      <c r="AA194" s="295"/>
      <c r="AB194" s="295"/>
      <c r="AC194" s="295"/>
      <c r="AD194" s="295"/>
      <c r="AE194" s="295"/>
      <c r="AF194" s="295"/>
      <c r="AG194" s="295"/>
      <c r="AH194" s="295"/>
      <c r="AI194" s="295"/>
      <c r="AJ194" s="295"/>
      <c r="AK194" s="295"/>
      <c r="AL194" s="295"/>
      <c r="AM194" s="295"/>
    </row>
    <row r="195" spans="1:39" ht="12" customHeight="1" x14ac:dyDescent="0.3">
      <c r="A195" s="295"/>
      <c r="B195" s="295"/>
      <c r="C195" s="295"/>
      <c r="D195" s="295"/>
      <c r="E195" s="295"/>
      <c r="F195" s="295"/>
      <c r="G195" s="295"/>
      <c r="H195" s="295"/>
      <c r="I195" s="295"/>
      <c r="J195" s="295"/>
      <c r="K195" s="295"/>
      <c r="L195" s="295"/>
      <c r="M195" s="295"/>
      <c r="N195" s="295"/>
      <c r="O195" s="295"/>
      <c r="P195" s="295"/>
      <c r="Q195" s="295"/>
      <c r="R195" s="295"/>
      <c r="S195" s="295"/>
      <c r="T195" s="295"/>
      <c r="U195" s="295"/>
      <c r="V195" s="295"/>
      <c r="W195" s="295"/>
      <c r="X195" s="295"/>
      <c r="Y195" s="295"/>
      <c r="Z195" s="295"/>
      <c r="AA195" s="295"/>
      <c r="AB195" s="295"/>
      <c r="AC195" s="295"/>
      <c r="AD195" s="295"/>
      <c r="AE195" s="295"/>
      <c r="AF195" s="295"/>
      <c r="AG195" s="295"/>
      <c r="AH195" s="295"/>
      <c r="AI195" s="295"/>
      <c r="AJ195" s="295"/>
      <c r="AK195" s="295"/>
      <c r="AL195" s="295"/>
      <c r="AM195" s="295"/>
    </row>
    <row r="196" spans="1:39" ht="12" customHeight="1" x14ac:dyDescent="0.3">
      <c r="A196" s="295"/>
      <c r="B196" s="295"/>
      <c r="C196" s="295"/>
      <c r="D196" s="295"/>
      <c r="E196" s="295"/>
      <c r="F196" s="295"/>
      <c r="G196" s="295"/>
      <c r="H196" s="295"/>
      <c r="I196" s="295"/>
      <c r="J196" s="295"/>
      <c r="K196" s="295"/>
      <c r="L196" s="295"/>
      <c r="M196" s="295"/>
      <c r="N196" s="295"/>
      <c r="O196" s="295"/>
      <c r="P196" s="295"/>
      <c r="Q196" s="295"/>
      <c r="R196" s="295"/>
      <c r="S196" s="295"/>
      <c r="T196" s="295"/>
      <c r="U196" s="295"/>
      <c r="V196" s="295"/>
      <c r="W196" s="295"/>
      <c r="X196" s="295"/>
      <c r="Y196" s="295"/>
      <c r="Z196" s="295"/>
      <c r="AA196" s="295"/>
      <c r="AB196" s="295"/>
      <c r="AC196" s="295"/>
      <c r="AD196" s="295"/>
      <c r="AE196" s="295"/>
      <c r="AF196" s="295"/>
      <c r="AG196" s="295"/>
      <c r="AH196" s="295"/>
      <c r="AI196" s="295"/>
      <c r="AJ196" s="295"/>
      <c r="AK196" s="295"/>
      <c r="AL196" s="295"/>
      <c r="AM196" s="295"/>
    </row>
    <row r="197" spans="1:39" ht="12" customHeight="1" x14ac:dyDescent="0.3">
      <c r="A197" s="295"/>
      <c r="B197" s="295"/>
      <c r="C197" s="295"/>
      <c r="D197" s="295"/>
      <c r="E197" s="295"/>
      <c r="F197" s="295"/>
      <c r="G197" s="295"/>
      <c r="H197" s="295"/>
      <c r="I197" s="295"/>
      <c r="J197" s="295"/>
      <c r="K197" s="295"/>
      <c r="L197" s="295"/>
      <c r="M197" s="295"/>
      <c r="N197" s="295"/>
      <c r="O197" s="295"/>
      <c r="P197" s="295"/>
      <c r="Q197" s="295"/>
      <c r="R197" s="295"/>
      <c r="S197" s="295"/>
      <c r="T197" s="295"/>
      <c r="U197" s="295"/>
      <c r="V197" s="295"/>
      <c r="W197" s="295"/>
      <c r="X197" s="295"/>
      <c r="Y197" s="295"/>
      <c r="Z197" s="295"/>
      <c r="AA197" s="295"/>
      <c r="AB197" s="295"/>
      <c r="AC197" s="295"/>
      <c r="AD197" s="295"/>
      <c r="AE197" s="295"/>
      <c r="AF197" s="295"/>
      <c r="AG197" s="295"/>
      <c r="AH197" s="295"/>
      <c r="AI197" s="295"/>
      <c r="AJ197" s="295"/>
      <c r="AK197" s="295"/>
      <c r="AL197" s="295"/>
      <c r="AM197" s="295"/>
    </row>
    <row r="198" spans="1:39" ht="12" customHeight="1" x14ac:dyDescent="0.3">
      <c r="A198" s="295"/>
      <c r="B198" s="295"/>
      <c r="C198" s="295"/>
      <c r="D198" s="295"/>
      <c r="E198" s="295"/>
      <c r="F198" s="295"/>
      <c r="G198" s="295"/>
      <c r="H198" s="295"/>
      <c r="I198" s="295"/>
      <c r="J198" s="295"/>
      <c r="K198" s="295"/>
      <c r="L198" s="295"/>
      <c r="M198" s="295"/>
      <c r="N198" s="295"/>
      <c r="O198" s="295"/>
      <c r="P198" s="295"/>
      <c r="Q198" s="295"/>
      <c r="R198" s="295"/>
      <c r="S198" s="295"/>
      <c r="T198" s="295"/>
      <c r="U198" s="295"/>
      <c r="V198" s="295"/>
      <c r="W198" s="295"/>
      <c r="X198" s="295"/>
      <c r="Y198" s="295"/>
      <c r="Z198" s="295"/>
      <c r="AA198" s="295"/>
      <c r="AB198" s="295"/>
      <c r="AC198" s="295"/>
      <c r="AD198" s="295"/>
      <c r="AE198" s="295"/>
      <c r="AF198" s="295"/>
      <c r="AG198" s="295"/>
      <c r="AH198" s="295"/>
      <c r="AI198" s="295"/>
      <c r="AJ198" s="295"/>
      <c r="AK198" s="295"/>
      <c r="AL198" s="295"/>
      <c r="AM198" s="295"/>
    </row>
    <row r="199" spans="1:39" ht="12" customHeight="1" x14ac:dyDescent="0.3">
      <c r="A199" s="295"/>
      <c r="B199" s="295"/>
      <c r="C199" s="295"/>
      <c r="D199" s="295"/>
      <c r="E199" s="295"/>
      <c r="F199" s="295"/>
      <c r="G199" s="295"/>
      <c r="H199" s="295"/>
      <c r="I199" s="295"/>
      <c r="J199" s="295"/>
      <c r="K199" s="295"/>
      <c r="L199" s="295"/>
      <c r="M199" s="295"/>
      <c r="N199" s="295"/>
      <c r="O199" s="295"/>
      <c r="P199" s="295"/>
      <c r="Q199" s="295"/>
      <c r="R199" s="295"/>
      <c r="S199" s="295"/>
      <c r="T199" s="295"/>
      <c r="U199" s="295"/>
      <c r="V199" s="295"/>
      <c r="W199" s="295"/>
      <c r="X199" s="295"/>
      <c r="Y199" s="295"/>
      <c r="Z199" s="295"/>
      <c r="AA199" s="295"/>
      <c r="AB199" s="295"/>
      <c r="AC199" s="295"/>
      <c r="AD199" s="295"/>
      <c r="AE199" s="295"/>
      <c r="AF199" s="295"/>
      <c r="AG199" s="295"/>
      <c r="AH199" s="295"/>
      <c r="AI199" s="295"/>
      <c r="AJ199" s="295"/>
      <c r="AK199" s="295"/>
      <c r="AL199" s="295"/>
      <c r="AM199" s="295"/>
    </row>
    <row r="200" spans="1:39" ht="12" customHeight="1" x14ac:dyDescent="0.3">
      <c r="A200" s="295"/>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95"/>
      <c r="X200" s="295"/>
      <c r="Y200" s="295"/>
      <c r="Z200" s="295"/>
      <c r="AA200" s="295"/>
      <c r="AB200" s="295"/>
      <c r="AC200" s="295"/>
      <c r="AD200" s="295"/>
      <c r="AE200" s="295"/>
      <c r="AF200" s="295"/>
      <c r="AG200" s="295"/>
      <c r="AH200" s="295"/>
      <c r="AI200" s="295"/>
      <c r="AJ200" s="295"/>
      <c r="AK200" s="295"/>
      <c r="AL200" s="295"/>
      <c r="AM200" s="295"/>
    </row>
    <row r="201" spans="1:39" ht="12" customHeight="1" x14ac:dyDescent="0.3">
      <c r="A201" s="295"/>
      <c r="B201" s="295"/>
      <c r="C201" s="295"/>
      <c r="D201" s="295"/>
      <c r="E201" s="295"/>
      <c r="F201" s="295"/>
      <c r="G201" s="295"/>
      <c r="H201" s="295"/>
      <c r="I201" s="295"/>
      <c r="J201" s="295"/>
      <c r="K201" s="295"/>
      <c r="L201" s="295"/>
      <c r="M201" s="295"/>
      <c r="N201" s="295"/>
      <c r="O201" s="295"/>
      <c r="P201" s="295"/>
      <c r="Q201" s="295"/>
      <c r="R201" s="295"/>
      <c r="S201" s="295"/>
      <c r="T201" s="295"/>
      <c r="U201" s="295"/>
      <c r="V201" s="295"/>
      <c r="W201" s="295"/>
      <c r="X201" s="295"/>
      <c r="Y201" s="295"/>
      <c r="Z201" s="295"/>
      <c r="AA201" s="295"/>
      <c r="AB201" s="295"/>
      <c r="AC201" s="295"/>
      <c r="AD201" s="295"/>
      <c r="AE201" s="295"/>
      <c r="AF201" s="295"/>
      <c r="AG201" s="295"/>
      <c r="AH201" s="295"/>
      <c r="AI201" s="295"/>
      <c r="AJ201" s="295"/>
      <c r="AK201" s="295"/>
      <c r="AL201" s="295"/>
      <c r="AM201" s="295"/>
    </row>
    <row r="202" spans="1:39" ht="12" customHeight="1" x14ac:dyDescent="0.3">
      <c r="A202" s="295"/>
      <c r="B202" s="295"/>
      <c r="C202" s="295"/>
      <c r="D202" s="295"/>
      <c r="E202" s="295"/>
      <c r="F202" s="295"/>
      <c r="G202" s="295"/>
      <c r="H202" s="295"/>
      <c r="I202" s="295"/>
      <c r="J202" s="295"/>
      <c r="K202" s="295"/>
      <c r="L202" s="295"/>
      <c r="M202" s="295"/>
      <c r="N202" s="295"/>
      <c r="O202" s="295"/>
      <c r="P202" s="295"/>
      <c r="Q202" s="295"/>
      <c r="R202" s="295"/>
      <c r="S202" s="295"/>
      <c r="T202" s="295"/>
      <c r="U202" s="295"/>
      <c r="V202" s="295"/>
      <c r="W202" s="295"/>
      <c r="X202" s="295"/>
      <c r="Y202" s="295"/>
      <c r="Z202" s="295"/>
      <c r="AA202" s="295"/>
      <c r="AB202" s="295"/>
      <c r="AC202" s="295"/>
      <c r="AD202" s="295"/>
      <c r="AE202" s="295"/>
      <c r="AF202" s="295"/>
      <c r="AG202" s="295"/>
      <c r="AH202" s="295"/>
      <c r="AI202" s="295"/>
      <c r="AJ202" s="295"/>
      <c r="AK202" s="295"/>
      <c r="AL202" s="295"/>
      <c r="AM202" s="295"/>
    </row>
    <row r="203" spans="1:39" ht="12" customHeight="1" x14ac:dyDescent="0.3">
      <c r="A203" s="295"/>
      <c r="B203" s="295"/>
      <c r="C203" s="295"/>
      <c r="D203" s="295"/>
      <c r="E203" s="295"/>
      <c r="F203" s="295"/>
      <c r="G203" s="295"/>
      <c r="H203" s="295"/>
      <c r="I203" s="295"/>
      <c r="J203" s="295"/>
      <c r="K203" s="295"/>
      <c r="L203" s="295"/>
      <c r="M203" s="295"/>
      <c r="N203" s="295"/>
      <c r="O203" s="295"/>
      <c r="P203" s="295"/>
      <c r="Q203" s="295"/>
      <c r="R203" s="295"/>
      <c r="S203" s="295"/>
      <c r="T203" s="295"/>
      <c r="U203" s="295"/>
      <c r="V203" s="295"/>
      <c r="W203" s="295"/>
      <c r="X203" s="295"/>
      <c r="Y203" s="295"/>
      <c r="Z203" s="295"/>
      <c r="AA203" s="295"/>
      <c r="AB203" s="295"/>
      <c r="AC203" s="295"/>
      <c r="AD203" s="295"/>
      <c r="AE203" s="295"/>
      <c r="AF203" s="295"/>
      <c r="AG203" s="295"/>
      <c r="AH203" s="295"/>
      <c r="AI203" s="295"/>
      <c r="AJ203" s="295"/>
      <c r="AK203" s="295"/>
      <c r="AL203" s="295"/>
      <c r="AM203" s="295"/>
    </row>
    <row r="204" spans="1:39" ht="12" customHeight="1" x14ac:dyDescent="0.3">
      <c r="A204" s="295"/>
      <c r="B204" s="295"/>
      <c r="C204" s="295"/>
      <c r="D204" s="295"/>
      <c r="E204" s="295"/>
      <c r="F204" s="295"/>
      <c r="G204" s="295"/>
      <c r="H204" s="295"/>
      <c r="I204" s="295"/>
      <c r="J204" s="295"/>
      <c r="K204" s="295"/>
      <c r="L204" s="295"/>
      <c r="M204" s="295"/>
      <c r="N204" s="295"/>
      <c r="O204" s="295"/>
      <c r="P204" s="295"/>
      <c r="Q204" s="295"/>
      <c r="R204" s="295"/>
      <c r="S204" s="295"/>
      <c r="T204" s="295"/>
      <c r="U204" s="295"/>
      <c r="V204" s="295"/>
      <c r="W204" s="295"/>
      <c r="X204" s="295"/>
      <c r="Y204" s="295"/>
      <c r="Z204" s="295"/>
      <c r="AA204" s="295"/>
      <c r="AB204" s="295"/>
      <c r="AC204" s="295"/>
      <c r="AD204" s="295"/>
      <c r="AE204" s="295"/>
      <c r="AF204" s="295"/>
      <c r="AG204" s="295"/>
      <c r="AH204" s="295"/>
      <c r="AI204" s="295"/>
      <c r="AJ204" s="295"/>
      <c r="AK204" s="295"/>
      <c r="AL204" s="295"/>
      <c r="AM204" s="295"/>
    </row>
    <row r="205" spans="1:39" ht="12" customHeight="1" x14ac:dyDescent="0.3">
      <c r="A205" s="295"/>
      <c r="B205" s="295"/>
      <c r="C205" s="295"/>
      <c r="D205" s="295"/>
      <c r="E205" s="295"/>
      <c r="F205" s="295"/>
      <c r="G205" s="295"/>
      <c r="H205" s="295"/>
      <c r="I205" s="295"/>
      <c r="J205" s="295"/>
      <c r="K205" s="295"/>
      <c r="L205" s="295"/>
      <c r="M205" s="295"/>
      <c r="N205" s="295"/>
      <c r="O205" s="295"/>
      <c r="P205" s="295"/>
      <c r="Q205" s="295"/>
      <c r="R205" s="295"/>
      <c r="S205" s="295"/>
      <c r="T205" s="295"/>
      <c r="U205" s="295"/>
      <c r="V205" s="295"/>
      <c r="W205" s="295"/>
      <c r="X205" s="295"/>
      <c r="Y205" s="295"/>
      <c r="Z205" s="295"/>
      <c r="AA205" s="295"/>
      <c r="AB205" s="295"/>
      <c r="AC205" s="295"/>
      <c r="AD205" s="295"/>
      <c r="AE205" s="295"/>
      <c r="AF205" s="295"/>
      <c r="AG205" s="295"/>
      <c r="AH205" s="295"/>
      <c r="AI205" s="295"/>
      <c r="AJ205" s="295"/>
      <c r="AK205" s="295"/>
      <c r="AL205" s="295"/>
      <c r="AM205" s="295"/>
    </row>
    <row r="206" spans="1:39" ht="12" customHeight="1" x14ac:dyDescent="0.3">
      <c r="A206" s="295"/>
      <c r="B206" s="295"/>
      <c r="C206" s="295"/>
      <c r="D206" s="295"/>
      <c r="E206" s="295"/>
      <c r="F206" s="295"/>
      <c r="G206" s="295"/>
      <c r="H206" s="295"/>
      <c r="I206" s="295"/>
      <c r="J206" s="295"/>
      <c r="K206" s="295"/>
      <c r="L206" s="295"/>
      <c r="M206" s="295"/>
      <c r="N206" s="295"/>
      <c r="O206" s="295"/>
      <c r="P206" s="295"/>
      <c r="Q206" s="295"/>
      <c r="R206" s="295"/>
      <c r="S206" s="295"/>
      <c r="T206" s="295"/>
      <c r="U206" s="295"/>
      <c r="V206" s="295"/>
      <c r="W206" s="295"/>
      <c r="X206" s="295"/>
      <c r="Y206" s="295"/>
      <c r="Z206" s="295"/>
      <c r="AA206" s="295"/>
      <c r="AB206" s="295"/>
      <c r="AC206" s="295"/>
      <c r="AD206" s="295"/>
      <c r="AE206" s="295"/>
      <c r="AF206" s="295"/>
      <c r="AG206" s="295"/>
      <c r="AH206" s="295"/>
      <c r="AI206" s="295"/>
      <c r="AJ206" s="295"/>
      <c r="AK206" s="295"/>
      <c r="AL206" s="295"/>
      <c r="AM206" s="295"/>
    </row>
    <row r="207" spans="1:39" ht="12" customHeight="1" x14ac:dyDescent="0.3">
      <c r="A207" s="295"/>
      <c r="B207" s="295"/>
      <c r="C207" s="295"/>
      <c r="D207" s="295"/>
      <c r="E207" s="295"/>
      <c r="F207" s="295"/>
      <c r="G207" s="295"/>
      <c r="H207" s="295"/>
      <c r="I207" s="295"/>
      <c r="J207" s="295"/>
      <c r="K207" s="295"/>
      <c r="L207" s="295"/>
      <c r="M207" s="295"/>
      <c r="N207" s="295"/>
      <c r="O207" s="295"/>
      <c r="P207" s="295"/>
      <c r="Q207" s="295"/>
      <c r="R207" s="295"/>
      <c r="S207" s="295"/>
      <c r="T207" s="295"/>
      <c r="U207" s="295"/>
      <c r="V207" s="295"/>
      <c r="W207" s="295"/>
      <c r="X207" s="295"/>
      <c r="Y207" s="295"/>
      <c r="Z207" s="295"/>
      <c r="AA207" s="295"/>
      <c r="AB207" s="295"/>
      <c r="AC207" s="295"/>
      <c r="AD207" s="295"/>
      <c r="AE207" s="295"/>
      <c r="AF207" s="295"/>
      <c r="AG207" s="295"/>
      <c r="AH207" s="295"/>
      <c r="AI207" s="295"/>
      <c r="AJ207" s="295"/>
      <c r="AK207" s="295"/>
      <c r="AL207" s="295"/>
      <c r="AM207" s="295"/>
    </row>
    <row r="208" spans="1:39" ht="12" customHeight="1" x14ac:dyDescent="0.3">
      <c r="A208" s="295"/>
      <c r="B208" s="295"/>
      <c r="C208" s="295"/>
      <c r="D208" s="295"/>
      <c r="E208" s="295"/>
      <c r="F208" s="295"/>
      <c r="G208" s="295"/>
      <c r="H208" s="295"/>
      <c r="I208" s="295"/>
      <c r="J208" s="295"/>
      <c r="K208" s="295"/>
      <c r="L208" s="295"/>
      <c r="M208" s="295"/>
      <c r="N208" s="295"/>
      <c r="O208" s="295"/>
      <c r="P208" s="295"/>
      <c r="Q208" s="295"/>
      <c r="R208" s="295"/>
      <c r="S208" s="295"/>
      <c r="T208" s="295"/>
      <c r="U208" s="295"/>
      <c r="V208" s="295"/>
      <c r="W208" s="295"/>
      <c r="X208" s="295"/>
      <c r="Y208" s="295"/>
      <c r="Z208" s="295"/>
      <c r="AA208" s="295"/>
      <c r="AB208" s="295"/>
      <c r="AC208" s="295"/>
      <c r="AD208" s="295"/>
      <c r="AE208" s="295"/>
      <c r="AF208" s="295"/>
      <c r="AG208" s="295"/>
      <c r="AH208" s="295"/>
      <c r="AI208" s="295"/>
      <c r="AJ208" s="295"/>
      <c r="AK208" s="295"/>
      <c r="AL208" s="295"/>
      <c r="AM208" s="295"/>
    </row>
    <row r="209" spans="1:39" ht="12" customHeight="1" x14ac:dyDescent="0.3">
      <c r="A209" s="295"/>
      <c r="B209" s="295"/>
      <c r="C209" s="295"/>
      <c r="D209" s="295"/>
      <c r="E209" s="295"/>
      <c r="F209" s="295"/>
      <c r="G209" s="295"/>
      <c r="H209" s="295"/>
      <c r="I209" s="295"/>
      <c r="J209" s="295"/>
      <c r="K209" s="295"/>
      <c r="L209" s="295"/>
      <c r="M209" s="295"/>
      <c r="N209" s="295"/>
      <c r="O209" s="295"/>
      <c r="P209" s="295"/>
      <c r="Q209" s="295"/>
      <c r="R209" s="295"/>
      <c r="S209" s="295"/>
      <c r="T209" s="295"/>
      <c r="U209" s="295"/>
      <c r="V209" s="295"/>
      <c r="W209" s="295"/>
      <c r="X209" s="295"/>
      <c r="Y209" s="295"/>
      <c r="Z209" s="295"/>
      <c r="AA209" s="295"/>
      <c r="AB209" s="295"/>
      <c r="AC209" s="295"/>
      <c r="AD209" s="295"/>
      <c r="AE209" s="295"/>
      <c r="AF209" s="295"/>
      <c r="AG209" s="295"/>
      <c r="AH209" s="295"/>
      <c r="AI209" s="295"/>
      <c r="AJ209" s="295"/>
      <c r="AK209" s="295"/>
      <c r="AL209" s="295"/>
      <c r="AM209" s="295"/>
    </row>
    <row r="210" spans="1:39" ht="12" customHeight="1" x14ac:dyDescent="0.3">
      <c r="A210" s="295"/>
      <c r="B210" s="295"/>
      <c r="C210" s="295"/>
      <c r="D210" s="295"/>
      <c r="E210" s="295"/>
      <c r="F210" s="295"/>
      <c r="G210" s="295"/>
      <c r="H210" s="295"/>
      <c r="I210" s="295"/>
      <c r="J210" s="295"/>
      <c r="K210" s="295"/>
      <c r="L210" s="295"/>
      <c r="M210" s="295"/>
      <c r="N210" s="295"/>
      <c r="O210" s="295"/>
      <c r="P210" s="295"/>
      <c r="Q210" s="295"/>
      <c r="R210" s="295"/>
      <c r="S210" s="295"/>
      <c r="T210" s="295"/>
      <c r="U210" s="295"/>
      <c r="V210" s="295"/>
      <c r="W210" s="295"/>
      <c r="X210" s="295"/>
      <c r="Y210" s="295"/>
      <c r="Z210" s="295"/>
      <c r="AA210" s="295"/>
      <c r="AB210" s="295"/>
      <c r="AC210" s="295"/>
      <c r="AD210" s="295"/>
      <c r="AE210" s="295"/>
      <c r="AF210" s="295"/>
      <c r="AG210" s="295"/>
      <c r="AH210" s="295"/>
      <c r="AI210" s="295"/>
      <c r="AJ210" s="295"/>
      <c r="AK210" s="295"/>
      <c r="AL210" s="295"/>
      <c r="AM210" s="295"/>
    </row>
    <row r="211" spans="1:39" ht="12" customHeight="1" x14ac:dyDescent="0.3">
      <c r="A211" s="295"/>
      <c r="B211" s="295"/>
      <c r="C211" s="295"/>
      <c r="D211" s="295"/>
      <c r="E211" s="295"/>
      <c r="F211" s="295"/>
      <c r="G211" s="295"/>
      <c r="H211" s="295"/>
      <c r="I211" s="295"/>
      <c r="J211" s="295"/>
      <c r="K211" s="295"/>
      <c r="L211" s="295"/>
      <c r="M211" s="295"/>
      <c r="N211" s="295"/>
      <c r="O211" s="295"/>
      <c r="P211" s="295"/>
      <c r="Q211" s="295"/>
      <c r="R211" s="295"/>
      <c r="S211" s="295"/>
      <c r="T211" s="295"/>
      <c r="U211" s="295"/>
      <c r="V211" s="295"/>
      <c r="W211" s="295"/>
      <c r="X211" s="295"/>
      <c r="Y211" s="295"/>
      <c r="Z211" s="295"/>
      <c r="AA211" s="295"/>
      <c r="AB211" s="295"/>
      <c r="AC211" s="295"/>
      <c r="AD211" s="295"/>
      <c r="AE211" s="295"/>
      <c r="AF211" s="295"/>
      <c r="AG211" s="295"/>
      <c r="AH211" s="295"/>
      <c r="AI211" s="295"/>
      <c r="AJ211" s="295"/>
      <c r="AK211" s="295"/>
      <c r="AL211" s="295"/>
      <c r="AM211" s="295"/>
    </row>
    <row r="212" spans="1:39" ht="12" customHeight="1" x14ac:dyDescent="0.3">
      <c r="A212" s="295"/>
      <c r="B212" s="295"/>
      <c r="C212" s="295"/>
      <c r="D212" s="295"/>
      <c r="E212" s="295"/>
      <c r="F212" s="295"/>
      <c r="G212" s="295"/>
      <c r="H212" s="295"/>
      <c r="I212" s="295"/>
      <c r="J212" s="295"/>
      <c r="K212" s="295"/>
      <c r="L212" s="295"/>
      <c r="M212" s="295"/>
      <c r="N212" s="295"/>
      <c r="O212" s="295"/>
      <c r="P212" s="295"/>
      <c r="Q212" s="295"/>
      <c r="R212" s="295"/>
      <c r="S212" s="295"/>
      <c r="T212" s="295"/>
      <c r="U212" s="295"/>
      <c r="V212" s="295"/>
      <c r="W212" s="295"/>
      <c r="X212" s="295"/>
      <c r="Y212" s="295"/>
      <c r="Z212" s="295"/>
      <c r="AA212" s="295"/>
      <c r="AB212" s="295"/>
      <c r="AC212" s="295"/>
      <c r="AD212" s="295"/>
      <c r="AE212" s="295"/>
      <c r="AF212" s="295"/>
      <c r="AG212" s="295"/>
      <c r="AH212" s="295"/>
      <c r="AI212" s="295"/>
      <c r="AJ212" s="295"/>
      <c r="AK212" s="295"/>
      <c r="AL212" s="295"/>
      <c r="AM212" s="295"/>
    </row>
    <row r="213" spans="1:39" ht="12" customHeight="1" x14ac:dyDescent="0.3">
      <c r="A213" s="295"/>
      <c r="B213" s="295"/>
      <c r="C213" s="295"/>
      <c r="D213" s="295"/>
      <c r="E213" s="295"/>
      <c r="F213" s="295"/>
      <c r="G213" s="295"/>
      <c r="H213" s="295"/>
      <c r="I213" s="295"/>
      <c r="J213" s="295"/>
      <c r="K213" s="295"/>
      <c r="L213" s="295"/>
      <c r="M213" s="295"/>
      <c r="N213" s="295"/>
      <c r="O213" s="295"/>
      <c r="P213" s="295"/>
      <c r="Q213" s="295"/>
      <c r="R213" s="295"/>
      <c r="S213" s="295"/>
      <c r="T213" s="295"/>
      <c r="U213" s="295"/>
      <c r="V213" s="295"/>
      <c r="W213" s="295"/>
      <c r="X213" s="295"/>
      <c r="Y213" s="295"/>
      <c r="Z213" s="295"/>
      <c r="AA213" s="295"/>
      <c r="AB213" s="295"/>
      <c r="AC213" s="295"/>
      <c r="AD213" s="295"/>
      <c r="AE213" s="295"/>
      <c r="AF213" s="295"/>
      <c r="AG213" s="295"/>
      <c r="AH213" s="295"/>
      <c r="AI213" s="295"/>
      <c r="AJ213" s="295"/>
      <c r="AK213" s="295"/>
      <c r="AL213" s="295"/>
      <c r="AM213" s="295"/>
    </row>
    <row r="214" spans="1:39" ht="12" customHeight="1" x14ac:dyDescent="0.3">
      <c r="A214" s="295"/>
      <c r="B214" s="295"/>
      <c r="C214" s="295"/>
      <c r="D214" s="295"/>
      <c r="E214" s="295"/>
      <c r="F214" s="295"/>
      <c r="G214" s="295"/>
      <c r="H214" s="295"/>
      <c r="I214" s="295"/>
      <c r="J214" s="295"/>
      <c r="K214" s="295"/>
      <c r="L214" s="295"/>
      <c r="M214" s="295"/>
      <c r="N214" s="295"/>
      <c r="O214" s="295"/>
      <c r="P214" s="295"/>
      <c r="Q214" s="295"/>
      <c r="R214" s="295"/>
      <c r="S214" s="295"/>
      <c r="T214" s="295"/>
      <c r="U214" s="295"/>
      <c r="V214" s="295"/>
      <c r="W214" s="295"/>
      <c r="X214" s="295"/>
      <c r="Y214" s="295"/>
      <c r="Z214" s="295"/>
      <c r="AA214" s="295"/>
      <c r="AB214" s="295"/>
      <c r="AC214" s="295"/>
      <c r="AD214" s="295"/>
      <c r="AE214" s="295"/>
      <c r="AF214" s="295"/>
      <c r="AG214" s="295"/>
      <c r="AH214" s="295"/>
      <c r="AI214" s="295"/>
      <c r="AJ214" s="295"/>
      <c r="AK214" s="295"/>
      <c r="AL214" s="295"/>
      <c r="AM214" s="295"/>
    </row>
    <row r="215" spans="1:39" ht="12" customHeight="1" x14ac:dyDescent="0.3">
      <c r="A215" s="295"/>
      <c r="B215" s="295"/>
      <c r="C215" s="295"/>
      <c r="D215" s="295"/>
      <c r="E215" s="295"/>
      <c r="F215" s="295"/>
      <c r="G215" s="295"/>
      <c r="H215" s="295"/>
      <c r="I215" s="295"/>
      <c r="J215" s="295"/>
      <c r="K215" s="295"/>
      <c r="L215" s="295"/>
      <c r="M215" s="295"/>
      <c r="N215" s="295"/>
      <c r="O215" s="295"/>
      <c r="P215" s="295"/>
      <c r="Q215" s="295"/>
      <c r="R215" s="295"/>
      <c r="S215" s="295"/>
      <c r="T215" s="295"/>
      <c r="U215" s="295"/>
      <c r="V215" s="295"/>
      <c r="W215" s="295"/>
      <c r="X215" s="295"/>
      <c r="Y215" s="295"/>
      <c r="Z215" s="295"/>
      <c r="AA215" s="295"/>
      <c r="AB215" s="295"/>
      <c r="AC215" s="295"/>
      <c r="AD215" s="295"/>
      <c r="AE215" s="295"/>
      <c r="AF215" s="295"/>
      <c r="AG215" s="295"/>
      <c r="AH215" s="295"/>
      <c r="AI215" s="295"/>
      <c r="AJ215" s="295"/>
      <c r="AK215" s="295"/>
      <c r="AL215" s="295"/>
      <c r="AM215" s="295"/>
    </row>
    <row r="216" spans="1:39" ht="12" customHeight="1" x14ac:dyDescent="0.3">
      <c r="A216" s="295"/>
      <c r="B216" s="295"/>
      <c r="C216" s="295"/>
      <c r="D216" s="295"/>
      <c r="E216" s="295"/>
      <c r="F216" s="295"/>
      <c r="G216" s="295"/>
      <c r="H216" s="295"/>
      <c r="I216" s="295"/>
      <c r="J216" s="295"/>
      <c r="K216" s="295"/>
      <c r="L216" s="295"/>
      <c r="M216" s="295"/>
      <c r="N216" s="295"/>
      <c r="O216" s="295"/>
      <c r="P216" s="295"/>
      <c r="Q216" s="295"/>
      <c r="R216" s="295"/>
      <c r="S216" s="295"/>
      <c r="T216" s="295"/>
      <c r="U216" s="295"/>
      <c r="V216" s="295"/>
      <c r="W216" s="295"/>
      <c r="X216" s="295"/>
      <c r="Y216" s="295"/>
      <c r="Z216" s="295"/>
      <c r="AA216" s="295"/>
      <c r="AB216" s="295"/>
      <c r="AC216" s="295"/>
      <c r="AD216" s="295"/>
      <c r="AE216" s="295"/>
      <c r="AF216" s="295"/>
      <c r="AG216" s="295"/>
      <c r="AH216" s="295"/>
      <c r="AI216" s="295"/>
      <c r="AJ216" s="295"/>
      <c r="AK216" s="295"/>
      <c r="AL216" s="295"/>
      <c r="AM216" s="295"/>
    </row>
    <row r="217" spans="1:39" ht="12" customHeight="1" x14ac:dyDescent="0.3">
      <c r="A217" s="295"/>
      <c r="B217" s="295"/>
      <c r="C217" s="295"/>
      <c r="D217" s="295"/>
      <c r="E217" s="295"/>
      <c r="F217" s="295"/>
      <c r="G217" s="295"/>
      <c r="H217" s="295"/>
      <c r="I217" s="295"/>
      <c r="J217" s="295"/>
      <c r="K217" s="295"/>
      <c r="L217" s="295"/>
      <c r="M217" s="295"/>
      <c r="N217" s="295"/>
      <c r="O217" s="295"/>
      <c r="P217" s="295"/>
      <c r="Q217" s="295"/>
      <c r="R217" s="295"/>
      <c r="S217" s="295"/>
      <c r="T217" s="295"/>
      <c r="U217" s="295"/>
      <c r="V217" s="295"/>
      <c r="W217" s="295"/>
      <c r="X217" s="295"/>
      <c r="Y217" s="295"/>
      <c r="Z217" s="295"/>
      <c r="AA217" s="295"/>
      <c r="AB217" s="295"/>
      <c r="AC217" s="295"/>
      <c r="AD217" s="295"/>
      <c r="AE217" s="295"/>
      <c r="AF217" s="295"/>
      <c r="AG217" s="295"/>
      <c r="AH217" s="295"/>
      <c r="AI217" s="295"/>
      <c r="AJ217" s="295"/>
      <c r="AK217" s="295"/>
      <c r="AL217" s="295"/>
      <c r="AM217" s="295"/>
    </row>
    <row r="218" spans="1:39" ht="12" customHeight="1" x14ac:dyDescent="0.3">
      <c r="A218" s="295"/>
      <c r="B218" s="295"/>
      <c r="C218" s="295"/>
      <c r="D218" s="295"/>
      <c r="E218" s="295"/>
      <c r="F218" s="295"/>
      <c r="G218" s="295"/>
      <c r="H218" s="295"/>
      <c r="I218" s="295"/>
      <c r="J218" s="295"/>
      <c r="K218" s="295"/>
      <c r="L218" s="295"/>
      <c r="M218" s="295"/>
      <c r="N218" s="295"/>
      <c r="O218" s="295"/>
      <c r="P218" s="295"/>
      <c r="Q218" s="295"/>
      <c r="R218" s="295"/>
      <c r="S218" s="295"/>
      <c r="T218" s="295"/>
      <c r="U218" s="295"/>
      <c r="V218" s="295"/>
      <c r="W218" s="295"/>
      <c r="X218" s="295"/>
      <c r="Y218" s="295"/>
      <c r="Z218" s="295"/>
      <c r="AA218" s="295"/>
      <c r="AB218" s="295"/>
      <c r="AC218" s="295"/>
      <c r="AD218" s="295"/>
      <c r="AE218" s="295"/>
      <c r="AF218" s="295"/>
      <c r="AG218" s="295"/>
      <c r="AH218" s="295"/>
      <c r="AI218" s="295"/>
      <c r="AJ218" s="295"/>
      <c r="AK218" s="295"/>
      <c r="AL218" s="295"/>
      <c r="AM218" s="295"/>
    </row>
    <row r="219" spans="1:39" ht="12" customHeight="1" x14ac:dyDescent="0.3">
      <c r="A219" s="295"/>
      <c r="B219" s="295"/>
      <c r="C219" s="295"/>
      <c r="D219" s="295"/>
      <c r="E219" s="295"/>
      <c r="F219" s="295"/>
      <c r="G219" s="295"/>
      <c r="H219" s="295"/>
      <c r="I219" s="295"/>
      <c r="J219" s="295"/>
      <c r="K219" s="295"/>
      <c r="L219" s="295"/>
      <c r="M219" s="295"/>
      <c r="N219" s="295"/>
      <c r="O219" s="295"/>
      <c r="P219" s="295"/>
      <c r="Q219" s="295"/>
      <c r="R219" s="295"/>
      <c r="S219" s="295"/>
      <c r="T219" s="295"/>
      <c r="U219" s="295"/>
      <c r="V219" s="295"/>
      <c r="W219" s="295"/>
      <c r="X219" s="295"/>
      <c r="Y219" s="295"/>
      <c r="Z219" s="295"/>
      <c r="AA219" s="295"/>
      <c r="AB219" s="295"/>
      <c r="AC219" s="295"/>
      <c r="AD219" s="295"/>
      <c r="AE219" s="295"/>
      <c r="AF219" s="295"/>
      <c r="AG219" s="295"/>
      <c r="AH219" s="295"/>
      <c r="AI219" s="295"/>
      <c r="AJ219" s="295"/>
      <c r="AK219" s="295"/>
      <c r="AL219" s="295"/>
      <c r="AM219" s="295"/>
    </row>
    <row r="220" spans="1:39" ht="12" customHeight="1" x14ac:dyDescent="0.3">
      <c r="A220" s="295"/>
      <c r="B220" s="295"/>
      <c r="C220" s="295"/>
      <c r="D220" s="295"/>
      <c r="E220" s="295"/>
      <c r="F220" s="295"/>
      <c r="G220" s="295"/>
      <c r="H220" s="295"/>
      <c r="I220" s="295"/>
      <c r="J220" s="295"/>
      <c r="K220" s="295"/>
      <c r="L220" s="295"/>
      <c r="M220" s="295"/>
      <c r="N220" s="295"/>
      <c r="O220" s="295"/>
      <c r="P220" s="295"/>
      <c r="Q220" s="295"/>
      <c r="R220" s="295"/>
      <c r="S220" s="295"/>
      <c r="T220" s="295"/>
      <c r="U220" s="295"/>
      <c r="V220" s="295"/>
      <c r="W220" s="295"/>
      <c r="X220" s="295"/>
      <c r="Y220" s="295"/>
      <c r="Z220" s="295"/>
      <c r="AA220" s="295"/>
      <c r="AB220" s="295"/>
      <c r="AC220" s="295"/>
      <c r="AD220" s="295"/>
      <c r="AE220" s="295"/>
      <c r="AF220" s="295"/>
      <c r="AG220" s="295"/>
      <c r="AH220" s="295"/>
      <c r="AI220" s="295"/>
      <c r="AJ220" s="295"/>
      <c r="AK220" s="295"/>
      <c r="AL220" s="295"/>
      <c r="AM220" s="295"/>
    </row>
    <row r="221" spans="1:39" ht="15.75" customHeight="1" x14ac:dyDescent="0.3"/>
    <row r="222" spans="1:39" ht="15.75" customHeight="1" x14ac:dyDescent="0.3"/>
    <row r="223" spans="1:39" ht="15.75" customHeight="1" x14ac:dyDescent="0.3"/>
    <row r="224" spans="1:39"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2.6640625" defaultRowHeight="15" customHeight="1" x14ac:dyDescent="0.3"/>
  <cols>
    <col min="1" max="1" width="16.6640625" customWidth="1"/>
    <col min="2" max="2" width="11.44140625" customWidth="1"/>
    <col min="3" max="3" width="15" customWidth="1"/>
    <col min="4" max="4" width="5" customWidth="1"/>
    <col min="5" max="5" width="16.109375" customWidth="1"/>
    <col min="6" max="20" width="11.44140625" customWidth="1"/>
    <col min="22" max="26" width="10.6640625" customWidth="1"/>
  </cols>
  <sheetData>
    <row r="1" spans="1:26" ht="14.25" customHeight="1" x14ac:dyDescent="0.3">
      <c r="A1" s="1173" t="s">
        <v>2075</v>
      </c>
      <c r="B1" s="1087"/>
      <c r="C1" s="1087"/>
      <c r="D1" s="1087"/>
      <c r="E1" s="1088"/>
      <c r="F1" s="7"/>
      <c r="G1" s="7"/>
      <c r="H1" s="7"/>
      <c r="I1" s="7"/>
      <c r="J1" s="7"/>
      <c r="K1" s="7"/>
      <c r="L1" s="7"/>
      <c r="M1" s="7"/>
      <c r="N1" s="7"/>
      <c r="O1" s="7"/>
      <c r="P1" s="7"/>
      <c r="Q1" s="7"/>
      <c r="R1" s="7"/>
      <c r="S1" s="7"/>
      <c r="T1" s="7"/>
      <c r="U1" s="7"/>
      <c r="V1" s="7"/>
      <c r="W1" s="7"/>
      <c r="X1" s="7"/>
      <c r="Y1" s="7"/>
      <c r="Z1" s="7"/>
    </row>
    <row r="2" spans="1:26" ht="14.25" customHeight="1" x14ac:dyDescent="0.3">
      <c r="A2" s="898" t="s">
        <v>1823</v>
      </c>
      <c r="B2" s="898" t="s">
        <v>1773</v>
      </c>
      <c r="C2" s="898" t="s">
        <v>2076</v>
      </c>
      <c r="D2" s="898" t="s">
        <v>247</v>
      </c>
      <c r="E2" s="898" t="s">
        <v>2077</v>
      </c>
      <c r="F2" s="609">
        <v>45957</v>
      </c>
      <c r="G2" s="609">
        <v>45987</v>
      </c>
      <c r="H2" s="609">
        <v>46017</v>
      </c>
      <c r="I2" s="609">
        <v>46023</v>
      </c>
      <c r="J2" s="609">
        <v>46054</v>
      </c>
      <c r="K2" s="609">
        <v>46112</v>
      </c>
      <c r="L2" s="609">
        <v>46142</v>
      </c>
      <c r="M2" s="609">
        <v>46172</v>
      </c>
      <c r="N2" s="609">
        <v>46202</v>
      </c>
      <c r="O2" s="609">
        <v>46232</v>
      </c>
      <c r="P2" s="609">
        <v>46262</v>
      </c>
      <c r="Q2" s="609">
        <v>46292</v>
      </c>
      <c r="R2" s="609">
        <v>46322</v>
      </c>
      <c r="S2" s="610">
        <v>46352</v>
      </c>
      <c r="T2" s="609">
        <v>46382</v>
      </c>
      <c r="U2" s="7"/>
      <c r="V2" s="7"/>
      <c r="W2" s="7"/>
      <c r="X2" s="7"/>
      <c r="Y2" s="7"/>
      <c r="Z2" s="7"/>
    </row>
    <row r="3" spans="1:26" ht="14.25" customHeight="1" x14ac:dyDescent="0.3">
      <c r="A3" s="574" t="s">
        <v>1893</v>
      </c>
      <c r="B3" s="577">
        <v>1</v>
      </c>
      <c r="C3" s="899">
        <v>333941728.24000001</v>
      </c>
      <c r="D3" s="577">
        <v>0.35</v>
      </c>
      <c r="E3" s="900">
        <f>C3*D3%</f>
        <v>1168796.0488399998</v>
      </c>
      <c r="F3" s="671">
        <f>+E3</f>
        <v>1168796.0488399998</v>
      </c>
      <c r="G3" s="671">
        <f>+F3</f>
        <v>1168796.0488399998</v>
      </c>
      <c r="H3" s="671">
        <f>+G3</f>
        <v>1168796.0488399998</v>
      </c>
      <c r="I3" s="671">
        <f>+H3*(I4)</f>
        <v>1243983.7636250376</v>
      </c>
      <c r="J3" s="671">
        <f>+I3</f>
        <v>1243983.7636250376</v>
      </c>
      <c r="K3" s="671">
        <f>+J3</f>
        <v>1243983.7636250376</v>
      </c>
      <c r="L3" s="671">
        <f>+K3*(L4)</f>
        <v>1300806.9204738128</v>
      </c>
      <c r="M3" s="671">
        <f>+L3</f>
        <v>1300806.9204738128</v>
      </c>
      <c r="N3" s="671">
        <f>+M3</f>
        <v>1300806.9204738128</v>
      </c>
      <c r="O3" s="671">
        <f>+N3*(O4)</f>
        <v>1360225.6667898104</v>
      </c>
      <c r="P3" s="671">
        <f>+O3</f>
        <v>1360225.6667898104</v>
      </c>
      <c r="Q3" s="671">
        <f>+P3</f>
        <v>1360225.6667898104</v>
      </c>
      <c r="R3" s="671">
        <f>+Q3*(R4)</f>
        <v>1422358.5648820598</v>
      </c>
      <c r="S3" s="671">
        <f>+R3</f>
        <v>1422358.5648820598</v>
      </c>
      <c r="T3" s="671">
        <f>+S3</f>
        <v>1422358.5648820598</v>
      </c>
      <c r="U3" s="637">
        <f>SUM(I3:T3)</f>
        <v>15982124.747312166</v>
      </c>
      <c r="V3" s="7"/>
      <c r="W3" s="7"/>
      <c r="X3" s="7"/>
      <c r="Y3" s="7"/>
      <c r="Z3" s="7"/>
    </row>
    <row r="4" spans="1:26" ht="21" customHeight="1" x14ac:dyDescent="0.3">
      <c r="A4" s="7"/>
      <c r="B4" s="7"/>
      <c r="C4" s="7"/>
      <c r="D4" s="7"/>
      <c r="E4" s="7"/>
      <c r="F4" s="7"/>
      <c r="G4" s="53"/>
      <c r="H4" s="53"/>
      <c r="I4" s="583">
        <f>1*(1+F5)*(1+G5)*(1+H5)</f>
        <v>1.0643291999999998</v>
      </c>
      <c r="J4" s="7"/>
      <c r="K4" s="7"/>
      <c r="L4" s="583">
        <f>1*(1+I5)*(1+J5)*(1+K5)</f>
        <v>1.0456783749999996</v>
      </c>
      <c r="M4" s="7"/>
      <c r="N4" s="7"/>
      <c r="O4" s="583">
        <f>1*(1+L5)*(1+M5)*(1+N5)</f>
        <v>1.0456783749999996</v>
      </c>
      <c r="P4" s="7"/>
      <c r="Q4" s="7"/>
      <c r="R4" s="583">
        <f>1*(1+O5)*(1+P5)*(1+Q5)</f>
        <v>1.0456783749999996</v>
      </c>
      <c r="S4" s="7"/>
      <c r="T4" s="7"/>
      <c r="U4" s="7"/>
      <c r="V4" s="7"/>
      <c r="W4" s="7"/>
      <c r="X4" s="7"/>
      <c r="Y4" s="7"/>
      <c r="Z4" s="7"/>
    </row>
    <row r="5" spans="1:26" ht="14.25" customHeight="1" x14ac:dyDescent="0.3">
      <c r="A5" s="7"/>
      <c r="B5" s="383"/>
      <c r="C5" s="901"/>
      <c r="D5" s="901"/>
      <c r="E5" s="901" t="s">
        <v>2078</v>
      </c>
      <c r="F5" s="902">
        <v>2.3E-2</v>
      </c>
      <c r="G5" s="902">
        <v>0.02</v>
      </c>
      <c r="H5" s="902">
        <v>0.02</v>
      </c>
      <c r="I5" s="902">
        <v>1.4999999999999999E-2</v>
      </c>
      <c r="J5" s="902">
        <f t="shared" ref="J5:T5" si="0">+I5</f>
        <v>1.4999999999999999E-2</v>
      </c>
      <c r="K5" s="902">
        <f t="shared" si="0"/>
        <v>1.4999999999999999E-2</v>
      </c>
      <c r="L5" s="902">
        <f t="shared" si="0"/>
        <v>1.4999999999999999E-2</v>
      </c>
      <c r="M5" s="902">
        <f t="shared" si="0"/>
        <v>1.4999999999999999E-2</v>
      </c>
      <c r="N5" s="902">
        <f t="shared" si="0"/>
        <v>1.4999999999999999E-2</v>
      </c>
      <c r="O5" s="902">
        <f t="shared" si="0"/>
        <v>1.4999999999999999E-2</v>
      </c>
      <c r="P5" s="902">
        <f t="shared" si="0"/>
        <v>1.4999999999999999E-2</v>
      </c>
      <c r="Q5" s="902">
        <f t="shared" si="0"/>
        <v>1.4999999999999999E-2</v>
      </c>
      <c r="R5" s="902">
        <f t="shared" si="0"/>
        <v>1.4999999999999999E-2</v>
      </c>
      <c r="S5" s="902">
        <f t="shared" si="0"/>
        <v>1.4999999999999999E-2</v>
      </c>
      <c r="T5" s="902">
        <f t="shared" si="0"/>
        <v>1.4999999999999999E-2</v>
      </c>
      <c r="U5" s="7"/>
      <c r="V5" s="7"/>
      <c r="W5" s="7"/>
      <c r="X5" s="7"/>
      <c r="Y5" s="7"/>
      <c r="Z5" s="7"/>
    </row>
    <row r="6" spans="1:26" ht="14.25" customHeight="1" x14ac:dyDescent="0.3">
      <c r="A6" s="7"/>
      <c r="B6" s="903" t="s">
        <v>2079</v>
      </c>
      <c r="C6" s="383"/>
      <c r="D6" s="383"/>
      <c r="E6" s="383"/>
      <c r="F6" s="7"/>
      <c r="G6" s="7"/>
      <c r="H6" s="7"/>
      <c r="I6" s="7"/>
      <c r="J6" s="7"/>
      <c r="K6" s="7"/>
      <c r="L6" s="7"/>
      <c r="M6" s="7"/>
      <c r="N6" s="7"/>
      <c r="O6" s="7"/>
      <c r="P6" s="7"/>
      <c r="Q6" s="7"/>
      <c r="R6" s="7"/>
      <c r="S6" s="7"/>
      <c r="T6" s="7"/>
      <c r="U6" s="7"/>
      <c r="V6" s="7"/>
      <c r="W6" s="7"/>
      <c r="X6" s="7"/>
      <c r="Y6" s="7"/>
      <c r="Z6" s="7"/>
    </row>
    <row r="7" spans="1:26" ht="14.25" customHeight="1" x14ac:dyDescent="0.3">
      <c r="A7" s="7"/>
      <c r="B7" s="7"/>
      <c r="C7" s="7"/>
      <c r="D7" s="7"/>
      <c r="E7" s="7"/>
      <c r="F7" s="7"/>
      <c r="G7" s="7"/>
      <c r="H7" s="7"/>
      <c r="I7" s="7"/>
      <c r="J7" s="7"/>
      <c r="K7" s="7"/>
      <c r="L7" s="7"/>
      <c r="M7" s="7"/>
      <c r="N7" s="7"/>
      <c r="O7" s="7"/>
      <c r="P7" s="7"/>
      <c r="Q7" s="7"/>
      <c r="R7" s="7"/>
      <c r="S7" s="7"/>
      <c r="T7" s="7"/>
      <c r="U7" s="7"/>
      <c r="V7" s="7"/>
      <c r="W7" s="7"/>
      <c r="X7" s="7"/>
      <c r="Y7" s="7"/>
      <c r="Z7" s="7"/>
    </row>
    <row r="8" spans="1:26" ht="14.25" customHeight="1" x14ac:dyDescent="0.3">
      <c r="A8" s="7"/>
      <c r="B8" s="7"/>
      <c r="C8" s="7" t="s">
        <v>2080</v>
      </c>
      <c r="D8" s="7"/>
      <c r="E8" s="7"/>
      <c r="F8" s="7"/>
      <c r="G8" s="7"/>
      <c r="H8" s="7"/>
      <c r="I8" s="7"/>
      <c r="J8" s="7"/>
      <c r="K8" s="7"/>
      <c r="L8" s="7"/>
      <c r="M8" s="7"/>
      <c r="N8" s="7"/>
      <c r="O8" s="7"/>
      <c r="P8" s="7"/>
      <c r="Q8" s="7"/>
      <c r="R8" s="7"/>
      <c r="S8" s="7"/>
      <c r="T8" s="7"/>
      <c r="U8" s="7"/>
      <c r="V8" s="7"/>
      <c r="W8" s="7"/>
      <c r="X8" s="7"/>
      <c r="Y8" s="7"/>
      <c r="Z8" s="7"/>
    </row>
    <row r="9" spans="1:26" ht="14.2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4.25" customHeight="1" x14ac:dyDescent="0.3">
      <c r="A10" s="7"/>
      <c r="B10" s="7" t="s">
        <v>2081</v>
      </c>
      <c r="C10" s="7"/>
      <c r="D10" s="7"/>
      <c r="E10" s="269" t="s">
        <v>2082</v>
      </c>
      <c r="F10" s="162">
        <v>1194509.5619144801</v>
      </c>
      <c r="G10" s="162">
        <v>1218399.75315277</v>
      </c>
      <c r="H10" s="162">
        <v>1242767.7482158251</v>
      </c>
      <c r="I10" s="162">
        <v>1261409.264439062</v>
      </c>
      <c r="J10" s="162">
        <v>1280330.403405648</v>
      </c>
      <c r="K10" s="162">
        <v>1299535.3594567319</v>
      </c>
      <c r="L10" s="162">
        <v>1319028.3898485829</v>
      </c>
      <c r="M10" s="162">
        <v>1338813.8156963121</v>
      </c>
      <c r="N10" s="162">
        <v>1358896.0229317569</v>
      </c>
      <c r="O10" s="162">
        <v>1379279.4632757329</v>
      </c>
      <c r="P10" s="162">
        <v>1399968.655224869</v>
      </c>
      <c r="Q10" s="162">
        <v>1420968.1850532419</v>
      </c>
      <c r="R10" s="162">
        <v>1442282.70782904</v>
      </c>
      <c r="S10" s="162">
        <v>1463916.9484464759</v>
      </c>
      <c r="T10" s="162">
        <v>1485875.702673173</v>
      </c>
      <c r="U10" s="637">
        <f>SUM(I10:T10)</f>
        <v>16450304.918280626</v>
      </c>
      <c r="V10" s="7"/>
      <c r="W10" s="7"/>
      <c r="X10" s="7"/>
      <c r="Y10" s="7"/>
      <c r="Z10" s="7"/>
    </row>
    <row r="11" spans="1:26" ht="14.25" customHeight="1"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4.25" customHeight="1"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25" customHeight="1"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customHeight="1"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customHeight="1"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4.2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2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E1"/>
  </mergeCells>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workbookViewId="0"/>
  </sheetViews>
  <sheetFormatPr baseColWidth="10" defaultColWidth="12.6640625" defaultRowHeight="15" customHeight="1" x14ac:dyDescent="0.3"/>
  <cols>
    <col min="1" max="1" width="6.44140625" customWidth="1"/>
    <col min="2" max="2" width="21.33203125" customWidth="1"/>
    <col min="3" max="3" width="12.44140625" customWidth="1"/>
    <col min="4" max="4" width="10.88671875" customWidth="1"/>
    <col min="5" max="5" width="11.44140625" customWidth="1"/>
    <col min="6" max="6" width="7.77734375" customWidth="1"/>
    <col min="7" max="7" width="14.33203125" customWidth="1"/>
    <col min="8" max="22" width="7.44140625" customWidth="1"/>
    <col min="23" max="23" width="8.88671875" customWidth="1"/>
    <col min="24" max="26" width="10.6640625" customWidth="1"/>
  </cols>
  <sheetData>
    <row r="1" spans="1:26" ht="12.75" customHeight="1" x14ac:dyDescent="0.3">
      <c r="A1" s="1174" t="s">
        <v>2083</v>
      </c>
      <c r="B1" s="1087"/>
      <c r="C1" s="1087"/>
      <c r="D1" s="1087"/>
      <c r="E1" s="1087"/>
      <c r="F1" s="1087"/>
      <c r="G1" s="1088"/>
      <c r="H1" s="383"/>
      <c r="I1" s="383"/>
      <c r="J1" s="383"/>
      <c r="K1" s="383"/>
      <c r="L1" s="383"/>
      <c r="M1" s="383"/>
      <c r="N1" s="383"/>
      <c r="O1" s="383"/>
      <c r="P1" s="383"/>
      <c r="Q1" s="383"/>
      <c r="R1" s="383"/>
      <c r="S1" s="383"/>
      <c r="T1" s="383"/>
      <c r="U1" s="383"/>
      <c r="V1" s="383"/>
      <c r="W1" s="383"/>
      <c r="X1" s="383"/>
      <c r="Y1" s="383"/>
      <c r="Z1" s="383"/>
    </row>
    <row r="2" spans="1:26" ht="12.75" customHeight="1" x14ac:dyDescent="0.3">
      <c r="A2" s="1105" t="s">
        <v>1902</v>
      </c>
      <c r="B2" s="1105" t="s">
        <v>1903</v>
      </c>
      <c r="C2" s="1108" t="s">
        <v>1944</v>
      </c>
      <c r="D2" s="1087"/>
      <c r="E2" s="1087"/>
      <c r="F2" s="1087"/>
      <c r="G2" s="1088"/>
      <c r="H2" s="383"/>
      <c r="I2" s="383"/>
      <c r="J2" s="383"/>
      <c r="K2" s="383"/>
      <c r="L2" s="383"/>
      <c r="M2" s="383"/>
      <c r="N2" s="383"/>
      <c r="O2" s="383"/>
      <c r="P2" s="383"/>
      <c r="Q2" s="383"/>
      <c r="R2" s="383"/>
      <c r="S2" s="383"/>
      <c r="T2" s="383"/>
      <c r="U2" s="383"/>
      <c r="V2" s="383"/>
      <c r="W2" s="383"/>
      <c r="X2" s="383"/>
      <c r="Y2" s="383"/>
      <c r="Z2" s="383"/>
    </row>
    <row r="3" spans="1:26" ht="12.75" customHeight="1" x14ac:dyDescent="0.3">
      <c r="A3" s="1106"/>
      <c r="B3" s="1106"/>
      <c r="C3" s="1110">
        <v>45901</v>
      </c>
      <c r="D3" s="1087"/>
      <c r="E3" s="1087"/>
      <c r="F3" s="1087"/>
      <c r="G3" s="1088"/>
      <c r="H3" s="383"/>
      <c r="I3" s="383"/>
      <c r="J3" s="383"/>
      <c r="K3" s="383"/>
      <c r="L3" s="383"/>
      <c r="M3" s="383"/>
      <c r="N3" s="383"/>
      <c r="O3" s="383"/>
      <c r="P3" s="383"/>
      <c r="Q3" s="383"/>
      <c r="R3" s="383"/>
      <c r="S3" s="383"/>
      <c r="T3" s="383"/>
      <c r="U3" s="383"/>
      <c r="V3" s="383"/>
      <c r="W3" s="383"/>
      <c r="X3" s="383"/>
      <c r="Y3" s="383"/>
      <c r="Z3" s="383"/>
    </row>
    <row r="4" spans="1:26" ht="27" customHeight="1" x14ac:dyDescent="0.3">
      <c r="A4" s="1107"/>
      <c r="B4" s="1107"/>
      <c r="C4" s="591" t="s">
        <v>1912</v>
      </c>
      <c r="D4" s="592" t="s">
        <v>1913</v>
      </c>
      <c r="E4" s="592" t="s">
        <v>1914</v>
      </c>
      <c r="F4" s="591" t="s">
        <v>1892</v>
      </c>
      <c r="G4" s="591" t="s">
        <v>1915</v>
      </c>
      <c r="H4" s="609">
        <v>45957</v>
      </c>
      <c r="I4" s="609">
        <v>45987</v>
      </c>
      <c r="J4" s="609">
        <v>46017</v>
      </c>
      <c r="K4" s="609">
        <v>46023</v>
      </c>
      <c r="L4" s="609">
        <v>46054</v>
      </c>
      <c r="M4" s="609">
        <v>46112</v>
      </c>
      <c r="N4" s="609">
        <v>46142</v>
      </c>
      <c r="O4" s="609">
        <v>46172</v>
      </c>
      <c r="P4" s="609">
        <v>46202</v>
      </c>
      <c r="Q4" s="609">
        <v>46232</v>
      </c>
      <c r="R4" s="609">
        <v>46262</v>
      </c>
      <c r="S4" s="609">
        <v>46292</v>
      </c>
      <c r="T4" s="609">
        <v>46322</v>
      </c>
      <c r="U4" s="610">
        <v>46352</v>
      </c>
      <c r="V4" s="609">
        <v>46382</v>
      </c>
      <c r="W4" s="383"/>
      <c r="X4" s="383"/>
      <c r="Y4" s="383"/>
      <c r="Z4" s="383"/>
    </row>
    <row r="5" spans="1:26" ht="12.75" customHeight="1" x14ac:dyDescent="0.3">
      <c r="A5" s="594">
        <v>5120</v>
      </c>
      <c r="B5" s="287" t="s">
        <v>2084</v>
      </c>
      <c r="C5" s="904">
        <v>3003</v>
      </c>
      <c r="D5" s="905">
        <v>88416400</v>
      </c>
      <c r="E5" s="905">
        <f>D5/C5</f>
        <v>29442.690642690643</v>
      </c>
      <c r="F5" s="597">
        <v>6.0000000000000001E-3</v>
      </c>
      <c r="G5" s="596">
        <f>D5*F5</f>
        <v>530498.4</v>
      </c>
      <c r="H5" s="906">
        <f>+G5</f>
        <v>530498.4</v>
      </c>
      <c r="I5" s="906">
        <f>+H5</f>
        <v>530498.4</v>
      </c>
      <c r="J5" s="906">
        <f>+I5</f>
        <v>530498.4</v>
      </c>
      <c r="K5" s="906">
        <f>+J5*K7</f>
        <v>564624.9376732799</v>
      </c>
      <c r="L5" s="906">
        <f>+K5</f>
        <v>564624.9376732799</v>
      </c>
      <c r="M5" s="906">
        <f>+L5</f>
        <v>564624.9376732799</v>
      </c>
      <c r="N5" s="906">
        <f>+M5*N7</f>
        <v>590416.08731067134</v>
      </c>
      <c r="O5" s="906">
        <f>+N5</f>
        <v>590416.08731067134</v>
      </c>
      <c r="P5" s="906">
        <f>+O5</f>
        <v>590416.08731067134</v>
      </c>
      <c r="Q5" s="906">
        <f>+P5*Q7</f>
        <v>617385.33475288074</v>
      </c>
      <c r="R5" s="906">
        <f>+Q5</f>
        <v>617385.33475288074</v>
      </c>
      <c r="S5" s="906">
        <f>+R5</f>
        <v>617385.33475288074</v>
      </c>
      <c r="T5" s="906">
        <f>+S5*T7</f>
        <v>645586.49359322316</v>
      </c>
      <c r="U5" s="906">
        <f>+T5</f>
        <v>645586.49359322316</v>
      </c>
      <c r="V5" s="906">
        <f>+U5</f>
        <v>645586.49359322316</v>
      </c>
      <c r="W5" s="416">
        <f>SUM(K5:V5)</f>
        <v>7254038.5599901667</v>
      </c>
      <c r="X5" s="383"/>
      <c r="Y5" s="383"/>
      <c r="Z5" s="383"/>
    </row>
    <row r="6" spans="1:26" ht="12.75" customHeight="1" x14ac:dyDescent="0.3">
      <c r="A6" s="594" t="s">
        <v>320</v>
      </c>
      <c r="B6" s="1175"/>
      <c r="C6" s="1087"/>
      <c r="D6" s="1087"/>
      <c r="E6" s="1087"/>
      <c r="F6" s="1088"/>
      <c r="G6" s="907">
        <f>G5</f>
        <v>530498.4</v>
      </c>
      <c r="H6" s="383"/>
      <c r="I6" s="383"/>
      <c r="J6" s="383"/>
      <c r="K6" s="383"/>
      <c r="L6" s="383"/>
      <c r="M6" s="383"/>
      <c r="N6" s="383"/>
      <c r="O6" s="383"/>
      <c r="P6" s="383"/>
      <c r="Q6" s="383"/>
      <c r="R6" s="383"/>
      <c r="S6" s="383"/>
      <c r="T6" s="383"/>
      <c r="U6" s="383"/>
      <c r="V6" s="383"/>
      <c r="W6" s="383"/>
      <c r="X6" s="383"/>
      <c r="Y6" s="383"/>
      <c r="Z6" s="383"/>
    </row>
    <row r="7" spans="1:26" ht="12.75" customHeight="1" x14ac:dyDescent="0.3">
      <c r="A7" s="908"/>
      <c r="B7" s="908"/>
      <c r="C7" s="908"/>
      <c r="D7" s="908"/>
      <c r="E7" s="908"/>
      <c r="F7" s="908"/>
      <c r="G7" s="908"/>
      <c r="H7" s="383"/>
      <c r="I7" s="393"/>
      <c r="J7" s="393"/>
      <c r="K7" s="583">
        <f>1*(1+H8)*(1+I8)*(1+J8)</f>
        <v>1.0643291999999998</v>
      </c>
      <c r="L7" s="383"/>
      <c r="M7" s="383"/>
      <c r="N7" s="583">
        <f>1*(1+K8)*(1+L8)*(1+M8)</f>
        <v>1.0456783749999996</v>
      </c>
      <c r="O7" s="383"/>
      <c r="P7" s="383"/>
      <c r="Q7" s="583">
        <f>1*(1+N8)*(1+O8)*(1+P8)</f>
        <v>1.0456783749999996</v>
      </c>
      <c r="R7" s="383"/>
      <c r="S7" s="383"/>
      <c r="T7" s="583">
        <f>1*(1+Q8)*(1+R8)*(1+S8)</f>
        <v>1.0456783749999996</v>
      </c>
      <c r="U7" s="383"/>
      <c r="V7" s="383"/>
      <c r="W7" s="383"/>
      <c r="X7" s="383"/>
      <c r="Y7" s="383"/>
      <c r="Z7" s="383"/>
    </row>
    <row r="8" spans="1:26" ht="12.75" customHeight="1" x14ac:dyDescent="0.3">
      <c r="A8" s="383"/>
      <c r="B8" s="383"/>
      <c r="C8" s="383"/>
      <c r="D8" s="383"/>
      <c r="E8" s="909"/>
      <c r="F8" s="909"/>
      <c r="G8" s="909" t="s">
        <v>2078</v>
      </c>
      <c r="H8" s="910">
        <v>2.3E-2</v>
      </c>
      <c r="I8" s="910">
        <v>0.02</v>
      </c>
      <c r="J8" s="910">
        <v>0.02</v>
      </c>
      <c r="K8" s="910">
        <v>1.4999999999999999E-2</v>
      </c>
      <c r="L8" s="910">
        <f t="shared" ref="L8:V8" si="0">+K8</f>
        <v>1.4999999999999999E-2</v>
      </c>
      <c r="M8" s="910">
        <f t="shared" si="0"/>
        <v>1.4999999999999999E-2</v>
      </c>
      <c r="N8" s="910">
        <f t="shared" si="0"/>
        <v>1.4999999999999999E-2</v>
      </c>
      <c r="O8" s="910">
        <f t="shared" si="0"/>
        <v>1.4999999999999999E-2</v>
      </c>
      <c r="P8" s="910">
        <f t="shared" si="0"/>
        <v>1.4999999999999999E-2</v>
      </c>
      <c r="Q8" s="910">
        <f t="shared" si="0"/>
        <v>1.4999999999999999E-2</v>
      </c>
      <c r="R8" s="910">
        <f t="shared" si="0"/>
        <v>1.4999999999999999E-2</v>
      </c>
      <c r="S8" s="910">
        <f t="shared" si="0"/>
        <v>1.4999999999999999E-2</v>
      </c>
      <c r="T8" s="910">
        <f t="shared" si="0"/>
        <v>1.4999999999999999E-2</v>
      </c>
      <c r="U8" s="910">
        <f t="shared" si="0"/>
        <v>1.4999999999999999E-2</v>
      </c>
      <c r="V8" s="910">
        <f t="shared" si="0"/>
        <v>1.4999999999999999E-2</v>
      </c>
      <c r="W8" s="383"/>
      <c r="X8" s="383"/>
      <c r="Y8" s="383"/>
      <c r="Z8" s="383"/>
    </row>
    <row r="9" spans="1:26" ht="12.75" customHeight="1" x14ac:dyDescent="0.3">
      <c r="A9" s="383"/>
      <c r="B9" s="383"/>
      <c r="C9" s="383"/>
      <c r="D9" s="903" t="s">
        <v>2079</v>
      </c>
      <c r="E9" s="383"/>
      <c r="F9" s="383"/>
      <c r="G9" s="383"/>
      <c r="H9" s="383"/>
      <c r="I9" s="383"/>
      <c r="J9" s="383"/>
      <c r="K9" s="383"/>
      <c r="L9" s="383"/>
      <c r="M9" s="383"/>
      <c r="N9" s="383"/>
      <c r="O9" s="383"/>
      <c r="P9" s="383"/>
      <c r="Q9" s="383"/>
      <c r="R9" s="383"/>
      <c r="S9" s="383"/>
      <c r="T9" s="383"/>
      <c r="U9" s="383"/>
      <c r="V9" s="383"/>
      <c r="W9" s="383"/>
      <c r="X9" s="383"/>
      <c r="Y9" s="383"/>
      <c r="Z9" s="383"/>
    </row>
    <row r="10" spans="1:26" ht="12.75" customHeight="1" x14ac:dyDescent="0.3">
      <c r="A10" s="383"/>
      <c r="B10" s="383"/>
      <c r="C10" s="383"/>
      <c r="D10" s="383"/>
      <c r="E10" s="383"/>
      <c r="F10" s="383"/>
      <c r="G10" s="383"/>
      <c r="H10" s="383"/>
      <c r="I10" s="383"/>
      <c r="J10" s="383"/>
      <c r="K10" s="383"/>
      <c r="L10" s="383"/>
      <c r="M10" s="383"/>
      <c r="N10" s="383"/>
      <c r="O10" s="383"/>
      <c r="P10" s="383"/>
      <c r="Q10" s="383"/>
      <c r="R10" s="383"/>
      <c r="S10" s="383"/>
      <c r="T10" s="383"/>
      <c r="U10" s="383"/>
      <c r="V10" s="383"/>
      <c r="W10" s="383"/>
      <c r="X10" s="383"/>
      <c r="Y10" s="383"/>
      <c r="Z10" s="383"/>
    </row>
    <row r="11" spans="1:26" ht="12.75" customHeight="1" x14ac:dyDescent="0.3">
      <c r="A11" s="383"/>
      <c r="B11" s="383"/>
      <c r="C11" s="383"/>
      <c r="D11" s="383"/>
      <c r="E11" s="383"/>
      <c r="F11" s="383"/>
      <c r="G11" s="383"/>
      <c r="H11" s="383"/>
      <c r="I11" s="383"/>
      <c r="J11" s="383"/>
      <c r="K11" s="383"/>
      <c r="L11" s="383"/>
      <c r="M11" s="383"/>
      <c r="N11" s="383"/>
      <c r="O11" s="383"/>
      <c r="P11" s="383"/>
      <c r="Q11" s="383"/>
      <c r="R11" s="383"/>
      <c r="S11" s="383"/>
      <c r="T11" s="383"/>
      <c r="U11" s="383"/>
      <c r="V11" s="383"/>
      <c r="W11" s="383"/>
      <c r="X11" s="383"/>
      <c r="Y11" s="383"/>
      <c r="Z11" s="383"/>
    </row>
    <row r="12" spans="1:26" ht="12.75" customHeight="1" x14ac:dyDescent="0.3">
      <c r="A12" s="383"/>
      <c r="B12" s="383"/>
      <c r="C12" s="383"/>
      <c r="D12" s="383"/>
      <c r="E12" s="383"/>
      <c r="F12" s="383"/>
      <c r="G12" s="383"/>
      <c r="H12" s="383"/>
      <c r="I12" s="383"/>
      <c r="J12" s="383"/>
      <c r="K12" s="383"/>
      <c r="L12" s="383"/>
      <c r="M12" s="383"/>
      <c r="N12" s="383"/>
      <c r="O12" s="383"/>
      <c r="P12" s="383"/>
      <c r="Q12" s="383"/>
      <c r="R12" s="383"/>
      <c r="S12" s="383"/>
      <c r="T12" s="383"/>
      <c r="U12" s="383"/>
      <c r="V12" s="383"/>
      <c r="W12" s="383"/>
      <c r="X12" s="383"/>
      <c r="Y12" s="383"/>
      <c r="Z12" s="383"/>
    </row>
    <row r="13" spans="1:26" ht="12.75" customHeight="1" x14ac:dyDescent="0.3">
      <c r="A13" s="383"/>
      <c r="B13" s="383"/>
      <c r="C13" s="383"/>
      <c r="D13" s="383"/>
      <c r="E13" s="383"/>
      <c r="F13" s="383"/>
      <c r="G13" s="383"/>
      <c r="H13" s="383"/>
      <c r="I13" s="383"/>
      <c r="J13" s="383"/>
      <c r="K13" s="383"/>
      <c r="L13" s="383"/>
      <c r="M13" s="383"/>
      <c r="N13" s="383"/>
      <c r="O13" s="383"/>
      <c r="P13" s="383"/>
      <c r="Q13" s="383"/>
      <c r="R13" s="383"/>
      <c r="S13" s="383"/>
      <c r="T13" s="383"/>
      <c r="U13" s="383"/>
      <c r="V13" s="383"/>
      <c r="W13" s="383"/>
      <c r="X13" s="383"/>
      <c r="Y13" s="383"/>
      <c r="Z13" s="383"/>
    </row>
    <row r="14" spans="1:26" ht="12.75" customHeight="1" x14ac:dyDescent="0.3">
      <c r="A14" s="383"/>
      <c r="B14" s="383"/>
      <c r="C14" s="383"/>
      <c r="D14" s="383"/>
      <c r="E14" s="383"/>
      <c r="F14" s="383"/>
      <c r="G14" s="383"/>
      <c r="H14" s="383"/>
      <c r="I14" s="383"/>
      <c r="J14" s="383"/>
      <c r="K14" s="383"/>
      <c r="L14" s="383"/>
      <c r="M14" s="383"/>
      <c r="N14" s="383"/>
      <c r="O14" s="383"/>
      <c r="P14" s="383"/>
      <c r="Q14" s="383"/>
      <c r="R14" s="383"/>
      <c r="S14" s="383"/>
      <c r="T14" s="383"/>
      <c r="U14" s="383"/>
      <c r="V14" s="383"/>
      <c r="W14" s="383"/>
      <c r="X14" s="383"/>
      <c r="Y14" s="383"/>
      <c r="Z14" s="383"/>
    </row>
    <row r="15" spans="1:26" ht="12.75" customHeight="1" x14ac:dyDescent="0.3">
      <c r="A15" s="383"/>
      <c r="B15" s="383"/>
      <c r="C15" s="383"/>
      <c r="D15" s="383"/>
      <c r="E15" s="383"/>
      <c r="F15" s="383"/>
      <c r="G15" s="383"/>
      <c r="H15" s="383"/>
      <c r="I15" s="383"/>
      <c r="J15" s="383"/>
      <c r="K15" s="383"/>
      <c r="L15" s="383"/>
      <c r="M15" s="383"/>
      <c r="N15" s="383"/>
      <c r="O15" s="383"/>
      <c r="P15" s="383"/>
      <c r="Q15" s="383"/>
      <c r="R15" s="383"/>
      <c r="S15" s="383"/>
      <c r="T15" s="383"/>
      <c r="U15" s="383"/>
      <c r="V15" s="383"/>
      <c r="W15" s="383"/>
      <c r="X15" s="383"/>
      <c r="Y15" s="383"/>
      <c r="Z15" s="383"/>
    </row>
    <row r="16" spans="1:26" ht="12.75" customHeight="1" x14ac:dyDescent="0.3">
      <c r="A16" s="383"/>
      <c r="B16" s="383"/>
      <c r="C16" s="383"/>
      <c r="D16" s="383"/>
      <c r="E16" s="383"/>
      <c r="F16" s="383"/>
      <c r="G16" s="383"/>
      <c r="H16" s="383"/>
      <c r="I16" s="383"/>
      <c r="J16" s="383"/>
      <c r="K16" s="383"/>
      <c r="L16" s="383"/>
      <c r="M16" s="383"/>
      <c r="N16" s="383"/>
      <c r="O16" s="383"/>
      <c r="P16" s="383"/>
      <c r="Q16" s="383"/>
      <c r="R16" s="383"/>
      <c r="S16" s="383"/>
      <c r="T16" s="383"/>
      <c r="U16" s="383"/>
      <c r="V16" s="383"/>
      <c r="W16" s="383"/>
      <c r="X16" s="383"/>
      <c r="Y16" s="383"/>
      <c r="Z16" s="383"/>
    </row>
    <row r="17" spans="1:26" ht="12.75" customHeight="1" x14ac:dyDescent="0.3">
      <c r="A17" s="383"/>
      <c r="B17" s="383"/>
      <c r="C17" s="383"/>
      <c r="D17" s="383"/>
      <c r="E17" s="383"/>
      <c r="F17" s="383"/>
      <c r="G17" s="383"/>
      <c r="H17" s="383"/>
      <c r="I17" s="383"/>
      <c r="J17" s="383"/>
      <c r="K17" s="383"/>
      <c r="L17" s="383"/>
      <c r="M17" s="383"/>
      <c r="N17" s="383"/>
      <c r="O17" s="383"/>
      <c r="P17" s="383"/>
      <c r="Q17" s="383"/>
      <c r="R17" s="383"/>
      <c r="S17" s="383"/>
      <c r="T17" s="383"/>
      <c r="U17" s="383"/>
      <c r="V17" s="383"/>
      <c r="W17" s="383"/>
      <c r="X17" s="383"/>
      <c r="Y17" s="383"/>
      <c r="Z17" s="383"/>
    </row>
    <row r="18" spans="1:26" ht="12.75" customHeight="1" x14ac:dyDescent="0.3">
      <c r="A18" s="383"/>
      <c r="B18" s="383"/>
      <c r="C18" s="383"/>
      <c r="D18" s="383"/>
      <c r="E18" s="383"/>
      <c r="F18" s="383"/>
      <c r="G18" s="383"/>
      <c r="H18" s="383"/>
      <c r="I18" s="383"/>
      <c r="J18" s="383"/>
      <c r="K18" s="383"/>
      <c r="L18" s="383"/>
      <c r="M18" s="383"/>
      <c r="N18" s="383"/>
      <c r="O18" s="383"/>
      <c r="P18" s="383"/>
      <c r="Q18" s="383"/>
      <c r="R18" s="383"/>
      <c r="S18" s="383"/>
      <c r="T18" s="383"/>
      <c r="U18" s="383"/>
      <c r="V18" s="383"/>
      <c r="W18" s="383"/>
      <c r="X18" s="383"/>
      <c r="Y18" s="383"/>
      <c r="Z18" s="383"/>
    </row>
    <row r="19" spans="1:26" ht="12.75" customHeight="1" x14ac:dyDescent="0.3">
      <c r="A19" s="383"/>
      <c r="B19" s="383"/>
      <c r="C19" s="383"/>
      <c r="D19" s="383"/>
      <c r="E19" s="383"/>
      <c r="F19" s="383"/>
      <c r="G19" s="383"/>
      <c r="H19" s="383"/>
      <c r="I19" s="383"/>
      <c r="J19" s="383"/>
      <c r="K19" s="383"/>
      <c r="L19" s="383"/>
      <c r="M19" s="383"/>
      <c r="N19" s="383"/>
      <c r="O19" s="383"/>
      <c r="P19" s="383"/>
      <c r="Q19" s="383"/>
      <c r="R19" s="383"/>
      <c r="S19" s="383"/>
      <c r="T19" s="383"/>
      <c r="U19" s="383"/>
      <c r="V19" s="383"/>
      <c r="W19" s="383"/>
      <c r="X19" s="383"/>
      <c r="Y19" s="383"/>
      <c r="Z19" s="383"/>
    </row>
    <row r="20" spans="1:26" ht="12.75" customHeight="1" x14ac:dyDescent="0.3">
      <c r="A20" s="383"/>
      <c r="B20" s="383"/>
      <c r="C20" s="383"/>
      <c r="D20" s="383"/>
      <c r="E20" s="383"/>
      <c r="F20" s="383"/>
      <c r="G20" s="383"/>
      <c r="H20" s="383"/>
      <c r="I20" s="383"/>
      <c r="J20" s="383"/>
      <c r="K20" s="383"/>
      <c r="L20" s="383"/>
      <c r="M20" s="383"/>
      <c r="N20" s="383"/>
      <c r="O20" s="383"/>
      <c r="P20" s="383"/>
      <c r="Q20" s="383"/>
      <c r="R20" s="383"/>
      <c r="S20" s="383"/>
      <c r="T20" s="383"/>
      <c r="U20" s="383"/>
      <c r="V20" s="383"/>
      <c r="W20" s="383"/>
      <c r="X20" s="383"/>
      <c r="Y20" s="383"/>
      <c r="Z20" s="383"/>
    </row>
    <row r="21" spans="1:26" ht="12.75" customHeight="1" x14ac:dyDescent="0.3">
      <c r="A21" s="383"/>
      <c r="B21" s="383"/>
      <c r="C21" s="383"/>
      <c r="D21" s="383"/>
      <c r="E21" s="383"/>
      <c r="F21" s="383"/>
      <c r="G21" s="383"/>
      <c r="H21" s="383"/>
      <c r="I21" s="383"/>
      <c r="J21" s="383"/>
      <c r="K21" s="383"/>
      <c r="L21" s="383"/>
      <c r="M21" s="383"/>
      <c r="N21" s="383"/>
      <c r="O21" s="383"/>
      <c r="P21" s="383"/>
      <c r="Q21" s="383"/>
      <c r="R21" s="383"/>
      <c r="S21" s="383"/>
      <c r="T21" s="383"/>
      <c r="U21" s="383"/>
      <c r="V21" s="383"/>
      <c r="W21" s="383"/>
      <c r="X21" s="383"/>
      <c r="Y21" s="383"/>
      <c r="Z21" s="383"/>
    </row>
    <row r="22" spans="1:26" ht="12.75" customHeight="1" x14ac:dyDescent="0.3">
      <c r="A22" s="383"/>
      <c r="B22" s="383"/>
      <c r="C22" s="383"/>
      <c r="D22" s="383"/>
      <c r="E22" s="383"/>
      <c r="F22" s="383"/>
      <c r="G22" s="383"/>
      <c r="H22" s="383"/>
      <c r="I22" s="383"/>
      <c r="J22" s="383"/>
      <c r="K22" s="383"/>
      <c r="L22" s="383"/>
      <c r="M22" s="383"/>
      <c r="N22" s="383"/>
      <c r="O22" s="383"/>
      <c r="P22" s="383"/>
      <c r="Q22" s="383"/>
      <c r="R22" s="383"/>
      <c r="S22" s="383"/>
      <c r="T22" s="383"/>
      <c r="U22" s="383"/>
      <c r="V22" s="383"/>
      <c r="W22" s="383"/>
      <c r="X22" s="383"/>
      <c r="Y22" s="383"/>
      <c r="Z22" s="383"/>
    </row>
    <row r="23" spans="1:26" ht="12.75" customHeight="1" x14ac:dyDescent="0.3">
      <c r="A23" s="383"/>
      <c r="B23" s="383"/>
      <c r="C23" s="383"/>
      <c r="D23" s="383"/>
      <c r="E23" s="383"/>
      <c r="F23" s="383"/>
      <c r="G23" s="383"/>
      <c r="H23" s="383"/>
      <c r="I23" s="383"/>
      <c r="J23" s="383"/>
      <c r="K23" s="383"/>
      <c r="L23" s="383"/>
      <c r="M23" s="383"/>
      <c r="N23" s="383"/>
      <c r="O23" s="383"/>
      <c r="P23" s="383"/>
      <c r="Q23" s="383"/>
      <c r="R23" s="383"/>
      <c r="S23" s="383"/>
      <c r="T23" s="383"/>
      <c r="U23" s="383"/>
      <c r="V23" s="383"/>
      <c r="W23" s="383"/>
      <c r="X23" s="383"/>
      <c r="Y23" s="383"/>
      <c r="Z23" s="383"/>
    </row>
    <row r="24" spans="1:26" ht="12.75" customHeight="1" x14ac:dyDescent="0.3">
      <c r="A24" s="383"/>
      <c r="B24" s="383"/>
      <c r="C24" s="383"/>
      <c r="D24" s="383"/>
      <c r="E24" s="383"/>
      <c r="F24" s="383"/>
      <c r="G24" s="383"/>
      <c r="H24" s="383"/>
      <c r="I24" s="383"/>
      <c r="J24" s="383"/>
      <c r="K24" s="383"/>
      <c r="L24" s="383"/>
      <c r="M24" s="383"/>
      <c r="N24" s="383"/>
      <c r="O24" s="383"/>
      <c r="P24" s="383"/>
      <c r="Q24" s="383"/>
      <c r="R24" s="383"/>
      <c r="S24" s="383"/>
      <c r="T24" s="383"/>
      <c r="U24" s="383"/>
      <c r="V24" s="383"/>
      <c r="W24" s="383"/>
      <c r="X24" s="383"/>
      <c r="Y24" s="383"/>
      <c r="Z24" s="383"/>
    </row>
    <row r="25" spans="1:26" ht="12.75" customHeight="1" x14ac:dyDescent="0.3">
      <c r="A25" s="383"/>
      <c r="B25" s="383"/>
      <c r="C25" s="383"/>
      <c r="D25" s="383"/>
      <c r="E25" s="383"/>
      <c r="F25" s="383"/>
      <c r="G25" s="383"/>
      <c r="H25" s="383"/>
      <c r="I25" s="383"/>
      <c r="J25" s="383"/>
      <c r="K25" s="383"/>
      <c r="L25" s="383"/>
      <c r="M25" s="383"/>
      <c r="N25" s="383"/>
      <c r="O25" s="383"/>
      <c r="P25" s="383"/>
      <c r="Q25" s="383"/>
      <c r="R25" s="383"/>
      <c r="S25" s="383"/>
      <c r="T25" s="383"/>
      <c r="U25" s="383"/>
      <c r="V25" s="383"/>
      <c r="W25" s="383"/>
      <c r="X25" s="383"/>
      <c r="Y25" s="383"/>
      <c r="Z25" s="383"/>
    </row>
    <row r="26" spans="1:26" ht="12.75" customHeight="1" x14ac:dyDescent="0.3">
      <c r="A26" s="383"/>
      <c r="B26" s="383"/>
      <c r="C26" s="383"/>
      <c r="D26" s="383"/>
      <c r="E26" s="383"/>
      <c r="F26" s="383"/>
      <c r="G26" s="383"/>
      <c r="H26" s="383"/>
      <c r="I26" s="383"/>
      <c r="J26" s="383"/>
      <c r="K26" s="383"/>
      <c r="L26" s="383"/>
      <c r="M26" s="383"/>
      <c r="N26" s="383"/>
      <c r="O26" s="383"/>
      <c r="P26" s="383"/>
      <c r="Q26" s="383"/>
      <c r="R26" s="383"/>
      <c r="S26" s="383"/>
      <c r="T26" s="383"/>
      <c r="U26" s="383"/>
      <c r="V26" s="383"/>
      <c r="W26" s="383"/>
      <c r="X26" s="383"/>
      <c r="Y26" s="383"/>
      <c r="Z26" s="383"/>
    </row>
    <row r="27" spans="1:26" ht="12.75" customHeight="1" x14ac:dyDescent="0.3">
      <c r="A27" s="383"/>
      <c r="B27" s="383"/>
      <c r="C27" s="383"/>
      <c r="D27" s="383"/>
      <c r="E27" s="383"/>
      <c r="F27" s="383"/>
      <c r="G27" s="383"/>
      <c r="H27" s="383"/>
      <c r="I27" s="383"/>
      <c r="J27" s="383"/>
      <c r="K27" s="383"/>
      <c r="L27" s="383"/>
      <c r="M27" s="383"/>
      <c r="N27" s="383"/>
      <c r="O27" s="383"/>
      <c r="P27" s="383"/>
      <c r="Q27" s="383"/>
      <c r="R27" s="383"/>
      <c r="S27" s="383"/>
      <c r="T27" s="383"/>
      <c r="U27" s="383"/>
      <c r="V27" s="383"/>
      <c r="W27" s="383"/>
      <c r="X27" s="383"/>
      <c r="Y27" s="383"/>
      <c r="Z27" s="383"/>
    </row>
    <row r="28" spans="1:26" ht="12.75" customHeight="1" x14ac:dyDescent="0.3">
      <c r="A28" s="383"/>
      <c r="B28" s="383"/>
      <c r="C28" s="383"/>
      <c r="D28" s="383"/>
      <c r="E28" s="383"/>
      <c r="F28" s="383"/>
      <c r="G28" s="383"/>
      <c r="H28" s="383"/>
      <c r="I28" s="383"/>
      <c r="J28" s="383"/>
      <c r="K28" s="383"/>
      <c r="L28" s="383"/>
      <c r="M28" s="383"/>
      <c r="N28" s="383"/>
      <c r="O28" s="383"/>
      <c r="P28" s="383"/>
      <c r="Q28" s="383"/>
      <c r="R28" s="383"/>
      <c r="S28" s="383"/>
      <c r="T28" s="383"/>
      <c r="U28" s="383"/>
      <c r="V28" s="383"/>
      <c r="W28" s="383"/>
      <c r="X28" s="383"/>
      <c r="Y28" s="383"/>
      <c r="Z28" s="383"/>
    </row>
    <row r="29" spans="1:26" ht="12.75" customHeight="1" x14ac:dyDescent="0.3">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row>
    <row r="30" spans="1:26" ht="12.75" customHeight="1" x14ac:dyDescent="0.3">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row>
    <row r="31" spans="1:26" ht="12.75" customHeight="1" x14ac:dyDescent="0.3">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row>
    <row r="32" spans="1:26" ht="12.75" customHeight="1" x14ac:dyDescent="0.3">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row>
    <row r="33" spans="1:26" ht="12.75" customHeight="1" x14ac:dyDescent="0.3">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row>
    <row r="34" spans="1:26" ht="12.75" customHeight="1" x14ac:dyDescent="0.3">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row>
    <row r="35" spans="1:26" ht="12.75" customHeight="1" x14ac:dyDescent="0.3">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row>
    <row r="36" spans="1:26" ht="12.75" customHeight="1" x14ac:dyDescent="0.3">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row>
    <row r="37" spans="1:26" ht="12.75" customHeight="1" x14ac:dyDescent="0.3">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row>
    <row r="38" spans="1:26" ht="12.75" customHeight="1" x14ac:dyDescent="0.3">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row>
    <row r="39" spans="1:26" ht="12.75" customHeight="1" x14ac:dyDescent="0.3">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row>
    <row r="40" spans="1:26" ht="12.75" customHeight="1" x14ac:dyDescent="0.3">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row>
    <row r="41" spans="1:26" ht="12.75" customHeight="1" x14ac:dyDescent="0.3">
      <c r="A41" s="383"/>
      <c r="B41" s="383"/>
      <c r="C41" s="383"/>
      <c r="D41" s="383"/>
      <c r="E41" s="383"/>
      <c r="F41" s="383"/>
      <c r="G41" s="383"/>
      <c r="H41" s="383"/>
      <c r="I41" s="383"/>
      <c r="J41" s="383"/>
      <c r="K41" s="383"/>
      <c r="L41" s="383"/>
      <c r="M41" s="383"/>
      <c r="N41" s="383"/>
      <c r="O41" s="383"/>
      <c r="P41" s="383"/>
      <c r="Q41" s="383"/>
      <c r="R41" s="383"/>
      <c r="S41" s="383"/>
      <c r="T41" s="383"/>
      <c r="U41" s="383"/>
      <c r="V41" s="383"/>
      <c r="W41" s="383"/>
      <c r="X41" s="383"/>
      <c r="Y41" s="383"/>
      <c r="Z41" s="383"/>
    </row>
    <row r="42" spans="1:26" ht="12.75" customHeight="1" x14ac:dyDescent="0.3">
      <c r="A42" s="383"/>
      <c r="B42" s="383"/>
      <c r="C42" s="383"/>
      <c r="D42" s="383"/>
      <c r="E42" s="383"/>
      <c r="F42" s="383"/>
      <c r="G42" s="383"/>
      <c r="H42" s="383"/>
      <c r="I42" s="383"/>
      <c r="J42" s="383"/>
      <c r="K42" s="383"/>
      <c r="L42" s="383"/>
      <c r="M42" s="383"/>
      <c r="N42" s="383"/>
      <c r="O42" s="383"/>
      <c r="P42" s="383"/>
      <c r="Q42" s="383"/>
      <c r="R42" s="383"/>
      <c r="S42" s="383"/>
      <c r="T42" s="383"/>
      <c r="U42" s="383"/>
      <c r="V42" s="383"/>
      <c r="W42" s="383"/>
      <c r="X42" s="383"/>
      <c r="Y42" s="383"/>
      <c r="Z42" s="383"/>
    </row>
    <row r="43" spans="1:26" ht="12.75" customHeight="1" x14ac:dyDescent="0.3">
      <c r="A43" s="383"/>
      <c r="B43" s="383"/>
      <c r="C43" s="383"/>
      <c r="D43" s="383"/>
      <c r="E43" s="383"/>
      <c r="F43" s="383"/>
      <c r="G43" s="383"/>
      <c r="H43" s="383"/>
      <c r="I43" s="383"/>
      <c r="J43" s="383"/>
      <c r="K43" s="383"/>
      <c r="L43" s="383"/>
      <c r="M43" s="383"/>
      <c r="N43" s="383"/>
      <c r="O43" s="383"/>
      <c r="P43" s="383"/>
      <c r="Q43" s="383"/>
      <c r="R43" s="383"/>
      <c r="S43" s="383"/>
      <c r="T43" s="383"/>
      <c r="U43" s="383"/>
      <c r="V43" s="383"/>
      <c r="W43" s="383"/>
      <c r="X43" s="383"/>
      <c r="Y43" s="383"/>
      <c r="Z43" s="383"/>
    </row>
    <row r="44" spans="1:26" ht="12.75" customHeight="1" x14ac:dyDescent="0.3">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row>
    <row r="45" spans="1:26" ht="12.75" customHeight="1" x14ac:dyDescent="0.3">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row>
    <row r="46" spans="1:26" ht="12.75" customHeight="1" x14ac:dyDescent="0.3">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row>
    <row r="47" spans="1:26" ht="12.75" customHeight="1" x14ac:dyDescent="0.3">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row>
    <row r="48" spans="1:26" ht="12.75" customHeight="1" x14ac:dyDescent="0.3">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row>
    <row r="49" spans="1:26" ht="12.75" customHeight="1" x14ac:dyDescent="0.3">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row>
    <row r="50" spans="1:26" ht="12.75" customHeight="1" x14ac:dyDescent="0.3">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row>
    <row r="51" spans="1:26" ht="12.75" customHeight="1" x14ac:dyDescent="0.3">
      <c r="A51" s="383"/>
      <c r="B51" s="383"/>
      <c r="C51" s="383"/>
      <c r="D51" s="383"/>
      <c r="E51" s="383"/>
      <c r="F51" s="383"/>
      <c r="G51" s="383"/>
      <c r="H51" s="383"/>
      <c r="I51" s="383"/>
      <c r="J51" s="383"/>
      <c r="K51" s="383"/>
      <c r="L51" s="383"/>
      <c r="M51" s="383"/>
      <c r="N51" s="383"/>
      <c r="O51" s="383"/>
      <c r="P51" s="383"/>
      <c r="Q51" s="383"/>
      <c r="R51" s="383"/>
      <c r="S51" s="383"/>
      <c r="T51" s="383"/>
      <c r="U51" s="383"/>
      <c r="V51" s="383"/>
      <c r="W51" s="383"/>
      <c r="X51" s="383"/>
      <c r="Y51" s="383"/>
      <c r="Z51" s="383"/>
    </row>
    <row r="52" spans="1:26" ht="12.75" customHeight="1" x14ac:dyDescent="0.3">
      <c r="A52" s="383"/>
      <c r="B52" s="383"/>
      <c r="C52" s="383"/>
      <c r="D52" s="383"/>
      <c r="E52" s="383"/>
      <c r="F52" s="383"/>
      <c r="G52" s="383"/>
      <c r="H52" s="383"/>
      <c r="I52" s="383"/>
      <c r="J52" s="383"/>
      <c r="K52" s="383"/>
      <c r="L52" s="383"/>
      <c r="M52" s="383"/>
      <c r="N52" s="383"/>
      <c r="O52" s="383"/>
      <c r="P52" s="383"/>
      <c r="Q52" s="383"/>
      <c r="R52" s="383"/>
      <c r="S52" s="383"/>
      <c r="T52" s="383"/>
      <c r="U52" s="383"/>
      <c r="V52" s="383"/>
      <c r="W52" s="383"/>
      <c r="X52" s="383"/>
      <c r="Y52" s="383"/>
      <c r="Z52" s="383"/>
    </row>
    <row r="53" spans="1:26" ht="12.75" customHeight="1" x14ac:dyDescent="0.3">
      <c r="A53" s="383"/>
      <c r="B53" s="383"/>
      <c r="C53" s="383"/>
      <c r="D53" s="383"/>
      <c r="E53" s="383"/>
      <c r="F53" s="383"/>
      <c r="G53" s="383"/>
      <c r="H53" s="383"/>
      <c r="I53" s="383"/>
      <c r="J53" s="383"/>
      <c r="K53" s="383"/>
      <c r="L53" s="383"/>
      <c r="M53" s="383"/>
      <c r="N53" s="383"/>
      <c r="O53" s="383"/>
      <c r="P53" s="383"/>
      <c r="Q53" s="383"/>
      <c r="R53" s="383"/>
      <c r="S53" s="383"/>
      <c r="T53" s="383"/>
      <c r="U53" s="383"/>
      <c r="V53" s="383"/>
      <c r="W53" s="383"/>
      <c r="X53" s="383"/>
      <c r="Y53" s="383"/>
      <c r="Z53" s="383"/>
    </row>
    <row r="54" spans="1:26" ht="12.75" customHeight="1" x14ac:dyDescent="0.3">
      <c r="A54" s="383"/>
      <c r="B54" s="383"/>
      <c r="C54" s="383"/>
      <c r="D54" s="383"/>
      <c r="E54" s="383"/>
      <c r="F54" s="383"/>
      <c r="G54" s="383"/>
      <c r="H54" s="383"/>
      <c r="I54" s="383"/>
      <c r="J54" s="383"/>
      <c r="K54" s="383"/>
      <c r="L54" s="383"/>
      <c r="M54" s="383"/>
      <c r="N54" s="383"/>
      <c r="O54" s="383"/>
      <c r="P54" s="383"/>
      <c r="Q54" s="383"/>
      <c r="R54" s="383"/>
      <c r="S54" s="383"/>
      <c r="T54" s="383"/>
      <c r="U54" s="383"/>
      <c r="V54" s="383"/>
      <c r="W54" s="383"/>
      <c r="X54" s="383"/>
      <c r="Y54" s="383"/>
      <c r="Z54" s="383"/>
    </row>
    <row r="55" spans="1:26" ht="12.75" customHeight="1" x14ac:dyDescent="0.3">
      <c r="A55" s="383"/>
      <c r="B55" s="383"/>
      <c r="C55" s="383"/>
      <c r="D55" s="383"/>
      <c r="E55" s="383"/>
      <c r="F55" s="383"/>
      <c r="G55" s="383"/>
      <c r="H55" s="383"/>
      <c r="I55" s="383"/>
      <c r="J55" s="383"/>
      <c r="K55" s="383"/>
      <c r="L55" s="383"/>
      <c r="M55" s="383"/>
      <c r="N55" s="383"/>
      <c r="O55" s="383"/>
      <c r="P55" s="383"/>
      <c r="Q55" s="383"/>
      <c r="R55" s="383"/>
      <c r="S55" s="383"/>
      <c r="T55" s="383"/>
      <c r="U55" s="383"/>
      <c r="V55" s="383"/>
      <c r="W55" s="383"/>
      <c r="X55" s="383"/>
      <c r="Y55" s="383"/>
      <c r="Z55" s="383"/>
    </row>
    <row r="56" spans="1:26" ht="12.75" customHeight="1" x14ac:dyDescent="0.3">
      <c r="A56" s="383"/>
      <c r="B56" s="383"/>
      <c r="C56" s="383"/>
      <c r="D56" s="383"/>
      <c r="E56" s="383"/>
      <c r="F56" s="383"/>
      <c r="G56" s="383"/>
      <c r="H56" s="383"/>
      <c r="I56" s="383"/>
      <c r="J56" s="383"/>
      <c r="K56" s="383"/>
      <c r="L56" s="383"/>
      <c r="M56" s="383"/>
      <c r="N56" s="383"/>
      <c r="O56" s="383"/>
      <c r="P56" s="383"/>
      <c r="Q56" s="383"/>
      <c r="R56" s="383"/>
      <c r="S56" s="383"/>
      <c r="T56" s="383"/>
      <c r="U56" s="383"/>
      <c r="V56" s="383"/>
      <c r="W56" s="383"/>
      <c r="X56" s="383"/>
      <c r="Y56" s="383"/>
      <c r="Z56" s="383"/>
    </row>
    <row r="57" spans="1:26" ht="12.75" customHeight="1" x14ac:dyDescent="0.3">
      <c r="A57" s="383"/>
      <c r="B57" s="383"/>
      <c r="C57" s="383"/>
      <c r="D57" s="383"/>
      <c r="E57" s="383"/>
      <c r="F57" s="383"/>
      <c r="G57" s="383"/>
      <c r="H57" s="383"/>
      <c r="I57" s="383"/>
      <c r="J57" s="383"/>
      <c r="K57" s="383"/>
      <c r="L57" s="383"/>
      <c r="M57" s="383"/>
      <c r="N57" s="383"/>
      <c r="O57" s="383"/>
      <c r="P57" s="383"/>
      <c r="Q57" s="383"/>
      <c r="R57" s="383"/>
      <c r="S57" s="383"/>
      <c r="T57" s="383"/>
      <c r="U57" s="383"/>
      <c r="V57" s="383"/>
      <c r="W57" s="383"/>
      <c r="X57" s="383"/>
      <c r="Y57" s="383"/>
      <c r="Z57" s="383"/>
    </row>
    <row r="58" spans="1:26" ht="12.75" customHeight="1" x14ac:dyDescent="0.3">
      <c r="A58" s="383"/>
      <c r="B58" s="383"/>
      <c r="C58" s="383"/>
      <c r="D58" s="383"/>
      <c r="E58" s="383"/>
      <c r="F58" s="383"/>
      <c r="G58" s="383"/>
      <c r="H58" s="383"/>
      <c r="I58" s="383"/>
      <c r="J58" s="383"/>
      <c r="K58" s="383"/>
      <c r="L58" s="383"/>
      <c r="M58" s="383"/>
      <c r="N58" s="383"/>
      <c r="O58" s="383"/>
      <c r="P58" s="383"/>
      <c r="Q58" s="383"/>
      <c r="R58" s="383"/>
      <c r="S58" s="383"/>
      <c r="T58" s="383"/>
      <c r="U58" s="383"/>
      <c r="V58" s="383"/>
      <c r="W58" s="383"/>
      <c r="X58" s="383"/>
      <c r="Y58" s="383"/>
      <c r="Z58" s="383"/>
    </row>
    <row r="59" spans="1:26" ht="12.75" customHeight="1" x14ac:dyDescent="0.3">
      <c r="A59" s="383"/>
      <c r="B59" s="383"/>
      <c r="C59" s="383"/>
      <c r="D59" s="383"/>
      <c r="E59" s="383"/>
      <c r="F59" s="383"/>
      <c r="G59" s="383"/>
      <c r="H59" s="383"/>
      <c r="I59" s="383"/>
      <c r="J59" s="383"/>
      <c r="K59" s="383"/>
      <c r="L59" s="383"/>
      <c r="M59" s="383"/>
      <c r="N59" s="383"/>
      <c r="O59" s="383"/>
      <c r="P59" s="383"/>
      <c r="Q59" s="383"/>
      <c r="R59" s="383"/>
      <c r="S59" s="383"/>
      <c r="T59" s="383"/>
      <c r="U59" s="383"/>
      <c r="V59" s="383"/>
      <c r="W59" s="383"/>
      <c r="X59" s="383"/>
      <c r="Y59" s="383"/>
      <c r="Z59" s="383"/>
    </row>
    <row r="60" spans="1:26" ht="12.75" customHeight="1" x14ac:dyDescent="0.3">
      <c r="A60" s="383"/>
      <c r="B60" s="383"/>
      <c r="C60" s="383"/>
      <c r="D60" s="383"/>
      <c r="E60" s="383"/>
      <c r="F60" s="383"/>
      <c r="G60" s="383"/>
      <c r="H60" s="383"/>
      <c r="I60" s="383"/>
      <c r="J60" s="383"/>
      <c r="K60" s="383"/>
      <c r="L60" s="383"/>
      <c r="M60" s="383"/>
      <c r="N60" s="383"/>
      <c r="O60" s="383"/>
      <c r="P60" s="383"/>
      <c r="Q60" s="383"/>
      <c r="R60" s="383"/>
      <c r="S60" s="383"/>
      <c r="T60" s="383"/>
      <c r="U60" s="383"/>
      <c r="V60" s="383"/>
      <c r="W60" s="383"/>
      <c r="X60" s="383"/>
      <c r="Y60" s="383"/>
      <c r="Z60" s="383"/>
    </row>
    <row r="61" spans="1:26" ht="12.75" customHeight="1" x14ac:dyDescent="0.3">
      <c r="A61" s="383"/>
      <c r="B61" s="383"/>
      <c r="C61" s="383"/>
      <c r="D61" s="383"/>
      <c r="E61" s="383"/>
      <c r="F61" s="383"/>
      <c r="G61" s="383"/>
      <c r="H61" s="383"/>
      <c r="I61" s="383"/>
      <c r="J61" s="383"/>
      <c r="K61" s="383"/>
      <c r="L61" s="383"/>
      <c r="M61" s="383"/>
      <c r="N61" s="383"/>
      <c r="O61" s="383"/>
      <c r="P61" s="383"/>
      <c r="Q61" s="383"/>
      <c r="R61" s="383"/>
      <c r="S61" s="383"/>
      <c r="T61" s="383"/>
      <c r="U61" s="383"/>
      <c r="V61" s="383"/>
      <c r="W61" s="383"/>
      <c r="X61" s="383"/>
      <c r="Y61" s="383"/>
      <c r="Z61" s="383"/>
    </row>
    <row r="62" spans="1:26" ht="12.75" customHeight="1" x14ac:dyDescent="0.3">
      <c r="A62" s="383"/>
      <c r="B62" s="383"/>
      <c r="C62" s="383"/>
      <c r="D62" s="383"/>
      <c r="E62" s="383"/>
      <c r="F62" s="383"/>
      <c r="G62" s="383"/>
      <c r="H62" s="383"/>
      <c r="I62" s="383"/>
      <c r="J62" s="383"/>
      <c r="K62" s="383"/>
      <c r="L62" s="383"/>
      <c r="M62" s="383"/>
      <c r="N62" s="383"/>
      <c r="O62" s="383"/>
      <c r="P62" s="383"/>
      <c r="Q62" s="383"/>
      <c r="R62" s="383"/>
      <c r="S62" s="383"/>
      <c r="T62" s="383"/>
      <c r="U62" s="383"/>
      <c r="V62" s="383"/>
      <c r="W62" s="383"/>
      <c r="X62" s="383"/>
      <c r="Y62" s="383"/>
      <c r="Z62" s="383"/>
    </row>
    <row r="63" spans="1:26" ht="12.75" customHeight="1" x14ac:dyDescent="0.3">
      <c r="A63" s="383"/>
      <c r="B63" s="383"/>
      <c r="C63" s="383"/>
      <c r="D63" s="383"/>
      <c r="E63" s="383"/>
      <c r="F63" s="383"/>
      <c r="G63" s="383"/>
      <c r="H63" s="383"/>
      <c r="I63" s="383"/>
      <c r="J63" s="383"/>
      <c r="K63" s="383"/>
      <c r="L63" s="383"/>
      <c r="M63" s="383"/>
      <c r="N63" s="383"/>
      <c r="O63" s="383"/>
      <c r="P63" s="383"/>
      <c r="Q63" s="383"/>
      <c r="R63" s="383"/>
      <c r="S63" s="383"/>
      <c r="T63" s="383"/>
      <c r="U63" s="383"/>
      <c r="V63" s="383"/>
      <c r="W63" s="383"/>
      <c r="X63" s="383"/>
      <c r="Y63" s="383"/>
      <c r="Z63" s="383"/>
    </row>
    <row r="64" spans="1:26" ht="12.75" customHeight="1" x14ac:dyDescent="0.3">
      <c r="A64" s="383"/>
      <c r="B64" s="383"/>
      <c r="C64" s="383"/>
      <c r="D64" s="383"/>
      <c r="E64" s="383"/>
      <c r="F64" s="383"/>
      <c r="G64" s="383"/>
      <c r="H64" s="383"/>
      <c r="I64" s="383"/>
      <c r="J64" s="383"/>
      <c r="K64" s="383"/>
      <c r="L64" s="383"/>
      <c r="M64" s="383"/>
      <c r="N64" s="383"/>
      <c r="O64" s="383"/>
      <c r="P64" s="383"/>
      <c r="Q64" s="383"/>
      <c r="R64" s="383"/>
      <c r="S64" s="383"/>
      <c r="T64" s="383"/>
      <c r="U64" s="383"/>
      <c r="V64" s="383"/>
      <c r="W64" s="383"/>
      <c r="X64" s="383"/>
      <c r="Y64" s="383"/>
      <c r="Z64" s="383"/>
    </row>
    <row r="65" spans="1:26" ht="12.75" customHeight="1" x14ac:dyDescent="0.3">
      <c r="A65" s="383"/>
      <c r="B65" s="383"/>
      <c r="C65" s="383"/>
      <c r="D65" s="383"/>
      <c r="E65" s="383"/>
      <c r="F65" s="383"/>
      <c r="G65" s="383"/>
      <c r="H65" s="383"/>
      <c r="I65" s="383"/>
      <c r="J65" s="383"/>
      <c r="K65" s="383"/>
      <c r="L65" s="383"/>
      <c r="M65" s="383"/>
      <c r="N65" s="383"/>
      <c r="O65" s="383"/>
      <c r="P65" s="383"/>
      <c r="Q65" s="383"/>
      <c r="R65" s="383"/>
      <c r="S65" s="383"/>
      <c r="T65" s="383"/>
      <c r="U65" s="383"/>
      <c r="V65" s="383"/>
      <c r="W65" s="383"/>
      <c r="X65" s="383"/>
      <c r="Y65" s="383"/>
      <c r="Z65" s="383"/>
    </row>
    <row r="66" spans="1:26" ht="12.75" customHeight="1" x14ac:dyDescent="0.3">
      <c r="A66" s="383"/>
      <c r="B66" s="383"/>
      <c r="C66" s="383"/>
      <c r="D66" s="383"/>
      <c r="E66" s="383"/>
      <c r="F66" s="383"/>
      <c r="G66" s="383"/>
      <c r="H66" s="383"/>
      <c r="I66" s="383"/>
      <c r="J66" s="383"/>
      <c r="K66" s="383"/>
      <c r="L66" s="383"/>
      <c r="M66" s="383"/>
      <c r="N66" s="383"/>
      <c r="O66" s="383"/>
      <c r="P66" s="383"/>
      <c r="Q66" s="383"/>
      <c r="R66" s="383"/>
      <c r="S66" s="383"/>
      <c r="T66" s="383"/>
      <c r="U66" s="383"/>
      <c r="V66" s="383"/>
      <c r="W66" s="383"/>
      <c r="X66" s="383"/>
      <c r="Y66" s="383"/>
      <c r="Z66" s="383"/>
    </row>
    <row r="67" spans="1:26" ht="12.75" customHeight="1" x14ac:dyDescent="0.3">
      <c r="A67" s="383"/>
      <c r="B67" s="383"/>
      <c r="C67" s="383"/>
      <c r="D67" s="383"/>
      <c r="E67" s="383"/>
      <c r="F67" s="383"/>
      <c r="G67" s="383"/>
      <c r="H67" s="383"/>
      <c r="I67" s="383"/>
      <c r="J67" s="383"/>
      <c r="K67" s="383"/>
      <c r="L67" s="383"/>
      <c r="M67" s="383"/>
      <c r="N67" s="383"/>
      <c r="O67" s="383"/>
      <c r="P67" s="383"/>
      <c r="Q67" s="383"/>
      <c r="R67" s="383"/>
      <c r="S67" s="383"/>
      <c r="T67" s="383"/>
      <c r="U67" s="383"/>
      <c r="V67" s="383"/>
      <c r="W67" s="383"/>
      <c r="X67" s="383"/>
      <c r="Y67" s="383"/>
      <c r="Z67" s="383"/>
    </row>
    <row r="68" spans="1:26" ht="12.75" customHeight="1" x14ac:dyDescent="0.3">
      <c r="A68" s="383"/>
      <c r="B68" s="383"/>
      <c r="C68" s="383"/>
      <c r="D68" s="383"/>
      <c r="E68" s="383"/>
      <c r="F68" s="383"/>
      <c r="G68" s="383"/>
      <c r="H68" s="383"/>
      <c r="I68" s="383"/>
      <c r="J68" s="383"/>
      <c r="K68" s="383"/>
      <c r="L68" s="383"/>
      <c r="M68" s="383"/>
      <c r="N68" s="383"/>
      <c r="O68" s="383"/>
      <c r="P68" s="383"/>
      <c r="Q68" s="383"/>
      <c r="R68" s="383"/>
      <c r="S68" s="383"/>
      <c r="T68" s="383"/>
      <c r="U68" s="383"/>
      <c r="V68" s="383"/>
      <c r="W68" s="383"/>
      <c r="X68" s="383"/>
      <c r="Y68" s="383"/>
      <c r="Z68" s="383"/>
    </row>
    <row r="69" spans="1:26" ht="12.75" customHeight="1" x14ac:dyDescent="0.3">
      <c r="A69" s="383"/>
      <c r="B69" s="383"/>
      <c r="C69" s="383"/>
      <c r="D69" s="383"/>
      <c r="E69" s="383"/>
      <c r="F69" s="383"/>
      <c r="G69" s="383"/>
      <c r="H69" s="383"/>
      <c r="I69" s="383"/>
      <c r="J69" s="383"/>
      <c r="K69" s="383"/>
      <c r="L69" s="383"/>
      <c r="M69" s="383"/>
      <c r="N69" s="383"/>
      <c r="O69" s="383"/>
      <c r="P69" s="383"/>
      <c r="Q69" s="383"/>
      <c r="R69" s="383"/>
      <c r="S69" s="383"/>
      <c r="T69" s="383"/>
      <c r="U69" s="383"/>
      <c r="V69" s="383"/>
      <c r="W69" s="383"/>
      <c r="X69" s="383"/>
      <c r="Y69" s="383"/>
      <c r="Z69" s="383"/>
    </row>
    <row r="70" spans="1:26" ht="12.75" customHeight="1" x14ac:dyDescent="0.3">
      <c r="A70" s="383"/>
      <c r="B70" s="383"/>
      <c r="C70" s="383"/>
      <c r="D70" s="383"/>
      <c r="E70" s="383"/>
      <c r="F70" s="383"/>
      <c r="G70" s="383"/>
      <c r="H70" s="383"/>
      <c r="I70" s="383"/>
      <c r="J70" s="383"/>
      <c r="K70" s="383"/>
      <c r="L70" s="383"/>
      <c r="M70" s="383"/>
      <c r="N70" s="383"/>
      <c r="O70" s="383"/>
      <c r="P70" s="383"/>
      <c r="Q70" s="383"/>
      <c r="R70" s="383"/>
      <c r="S70" s="383"/>
      <c r="T70" s="383"/>
      <c r="U70" s="383"/>
      <c r="V70" s="383"/>
      <c r="W70" s="383"/>
      <c r="X70" s="383"/>
      <c r="Y70" s="383"/>
      <c r="Z70" s="383"/>
    </row>
    <row r="71" spans="1:26" ht="12.75" customHeight="1" x14ac:dyDescent="0.3">
      <c r="A71" s="383"/>
      <c r="B71" s="383"/>
      <c r="C71" s="383"/>
      <c r="D71" s="383"/>
      <c r="E71" s="383"/>
      <c r="F71" s="383"/>
      <c r="G71" s="383"/>
      <c r="H71" s="383"/>
      <c r="I71" s="383"/>
      <c r="J71" s="383"/>
      <c r="K71" s="383"/>
      <c r="L71" s="383"/>
      <c r="M71" s="383"/>
      <c r="N71" s="383"/>
      <c r="O71" s="383"/>
      <c r="P71" s="383"/>
      <c r="Q71" s="383"/>
      <c r="R71" s="383"/>
      <c r="S71" s="383"/>
      <c r="T71" s="383"/>
      <c r="U71" s="383"/>
      <c r="V71" s="383"/>
      <c r="W71" s="383"/>
      <c r="X71" s="383"/>
      <c r="Y71" s="383"/>
      <c r="Z71" s="383"/>
    </row>
    <row r="72" spans="1:26" ht="12.75" customHeight="1" x14ac:dyDescent="0.3">
      <c r="A72" s="383"/>
      <c r="B72" s="383"/>
      <c r="C72" s="383"/>
      <c r="D72" s="383"/>
      <c r="E72" s="383"/>
      <c r="F72" s="383"/>
      <c r="G72" s="383"/>
      <c r="H72" s="383"/>
      <c r="I72" s="383"/>
      <c r="J72" s="383"/>
      <c r="K72" s="383"/>
      <c r="L72" s="383"/>
      <c r="M72" s="383"/>
      <c r="N72" s="383"/>
      <c r="O72" s="383"/>
      <c r="P72" s="383"/>
      <c r="Q72" s="383"/>
      <c r="R72" s="383"/>
      <c r="S72" s="383"/>
      <c r="T72" s="383"/>
      <c r="U72" s="383"/>
      <c r="V72" s="383"/>
      <c r="W72" s="383"/>
      <c r="X72" s="383"/>
      <c r="Y72" s="383"/>
      <c r="Z72" s="383"/>
    </row>
    <row r="73" spans="1:26" ht="12.75" customHeight="1" x14ac:dyDescent="0.3">
      <c r="A73" s="383"/>
      <c r="B73" s="383"/>
      <c r="C73" s="383"/>
      <c r="D73" s="383"/>
      <c r="E73" s="383"/>
      <c r="F73" s="383"/>
      <c r="G73" s="383"/>
      <c r="H73" s="383"/>
      <c r="I73" s="383"/>
      <c r="J73" s="383"/>
      <c r="K73" s="383"/>
      <c r="L73" s="383"/>
      <c r="M73" s="383"/>
      <c r="N73" s="383"/>
      <c r="O73" s="383"/>
      <c r="P73" s="383"/>
      <c r="Q73" s="383"/>
      <c r="R73" s="383"/>
      <c r="S73" s="383"/>
      <c r="T73" s="383"/>
      <c r="U73" s="383"/>
      <c r="V73" s="383"/>
      <c r="W73" s="383"/>
      <c r="X73" s="383"/>
      <c r="Y73" s="383"/>
      <c r="Z73" s="383"/>
    </row>
    <row r="74" spans="1:26" ht="12.75" customHeight="1" x14ac:dyDescent="0.3">
      <c r="A74" s="383"/>
      <c r="B74" s="383"/>
      <c r="C74" s="383"/>
      <c r="D74" s="383"/>
      <c r="E74" s="383"/>
      <c r="F74" s="383"/>
      <c r="G74" s="383"/>
      <c r="H74" s="383"/>
      <c r="I74" s="383"/>
      <c r="J74" s="383"/>
      <c r="K74" s="383"/>
      <c r="L74" s="383"/>
      <c r="M74" s="383"/>
      <c r="N74" s="383"/>
      <c r="O74" s="383"/>
      <c r="P74" s="383"/>
      <c r="Q74" s="383"/>
      <c r="R74" s="383"/>
      <c r="S74" s="383"/>
      <c r="T74" s="383"/>
      <c r="U74" s="383"/>
      <c r="V74" s="383"/>
      <c r="W74" s="383"/>
      <c r="X74" s="383"/>
      <c r="Y74" s="383"/>
      <c r="Z74" s="383"/>
    </row>
    <row r="75" spans="1:26" ht="12.75" customHeight="1" x14ac:dyDescent="0.3">
      <c r="A75" s="383"/>
      <c r="B75" s="383"/>
      <c r="C75" s="383"/>
      <c r="D75" s="383"/>
      <c r="E75" s="383"/>
      <c r="F75" s="383"/>
      <c r="G75" s="383"/>
      <c r="H75" s="383"/>
      <c r="I75" s="383"/>
      <c r="J75" s="383"/>
      <c r="K75" s="383"/>
      <c r="L75" s="383"/>
      <c r="M75" s="383"/>
      <c r="N75" s="383"/>
      <c r="O75" s="383"/>
      <c r="P75" s="383"/>
      <c r="Q75" s="383"/>
      <c r="R75" s="383"/>
      <c r="S75" s="383"/>
      <c r="T75" s="383"/>
      <c r="U75" s="383"/>
      <c r="V75" s="383"/>
      <c r="W75" s="383"/>
      <c r="X75" s="383"/>
      <c r="Y75" s="383"/>
      <c r="Z75" s="383"/>
    </row>
    <row r="76" spans="1:26" ht="12.75" customHeight="1" x14ac:dyDescent="0.3">
      <c r="A76" s="383"/>
      <c r="B76" s="383"/>
      <c r="C76" s="383"/>
      <c r="D76" s="383"/>
      <c r="E76" s="383"/>
      <c r="F76" s="383"/>
      <c r="G76" s="383"/>
      <c r="H76" s="383"/>
      <c r="I76" s="383"/>
      <c r="J76" s="383"/>
      <c r="K76" s="383"/>
      <c r="L76" s="383"/>
      <c r="M76" s="383"/>
      <c r="N76" s="383"/>
      <c r="O76" s="383"/>
      <c r="P76" s="383"/>
      <c r="Q76" s="383"/>
      <c r="R76" s="383"/>
      <c r="S76" s="383"/>
      <c r="T76" s="383"/>
      <c r="U76" s="383"/>
      <c r="V76" s="383"/>
      <c r="W76" s="383"/>
      <c r="X76" s="383"/>
      <c r="Y76" s="383"/>
      <c r="Z76" s="383"/>
    </row>
    <row r="77" spans="1:26" ht="12.75" customHeight="1" x14ac:dyDescent="0.3">
      <c r="A77" s="383"/>
      <c r="B77" s="383"/>
      <c r="C77" s="383"/>
      <c r="D77" s="383"/>
      <c r="E77" s="383"/>
      <c r="F77" s="383"/>
      <c r="G77" s="383"/>
      <c r="H77" s="383"/>
      <c r="I77" s="383"/>
      <c r="J77" s="383"/>
      <c r="K77" s="383"/>
      <c r="L77" s="383"/>
      <c r="M77" s="383"/>
      <c r="N77" s="383"/>
      <c r="O77" s="383"/>
      <c r="P77" s="383"/>
      <c r="Q77" s="383"/>
      <c r="R77" s="383"/>
      <c r="S77" s="383"/>
      <c r="T77" s="383"/>
      <c r="U77" s="383"/>
      <c r="V77" s="383"/>
      <c r="W77" s="383"/>
      <c r="X77" s="383"/>
      <c r="Y77" s="383"/>
      <c r="Z77" s="383"/>
    </row>
    <row r="78" spans="1:26" ht="12.75" customHeight="1" x14ac:dyDescent="0.3">
      <c r="A78" s="383"/>
      <c r="B78" s="383"/>
      <c r="C78" s="383"/>
      <c r="D78" s="383"/>
      <c r="E78" s="383"/>
      <c r="F78" s="383"/>
      <c r="G78" s="383"/>
      <c r="H78" s="383"/>
      <c r="I78" s="383"/>
      <c r="J78" s="383"/>
      <c r="K78" s="383"/>
      <c r="L78" s="383"/>
      <c r="M78" s="383"/>
      <c r="N78" s="383"/>
      <c r="O78" s="383"/>
      <c r="P78" s="383"/>
      <c r="Q78" s="383"/>
      <c r="R78" s="383"/>
      <c r="S78" s="383"/>
      <c r="T78" s="383"/>
      <c r="U78" s="383"/>
      <c r="V78" s="383"/>
      <c r="W78" s="383"/>
      <c r="X78" s="383"/>
      <c r="Y78" s="383"/>
      <c r="Z78" s="383"/>
    </row>
    <row r="79" spans="1:26" ht="12.75" customHeight="1" x14ac:dyDescent="0.3">
      <c r="A79" s="383"/>
      <c r="B79" s="383"/>
      <c r="C79" s="383"/>
      <c r="D79" s="383"/>
      <c r="E79" s="383"/>
      <c r="F79" s="383"/>
      <c r="G79" s="383"/>
      <c r="H79" s="383"/>
      <c r="I79" s="383"/>
      <c r="J79" s="383"/>
      <c r="K79" s="383"/>
      <c r="L79" s="383"/>
      <c r="M79" s="383"/>
      <c r="N79" s="383"/>
      <c r="O79" s="383"/>
      <c r="P79" s="383"/>
      <c r="Q79" s="383"/>
      <c r="R79" s="383"/>
      <c r="S79" s="383"/>
      <c r="T79" s="383"/>
      <c r="U79" s="383"/>
      <c r="V79" s="383"/>
      <c r="W79" s="383"/>
      <c r="X79" s="383"/>
      <c r="Y79" s="383"/>
      <c r="Z79" s="383"/>
    </row>
    <row r="80" spans="1:26" ht="12.75" customHeight="1" x14ac:dyDescent="0.3">
      <c r="A80" s="383"/>
      <c r="B80" s="383"/>
      <c r="C80" s="383"/>
      <c r="D80" s="383"/>
      <c r="E80" s="383"/>
      <c r="F80" s="383"/>
      <c r="G80" s="383"/>
      <c r="H80" s="383"/>
      <c r="I80" s="383"/>
      <c r="J80" s="383"/>
      <c r="K80" s="383"/>
      <c r="L80" s="383"/>
      <c r="M80" s="383"/>
      <c r="N80" s="383"/>
      <c r="O80" s="383"/>
      <c r="P80" s="383"/>
      <c r="Q80" s="383"/>
      <c r="R80" s="383"/>
      <c r="S80" s="383"/>
      <c r="T80" s="383"/>
      <c r="U80" s="383"/>
      <c r="V80" s="383"/>
      <c r="W80" s="383"/>
      <c r="X80" s="383"/>
      <c r="Y80" s="383"/>
      <c r="Z80" s="383"/>
    </row>
    <row r="81" spans="1:26" ht="12.75" customHeight="1" x14ac:dyDescent="0.3">
      <c r="A81" s="383"/>
      <c r="B81" s="383"/>
      <c r="C81" s="383"/>
      <c r="D81" s="383"/>
      <c r="E81" s="383"/>
      <c r="F81" s="383"/>
      <c r="G81" s="383"/>
      <c r="H81" s="383"/>
      <c r="I81" s="383"/>
      <c r="J81" s="383"/>
      <c r="K81" s="383"/>
      <c r="L81" s="383"/>
      <c r="M81" s="383"/>
      <c r="N81" s="383"/>
      <c r="O81" s="383"/>
      <c r="P81" s="383"/>
      <c r="Q81" s="383"/>
      <c r="R81" s="383"/>
      <c r="S81" s="383"/>
      <c r="T81" s="383"/>
      <c r="U81" s="383"/>
      <c r="V81" s="383"/>
      <c r="W81" s="383"/>
      <c r="X81" s="383"/>
      <c r="Y81" s="383"/>
      <c r="Z81" s="383"/>
    </row>
    <row r="82" spans="1:26" ht="12.75" customHeight="1" x14ac:dyDescent="0.3">
      <c r="A82" s="383"/>
      <c r="B82" s="383"/>
      <c r="C82" s="383"/>
      <c r="D82" s="383"/>
      <c r="E82" s="383"/>
      <c r="F82" s="383"/>
      <c r="G82" s="383"/>
      <c r="H82" s="383"/>
      <c r="I82" s="383"/>
      <c r="J82" s="383"/>
      <c r="K82" s="383"/>
      <c r="L82" s="383"/>
      <c r="M82" s="383"/>
      <c r="N82" s="383"/>
      <c r="O82" s="383"/>
      <c r="P82" s="383"/>
      <c r="Q82" s="383"/>
      <c r="R82" s="383"/>
      <c r="S82" s="383"/>
      <c r="T82" s="383"/>
      <c r="U82" s="383"/>
      <c r="V82" s="383"/>
      <c r="W82" s="383"/>
      <c r="X82" s="383"/>
      <c r="Y82" s="383"/>
      <c r="Z82" s="383"/>
    </row>
    <row r="83" spans="1:26" ht="12.75" customHeight="1" x14ac:dyDescent="0.3">
      <c r="A83" s="383"/>
      <c r="B83" s="383"/>
      <c r="C83" s="383"/>
      <c r="D83" s="383"/>
      <c r="E83" s="383"/>
      <c r="F83" s="383"/>
      <c r="G83" s="383"/>
      <c r="H83" s="383"/>
      <c r="I83" s="383"/>
      <c r="J83" s="383"/>
      <c r="K83" s="383"/>
      <c r="L83" s="383"/>
      <c r="M83" s="383"/>
      <c r="N83" s="383"/>
      <c r="O83" s="383"/>
      <c r="P83" s="383"/>
      <c r="Q83" s="383"/>
      <c r="R83" s="383"/>
      <c r="S83" s="383"/>
      <c r="T83" s="383"/>
      <c r="U83" s="383"/>
      <c r="V83" s="383"/>
      <c r="W83" s="383"/>
      <c r="X83" s="383"/>
      <c r="Y83" s="383"/>
      <c r="Z83" s="383"/>
    </row>
    <row r="84" spans="1:26" ht="12.75" customHeight="1" x14ac:dyDescent="0.3">
      <c r="A84" s="383"/>
      <c r="B84" s="383"/>
      <c r="C84" s="383"/>
      <c r="D84" s="383"/>
      <c r="E84" s="383"/>
      <c r="F84" s="383"/>
      <c r="G84" s="383"/>
      <c r="H84" s="383"/>
      <c r="I84" s="383"/>
      <c r="J84" s="383"/>
      <c r="K84" s="383"/>
      <c r="L84" s="383"/>
      <c r="M84" s="383"/>
      <c r="N84" s="383"/>
      <c r="O84" s="383"/>
      <c r="P84" s="383"/>
      <c r="Q84" s="383"/>
      <c r="R84" s="383"/>
      <c r="S84" s="383"/>
      <c r="T84" s="383"/>
      <c r="U84" s="383"/>
      <c r="V84" s="383"/>
      <c r="W84" s="383"/>
      <c r="X84" s="383"/>
      <c r="Y84" s="383"/>
      <c r="Z84" s="383"/>
    </row>
    <row r="85" spans="1:26" ht="12.75" customHeight="1" x14ac:dyDescent="0.3">
      <c r="A85" s="383"/>
      <c r="B85" s="383"/>
      <c r="C85" s="383"/>
      <c r="D85" s="383"/>
      <c r="E85" s="383"/>
      <c r="F85" s="383"/>
      <c r="G85" s="383"/>
      <c r="H85" s="383"/>
      <c r="I85" s="383"/>
      <c r="J85" s="383"/>
      <c r="K85" s="383"/>
      <c r="L85" s="383"/>
      <c r="M85" s="383"/>
      <c r="N85" s="383"/>
      <c r="O85" s="383"/>
      <c r="P85" s="383"/>
      <c r="Q85" s="383"/>
      <c r="R85" s="383"/>
      <c r="S85" s="383"/>
      <c r="T85" s="383"/>
      <c r="U85" s="383"/>
      <c r="V85" s="383"/>
      <c r="W85" s="383"/>
      <c r="X85" s="383"/>
      <c r="Y85" s="383"/>
      <c r="Z85" s="383"/>
    </row>
    <row r="86" spans="1:26" ht="12.75" customHeight="1" x14ac:dyDescent="0.3">
      <c r="A86" s="383"/>
      <c r="B86" s="383"/>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row>
    <row r="87" spans="1:26" ht="12.75" customHeight="1" x14ac:dyDescent="0.3">
      <c r="A87" s="383"/>
      <c r="B87" s="383"/>
      <c r="C87" s="383"/>
      <c r="D87" s="383"/>
      <c r="E87" s="383"/>
      <c r="F87" s="383"/>
      <c r="G87" s="383"/>
      <c r="H87" s="383"/>
      <c r="I87" s="383"/>
      <c r="J87" s="383"/>
      <c r="K87" s="383"/>
      <c r="L87" s="383"/>
      <c r="M87" s="383"/>
      <c r="N87" s="383"/>
      <c r="O87" s="383"/>
      <c r="P87" s="383"/>
      <c r="Q87" s="383"/>
      <c r="R87" s="383"/>
      <c r="S87" s="383"/>
      <c r="T87" s="383"/>
      <c r="U87" s="383"/>
      <c r="V87" s="383"/>
      <c r="W87" s="383"/>
      <c r="X87" s="383"/>
      <c r="Y87" s="383"/>
      <c r="Z87" s="383"/>
    </row>
    <row r="88" spans="1:26" ht="12.75" customHeight="1" x14ac:dyDescent="0.3">
      <c r="A88" s="383"/>
      <c r="B88" s="383"/>
      <c r="C88" s="383"/>
      <c r="D88" s="383"/>
      <c r="E88" s="383"/>
      <c r="F88" s="383"/>
      <c r="G88" s="383"/>
      <c r="H88" s="383"/>
      <c r="I88" s="383"/>
      <c r="J88" s="383"/>
      <c r="K88" s="383"/>
      <c r="L88" s="383"/>
      <c r="M88" s="383"/>
      <c r="N88" s="383"/>
      <c r="O88" s="383"/>
      <c r="P88" s="383"/>
      <c r="Q88" s="383"/>
      <c r="R88" s="383"/>
      <c r="S88" s="383"/>
      <c r="T88" s="383"/>
      <c r="U88" s="383"/>
      <c r="V88" s="383"/>
      <c r="W88" s="383"/>
      <c r="X88" s="383"/>
      <c r="Y88" s="383"/>
      <c r="Z88" s="383"/>
    </row>
    <row r="89" spans="1:26" ht="12.75" customHeight="1" x14ac:dyDescent="0.3">
      <c r="A89" s="383"/>
      <c r="B89" s="383"/>
      <c r="C89" s="383"/>
      <c r="D89" s="383"/>
      <c r="E89" s="383"/>
      <c r="F89" s="383"/>
      <c r="G89" s="383"/>
      <c r="H89" s="383"/>
      <c r="I89" s="383"/>
      <c r="J89" s="383"/>
      <c r="K89" s="383"/>
      <c r="L89" s="383"/>
      <c r="M89" s="383"/>
      <c r="N89" s="383"/>
      <c r="O89" s="383"/>
      <c r="P89" s="383"/>
      <c r="Q89" s="383"/>
      <c r="R89" s="383"/>
      <c r="S89" s="383"/>
      <c r="T89" s="383"/>
      <c r="U89" s="383"/>
      <c r="V89" s="383"/>
      <c r="W89" s="383"/>
      <c r="X89" s="383"/>
      <c r="Y89" s="383"/>
      <c r="Z89" s="383"/>
    </row>
    <row r="90" spans="1:26" ht="12.75" customHeight="1" x14ac:dyDescent="0.3">
      <c r="A90" s="383"/>
      <c r="B90" s="383"/>
      <c r="C90" s="383"/>
      <c r="D90" s="383"/>
      <c r="E90" s="383"/>
      <c r="F90" s="383"/>
      <c r="G90" s="383"/>
      <c r="H90" s="383"/>
      <c r="I90" s="383"/>
      <c r="J90" s="383"/>
      <c r="K90" s="383"/>
      <c r="L90" s="383"/>
      <c r="M90" s="383"/>
      <c r="N90" s="383"/>
      <c r="O90" s="383"/>
      <c r="P90" s="383"/>
      <c r="Q90" s="383"/>
      <c r="R90" s="383"/>
      <c r="S90" s="383"/>
      <c r="T90" s="383"/>
      <c r="U90" s="383"/>
      <c r="V90" s="383"/>
      <c r="W90" s="383"/>
      <c r="X90" s="383"/>
      <c r="Y90" s="383"/>
      <c r="Z90" s="383"/>
    </row>
    <row r="91" spans="1:26" ht="12.75" customHeight="1" x14ac:dyDescent="0.3">
      <c r="A91" s="383"/>
      <c r="B91" s="383"/>
      <c r="C91" s="383"/>
      <c r="D91" s="383"/>
      <c r="E91" s="383"/>
      <c r="F91" s="383"/>
      <c r="G91" s="383"/>
      <c r="H91" s="383"/>
      <c r="I91" s="383"/>
      <c r="J91" s="383"/>
      <c r="K91" s="383"/>
      <c r="L91" s="383"/>
      <c r="M91" s="383"/>
      <c r="N91" s="383"/>
      <c r="O91" s="383"/>
      <c r="P91" s="383"/>
      <c r="Q91" s="383"/>
      <c r="R91" s="383"/>
      <c r="S91" s="383"/>
      <c r="T91" s="383"/>
      <c r="U91" s="383"/>
      <c r="V91" s="383"/>
      <c r="W91" s="383"/>
      <c r="X91" s="383"/>
      <c r="Y91" s="383"/>
      <c r="Z91" s="383"/>
    </row>
    <row r="92" spans="1:26" ht="12.75" customHeight="1" x14ac:dyDescent="0.3">
      <c r="A92" s="383"/>
      <c r="B92" s="383"/>
      <c r="C92" s="383"/>
      <c r="D92" s="383"/>
      <c r="E92" s="383"/>
      <c r="F92" s="383"/>
      <c r="G92" s="383"/>
      <c r="H92" s="383"/>
      <c r="I92" s="383"/>
      <c r="J92" s="383"/>
      <c r="K92" s="383"/>
      <c r="L92" s="383"/>
      <c r="M92" s="383"/>
      <c r="N92" s="383"/>
      <c r="O92" s="383"/>
      <c r="P92" s="383"/>
      <c r="Q92" s="383"/>
      <c r="R92" s="383"/>
      <c r="S92" s="383"/>
      <c r="T92" s="383"/>
      <c r="U92" s="383"/>
      <c r="V92" s="383"/>
      <c r="W92" s="383"/>
      <c r="X92" s="383"/>
      <c r="Y92" s="383"/>
      <c r="Z92" s="383"/>
    </row>
    <row r="93" spans="1:26" ht="12.75" customHeight="1" x14ac:dyDescent="0.3">
      <c r="A93" s="383"/>
      <c r="B93" s="383"/>
      <c r="C93" s="383"/>
      <c r="D93" s="383"/>
      <c r="E93" s="383"/>
      <c r="F93" s="383"/>
      <c r="G93" s="383"/>
      <c r="H93" s="383"/>
      <c r="I93" s="383"/>
      <c r="J93" s="383"/>
      <c r="K93" s="383"/>
      <c r="L93" s="383"/>
      <c r="M93" s="383"/>
      <c r="N93" s="383"/>
      <c r="O93" s="383"/>
      <c r="P93" s="383"/>
      <c r="Q93" s="383"/>
      <c r="R93" s="383"/>
      <c r="S93" s="383"/>
      <c r="T93" s="383"/>
      <c r="U93" s="383"/>
      <c r="V93" s="383"/>
      <c r="W93" s="383"/>
      <c r="X93" s="383"/>
      <c r="Y93" s="383"/>
      <c r="Z93" s="383"/>
    </row>
    <row r="94" spans="1:26" ht="12.75" customHeight="1" x14ac:dyDescent="0.3">
      <c r="A94" s="383"/>
      <c r="B94" s="383"/>
      <c r="C94" s="383"/>
      <c r="D94" s="383"/>
      <c r="E94" s="383"/>
      <c r="F94" s="383"/>
      <c r="G94" s="383"/>
      <c r="H94" s="383"/>
      <c r="I94" s="383"/>
      <c r="J94" s="383"/>
      <c r="K94" s="383"/>
      <c r="L94" s="383"/>
      <c r="M94" s="383"/>
      <c r="N94" s="383"/>
      <c r="O94" s="383"/>
      <c r="P94" s="383"/>
      <c r="Q94" s="383"/>
      <c r="R94" s="383"/>
      <c r="S94" s="383"/>
      <c r="T94" s="383"/>
      <c r="U94" s="383"/>
      <c r="V94" s="383"/>
      <c r="W94" s="383"/>
      <c r="X94" s="383"/>
      <c r="Y94" s="383"/>
      <c r="Z94" s="383"/>
    </row>
    <row r="95" spans="1:26" ht="12.75" customHeight="1" x14ac:dyDescent="0.3">
      <c r="A95" s="383"/>
      <c r="B95" s="383"/>
      <c r="C95" s="383"/>
      <c r="D95" s="383"/>
      <c r="E95" s="383"/>
      <c r="F95" s="383"/>
      <c r="G95" s="383"/>
      <c r="H95" s="383"/>
      <c r="I95" s="383"/>
      <c r="J95" s="383"/>
      <c r="K95" s="383"/>
      <c r="L95" s="383"/>
      <c r="M95" s="383"/>
      <c r="N95" s="383"/>
      <c r="O95" s="383"/>
      <c r="P95" s="383"/>
      <c r="Q95" s="383"/>
      <c r="R95" s="383"/>
      <c r="S95" s="383"/>
      <c r="T95" s="383"/>
      <c r="U95" s="383"/>
      <c r="V95" s="383"/>
      <c r="W95" s="383"/>
      <c r="X95" s="383"/>
      <c r="Y95" s="383"/>
      <c r="Z95" s="383"/>
    </row>
    <row r="96" spans="1:26" ht="12.75" customHeight="1" x14ac:dyDescent="0.3">
      <c r="A96" s="383"/>
      <c r="B96" s="383"/>
      <c r="C96" s="383"/>
      <c r="D96" s="383"/>
      <c r="E96" s="383"/>
      <c r="F96" s="383"/>
      <c r="G96" s="383"/>
      <c r="H96" s="383"/>
      <c r="I96" s="383"/>
      <c r="J96" s="383"/>
      <c r="K96" s="383"/>
      <c r="L96" s="383"/>
      <c r="M96" s="383"/>
      <c r="N96" s="383"/>
      <c r="O96" s="383"/>
      <c r="P96" s="383"/>
      <c r="Q96" s="383"/>
      <c r="R96" s="383"/>
      <c r="S96" s="383"/>
      <c r="T96" s="383"/>
      <c r="U96" s="383"/>
      <c r="V96" s="383"/>
      <c r="W96" s="383"/>
      <c r="X96" s="383"/>
      <c r="Y96" s="383"/>
      <c r="Z96" s="383"/>
    </row>
    <row r="97" spans="1:26" ht="12.75" customHeight="1" x14ac:dyDescent="0.3">
      <c r="A97" s="383"/>
      <c r="B97" s="383"/>
      <c r="C97" s="383"/>
      <c r="D97" s="383"/>
      <c r="E97" s="383"/>
      <c r="F97" s="383"/>
      <c r="G97" s="383"/>
      <c r="H97" s="383"/>
      <c r="I97" s="383"/>
      <c r="J97" s="383"/>
      <c r="K97" s="383"/>
      <c r="L97" s="383"/>
      <c r="M97" s="383"/>
      <c r="N97" s="383"/>
      <c r="O97" s="383"/>
      <c r="P97" s="383"/>
      <c r="Q97" s="383"/>
      <c r="R97" s="383"/>
      <c r="S97" s="383"/>
      <c r="T97" s="383"/>
      <c r="U97" s="383"/>
      <c r="V97" s="383"/>
      <c r="W97" s="383"/>
      <c r="X97" s="383"/>
      <c r="Y97" s="383"/>
      <c r="Z97" s="383"/>
    </row>
    <row r="98" spans="1:26" ht="12.75" customHeight="1" x14ac:dyDescent="0.3">
      <c r="A98" s="383"/>
      <c r="B98" s="383"/>
      <c r="C98" s="383"/>
      <c r="D98" s="383"/>
      <c r="E98" s="383"/>
      <c r="F98" s="383"/>
      <c r="G98" s="383"/>
      <c r="H98" s="383"/>
      <c r="I98" s="383"/>
      <c r="J98" s="383"/>
      <c r="K98" s="383"/>
      <c r="L98" s="383"/>
      <c r="M98" s="383"/>
      <c r="N98" s="383"/>
      <c r="O98" s="383"/>
      <c r="P98" s="383"/>
      <c r="Q98" s="383"/>
      <c r="R98" s="383"/>
      <c r="S98" s="383"/>
      <c r="T98" s="383"/>
      <c r="U98" s="383"/>
      <c r="V98" s="383"/>
      <c r="W98" s="383"/>
      <c r="X98" s="383"/>
      <c r="Y98" s="383"/>
      <c r="Z98" s="383"/>
    </row>
    <row r="99" spans="1:26" ht="12.75" customHeight="1" x14ac:dyDescent="0.3">
      <c r="A99" s="383"/>
      <c r="B99" s="383"/>
      <c r="C99" s="383"/>
      <c r="D99" s="383"/>
      <c r="E99" s="383"/>
      <c r="F99" s="383"/>
      <c r="G99" s="383"/>
      <c r="H99" s="383"/>
      <c r="I99" s="383"/>
      <c r="J99" s="383"/>
      <c r="K99" s="383"/>
      <c r="L99" s="383"/>
      <c r="M99" s="383"/>
      <c r="N99" s="383"/>
      <c r="O99" s="383"/>
      <c r="P99" s="383"/>
      <c r="Q99" s="383"/>
      <c r="R99" s="383"/>
      <c r="S99" s="383"/>
      <c r="T99" s="383"/>
      <c r="U99" s="383"/>
      <c r="V99" s="383"/>
      <c r="W99" s="383"/>
      <c r="X99" s="383"/>
      <c r="Y99" s="383"/>
      <c r="Z99" s="383"/>
    </row>
    <row r="100" spans="1:26" ht="12.75" customHeight="1" x14ac:dyDescent="0.3">
      <c r="A100" s="383"/>
      <c r="B100" s="383"/>
      <c r="C100" s="383"/>
      <c r="D100" s="383"/>
      <c r="E100" s="383"/>
      <c r="F100" s="383"/>
      <c r="G100" s="383"/>
      <c r="H100" s="383"/>
      <c r="I100" s="383"/>
      <c r="J100" s="383"/>
      <c r="K100" s="383"/>
      <c r="L100" s="383"/>
      <c r="M100" s="383"/>
      <c r="N100" s="383"/>
      <c r="O100" s="383"/>
      <c r="P100" s="383"/>
      <c r="Q100" s="383"/>
      <c r="R100" s="383"/>
      <c r="S100" s="383"/>
      <c r="T100" s="383"/>
      <c r="U100" s="383"/>
      <c r="V100" s="383"/>
      <c r="W100" s="383"/>
      <c r="X100" s="383"/>
      <c r="Y100" s="383"/>
      <c r="Z100" s="383"/>
    </row>
    <row r="101" spans="1:26" ht="12.75" customHeight="1" x14ac:dyDescent="0.3">
      <c r="A101" s="383"/>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c r="X101" s="383"/>
      <c r="Y101" s="383"/>
      <c r="Z101" s="383"/>
    </row>
    <row r="102" spans="1:26" ht="12.75" customHeight="1" x14ac:dyDescent="0.3">
      <c r="A102" s="383"/>
      <c r="B102" s="383"/>
      <c r="C102" s="383"/>
      <c r="D102" s="383"/>
      <c r="E102" s="383"/>
      <c r="F102" s="383"/>
      <c r="G102" s="383"/>
      <c r="H102" s="383"/>
      <c r="I102" s="383"/>
      <c r="J102" s="383"/>
      <c r="K102" s="383"/>
      <c r="L102" s="383"/>
      <c r="M102" s="383"/>
      <c r="N102" s="383"/>
      <c r="O102" s="383"/>
      <c r="P102" s="383"/>
      <c r="Q102" s="383"/>
      <c r="R102" s="383"/>
      <c r="S102" s="383"/>
      <c r="T102" s="383"/>
      <c r="U102" s="383"/>
      <c r="V102" s="383"/>
      <c r="W102" s="383"/>
      <c r="X102" s="383"/>
      <c r="Y102" s="383"/>
      <c r="Z102" s="383"/>
    </row>
    <row r="103" spans="1:26" ht="12.75" customHeight="1" x14ac:dyDescent="0.3">
      <c r="A103" s="383"/>
      <c r="B103" s="383"/>
      <c r="C103" s="383"/>
      <c r="D103" s="383"/>
      <c r="E103" s="383"/>
      <c r="F103" s="383"/>
      <c r="G103" s="383"/>
      <c r="H103" s="383"/>
      <c r="I103" s="383"/>
      <c r="J103" s="383"/>
      <c r="K103" s="383"/>
      <c r="L103" s="383"/>
      <c r="M103" s="383"/>
      <c r="N103" s="383"/>
      <c r="O103" s="383"/>
      <c r="P103" s="383"/>
      <c r="Q103" s="383"/>
      <c r="R103" s="383"/>
      <c r="S103" s="383"/>
      <c r="T103" s="383"/>
      <c r="U103" s="383"/>
      <c r="V103" s="383"/>
      <c r="W103" s="383"/>
      <c r="X103" s="383"/>
      <c r="Y103" s="383"/>
      <c r="Z103" s="383"/>
    </row>
    <row r="104" spans="1:26" ht="12.75" customHeight="1" x14ac:dyDescent="0.3">
      <c r="A104" s="383"/>
      <c r="B104" s="383"/>
      <c r="C104" s="383"/>
      <c r="D104" s="383"/>
      <c r="E104" s="383"/>
      <c r="F104" s="383"/>
      <c r="G104" s="383"/>
      <c r="H104" s="383"/>
      <c r="I104" s="383"/>
      <c r="J104" s="383"/>
      <c r="K104" s="383"/>
      <c r="L104" s="383"/>
      <c r="M104" s="383"/>
      <c r="N104" s="383"/>
      <c r="O104" s="383"/>
      <c r="P104" s="383"/>
      <c r="Q104" s="383"/>
      <c r="R104" s="383"/>
      <c r="S104" s="383"/>
      <c r="T104" s="383"/>
      <c r="U104" s="383"/>
      <c r="V104" s="383"/>
      <c r="W104" s="383"/>
      <c r="X104" s="383"/>
      <c r="Y104" s="383"/>
      <c r="Z104" s="383"/>
    </row>
    <row r="105" spans="1:26" ht="12.75" customHeight="1" x14ac:dyDescent="0.3">
      <c r="A105" s="383"/>
      <c r="B105" s="383"/>
      <c r="C105" s="383"/>
      <c r="D105" s="383"/>
      <c r="E105" s="383"/>
      <c r="F105" s="383"/>
      <c r="G105" s="383"/>
      <c r="H105" s="383"/>
      <c r="I105" s="383"/>
      <c r="J105" s="383"/>
      <c r="K105" s="383"/>
      <c r="L105" s="383"/>
      <c r="M105" s="383"/>
      <c r="N105" s="383"/>
      <c r="O105" s="383"/>
      <c r="P105" s="383"/>
      <c r="Q105" s="383"/>
      <c r="R105" s="383"/>
      <c r="S105" s="383"/>
      <c r="T105" s="383"/>
      <c r="U105" s="383"/>
      <c r="V105" s="383"/>
      <c r="W105" s="383"/>
      <c r="X105" s="383"/>
      <c r="Y105" s="383"/>
      <c r="Z105" s="383"/>
    </row>
    <row r="106" spans="1:26" ht="12.75" customHeight="1" x14ac:dyDescent="0.3">
      <c r="A106" s="383"/>
      <c r="B106" s="383"/>
      <c r="C106" s="383"/>
      <c r="D106" s="383"/>
      <c r="E106" s="383"/>
      <c r="F106" s="383"/>
      <c r="G106" s="383"/>
      <c r="H106" s="383"/>
      <c r="I106" s="383"/>
      <c r="J106" s="383"/>
      <c r="K106" s="383"/>
      <c r="L106" s="383"/>
      <c r="M106" s="383"/>
      <c r="N106" s="383"/>
      <c r="O106" s="383"/>
      <c r="P106" s="383"/>
      <c r="Q106" s="383"/>
      <c r="R106" s="383"/>
      <c r="S106" s="383"/>
      <c r="T106" s="383"/>
      <c r="U106" s="383"/>
      <c r="V106" s="383"/>
      <c r="W106" s="383"/>
      <c r="X106" s="383"/>
      <c r="Y106" s="383"/>
      <c r="Z106" s="383"/>
    </row>
    <row r="107" spans="1:26" ht="12.75" customHeight="1" x14ac:dyDescent="0.3">
      <c r="A107" s="383"/>
      <c r="B107" s="383"/>
      <c r="C107" s="383"/>
      <c r="D107" s="383"/>
      <c r="E107" s="383"/>
      <c r="F107" s="383"/>
      <c r="G107" s="383"/>
      <c r="H107" s="383"/>
      <c r="I107" s="383"/>
      <c r="J107" s="383"/>
      <c r="K107" s="383"/>
      <c r="L107" s="383"/>
      <c r="M107" s="383"/>
      <c r="N107" s="383"/>
      <c r="O107" s="383"/>
      <c r="P107" s="383"/>
      <c r="Q107" s="383"/>
      <c r="R107" s="383"/>
      <c r="S107" s="383"/>
      <c r="T107" s="383"/>
      <c r="U107" s="383"/>
      <c r="V107" s="383"/>
      <c r="W107" s="383"/>
      <c r="X107" s="383"/>
      <c r="Y107" s="383"/>
      <c r="Z107" s="383"/>
    </row>
    <row r="108" spans="1:26" ht="12.75" customHeight="1" x14ac:dyDescent="0.3">
      <c r="A108" s="383"/>
      <c r="B108" s="383"/>
      <c r="C108" s="383"/>
      <c r="D108" s="383"/>
      <c r="E108" s="383"/>
      <c r="F108" s="383"/>
      <c r="G108" s="383"/>
      <c r="H108" s="383"/>
      <c r="I108" s="383"/>
      <c r="J108" s="383"/>
      <c r="K108" s="383"/>
      <c r="L108" s="383"/>
      <c r="M108" s="383"/>
      <c r="N108" s="383"/>
      <c r="O108" s="383"/>
      <c r="P108" s="383"/>
      <c r="Q108" s="383"/>
      <c r="R108" s="383"/>
      <c r="S108" s="383"/>
      <c r="T108" s="383"/>
      <c r="U108" s="383"/>
      <c r="V108" s="383"/>
      <c r="W108" s="383"/>
      <c r="X108" s="383"/>
      <c r="Y108" s="383"/>
      <c r="Z108" s="383"/>
    </row>
    <row r="109" spans="1:26" ht="12.75" customHeight="1" x14ac:dyDescent="0.3">
      <c r="A109" s="383"/>
      <c r="B109" s="383"/>
      <c r="C109" s="383"/>
      <c r="D109" s="383"/>
      <c r="E109" s="383"/>
      <c r="F109" s="383"/>
      <c r="G109" s="383"/>
      <c r="H109" s="383"/>
      <c r="I109" s="383"/>
      <c r="J109" s="383"/>
      <c r="K109" s="383"/>
      <c r="L109" s="383"/>
      <c r="M109" s="383"/>
      <c r="N109" s="383"/>
      <c r="O109" s="383"/>
      <c r="P109" s="383"/>
      <c r="Q109" s="383"/>
      <c r="R109" s="383"/>
      <c r="S109" s="383"/>
      <c r="T109" s="383"/>
      <c r="U109" s="383"/>
      <c r="V109" s="383"/>
      <c r="W109" s="383"/>
      <c r="X109" s="383"/>
      <c r="Y109" s="383"/>
      <c r="Z109" s="383"/>
    </row>
    <row r="110" spans="1:26" ht="12.75" customHeight="1" x14ac:dyDescent="0.3">
      <c r="A110" s="383"/>
      <c r="B110" s="383"/>
      <c r="C110" s="383"/>
      <c r="D110" s="383"/>
      <c r="E110" s="383"/>
      <c r="F110" s="383"/>
      <c r="G110" s="383"/>
      <c r="H110" s="383"/>
      <c r="I110" s="383"/>
      <c r="J110" s="383"/>
      <c r="K110" s="383"/>
      <c r="L110" s="383"/>
      <c r="M110" s="383"/>
      <c r="N110" s="383"/>
      <c r="O110" s="383"/>
      <c r="P110" s="383"/>
      <c r="Q110" s="383"/>
      <c r="R110" s="383"/>
      <c r="S110" s="383"/>
      <c r="T110" s="383"/>
      <c r="U110" s="383"/>
      <c r="V110" s="383"/>
      <c r="W110" s="383"/>
      <c r="X110" s="383"/>
      <c r="Y110" s="383"/>
      <c r="Z110" s="383"/>
    </row>
    <row r="111" spans="1:26" ht="12.75" customHeight="1" x14ac:dyDescent="0.3">
      <c r="A111" s="383"/>
      <c r="B111" s="383"/>
      <c r="C111" s="383"/>
      <c r="D111" s="383"/>
      <c r="E111" s="383"/>
      <c r="F111" s="383"/>
      <c r="G111" s="383"/>
      <c r="H111" s="383"/>
      <c r="I111" s="383"/>
      <c r="J111" s="383"/>
      <c r="K111" s="383"/>
      <c r="L111" s="383"/>
      <c r="M111" s="383"/>
      <c r="N111" s="383"/>
      <c r="O111" s="383"/>
      <c r="P111" s="383"/>
      <c r="Q111" s="383"/>
      <c r="R111" s="383"/>
      <c r="S111" s="383"/>
      <c r="T111" s="383"/>
      <c r="U111" s="383"/>
      <c r="V111" s="383"/>
      <c r="W111" s="383"/>
      <c r="X111" s="383"/>
      <c r="Y111" s="383"/>
      <c r="Z111" s="383"/>
    </row>
    <row r="112" spans="1:26" ht="12.75" customHeight="1" x14ac:dyDescent="0.3">
      <c r="A112" s="383"/>
      <c r="B112" s="383"/>
      <c r="C112" s="383"/>
      <c r="D112" s="383"/>
      <c r="E112" s="383"/>
      <c r="F112" s="383"/>
      <c r="G112" s="383"/>
      <c r="H112" s="383"/>
      <c r="I112" s="383"/>
      <c r="J112" s="383"/>
      <c r="K112" s="383"/>
      <c r="L112" s="383"/>
      <c r="M112" s="383"/>
      <c r="N112" s="383"/>
      <c r="O112" s="383"/>
      <c r="P112" s="383"/>
      <c r="Q112" s="383"/>
      <c r="R112" s="383"/>
      <c r="S112" s="383"/>
      <c r="T112" s="383"/>
      <c r="U112" s="383"/>
      <c r="V112" s="383"/>
      <c r="W112" s="383"/>
      <c r="X112" s="383"/>
      <c r="Y112" s="383"/>
      <c r="Z112" s="383"/>
    </row>
    <row r="113" spans="1:26" ht="12.75" customHeight="1" x14ac:dyDescent="0.3">
      <c r="A113" s="383"/>
      <c r="B113" s="383"/>
      <c r="C113" s="383"/>
      <c r="D113" s="383"/>
      <c r="E113" s="383"/>
      <c r="F113" s="383"/>
      <c r="G113" s="383"/>
      <c r="H113" s="383"/>
      <c r="I113" s="383"/>
      <c r="J113" s="383"/>
      <c r="K113" s="383"/>
      <c r="L113" s="383"/>
      <c r="M113" s="383"/>
      <c r="N113" s="383"/>
      <c r="O113" s="383"/>
      <c r="P113" s="383"/>
      <c r="Q113" s="383"/>
      <c r="R113" s="383"/>
      <c r="S113" s="383"/>
      <c r="T113" s="383"/>
      <c r="U113" s="383"/>
      <c r="V113" s="383"/>
      <c r="W113" s="383"/>
      <c r="X113" s="383"/>
      <c r="Y113" s="383"/>
      <c r="Z113" s="383"/>
    </row>
    <row r="114" spans="1:26" ht="12.75" customHeight="1" x14ac:dyDescent="0.3">
      <c r="A114" s="383"/>
      <c r="B114" s="383"/>
      <c r="C114" s="383"/>
      <c r="D114" s="383"/>
      <c r="E114" s="383"/>
      <c r="F114" s="383"/>
      <c r="G114" s="383"/>
      <c r="H114" s="383"/>
      <c r="I114" s="383"/>
      <c r="J114" s="383"/>
      <c r="K114" s="383"/>
      <c r="L114" s="383"/>
      <c r="M114" s="383"/>
      <c r="N114" s="383"/>
      <c r="O114" s="383"/>
      <c r="P114" s="383"/>
      <c r="Q114" s="383"/>
      <c r="R114" s="383"/>
      <c r="S114" s="383"/>
      <c r="T114" s="383"/>
      <c r="U114" s="383"/>
      <c r="V114" s="383"/>
      <c r="W114" s="383"/>
      <c r="X114" s="383"/>
      <c r="Y114" s="383"/>
      <c r="Z114" s="383"/>
    </row>
    <row r="115" spans="1:26" ht="12.75" customHeight="1" x14ac:dyDescent="0.3">
      <c r="A115" s="383"/>
      <c r="B115" s="383"/>
      <c r="C115" s="383"/>
      <c r="D115" s="383"/>
      <c r="E115" s="383"/>
      <c r="F115" s="383"/>
      <c r="G115" s="383"/>
      <c r="H115" s="383"/>
      <c r="I115" s="383"/>
      <c r="J115" s="383"/>
      <c r="K115" s="383"/>
      <c r="L115" s="383"/>
      <c r="M115" s="383"/>
      <c r="N115" s="383"/>
      <c r="O115" s="383"/>
      <c r="P115" s="383"/>
      <c r="Q115" s="383"/>
      <c r="R115" s="383"/>
      <c r="S115" s="383"/>
      <c r="T115" s="383"/>
      <c r="U115" s="383"/>
      <c r="V115" s="383"/>
      <c r="W115" s="383"/>
      <c r="X115" s="383"/>
      <c r="Y115" s="383"/>
      <c r="Z115" s="383"/>
    </row>
    <row r="116" spans="1:26" ht="12.75" customHeight="1" x14ac:dyDescent="0.3">
      <c r="A116" s="383"/>
      <c r="B116" s="383"/>
      <c r="C116" s="383"/>
      <c r="D116" s="383"/>
      <c r="E116" s="383"/>
      <c r="F116" s="383"/>
      <c r="G116" s="383"/>
      <c r="H116" s="383"/>
      <c r="I116" s="383"/>
      <c r="J116" s="383"/>
      <c r="K116" s="383"/>
      <c r="L116" s="383"/>
      <c r="M116" s="383"/>
      <c r="N116" s="383"/>
      <c r="O116" s="383"/>
      <c r="P116" s="383"/>
      <c r="Q116" s="383"/>
      <c r="R116" s="383"/>
      <c r="S116" s="383"/>
      <c r="T116" s="383"/>
      <c r="U116" s="383"/>
      <c r="V116" s="383"/>
      <c r="W116" s="383"/>
      <c r="X116" s="383"/>
      <c r="Y116" s="383"/>
      <c r="Z116" s="383"/>
    </row>
    <row r="117" spans="1:26" ht="12.75" customHeight="1" x14ac:dyDescent="0.3">
      <c r="A117" s="383"/>
      <c r="B117" s="383"/>
      <c r="C117" s="383"/>
      <c r="D117" s="383"/>
      <c r="E117" s="383"/>
      <c r="F117" s="383"/>
      <c r="G117" s="383"/>
      <c r="H117" s="383"/>
      <c r="I117" s="383"/>
      <c r="J117" s="383"/>
      <c r="K117" s="383"/>
      <c r="L117" s="383"/>
      <c r="M117" s="383"/>
      <c r="N117" s="383"/>
      <c r="O117" s="383"/>
      <c r="P117" s="383"/>
      <c r="Q117" s="383"/>
      <c r="R117" s="383"/>
      <c r="S117" s="383"/>
      <c r="T117" s="383"/>
      <c r="U117" s="383"/>
      <c r="V117" s="383"/>
      <c r="W117" s="383"/>
      <c r="X117" s="383"/>
      <c r="Y117" s="383"/>
      <c r="Z117" s="383"/>
    </row>
    <row r="118" spans="1:26" ht="12.75" customHeight="1" x14ac:dyDescent="0.3">
      <c r="A118" s="383"/>
      <c r="B118" s="383"/>
      <c r="C118" s="383"/>
      <c r="D118" s="383"/>
      <c r="E118" s="383"/>
      <c r="F118" s="383"/>
      <c r="G118" s="383"/>
      <c r="H118" s="383"/>
      <c r="I118" s="383"/>
      <c r="J118" s="383"/>
      <c r="K118" s="383"/>
      <c r="L118" s="383"/>
      <c r="M118" s="383"/>
      <c r="N118" s="383"/>
      <c r="O118" s="383"/>
      <c r="P118" s="383"/>
      <c r="Q118" s="383"/>
      <c r="R118" s="383"/>
      <c r="S118" s="383"/>
      <c r="T118" s="383"/>
      <c r="U118" s="383"/>
      <c r="V118" s="383"/>
      <c r="W118" s="383"/>
      <c r="X118" s="383"/>
      <c r="Y118" s="383"/>
      <c r="Z118" s="383"/>
    </row>
    <row r="119" spans="1:26" ht="12.75" customHeight="1" x14ac:dyDescent="0.3">
      <c r="A119" s="383"/>
      <c r="B119" s="383"/>
      <c r="C119" s="383"/>
      <c r="D119" s="383"/>
      <c r="E119" s="383"/>
      <c r="F119" s="383"/>
      <c r="G119" s="383"/>
      <c r="H119" s="383"/>
      <c r="I119" s="383"/>
      <c r="J119" s="383"/>
      <c r="K119" s="383"/>
      <c r="L119" s="383"/>
      <c r="M119" s="383"/>
      <c r="N119" s="383"/>
      <c r="O119" s="383"/>
      <c r="P119" s="383"/>
      <c r="Q119" s="383"/>
      <c r="R119" s="383"/>
      <c r="S119" s="383"/>
      <c r="T119" s="383"/>
      <c r="U119" s="383"/>
      <c r="V119" s="383"/>
      <c r="W119" s="383"/>
      <c r="X119" s="383"/>
      <c r="Y119" s="383"/>
      <c r="Z119" s="383"/>
    </row>
    <row r="120" spans="1:26" ht="12.75" customHeight="1" x14ac:dyDescent="0.3">
      <c r="A120" s="383"/>
      <c r="B120" s="383"/>
      <c r="C120" s="383"/>
      <c r="D120" s="383"/>
      <c r="E120" s="383"/>
      <c r="F120" s="383"/>
      <c r="G120" s="383"/>
      <c r="H120" s="383"/>
      <c r="I120" s="383"/>
      <c r="J120" s="383"/>
      <c r="K120" s="383"/>
      <c r="L120" s="383"/>
      <c r="M120" s="383"/>
      <c r="N120" s="383"/>
      <c r="O120" s="383"/>
      <c r="P120" s="383"/>
      <c r="Q120" s="383"/>
      <c r="R120" s="383"/>
      <c r="S120" s="383"/>
      <c r="T120" s="383"/>
      <c r="U120" s="383"/>
      <c r="V120" s="383"/>
      <c r="W120" s="383"/>
      <c r="X120" s="383"/>
      <c r="Y120" s="383"/>
      <c r="Z120" s="383"/>
    </row>
    <row r="121" spans="1:26" ht="12.75" customHeight="1" x14ac:dyDescent="0.3">
      <c r="A121" s="383"/>
      <c r="B121" s="383"/>
      <c r="C121" s="383"/>
      <c r="D121" s="383"/>
      <c r="E121" s="383"/>
      <c r="F121" s="383"/>
      <c r="G121" s="383"/>
      <c r="H121" s="383"/>
      <c r="I121" s="383"/>
      <c r="J121" s="383"/>
      <c r="K121" s="383"/>
      <c r="L121" s="383"/>
      <c r="M121" s="383"/>
      <c r="N121" s="383"/>
      <c r="O121" s="383"/>
      <c r="P121" s="383"/>
      <c r="Q121" s="383"/>
      <c r="R121" s="383"/>
      <c r="S121" s="383"/>
      <c r="T121" s="383"/>
      <c r="U121" s="383"/>
      <c r="V121" s="383"/>
      <c r="W121" s="383"/>
      <c r="X121" s="383"/>
      <c r="Y121" s="383"/>
      <c r="Z121" s="383"/>
    </row>
    <row r="122" spans="1:26" ht="12.75" customHeight="1" x14ac:dyDescent="0.3">
      <c r="A122" s="383"/>
      <c r="B122" s="383"/>
      <c r="C122" s="383"/>
      <c r="D122" s="383"/>
      <c r="E122" s="383"/>
      <c r="F122" s="383"/>
      <c r="G122" s="383"/>
      <c r="H122" s="383"/>
      <c r="I122" s="383"/>
      <c r="J122" s="383"/>
      <c r="K122" s="383"/>
      <c r="L122" s="383"/>
      <c r="M122" s="383"/>
      <c r="N122" s="383"/>
      <c r="O122" s="383"/>
      <c r="P122" s="383"/>
      <c r="Q122" s="383"/>
      <c r="R122" s="383"/>
      <c r="S122" s="383"/>
      <c r="T122" s="383"/>
      <c r="U122" s="383"/>
      <c r="V122" s="383"/>
      <c r="W122" s="383"/>
      <c r="X122" s="383"/>
      <c r="Y122" s="383"/>
      <c r="Z122" s="383"/>
    </row>
    <row r="123" spans="1:26" ht="12.75" customHeight="1" x14ac:dyDescent="0.3">
      <c r="A123" s="383"/>
      <c r="B123" s="383"/>
      <c r="C123" s="383"/>
      <c r="D123" s="383"/>
      <c r="E123" s="383"/>
      <c r="F123" s="383"/>
      <c r="G123" s="383"/>
      <c r="H123" s="383"/>
      <c r="I123" s="383"/>
      <c r="J123" s="383"/>
      <c r="K123" s="383"/>
      <c r="L123" s="383"/>
      <c r="M123" s="383"/>
      <c r="N123" s="383"/>
      <c r="O123" s="383"/>
      <c r="P123" s="383"/>
      <c r="Q123" s="383"/>
      <c r="R123" s="383"/>
      <c r="S123" s="383"/>
      <c r="T123" s="383"/>
      <c r="U123" s="383"/>
      <c r="V123" s="383"/>
      <c r="W123" s="383"/>
      <c r="X123" s="383"/>
      <c r="Y123" s="383"/>
      <c r="Z123" s="383"/>
    </row>
    <row r="124" spans="1:26" ht="12.75" customHeight="1" x14ac:dyDescent="0.3">
      <c r="A124" s="383"/>
      <c r="B124" s="383"/>
      <c r="C124" s="383"/>
      <c r="D124" s="383"/>
      <c r="E124" s="383"/>
      <c r="F124" s="383"/>
      <c r="G124" s="383"/>
      <c r="H124" s="383"/>
      <c r="I124" s="383"/>
      <c r="J124" s="383"/>
      <c r="K124" s="383"/>
      <c r="L124" s="383"/>
      <c r="M124" s="383"/>
      <c r="N124" s="383"/>
      <c r="O124" s="383"/>
      <c r="P124" s="383"/>
      <c r="Q124" s="383"/>
      <c r="R124" s="383"/>
      <c r="S124" s="383"/>
      <c r="T124" s="383"/>
      <c r="U124" s="383"/>
      <c r="V124" s="383"/>
      <c r="W124" s="383"/>
      <c r="X124" s="383"/>
      <c r="Y124" s="383"/>
      <c r="Z124" s="383"/>
    </row>
    <row r="125" spans="1:26" ht="12.75" customHeight="1" x14ac:dyDescent="0.3">
      <c r="A125" s="383"/>
      <c r="B125" s="383"/>
      <c r="C125" s="383"/>
      <c r="D125" s="383"/>
      <c r="E125" s="383"/>
      <c r="F125" s="383"/>
      <c r="G125" s="383"/>
      <c r="H125" s="383"/>
      <c r="I125" s="383"/>
      <c r="J125" s="383"/>
      <c r="K125" s="383"/>
      <c r="L125" s="383"/>
      <c r="M125" s="383"/>
      <c r="N125" s="383"/>
      <c r="O125" s="383"/>
      <c r="P125" s="383"/>
      <c r="Q125" s="383"/>
      <c r="R125" s="383"/>
      <c r="S125" s="383"/>
      <c r="T125" s="383"/>
      <c r="U125" s="383"/>
      <c r="V125" s="383"/>
      <c r="W125" s="383"/>
      <c r="X125" s="383"/>
      <c r="Y125" s="383"/>
      <c r="Z125" s="383"/>
    </row>
    <row r="126" spans="1:26" ht="12.75" customHeight="1" x14ac:dyDescent="0.3">
      <c r="A126" s="383"/>
      <c r="B126" s="383"/>
      <c r="C126" s="383"/>
      <c r="D126" s="383"/>
      <c r="E126" s="383"/>
      <c r="F126" s="383"/>
      <c r="G126" s="383"/>
      <c r="H126" s="383"/>
      <c r="I126" s="383"/>
      <c r="J126" s="383"/>
      <c r="K126" s="383"/>
      <c r="L126" s="383"/>
      <c r="M126" s="383"/>
      <c r="N126" s="383"/>
      <c r="O126" s="383"/>
      <c r="P126" s="383"/>
      <c r="Q126" s="383"/>
      <c r="R126" s="383"/>
      <c r="S126" s="383"/>
      <c r="T126" s="383"/>
      <c r="U126" s="383"/>
      <c r="V126" s="383"/>
      <c r="W126" s="383"/>
      <c r="X126" s="383"/>
      <c r="Y126" s="383"/>
      <c r="Z126" s="383"/>
    </row>
    <row r="127" spans="1:26" ht="12.75" customHeight="1" x14ac:dyDescent="0.3">
      <c r="A127" s="383"/>
      <c r="B127" s="383"/>
      <c r="C127" s="383"/>
      <c r="D127" s="383"/>
      <c r="E127" s="383"/>
      <c r="F127" s="383"/>
      <c r="G127" s="383"/>
      <c r="H127" s="383"/>
      <c r="I127" s="383"/>
      <c r="J127" s="383"/>
      <c r="K127" s="383"/>
      <c r="L127" s="383"/>
      <c r="M127" s="383"/>
      <c r="N127" s="383"/>
      <c r="O127" s="383"/>
      <c r="P127" s="383"/>
      <c r="Q127" s="383"/>
      <c r="R127" s="383"/>
      <c r="S127" s="383"/>
      <c r="T127" s="383"/>
      <c r="U127" s="383"/>
      <c r="V127" s="383"/>
      <c r="W127" s="383"/>
      <c r="X127" s="383"/>
      <c r="Y127" s="383"/>
      <c r="Z127" s="383"/>
    </row>
    <row r="128" spans="1:26" ht="12.75" customHeight="1" x14ac:dyDescent="0.3">
      <c r="A128" s="383"/>
      <c r="B128" s="383"/>
      <c r="C128" s="383"/>
      <c r="D128" s="383"/>
      <c r="E128" s="383"/>
      <c r="F128" s="383"/>
      <c r="G128" s="383"/>
      <c r="H128" s="383"/>
      <c r="I128" s="383"/>
      <c r="J128" s="383"/>
      <c r="K128" s="383"/>
      <c r="L128" s="383"/>
      <c r="M128" s="383"/>
      <c r="N128" s="383"/>
      <c r="O128" s="383"/>
      <c r="P128" s="383"/>
      <c r="Q128" s="383"/>
      <c r="R128" s="383"/>
      <c r="S128" s="383"/>
      <c r="T128" s="383"/>
      <c r="U128" s="383"/>
      <c r="V128" s="383"/>
      <c r="W128" s="383"/>
      <c r="X128" s="383"/>
      <c r="Y128" s="383"/>
      <c r="Z128" s="383"/>
    </row>
    <row r="129" spans="1:26" ht="12.75" customHeight="1" x14ac:dyDescent="0.3">
      <c r="A129" s="383"/>
      <c r="B129" s="383"/>
      <c r="C129" s="383"/>
      <c r="D129" s="383"/>
      <c r="E129" s="383"/>
      <c r="F129" s="383"/>
      <c r="G129" s="383"/>
      <c r="H129" s="383"/>
      <c r="I129" s="383"/>
      <c r="J129" s="383"/>
      <c r="K129" s="383"/>
      <c r="L129" s="383"/>
      <c r="M129" s="383"/>
      <c r="N129" s="383"/>
      <c r="O129" s="383"/>
      <c r="P129" s="383"/>
      <c r="Q129" s="383"/>
      <c r="R129" s="383"/>
      <c r="S129" s="383"/>
      <c r="T129" s="383"/>
      <c r="U129" s="383"/>
      <c r="V129" s="383"/>
      <c r="W129" s="383"/>
      <c r="X129" s="383"/>
      <c r="Y129" s="383"/>
      <c r="Z129" s="383"/>
    </row>
    <row r="130" spans="1:26" ht="12.75" customHeight="1" x14ac:dyDescent="0.3">
      <c r="A130" s="383"/>
      <c r="B130" s="383"/>
      <c r="C130" s="383"/>
      <c r="D130" s="383"/>
      <c r="E130" s="383"/>
      <c r="F130" s="383"/>
      <c r="G130" s="383"/>
      <c r="H130" s="383"/>
      <c r="I130" s="383"/>
      <c r="J130" s="383"/>
      <c r="K130" s="383"/>
      <c r="L130" s="383"/>
      <c r="M130" s="383"/>
      <c r="N130" s="383"/>
      <c r="O130" s="383"/>
      <c r="P130" s="383"/>
      <c r="Q130" s="383"/>
      <c r="R130" s="383"/>
      <c r="S130" s="383"/>
      <c r="T130" s="383"/>
      <c r="U130" s="383"/>
      <c r="V130" s="383"/>
      <c r="W130" s="383"/>
      <c r="X130" s="383"/>
      <c r="Y130" s="383"/>
      <c r="Z130" s="383"/>
    </row>
    <row r="131" spans="1:26" ht="12.75" customHeight="1" x14ac:dyDescent="0.3">
      <c r="A131" s="383"/>
      <c r="B131" s="383"/>
      <c r="C131" s="383"/>
      <c r="D131" s="383"/>
      <c r="E131" s="383"/>
      <c r="F131" s="383"/>
      <c r="G131" s="383"/>
      <c r="H131" s="383"/>
      <c r="I131" s="383"/>
      <c r="J131" s="383"/>
      <c r="K131" s="383"/>
      <c r="L131" s="383"/>
      <c r="M131" s="383"/>
      <c r="N131" s="383"/>
      <c r="O131" s="383"/>
      <c r="P131" s="383"/>
      <c r="Q131" s="383"/>
      <c r="R131" s="383"/>
      <c r="S131" s="383"/>
      <c r="T131" s="383"/>
      <c r="U131" s="383"/>
      <c r="V131" s="383"/>
      <c r="W131" s="383"/>
      <c r="X131" s="383"/>
      <c r="Y131" s="383"/>
      <c r="Z131" s="383"/>
    </row>
    <row r="132" spans="1:26" ht="12.75" customHeight="1" x14ac:dyDescent="0.3">
      <c r="A132" s="383"/>
      <c r="B132" s="383"/>
      <c r="C132" s="383"/>
      <c r="D132" s="383"/>
      <c r="E132" s="383"/>
      <c r="F132" s="383"/>
      <c r="G132" s="383"/>
      <c r="H132" s="383"/>
      <c r="I132" s="383"/>
      <c r="J132" s="383"/>
      <c r="K132" s="383"/>
      <c r="L132" s="383"/>
      <c r="M132" s="383"/>
      <c r="N132" s="383"/>
      <c r="O132" s="383"/>
      <c r="P132" s="383"/>
      <c r="Q132" s="383"/>
      <c r="R132" s="383"/>
      <c r="S132" s="383"/>
      <c r="T132" s="383"/>
      <c r="U132" s="383"/>
      <c r="V132" s="383"/>
      <c r="W132" s="383"/>
      <c r="X132" s="383"/>
      <c r="Y132" s="383"/>
      <c r="Z132" s="383"/>
    </row>
    <row r="133" spans="1:26" ht="12.75" customHeight="1" x14ac:dyDescent="0.3">
      <c r="A133" s="383"/>
      <c r="B133" s="383"/>
      <c r="C133" s="383"/>
      <c r="D133" s="383"/>
      <c r="E133" s="383"/>
      <c r="F133" s="383"/>
      <c r="G133" s="383"/>
      <c r="H133" s="383"/>
      <c r="I133" s="383"/>
      <c r="J133" s="383"/>
      <c r="K133" s="383"/>
      <c r="L133" s="383"/>
      <c r="M133" s="383"/>
      <c r="N133" s="383"/>
      <c r="O133" s="383"/>
      <c r="P133" s="383"/>
      <c r="Q133" s="383"/>
      <c r="R133" s="383"/>
      <c r="S133" s="383"/>
      <c r="T133" s="383"/>
      <c r="U133" s="383"/>
      <c r="V133" s="383"/>
      <c r="W133" s="383"/>
      <c r="X133" s="383"/>
      <c r="Y133" s="383"/>
      <c r="Z133" s="383"/>
    </row>
    <row r="134" spans="1:26" ht="12.75" customHeight="1" x14ac:dyDescent="0.3">
      <c r="A134" s="383"/>
      <c r="B134" s="383"/>
      <c r="C134" s="383"/>
      <c r="D134" s="383"/>
      <c r="E134" s="383"/>
      <c r="F134" s="383"/>
      <c r="G134" s="383"/>
      <c r="H134" s="383"/>
      <c r="I134" s="383"/>
      <c r="J134" s="383"/>
      <c r="K134" s="383"/>
      <c r="L134" s="383"/>
      <c r="M134" s="383"/>
      <c r="N134" s="383"/>
      <c r="O134" s="383"/>
      <c r="P134" s="383"/>
      <c r="Q134" s="383"/>
      <c r="R134" s="383"/>
      <c r="S134" s="383"/>
      <c r="T134" s="383"/>
      <c r="U134" s="383"/>
      <c r="V134" s="383"/>
      <c r="W134" s="383"/>
      <c r="X134" s="383"/>
      <c r="Y134" s="383"/>
      <c r="Z134" s="383"/>
    </row>
    <row r="135" spans="1:26" ht="12.75" customHeight="1" x14ac:dyDescent="0.3">
      <c r="A135" s="383"/>
      <c r="B135" s="383"/>
      <c r="C135" s="383"/>
      <c r="D135" s="383"/>
      <c r="E135" s="383"/>
      <c r="F135" s="383"/>
      <c r="G135" s="383"/>
      <c r="H135" s="383"/>
      <c r="I135" s="383"/>
      <c r="J135" s="383"/>
      <c r="K135" s="383"/>
      <c r="L135" s="383"/>
      <c r="M135" s="383"/>
      <c r="N135" s="383"/>
      <c r="O135" s="383"/>
      <c r="P135" s="383"/>
      <c r="Q135" s="383"/>
      <c r="R135" s="383"/>
      <c r="S135" s="383"/>
      <c r="T135" s="383"/>
      <c r="U135" s="383"/>
      <c r="V135" s="383"/>
      <c r="W135" s="383"/>
      <c r="X135" s="383"/>
      <c r="Y135" s="383"/>
      <c r="Z135" s="383"/>
    </row>
    <row r="136" spans="1:26" ht="12.75" customHeight="1" x14ac:dyDescent="0.3">
      <c r="A136" s="383"/>
      <c r="B136" s="383"/>
      <c r="C136" s="383"/>
      <c r="D136" s="383"/>
      <c r="E136" s="383"/>
      <c r="F136" s="383"/>
      <c r="G136" s="383"/>
      <c r="H136" s="383"/>
      <c r="I136" s="383"/>
      <c r="J136" s="383"/>
      <c r="K136" s="383"/>
      <c r="L136" s="383"/>
      <c r="M136" s="383"/>
      <c r="N136" s="383"/>
      <c r="O136" s="383"/>
      <c r="P136" s="383"/>
      <c r="Q136" s="383"/>
      <c r="R136" s="383"/>
      <c r="S136" s="383"/>
      <c r="T136" s="383"/>
      <c r="U136" s="383"/>
      <c r="V136" s="383"/>
      <c r="W136" s="383"/>
      <c r="X136" s="383"/>
      <c r="Y136" s="383"/>
      <c r="Z136" s="383"/>
    </row>
    <row r="137" spans="1:26" ht="12.75" customHeight="1" x14ac:dyDescent="0.3">
      <c r="A137" s="383"/>
      <c r="B137" s="383"/>
      <c r="C137" s="383"/>
      <c r="D137" s="383"/>
      <c r="E137" s="383"/>
      <c r="F137" s="383"/>
      <c r="G137" s="383"/>
      <c r="H137" s="383"/>
      <c r="I137" s="383"/>
      <c r="J137" s="383"/>
      <c r="K137" s="383"/>
      <c r="L137" s="383"/>
      <c r="M137" s="383"/>
      <c r="N137" s="383"/>
      <c r="O137" s="383"/>
      <c r="P137" s="383"/>
      <c r="Q137" s="383"/>
      <c r="R137" s="383"/>
      <c r="S137" s="383"/>
      <c r="T137" s="383"/>
      <c r="U137" s="383"/>
      <c r="V137" s="383"/>
      <c r="W137" s="383"/>
      <c r="X137" s="383"/>
      <c r="Y137" s="383"/>
      <c r="Z137" s="383"/>
    </row>
    <row r="138" spans="1:26" ht="12.75" customHeight="1" x14ac:dyDescent="0.3">
      <c r="A138" s="383"/>
      <c r="B138" s="383"/>
      <c r="C138" s="383"/>
      <c r="D138" s="383"/>
      <c r="E138" s="383"/>
      <c r="F138" s="383"/>
      <c r="G138" s="383"/>
      <c r="H138" s="383"/>
      <c r="I138" s="383"/>
      <c r="J138" s="383"/>
      <c r="K138" s="383"/>
      <c r="L138" s="383"/>
      <c r="M138" s="383"/>
      <c r="N138" s="383"/>
      <c r="O138" s="383"/>
      <c r="P138" s="383"/>
      <c r="Q138" s="383"/>
      <c r="R138" s="383"/>
      <c r="S138" s="383"/>
      <c r="T138" s="383"/>
      <c r="U138" s="383"/>
      <c r="V138" s="383"/>
      <c r="W138" s="383"/>
      <c r="X138" s="383"/>
      <c r="Y138" s="383"/>
      <c r="Z138" s="383"/>
    </row>
    <row r="139" spans="1:26" ht="12.75" customHeight="1" x14ac:dyDescent="0.3">
      <c r="A139" s="383"/>
      <c r="B139" s="383"/>
      <c r="C139" s="383"/>
      <c r="D139" s="383"/>
      <c r="E139" s="383"/>
      <c r="F139" s="383"/>
      <c r="G139" s="383"/>
      <c r="H139" s="383"/>
      <c r="I139" s="383"/>
      <c r="J139" s="383"/>
      <c r="K139" s="383"/>
      <c r="L139" s="383"/>
      <c r="M139" s="383"/>
      <c r="N139" s="383"/>
      <c r="O139" s="383"/>
      <c r="P139" s="383"/>
      <c r="Q139" s="383"/>
      <c r="R139" s="383"/>
      <c r="S139" s="383"/>
      <c r="T139" s="383"/>
      <c r="U139" s="383"/>
      <c r="V139" s="383"/>
      <c r="W139" s="383"/>
      <c r="X139" s="383"/>
      <c r="Y139" s="383"/>
      <c r="Z139" s="383"/>
    </row>
    <row r="140" spans="1:26" ht="12.75" customHeight="1" x14ac:dyDescent="0.3">
      <c r="A140" s="383"/>
      <c r="B140" s="383"/>
      <c r="C140" s="383"/>
      <c r="D140" s="383"/>
      <c r="E140" s="383"/>
      <c r="F140" s="383"/>
      <c r="G140" s="383"/>
      <c r="H140" s="383"/>
      <c r="I140" s="383"/>
      <c r="J140" s="383"/>
      <c r="K140" s="383"/>
      <c r="L140" s="383"/>
      <c r="M140" s="383"/>
      <c r="N140" s="383"/>
      <c r="O140" s="383"/>
      <c r="P140" s="383"/>
      <c r="Q140" s="383"/>
      <c r="R140" s="383"/>
      <c r="S140" s="383"/>
      <c r="T140" s="383"/>
      <c r="U140" s="383"/>
      <c r="V140" s="383"/>
      <c r="W140" s="383"/>
      <c r="X140" s="383"/>
      <c r="Y140" s="383"/>
      <c r="Z140" s="383"/>
    </row>
    <row r="141" spans="1:26" ht="12.75" customHeight="1" x14ac:dyDescent="0.3">
      <c r="A141" s="383"/>
      <c r="B141" s="383"/>
      <c r="C141" s="383"/>
      <c r="D141" s="383"/>
      <c r="E141" s="383"/>
      <c r="F141" s="383"/>
      <c r="G141" s="383"/>
      <c r="H141" s="383"/>
      <c r="I141" s="383"/>
      <c r="J141" s="383"/>
      <c r="K141" s="383"/>
      <c r="L141" s="383"/>
      <c r="M141" s="383"/>
      <c r="N141" s="383"/>
      <c r="O141" s="383"/>
      <c r="P141" s="383"/>
      <c r="Q141" s="383"/>
      <c r="R141" s="383"/>
      <c r="S141" s="383"/>
      <c r="T141" s="383"/>
      <c r="U141" s="383"/>
      <c r="V141" s="383"/>
      <c r="W141" s="383"/>
      <c r="X141" s="383"/>
      <c r="Y141" s="383"/>
      <c r="Z141" s="383"/>
    </row>
    <row r="142" spans="1:26" ht="12.75" customHeight="1" x14ac:dyDescent="0.3">
      <c r="A142" s="383"/>
      <c r="B142" s="383"/>
      <c r="C142" s="383"/>
      <c r="D142" s="383"/>
      <c r="E142" s="383"/>
      <c r="F142" s="383"/>
      <c r="G142" s="383"/>
      <c r="H142" s="383"/>
      <c r="I142" s="383"/>
      <c r="J142" s="383"/>
      <c r="K142" s="383"/>
      <c r="L142" s="383"/>
      <c r="M142" s="383"/>
      <c r="N142" s="383"/>
      <c r="O142" s="383"/>
      <c r="P142" s="383"/>
      <c r="Q142" s="383"/>
      <c r="R142" s="383"/>
      <c r="S142" s="383"/>
      <c r="T142" s="383"/>
      <c r="U142" s="383"/>
      <c r="V142" s="383"/>
      <c r="W142" s="383"/>
      <c r="X142" s="383"/>
      <c r="Y142" s="383"/>
      <c r="Z142" s="383"/>
    </row>
    <row r="143" spans="1:26" ht="12.75" customHeight="1" x14ac:dyDescent="0.3">
      <c r="A143" s="383"/>
      <c r="B143" s="383"/>
      <c r="C143" s="383"/>
      <c r="D143" s="383"/>
      <c r="E143" s="383"/>
      <c r="F143" s="383"/>
      <c r="G143" s="383"/>
      <c r="H143" s="383"/>
      <c r="I143" s="383"/>
      <c r="J143" s="383"/>
      <c r="K143" s="383"/>
      <c r="L143" s="383"/>
      <c r="M143" s="383"/>
      <c r="N143" s="383"/>
      <c r="O143" s="383"/>
      <c r="P143" s="383"/>
      <c r="Q143" s="383"/>
      <c r="R143" s="383"/>
      <c r="S143" s="383"/>
      <c r="T143" s="383"/>
      <c r="U143" s="383"/>
      <c r="V143" s="383"/>
      <c r="W143" s="383"/>
      <c r="X143" s="383"/>
      <c r="Y143" s="383"/>
      <c r="Z143" s="383"/>
    </row>
    <row r="144" spans="1:26" ht="12.75" customHeight="1" x14ac:dyDescent="0.3">
      <c r="A144" s="383"/>
      <c r="B144" s="383"/>
      <c r="C144" s="383"/>
      <c r="D144" s="383"/>
      <c r="E144" s="383"/>
      <c r="F144" s="383"/>
      <c r="G144" s="383"/>
      <c r="H144" s="383"/>
      <c r="I144" s="383"/>
      <c r="J144" s="383"/>
      <c r="K144" s="383"/>
      <c r="L144" s="383"/>
      <c r="M144" s="383"/>
      <c r="N144" s="383"/>
      <c r="O144" s="383"/>
      <c r="P144" s="383"/>
      <c r="Q144" s="383"/>
      <c r="R144" s="383"/>
      <c r="S144" s="383"/>
      <c r="T144" s="383"/>
      <c r="U144" s="383"/>
      <c r="V144" s="383"/>
      <c r="W144" s="383"/>
      <c r="X144" s="383"/>
      <c r="Y144" s="383"/>
      <c r="Z144" s="383"/>
    </row>
    <row r="145" spans="1:26" ht="12.75" customHeight="1" x14ac:dyDescent="0.3">
      <c r="A145" s="383"/>
      <c r="B145" s="383"/>
      <c r="C145" s="383"/>
      <c r="D145" s="383"/>
      <c r="E145" s="383"/>
      <c r="F145" s="383"/>
      <c r="G145" s="383"/>
      <c r="H145" s="383"/>
      <c r="I145" s="383"/>
      <c r="J145" s="383"/>
      <c r="K145" s="383"/>
      <c r="L145" s="383"/>
      <c r="M145" s="383"/>
      <c r="N145" s="383"/>
      <c r="O145" s="383"/>
      <c r="P145" s="383"/>
      <c r="Q145" s="383"/>
      <c r="R145" s="383"/>
      <c r="S145" s="383"/>
      <c r="T145" s="383"/>
      <c r="U145" s="383"/>
      <c r="V145" s="383"/>
      <c r="W145" s="383"/>
      <c r="X145" s="383"/>
      <c r="Y145" s="383"/>
      <c r="Z145" s="383"/>
    </row>
    <row r="146" spans="1:26" ht="12.75" customHeight="1" x14ac:dyDescent="0.3">
      <c r="A146" s="383"/>
      <c r="B146" s="383"/>
      <c r="C146" s="383"/>
      <c r="D146" s="383"/>
      <c r="E146" s="383"/>
      <c r="F146" s="383"/>
      <c r="G146" s="383"/>
      <c r="H146" s="383"/>
      <c r="I146" s="383"/>
      <c r="J146" s="383"/>
      <c r="K146" s="383"/>
      <c r="L146" s="383"/>
      <c r="M146" s="383"/>
      <c r="N146" s="383"/>
      <c r="O146" s="383"/>
      <c r="P146" s="383"/>
      <c r="Q146" s="383"/>
      <c r="R146" s="383"/>
      <c r="S146" s="383"/>
      <c r="T146" s="383"/>
      <c r="U146" s="383"/>
      <c r="V146" s="383"/>
      <c r="W146" s="383"/>
      <c r="X146" s="383"/>
      <c r="Y146" s="383"/>
      <c r="Z146" s="383"/>
    </row>
    <row r="147" spans="1:26" ht="12.75" customHeight="1" x14ac:dyDescent="0.3">
      <c r="A147" s="383"/>
      <c r="B147" s="383"/>
      <c r="C147" s="383"/>
      <c r="D147" s="383"/>
      <c r="E147" s="383"/>
      <c r="F147" s="383"/>
      <c r="G147" s="383"/>
      <c r="H147" s="383"/>
      <c r="I147" s="383"/>
      <c r="J147" s="383"/>
      <c r="K147" s="383"/>
      <c r="L147" s="383"/>
      <c r="M147" s="383"/>
      <c r="N147" s="383"/>
      <c r="O147" s="383"/>
      <c r="P147" s="383"/>
      <c r="Q147" s="383"/>
      <c r="R147" s="383"/>
      <c r="S147" s="383"/>
      <c r="T147" s="383"/>
      <c r="U147" s="383"/>
      <c r="V147" s="383"/>
      <c r="W147" s="383"/>
      <c r="X147" s="383"/>
      <c r="Y147" s="383"/>
      <c r="Z147" s="383"/>
    </row>
    <row r="148" spans="1:26" ht="12.75" customHeight="1" x14ac:dyDescent="0.3">
      <c r="A148" s="383"/>
      <c r="B148" s="383"/>
      <c r="C148" s="383"/>
      <c r="D148" s="383"/>
      <c r="E148" s="383"/>
      <c r="F148" s="383"/>
      <c r="G148" s="383"/>
      <c r="H148" s="383"/>
      <c r="I148" s="383"/>
      <c r="J148" s="383"/>
      <c r="K148" s="383"/>
      <c r="L148" s="383"/>
      <c r="M148" s="383"/>
      <c r="N148" s="383"/>
      <c r="O148" s="383"/>
      <c r="P148" s="383"/>
      <c r="Q148" s="383"/>
      <c r="R148" s="383"/>
      <c r="S148" s="383"/>
      <c r="T148" s="383"/>
      <c r="U148" s="383"/>
      <c r="V148" s="383"/>
      <c r="W148" s="383"/>
      <c r="X148" s="383"/>
      <c r="Y148" s="383"/>
      <c r="Z148" s="383"/>
    </row>
    <row r="149" spans="1:26" ht="12.75" customHeight="1" x14ac:dyDescent="0.3">
      <c r="A149" s="383"/>
      <c r="B149" s="383"/>
      <c r="C149" s="383"/>
      <c r="D149" s="383"/>
      <c r="E149" s="383"/>
      <c r="F149" s="383"/>
      <c r="G149" s="383"/>
      <c r="H149" s="383"/>
      <c r="I149" s="383"/>
      <c r="J149" s="383"/>
      <c r="K149" s="383"/>
      <c r="L149" s="383"/>
      <c r="M149" s="383"/>
      <c r="N149" s="383"/>
      <c r="O149" s="383"/>
      <c r="P149" s="383"/>
      <c r="Q149" s="383"/>
      <c r="R149" s="383"/>
      <c r="S149" s="383"/>
      <c r="T149" s="383"/>
      <c r="U149" s="383"/>
      <c r="V149" s="383"/>
      <c r="W149" s="383"/>
      <c r="X149" s="383"/>
      <c r="Y149" s="383"/>
      <c r="Z149" s="383"/>
    </row>
    <row r="150" spans="1:26" ht="12.75" customHeight="1" x14ac:dyDescent="0.3">
      <c r="A150" s="383"/>
      <c r="B150" s="383"/>
      <c r="C150" s="383"/>
      <c r="D150" s="383"/>
      <c r="E150" s="383"/>
      <c r="F150" s="383"/>
      <c r="G150" s="383"/>
      <c r="H150" s="383"/>
      <c r="I150" s="383"/>
      <c r="J150" s="383"/>
      <c r="K150" s="383"/>
      <c r="L150" s="383"/>
      <c r="M150" s="383"/>
      <c r="N150" s="383"/>
      <c r="O150" s="383"/>
      <c r="P150" s="383"/>
      <c r="Q150" s="383"/>
      <c r="R150" s="383"/>
      <c r="S150" s="383"/>
      <c r="T150" s="383"/>
      <c r="U150" s="383"/>
      <c r="V150" s="383"/>
      <c r="W150" s="383"/>
      <c r="X150" s="383"/>
      <c r="Y150" s="383"/>
      <c r="Z150" s="383"/>
    </row>
    <row r="151" spans="1:26" ht="12.75" customHeight="1" x14ac:dyDescent="0.3">
      <c r="A151" s="383"/>
      <c r="B151" s="383"/>
      <c r="C151" s="383"/>
      <c r="D151" s="383"/>
      <c r="E151" s="383"/>
      <c r="F151" s="383"/>
      <c r="G151" s="383"/>
      <c r="H151" s="383"/>
      <c r="I151" s="383"/>
      <c r="J151" s="383"/>
      <c r="K151" s="383"/>
      <c r="L151" s="383"/>
      <c r="M151" s="383"/>
      <c r="N151" s="383"/>
      <c r="O151" s="383"/>
      <c r="P151" s="383"/>
      <c r="Q151" s="383"/>
      <c r="R151" s="383"/>
      <c r="S151" s="383"/>
      <c r="T151" s="383"/>
      <c r="U151" s="383"/>
      <c r="V151" s="383"/>
      <c r="W151" s="383"/>
      <c r="X151" s="383"/>
      <c r="Y151" s="383"/>
      <c r="Z151" s="383"/>
    </row>
    <row r="152" spans="1:26" ht="12.75" customHeight="1" x14ac:dyDescent="0.3">
      <c r="A152" s="383"/>
      <c r="B152" s="383"/>
      <c r="C152" s="383"/>
      <c r="D152" s="383"/>
      <c r="E152" s="383"/>
      <c r="F152" s="383"/>
      <c r="G152" s="383"/>
      <c r="H152" s="383"/>
      <c r="I152" s="383"/>
      <c r="J152" s="383"/>
      <c r="K152" s="383"/>
      <c r="L152" s="383"/>
      <c r="M152" s="383"/>
      <c r="N152" s="383"/>
      <c r="O152" s="383"/>
      <c r="P152" s="383"/>
      <c r="Q152" s="383"/>
      <c r="R152" s="383"/>
      <c r="S152" s="383"/>
      <c r="T152" s="383"/>
      <c r="U152" s="383"/>
      <c r="V152" s="383"/>
      <c r="W152" s="383"/>
      <c r="X152" s="383"/>
      <c r="Y152" s="383"/>
      <c r="Z152" s="383"/>
    </row>
    <row r="153" spans="1:26" ht="12.75" customHeight="1" x14ac:dyDescent="0.3">
      <c r="A153" s="383"/>
      <c r="B153" s="383"/>
      <c r="C153" s="383"/>
      <c r="D153" s="383"/>
      <c r="E153" s="383"/>
      <c r="F153" s="383"/>
      <c r="G153" s="383"/>
      <c r="H153" s="383"/>
      <c r="I153" s="383"/>
      <c r="J153" s="383"/>
      <c r="K153" s="383"/>
      <c r="L153" s="383"/>
      <c r="M153" s="383"/>
      <c r="N153" s="383"/>
      <c r="O153" s="383"/>
      <c r="P153" s="383"/>
      <c r="Q153" s="383"/>
      <c r="R153" s="383"/>
      <c r="S153" s="383"/>
      <c r="T153" s="383"/>
      <c r="U153" s="383"/>
      <c r="V153" s="383"/>
      <c r="W153" s="383"/>
      <c r="X153" s="383"/>
      <c r="Y153" s="383"/>
      <c r="Z153" s="383"/>
    </row>
    <row r="154" spans="1:26" ht="12.75" customHeight="1" x14ac:dyDescent="0.3">
      <c r="A154" s="383"/>
      <c r="B154" s="383"/>
      <c r="C154" s="383"/>
      <c r="D154" s="383"/>
      <c r="E154" s="383"/>
      <c r="F154" s="383"/>
      <c r="G154" s="383"/>
      <c r="H154" s="383"/>
      <c r="I154" s="383"/>
      <c r="J154" s="383"/>
      <c r="K154" s="383"/>
      <c r="L154" s="383"/>
      <c r="M154" s="383"/>
      <c r="N154" s="383"/>
      <c r="O154" s="383"/>
      <c r="P154" s="383"/>
      <c r="Q154" s="383"/>
      <c r="R154" s="383"/>
      <c r="S154" s="383"/>
      <c r="T154" s="383"/>
      <c r="U154" s="383"/>
      <c r="V154" s="383"/>
      <c r="W154" s="383"/>
      <c r="X154" s="383"/>
      <c r="Y154" s="383"/>
      <c r="Z154" s="383"/>
    </row>
    <row r="155" spans="1:26" ht="12.75" customHeight="1" x14ac:dyDescent="0.3">
      <c r="A155" s="383"/>
      <c r="B155" s="383"/>
      <c r="C155" s="383"/>
      <c r="D155" s="383"/>
      <c r="E155" s="383"/>
      <c r="F155" s="383"/>
      <c r="G155" s="383"/>
      <c r="H155" s="383"/>
      <c r="I155" s="383"/>
      <c r="J155" s="383"/>
      <c r="K155" s="383"/>
      <c r="L155" s="383"/>
      <c r="M155" s="383"/>
      <c r="N155" s="383"/>
      <c r="O155" s="383"/>
      <c r="P155" s="383"/>
      <c r="Q155" s="383"/>
      <c r="R155" s="383"/>
      <c r="S155" s="383"/>
      <c r="T155" s="383"/>
      <c r="U155" s="383"/>
      <c r="V155" s="383"/>
      <c r="W155" s="383"/>
      <c r="X155" s="383"/>
      <c r="Y155" s="383"/>
      <c r="Z155" s="383"/>
    </row>
    <row r="156" spans="1:26" ht="12.75" customHeight="1" x14ac:dyDescent="0.3">
      <c r="A156" s="383"/>
      <c r="B156" s="383"/>
      <c r="C156" s="383"/>
      <c r="D156" s="383"/>
      <c r="E156" s="383"/>
      <c r="F156" s="383"/>
      <c r="G156" s="383"/>
      <c r="H156" s="383"/>
      <c r="I156" s="383"/>
      <c r="J156" s="383"/>
      <c r="K156" s="383"/>
      <c r="L156" s="383"/>
      <c r="M156" s="383"/>
      <c r="N156" s="383"/>
      <c r="O156" s="383"/>
      <c r="P156" s="383"/>
      <c r="Q156" s="383"/>
      <c r="R156" s="383"/>
      <c r="S156" s="383"/>
      <c r="T156" s="383"/>
      <c r="U156" s="383"/>
      <c r="V156" s="383"/>
      <c r="W156" s="383"/>
      <c r="X156" s="383"/>
      <c r="Y156" s="383"/>
      <c r="Z156" s="383"/>
    </row>
    <row r="157" spans="1:26" ht="12.75" customHeight="1" x14ac:dyDescent="0.3">
      <c r="A157" s="383"/>
      <c r="B157" s="383"/>
      <c r="C157" s="383"/>
      <c r="D157" s="383"/>
      <c r="E157" s="383"/>
      <c r="F157" s="383"/>
      <c r="G157" s="383"/>
      <c r="H157" s="383"/>
      <c r="I157" s="383"/>
      <c r="J157" s="383"/>
      <c r="K157" s="383"/>
      <c r="L157" s="383"/>
      <c r="M157" s="383"/>
      <c r="N157" s="383"/>
      <c r="O157" s="383"/>
      <c r="P157" s="383"/>
      <c r="Q157" s="383"/>
      <c r="R157" s="383"/>
      <c r="S157" s="383"/>
      <c r="T157" s="383"/>
      <c r="U157" s="383"/>
      <c r="V157" s="383"/>
      <c r="W157" s="383"/>
      <c r="X157" s="383"/>
      <c r="Y157" s="383"/>
      <c r="Z157" s="383"/>
    </row>
    <row r="158" spans="1:26" ht="12.75" customHeight="1" x14ac:dyDescent="0.3">
      <c r="A158" s="383"/>
      <c r="B158" s="383"/>
      <c r="C158" s="383"/>
      <c r="D158" s="383"/>
      <c r="E158" s="383"/>
      <c r="F158" s="383"/>
      <c r="G158" s="383"/>
      <c r="H158" s="383"/>
      <c r="I158" s="383"/>
      <c r="J158" s="383"/>
      <c r="K158" s="383"/>
      <c r="L158" s="383"/>
      <c r="M158" s="383"/>
      <c r="N158" s="383"/>
      <c r="O158" s="383"/>
      <c r="P158" s="383"/>
      <c r="Q158" s="383"/>
      <c r="R158" s="383"/>
      <c r="S158" s="383"/>
      <c r="T158" s="383"/>
      <c r="U158" s="383"/>
      <c r="V158" s="383"/>
      <c r="W158" s="383"/>
      <c r="X158" s="383"/>
      <c r="Y158" s="383"/>
      <c r="Z158" s="383"/>
    </row>
    <row r="159" spans="1:26" ht="12.75" customHeight="1" x14ac:dyDescent="0.3">
      <c r="A159" s="383"/>
      <c r="B159" s="383"/>
      <c r="C159" s="383"/>
      <c r="D159" s="383"/>
      <c r="E159" s="383"/>
      <c r="F159" s="383"/>
      <c r="G159" s="383"/>
      <c r="H159" s="383"/>
      <c r="I159" s="383"/>
      <c r="J159" s="383"/>
      <c r="K159" s="383"/>
      <c r="L159" s="383"/>
      <c r="M159" s="383"/>
      <c r="N159" s="383"/>
      <c r="O159" s="383"/>
      <c r="P159" s="383"/>
      <c r="Q159" s="383"/>
      <c r="R159" s="383"/>
      <c r="S159" s="383"/>
      <c r="T159" s="383"/>
      <c r="U159" s="383"/>
      <c r="V159" s="383"/>
      <c r="W159" s="383"/>
      <c r="X159" s="383"/>
      <c r="Y159" s="383"/>
      <c r="Z159" s="383"/>
    </row>
    <row r="160" spans="1:26" ht="12.75" customHeight="1" x14ac:dyDescent="0.3">
      <c r="A160" s="383"/>
      <c r="B160" s="383"/>
      <c r="C160" s="383"/>
      <c r="D160" s="383"/>
      <c r="E160" s="383"/>
      <c r="F160" s="383"/>
      <c r="G160" s="383"/>
      <c r="H160" s="383"/>
      <c r="I160" s="383"/>
      <c r="J160" s="383"/>
      <c r="K160" s="383"/>
      <c r="L160" s="383"/>
      <c r="M160" s="383"/>
      <c r="N160" s="383"/>
      <c r="O160" s="383"/>
      <c r="P160" s="383"/>
      <c r="Q160" s="383"/>
      <c r="R160" s="383"/>
      <c r="S160" s="383"/>
      <c r="T160" s="383"/>
      <c r="U160" s="383"/>
      <c r="V160" s="383"/>
      <c r="W160" s="383"/>
      <c r="X160" s="383"/>
      <c r="Y160" s="383"/>
      <c r="Z160" s="383"/>
    </row>
    <row r="161" spans="1:26" ht="12.75" customHeight="1" x14ac:dyDescent="0.3">
      <c r="A161" s="383"/>
      <c r="B161" s="383"/>
      <c r="C161" s="383"/>
      <c r="D161" s="383"/>
      <c r="E161" s="383"/>
      <c r="F161" s="383"/>
      <c r="G161" s="383"/>
      <c r="H161" s="383"/>
      <c r="I161" s="383"/>
      <c r="J161" s="383"/>
      <c r="K161" s="383"/>
      <c r="L161" s="383"/>
      <c r="M161" s="383"/>
      <c r="N161" s="383"/>
      <c r="O161" s="383"/>
      <c r="P161" s="383"/>
      <c r="Q161" s="383"/>
      <c r="R161" s="383"/>
      <c r="S161" s="383"/>
      <c r="T161" s="383"/>
      <c r="U161" s="383"/>
      <c r="V161" s="383"/>
      <c r="W161" s="383"/>
      <c r="X161" s="383"/>
      <c r="Y161" s="383"/>
      <c r="Z161" s="383"/>
    </row>
    <row r="162" spans="1:26" ht="12.75" customHeight="1" x14ac:dyDescent="0.3">
      <c r="A162" s="383"/>
      <c r="B162" s="383"/>
      <c r="C162" s="383"/>
      <c r="D162" s="383"/>
      <c r="E162" s="383"/>
      <c r="F162" s="383"/>
      <c r="G162" s="383"/>
      <c r="H162" s="383"/>
      <c r="I162" s="383"/>
      <c r="J162" s="383"/>
      <c r="K162" s="383"/>
      <c r="L162" s="383"/>
      <c r="M162" s="383"/>
      <c r="N162" s="383"/>
      <c r="O162" s="383"/>
      <c r="P162" s="383"/>
      <c r="Q162" s="383"/>
      <c r="R162" s="383"/>
      <c r="S162" s="383"/>
      <c r="T162" s="383"/>
      <c r="U162" s="383"/>
      <c r="V162" s="383"/>
      <c r="W162" s="383"/>
      <c r="X162" s="383"/>
      <c r="Y162" s="383"/>
      <c r="Z162" s="383"/>
    </row>
    <row r="163" spans="1:26" ht="12.75" customHeight="1" x14ac:dyDescent="0.3">
      <c r="A163" s="383"/>
      <c r="B163" s="383"/>
      <c r="C163" s="383"/>
      <c r="D163" s="383"/>
      <c r="E163" s="383"/>
      <c r="F163" s="383"/>
      <c r="G163" s="383"/>
      <c r="H163" s="383"/>
      <c r="I163" s="383"/>
      <c r="J163" s="383"/>
      <c r="K163" s="383"/>
      <c r="L163" s="383"/>
      <c r="M163" s="383"/>
      <c r="N163" s="383"/>
      <c r="O163" s="383"/>
      <c r="P163" s="383"/>
      <c r="Q163" s="383"/>
      <c r="R163" s="383"/>
      <c r="S163" s="383"/>
      <c r="T163" s="383"/>
      <c r="U163" s="383"/>
      <c r="V163" s="383"/>
      <c r="W163" s="383"/>
      <c r="X163" s="383"/>
      <c r="Y163" s="383"/>
      <c r="Z163" s="383"/>
    </row>
    <row r="164" spans="1:26" ht="12.75" customHeight="1" x14ac:dyDescent="0.3">
      <c r="A164" s="383"/>
      <c r="B164" s="383"/>
      <c r="C164" s="383"/>
      <c r="D164" s="383"/>
      <c r="E164" s="383"/>
      <c r="F164" s="383"/>
      <c r="G164" s="383"/>
      <c r="H164" s="383"/>
      <c r="I164" s="383"/>
      <c r="J164" s="383"/>
      <c r="K164" s="383"/>
      <c r="L164" s="383"/>
      <c r="M164" s="383"/>
      <c r="N164" s="383"/>
      <c r="O164" s="383"/>
      <c r="P164" s="383"/>
      <c r="Q164" s="383"/>
      <c r="R164" s="383"/>
      <c r="S164" s="383"/>
      <c r="T164" s="383"/>
      <c r="U164" s="383"/>
      <c r="V164" s="383"/>
      <c r="W164" s="383"/>
      <c r="X164" s="383"/>
      <c r="Y164" s="383"/>
      <c r="Z164" s="383"/>
    </row>
    <row r="165" spans="1:26" ht="12.75" customHeight="1" x14ac:dyDescent="0.3">
      <c r="A165" s="383"/>
      <c r="B165" s="383"/>
      <c r="C165" s="383"/>
      <c r="D165" s="383"/>
      <c r="E165" s="383"/>
      <c r="F165" s="383"/>
      <c r="G165" s="383"/>
      <c r="H165" s="383"/>
      <c r="I165" s="383"/>
      <c r="J165" s="383"/>
      <c r="K165" s="383"/>
      <c r="L165" s="383"/>
      <c r="M165" s="383"/>
      <c r="N165" s="383"/>
      <c r="O165" s="383"/>
      <c r="P165" s="383"/>
      <c r="Q165" s="383"/>
      <c r="R165" s="383"/>
      <c r="S165" s="383"/>
      <c r="T165" s="383"/>
      <c r="U165" s="383"/>
      <c r="V165" s="383"/>
      <c r="W165" s="383"/>
      <c r="X165" s="383"/>
      <c r="Y165" s="383"/>
      <c r="Z165" s="383"/>
    </row>
    <row r="166" spans="1:26" ht="12.75" customHeight="1" x14ac:dyDescent="0.3">
      <c r="A166" s="383"/>
      <c r="B166" s="383"/>
      <c r="C166" s="383"/>
      <c r="D166" s="383"/>
      <c r="E166" s="383"/>
      <c r="F166" s="383"/>
      <c r="G166" s="383"/>
      <c r="H166" s="383"/>
      <c r="I166" s="383"/>
      <c r="J166" s="383"/>
      <c r="K166" s="383"/>
      <c r="L166" s="383"/>
      <c r="M166" s="383"/>
      <c r="N166" s="383"/>
      <c r="O166" s="383"/>
      <c r="P166" s="383"/>
      <c r="Q166" s="383"/>
      <c r="R166" s="383"/>
      <c r="S166" s="383"/>
      <c r="T166" s="383"/>
      <c r="U166" s="383"/>
      <c r="V166" s="383"/>
      <c r="W166" s="383"/>
      <c r="X166" s="383"/>
      <c r="Y166" s="383"/>
      <c r="Z166" s="383"/>
    </row>
    <row r="167" spans="1:26" ht="12.75" customHeight="1" x14ac:dyDescent="0.3">
      <c r="A167" s="383"/>
      <c r="B167" s="383"/>
      <c r="C167" s="383"/>
      <c r="D167" s="383"/>
      <c r="E167" s="383"/>
      <c r="F167" s="383"/>
      <c r="G167" s="383"/>
      <c r="H167" s="383"/>
      <c r="I167" s="383"/>
      <c r="J167" s="383"/>
      <c r="K167" s="383"/>
      <c r="L167" s="383"/>
      <c r="M167" s="383"/>
      <c r="N167" s="383"/>
      <c r="O167" s="383"/>
      <c r="P167" s="383"/>
      <c r="Q167" s="383"/>
      <c r="R167" s="383"/>
      <c r="S167" s="383"/>
      <c r="T167" s="383"/>
      <c r="U167" s="383"/>
      <c r="V167" s="383"/>
      <c r="W167" s="383"/>
      <c r="X167" s="383"/>
      <c r="Y167" s="383"/>
      <c r="Z167" s="383"/>
    </row>
    <row r="168" spans="1:26" ht="12.75" customHeight="1" x14ac:dyDescent="0.3">
      <c r="A168" s="383"/>
      <c r="B168" s="383"/>
      <c r="C168" s="383"/>
      <c r="D168" s="383"/>
      <c r="E168" s="383"/>
      <c r="F168" s="383"/>
      <c r="G168" s="383"/>
      <c r="H168" s="383"/>
      <c r="I168" s="383"/>
      <c r="J168" s="383"/>
      <c r="K168" s="383"/>
      <c r="L168" s="383"/>
      <c r="M168" s="383"/>
      <c r="N168" s="383"/>
      <c r="O168" s="383"/>
      <c r="P168" s="383"/>
      <c r="Q168" s="383"/>
      <c r="R168" s="383"/>
      <c r="S168" s="383"/>
      <c r="T168" s="383"/>
      <c r="U168" s="383"/>
      <c r="V168" s="383"/>
      <c r="W168" s="383"/>
      <c r="X168" s="383"/>
      <c r="Y168" s="383"/>
      <c r="Z168" s="383"/>
    </row>
    <row r="169" spans="1:26" ht="12.75" customHeight="1" x14ac:dyDescent="0.3">
      <c r="A169" s="383"/>
      <c r="B169" s="383"/>
      <c r="C169" s="383"/>
      <c r="D169" s="383"/>
      <c r="E169" s="383"/>
      <c r="F169" s="383"/>
      <c r="G169" s="383"/>
      <c r="H169" s="383"/>
      <c r="I169" s="383"/>
      <c r="J169" s="383"/>
      <c r="K169" s="383"/>
      <c r="L169" s="383"/>
      <c r="M169" s="383"/>
      <c r="N169" s="383"/>
      <c r="O169" s="383"/>
      <c r="P169" s="383"/>
      <c r="Q169" s="383"/>
      <c r="R169" s="383"/>
      <c r="S169" s="383"/>
      <c r="T169" s="383"/>
      <c r="U169" s="383"/>
      <c r="V169" s="383"/>
      <c r="W169" s="383"/>
      <c r="X169" s="383"/>
      <c r="Y169" s="383"/>
      <c r="Z169" s="383"/>
    </row>
    <row r="170" spans="1:26" ht="12.75" customHeight="1" x14ac:dyDescent="0.3">
      <c r="A170" s="383"/>
      <c r="B170" s="383"/>
      <c r="C170" s="383"/>
      <c r="D170" s="383"/>
      <c r="E170" s="383"/>
      <c r="F170" s="383"/>
      <c r="G170" s="383"/>
      <c r="H170" s="383"/>
      <c r="I170" s="383"/>
      <c r="J170" s="383"/>
      <c r="K170" s="383"/>
      <c r="L170" s="383"/>
      <c r="M170" s="383"/>
      <c r="N170" s="383"/>
      <c r="O170" s="383"/>
      <c r="P170" s="383"/>
      <c r="Q170" s="383"/>
      <c r="R170" s="383"/>
      <c r="S170" s="383"/>
      <c r="T170" s="383"/>
      <c r="U170" s="383"/>
      <c r="V170" s="383"/>
      <c r="W170" s="383"/>
      <c r="X170" s="383"/>
      <c r="Y170" s="383"/>
      <c r="Z170" s="383"/>
    </row>
    <row r="171" spans="1:26" ht="12.75" customHeight="1" x14ac:dyDescent="0.3">
      <c r="A171" s="383"/>
      <c r="B171" s="383"/>
      <c r="C171" s="383"/>
      <c r="D171" s="383"/>
      <c r="E171" s="383"/>
      <c r="F171" s="383"/>
      <c r="G171" s="383"/>
      <c r="H171" s="383"/>
      <c r="I171" s="383"/>
      <c r="J171" s="383"/>
      <c r="K171" s="383"/>
      <c r="L171" s="383"/>
      <c r="M171" s="383"/>
      <c r="N171" s="383"/>
      <c r="O171" s="383"/>
      <c r="P171" s="383"/>
      <c r="Q171" s="383"/>
      <c r="R171" s="383"/>
      <c r="S171" s="383"/>
      <c r="T171" s="383"/>
      <c r="U171" s="383"/>
      <c r="V171" s="383"/>
      <c r="W171" s="383"/>
      <c r="X171" s="383"/>
      <c r="Y171" s="383"/>
      <c r="Z171" s="383"/>
    </row>
    <row r="172" spans="1:26" ht="12.75" customHeight="1" x14ac:dyDescent="0.3">
      <c r="A172" s="383"/>
      <c r="B172" s="383"/>
      <c r="C172" s="383"/>
      <c r="D172" s="383"/>
      <c r="E172" s="383"/>
      <c r="F172" s="383"/>
      <c r="G172" s="383"/>
      <c r="H172" s="383"/>
      <c r="I172" s="383"/>
      <c r="J172" s="383"/>
      <c r="K172" s="383"/>
      <c r="L172" s="383"/>
      <c r="M172" s="383"/>
      <c r="N172" s="383"/>
      <c r="O172" s="383"/>
      <c r="P172" s="383"/>
      <c r="Q172" s="383"/>
      <c r="R172" s="383"/>
      <c r="S172" s="383"/>
      <c r="T172" s="383"/>
      <c r="U172" s="383"/>
      <c r="V172" s="383"/>
      <c r="W172" s="383"/>
      <c r="X172" s="383"/>
      <c r="Y172" s="383"/>
      <c r="Z172" s="383"/>
    </row>
    <row r="173" spans="1:26" ht="12.75" customHeight="1" x14ac:dyDescent="0.3">
      <c r="A173" s="383"/>
      <c r="B173" s="383"/>
      <c r="C173" s="383"/>
      <c r="D173" s="383"/>
      <c r="E173" s="383"/>
      <c r="F173" s="383"/>
      <c r="G173" s="383"/>
      <c r="H173" s="383"/>
      <c r="I173" s="383"/>
      <c r="J173" s="383"/>
      <c r="K173" s="383"/>
      <c r="L173" s="383"/>
      <c r="M173" s="383"/>
      <c r="N173" s="383"/>
      <c r="O173" s="383"/>
      <c r="P173" s="383"/>
      <c r="Q173" s="383"/>
      <c r="R173" s="383"/>
      <c r="S173" s="383"/>
      <c r="T173" s="383"/>
      <c r="U173" s="383"/>
      <c r="V173" s="383"/>
      <c r="W173" s="383"/>
      <c r="X173" s="383"/>
      <c r="Y173" s="383"/>
      <c r="Z173" s="383"/>
    </row>
    <row r="174" spans="1:26" ht="12.75" customHeight="1" x14ac:dyDescent="0.3">
      <c r="A174" s="383"/>
      <c r="B174" s="383"/>
      <c r="C174" s="383"/>
      <c r="D174" s="383"/>
      <c r="E174" s="383"/>
      <c r="F174" s="383"/>
      <c r="G174" s="383"/>
      <c r="H174" s="383"/>
      <c r="I174" s="383"/>
      <c r="J174" s="383"/>
      <c r="K174" s="383"/>
      <c r="L174" s="383"/>
      <c r="M174" s="383"/>
      <c r="N174" s="383"/>
      <c r="O174" s="383"/>
      <c r="P174" s="383"/>
      <c r="Q174" s="383"/>
      <c r="R174" s="383"/>
      <c r="S174" s="383"/>
      <c r="T174" s="383"/>
      <c r="U174" s="383"/>
      <c r="V174" s="383"/>
      <c r="W174" s="383"/>
      <c r="X174" s="383"/>
      <c r="Y174" s="383"/>
      <c r="Z174" s="383"/>
    </row>
    <row r="175" spans="1:26" ht="12.75" customHeight="1" x14ac:dyDescent="0.3">
      <c r="A175" s="383"/>
      <c r="B175" s="383"/>
      <c r="C175" s="383"/>
      <c r="D175" s="383"/>
      <c r="E175" s="383"/>
      <c r="F175" s="383"/>
      <c r="G175" s="383"/>
      <c r="H175" s="383"/>
      <c r="I175" s="383"/>
      <c r="J175" s="383"/>
      <c r="K175" s="383"/>
      <c r="L175" s="383"/>
      <c r="M175" s="383"/>
      <c r="N175" s="383"/>
      <c r="O175" s="383"/>
      <c r="P175" s="383"/>
      <c r="Q175" s="383"/>
      <c r="R175" s="383"/>
      <c r="S175" s="383"/>
      <c r="T175" s="383"/>
      <c r="U175" s="383"/>
      <c r="V175" s="383"/>
      <c r="W175" s="383"/>
      <c r="X175" s="383"/>
      <c r="Y175" s="383"/>
      <c r="Z175" s="383"/>
    </row>
    <row r="176" spans="1:26" ht="12.75" customHeight="1" x14ac:dyDescent="0.3">
      <c r="A176" s="383"/>
      <c r="B176" s="383"/>
      <c r="C176" s="383"/>
      <c r="D176" s="383"/>
      <c r="E176" s="383"/>
      <c r="F176" s="383"/>
      <c r="G176" s="383"/>
      <c r="H176" s="383"/>
      <c r="I176" s="383"/>
      <c r="J176" s="383"/>
      <c r="K176" s="383"/>
      <c r="L176" s="383"/>
      <c r="M176" s="383"/>
      <c r="N176" s="383"/>
      <c r="O176" s="383"/>
      <c r="P176" s="383"/>
      <c r="Q176" s="383"/>
      <c r="R176" s="383"/>
      <c r="S176" s="383"/>
      <c r="T176" s="383"/>
      <c r="U176" s="383"/>
      <c r="V176" s="383"/>
      <c r="W176" s="383"/>
      <c r="X176" s="383"/>
      <c r="Y176" s="383"/>
      <c r="Z176" s="383"/>
    </row>
    <row r="177" spans="1:26" ht="12.75" customHeight="1" x14ac:dyDescent="0.3">
      <c r="A177" s="383"/>
      <c r="B177" s="383"/>
      <c r="C177" s="383"/>
      <c r="D177" s="383"/>
      <c r="E177" s="383"/>
      <c r="F177" s="383"/>
      <c r="G177" s="383"/>
      <c r="H177" s="383"/>
      <c r="I177" s="383"/>
      <c r="J177" s="383"/>
      <c r="K177" s="383"/>
      <c r="L177" s="383"/>
      <c r="M177" s="383"/>
      <c r="N177" s="383"/>
      <c r="O177" s="383"/>
      <c r="P177" s="383"/>
      <c r="Q177" s="383"/>
      <c r="R177" s="383"/>
      <c r="S177" s="383"/>
      <c r="T177" s="383"/>
      <c r="U177" s="383"/>
      <c r="V177" s="383"/>
      <c r="W177" s="383"/>
      <c r="X177" s="383"/>
      <c r="Y177" s="383"/>
      <c r="Z177" s="383"/>
    </row>
    <row r="178" spans="1:26" ht="12.75" customHeight="1" x14ac:dyDescent="0.3">
      <c r="A178" s="383"/>
      <c r="B178" s="383"/>
      <c r="C178" s="383"/>
      <c r="D178" s="383"/>
      <c r="E178" s="383"/>
      <c r="F178" s="383"/>
      <c r="G178" s="383"/>
      <c r="H178" s="383"/>
      <c r="I178" s="383"/>
      <c r="J178" s="383"/>
      <c r="K178" s="383"/>
      <c r="L178" s="383"/>
      <c r="M178" s="383"/>
      <c r="N178" s="383"/>
      <c r="O178" s="383"/>
      <c r="P178" s="383"/>
      <c r="Q178" s="383"/>
      <c r="R178" s="383"/>
      <c r="S178" s="383"/>
      <c r="T178" s="383"/>
      <c r="U178" s="383"/>
      <c r="V178" s="383"/>
      <c r="W178" s="383"/>
      <c r="X178" s="383"/>
      <c r="Y178" s="383"/>
      <c r="Z178" s="383"/>
    </row>
    <row r="179" spans="1:26" ht="12.75" customHeight="1" x14ac:dyDescent="0.3">
      <c r="A179" s="383"/>
      <c r="B179" s="383"/>
      <c r="C179" s="383"/>
      <c r="D179" s="383"/>
      <c r="E179" s="383"/>
      <c r="F179" s="383"/>
      <c r="G179" s="383"/>
      <c r="H179" s="383"/>
      <c r="I179" s="383"/>
      <c r="J179" s="383"/>
      <c r="K179" s="383"/>
      <c r="L179" s="383"/>
      <c r="M179" s="383"/>
      <c r="N179" s="383"/>
      <c r="O179" s="383"/>
      <c r="P179" s="383"/>
      <c r="Q179" s="383"/>
      <c r="R179" s="383"/>
      <c r="S179" s="383"/>
      <c r="T179" s="383"/>
      <c r="U179" s="383"/>
      <c r="V179" s="383"/>
      <c r="W179" s="383"/>
      <c r="X179" s="383"/>
      <c r="Y179" s="383"/>
      <c r="Z179" s="383"/>
    </row>
    <row r="180" spans="1:26" ht="12.75" customHeight="1" x14ac:dyDescent="0.3">
      <c r="A180" s="383"/>
      <c r="B180" s="383"/>
      <c r="C180" s="383"/>
      <c r="D180" s="383"/>
      <c r="E180" s="383"/>
      <c r="F180" s="383"/>
      <c r="G180" s="383"/>
      <c r="H180" s="383"/>
      <c r="I180" s="383"/>
      <c r="J180" s="383"/>
      <c r="K180" s="383"/>
      <c r="L180" s="383"/>
      <c r="M180" s="383"/>
      <c r="N180" s="383"/>
      <c r="O180" s="383"/>
      <c r="P180" s="383"/>
      <c r="Q180" s="383"/>
      <c r="R180" s="383"/>
      <c r="S180" s="383"/>
      <c r="T180" s="383"/>
      <c r="U180" s="383"/>
      <c r="V180" s="383"/>
      <c r="W180" s="383"/>
      <c r="X180" s="383"/>
      <c r="Y180" s="383"/>
      <c r="Z180" s="383"/>
    </row>
    <row r="181" spans="1:26" ht="12.75" customHeight="1" x14ac:dyDescent="0.3">
      <c r="A181" s="383"/>
      <c r="B181" s="383"/>
      <c r="C181" s="383"/>
      <c r="D181" s="383"/>
      <c r="E181" s="383"/>
      <c r="F181" s="383"/>
      <c r="G181" s="383"/>
      <c r="H181" s="383"/>
      <c r="I181" s="383"/>
      <c r="J181" s="383"/>
      <c r="K181" s="383"/>
      <c r="L181" s="383"/>
      <c r="M181" s="383"/>
      <c r="N181" s="383"/>
      <c r="O181" s="383"/>
      <c r="P181" s="383"/>
      <c r="Q181" s="383"/>
      <c r="R181" s="383"/>
      <c r="S181" s="383"/>
      <c r="T181" s="383"/>
      <c r="U181" s="383"/>
      <c r="V181" s="383"/>
      <c r="W181" s="383"/>
      <c r="X181" s="383"/>
      <c r="Y181" s="383"/>
      <c r="Z181" s="383"/>
    </row>
    <row r="182" spans="1:26" ht="12.75" customHeight="1" x14ac:dyDescent="0.3">
      <c r="A182" s="383"/>
      <c r="B182" s="383"/>
      <c r="C182" s="383"/>
      <c r="D182" s="383"/>
      <c r="E182" s="383"/>
      <c r="F182" s="383"/>
      <c r="G182" s="383"/>
      <c r="H182" s="383"/>
      <c r="I182" s="383"/>
      <c r="J182" s="383"/>
      <c r="K182" s="383"/>
      <c r="L182" s="383"/>
      <c r="M182" s="383"/>
      <c r="N182" s="383"/>
      <c r="O182" s="383"/>
      <c r="P182" s="383"/>
      <c r="Q182" s="383"/>
      <c r="R182" s="383"/>
      <c r="S182" s="383"/>
      <c r="T182" s="383"/>
      <c r="U182" s="383"/>
      <c r="V182" s="383"/>
      <c r="W182" s="383"/>
      <c r="X182" s="383"/>
      <c r="Y182" s="383"/>
      <c r="Z182" s="383"/>
    </row>
    <row r="183" spans="1:26" ht="12.75" customHeight="1" x14ac:dyDescent="0.3">
      <c r="A183" s="383"/>
      <c r="B183" s="383"/>
      <c r="C183" s="383"/>
      <c r="D183" s="383"/>
      <c r="E183" s="383"/>
      <c r="F183" s="383"/>
      <c r="G183" s="383"/>
      <c r="H183" s="383"/>
      <c r="I183" s="383"/>
      <c r="J183" s="383"/>
      <c r="K183" s="383"/>
      <c r="L183" s="383"/>
      <c r="M183" s="383"/>
      <c r="N183" s="383"/>
      <c r="O183" s="383"/>
      <c r="P183" s="383"/>
      <c r="Q183" s="383"/>
      <c r="R183" s="383"/>
      <c r="S183" s="383"/>
      <c r="T183" s="383"/>
      <c r="U183" s="383"/>
      <c r="V183" s="383"/>
      <c r="W183" s="383"/>
      <c r="X183" s="383"/>
      <c r="Y183" s="383"/>
      <c r="Z183" s="383"/>
    </row>
    <row r="184" spans="1:26" ht="12.75" customHeight="1" x14ac:dyDescent="0.3">
      <c r="A184" s="383"/>
      <c r="B184" s="383"/>
      <c r="C184" s="383"/>
      <c r="D184" s="383"/>
      <c r="E184" s="383"/>
      <c r="F184" s="383"/>
      <c r="G184" s="383"/>
      <c r="H184" s="383"/>
      <c r="I184" s="383"/>
      <c r="J184" s="383"/>
      <c r="K184" s="383"/>
      <c r="L184" s="383"/>
      <c r="M184" s="383"/>
      <c r="N184" s="383"/>
      <c r="O184" s="383"/>
      <c r="P184" s="383"/>
      <c r="Q184" s="383"/>
      <c r="R184" s="383"/>
      <c r="S184" s="383"/>
      <c r="T184" s="383"/>
      <c r="U184" s="383"/>
      <c r="V184" s="383"/>
      <c r="W184" s="383"/>
      <c r="X184" s="383"/>
      <c r="Y184" s="383"/>
      <c r="Z184" s="383"/>
    </row>
    <row r="185" spans="1:26" ht="12.75" customHeight="1" x14ac:dyDescent="0.3">
      <c r="A185" s="383"/>
      <c r="B185" s="383"/>
      <c r="C185" s="383"/>
      <c r="D185" s="383"/>
      <c r="E185" s="383"/>
      <c r="F185" s="383"/>
      <c r="G185" s="383"/>
      <c r="H185" s="383"/>
      <c r="I185" s="383"/>
      <c r="J185" s="383"/>
      <c r="K185" s="383"/>
      <c r="L185" s="383"/>
      <c r="M185" s="383"/>
      <c r="N185" s="383"/>
      <c r="O185" s="383"/>
      <c r="P185" s="383"/>
      <c r="Q185" s="383"/>
      <c r="R185" s="383"/>
      <c r="S185" s="383"/>
      <c r="T185" s="383"/>
      <c r="U185" s="383"/>
      <c r="V185" s="383"/>
      <c r="W185" s="383"/>
      <c r="X185" s="383"/>
      <c r="Y185" s="383"/>
      <c r="Z185" s="383"/>
    </row>
    <row r="186" spans="1:26" ht="12.75" customHeight="1" x14ac:dyDescent="0.3">
      <c r="A186" s="383"/>
      <c r="B186" s="383"/>
      <c r="C186" s="383"/>
      <c r="D186" s="383"/>
      <c r="E186" s="383"/>
      <c r="F186" s="383"/>
      <c r="G186" s="383"/>
      <c r="H186" s="383"/>
      <c r="I186" s="383"/>
      <c r="J186" s="383"/>
      <c r="K186" s="383"/>
      <c r="L186" s="383"/>
      <c r="M186" s="383"/>
      <c r="N186" s="383"/>
      <c r="O186" s="383"/>
      <c r="P186" s="383"/>
      <c r="Q186" s="383"/>
      <c r="R186" s="383"/>
      <c r="S186" s="383"/>
      <c r="T186" s="383"/>
      <c r="U186" s="383"/>
      <c r="V186" s="383"/>
      <c r="W186" s="383"/>
      <c r="X186" s="383"/>
      <c r="Y186" s="383"/>
      <c r="Z186" s="383"/>
    </row>
    <row r="187" spans="1:26" ht="12.75" customHeight="1" x14ac:dyDescent="0.3">
      <c r="A187" s="383"/>
      <c r="B187" s="383"/>
      <c r="C187" s="383"/>
      <c r="D187" s="383"/>
      <c r="E187" s="383"/>
      <c r="F187" s="383"/>
      <c r="G187" s="383"/>
      <c r="H187" s="383"/>
      <c r="I187" s="383"/>
      <c r="J187" s="383"/>
      <c r="K187" s="383"/>
      <c r="L187" s="383"/>
      <c r="M187" s="383"/>
      <c r="N187" s="383"/>
      <c r="O187" s="383"/>
      <c r="P187" s="383"/>
      <c r="Q187" s="383"/>
      <c r="R187" s="383"/>
      <c r="S187" s="383"/>
      <c r="T187" s="383"/>
      <c r="U187" s="383"/>
      <c r="V187" s="383"/>
      <c r="W187" s="383"/>
      <c r="X187" s="383"/>
      <c r="Y187" s="383"/>
      <c r="Z187" s="383"/>
    </row>
    <row r="188" spans="1:26" ht="12.75" customHeight="1" x14ac:dyDescent="0.3">
      <c r="A188" s="383"/>
      <c r="B188" s="383"/>
      <c r="C188" s="383"/>
      <c r="D188" s="383"/>
      <c r="E188" s="383"/>
      <c r="F188" s="383"/>
      <c r="G188" s="383"/>
      <c r="H188" s="383"/>
      <c r="I188" s="383"/>
      <c r="J188" s="383"/>
      <c r="K188" s="383"/>
      <c r="L188" s="383"/>
      <c r="M188" s="383"/>
      <c r="N188" s="383"/>
      <c r="O188" s="383"/>
      <c r="P188" s="383"/>
      <c r="Q188" s="383"/>
      <c r="R188" s="383"/>
      <c r="S188" s="383"/>
      <c r="T188" s="383"/>
      <c r="U188" s="383"/>
      <c r="V188" s="383"/>
      <c r="W188" s="383"/>
      <c r="X188" s="383"/>
      <c r="Y188" s="383"/>
      <c r="Z188" s="383"/>
    </row>
    <row r="189" spans="1:26" ht="12.75" customHeight="1" x14ac:dyDescent="0.3">
      <c r="A189" s="383"/>
      <c r="B189" s="383"/>
      <c r="C189" s="383"/>
      <c r="D189" s="383"/>
      <c r="E189" s="383"/>
      <c r="F189" s="383"/>
      <c r="G189" s="383"/>
      <c r="H189" s="383"/>
      <c r="I189" s="383"/>
      <c r="J189" s="383"/>
      <c r="K189" s="383"/>
      <c r="L189" s="383"/>
      <c r="M189" s="383"/>
      <c r="N189" s="383"/>
      <c r="O189" s="383"/>
      <c r="P189" s="383"/>
      <c r="Q189" s="383"/>
      <c r="R189" s="383"/>
      <c r="S189" s="383"/>
      <c r="T189" s="383"/>
      <c r="U189" s="383"/>
      <c r="V189" s="383"/>
      <c r="W189" s="383"/>
      <c r="X189" s="383"/>
      <c r="Y189" s="383"/>
      <c r="Z189" s="383"/>
    </row>
    <row r="190" spans="1:26" ht="12.75" customHeight="1" x14ac:dyDescent="0.3">
      <c r="A190" s="383"/>
      <c r="B190" s="383"/>
      <c r="C190" s="383"/>
      <c r="D190" s="383"/>
      <c r="E190" s="383"/>
      <c r="F190" s="383"/>
      <c r="G190" s="383"/>
      <c r="H190" s="383"/>
      <c r="I190" s="383"/>
      <c r="J190" s="383"/>
      <c r="K190" s="383"/>
      <c r="L190" s="383"/>
      <c r="M190" s="383"/>
      <c r="N190" s="383"/>
      <c r="O190" s="383"/>
      <c r="P190" s="383"/>
      <c r="Q190" s="383"/>
      <c r="R190" s="383"/>
      <c r="S190" s="383"/>
      <c r="T190" s="383"/>
      <c r="U190" s="383"/>
      <c r="V190" s="383"/>
      <c r="W190" s="383"/>
      <c r="X190" s="383"/>
      <c r="Y190" s="383"/>
      <c r="Z190" s="383"/>
    </row>
    <row r="191" spans="1:26" ht="12.75" customHeight="1" x14ac:dyDescent="0.3">
      <c r="A191" s="383"/>
      <c r="B191" s="383"/>
      <c r="C191" s="383"/>
      <c r="D191" s="383"/>
      <c r="E191" s="383"/>
      <c r="F191" s="383"/>
      <c r="G191" s="383"/>
      <c r="H191" s="383"/>
      <c r="I191" s="383"/>
      <c r="J191" s="383"/>
      <c r="K191" s="383"/>
      <c r="L191" s="383"/>
      <c r="M191" s="383"/>
      <c r="N191" s="383"/>
      <c r="O191" s="383"/>
      <c r="P191" s="383"/>
      <c r="Q191" s="383"/>
      <c r="R191" s="383"/>
      <c r="S191" s="383"/>
      <c r="T191" s="383"/>
      <c r="U191" s="383"/>
      <c r="V191" s="383"/>
      <c r="W191" s="383"/>
      <c r="X191" s="383"/>
      <c r="Y191" s="383"/>
      <c r="Z191" s="383"/>
    </row>
    <row r="192" spans="1:26" ht="12.75" customHeight="1" x14ac:dyDescent="0.3">
      <c r="A192" s="383"/>
      <c r="B192" s="383"/>
      <c r="C192" s="383"/>
      <c r="D192" s="383"/>
      <c r="E192" s="383"/>
      <c r="F192" s="383"/>
      <c r="G192" s="383"/>
      <c r="H192" s="383"/>
      <c r="I192" s="383"/>
      <c r="J192" s="383"/>
      <c r="K192" s="383"/>
      <c r="L192" s="383"/>
      <c r="M192" s="383"/>
      <c r="N192" s="383"/>
      <c r="O192" s="383"/>
      <c r="P192" s="383"/>
      <c r="Q192" s="383"/>
      <c r="R192" s="383"/>
      <c r="S192" s="383"/>
      <c r="T192" s="383"/>
      <c r="U192" s="383"/>
      <c r="V192" s="383"/>
      <c r="W192" s="383"/>
      <c r="X192" s="383"/>
      <c r="Y192" s="383"/>
      <c r="Z192" s="383"/>
    </row>
    <row r="193" spans="1:26" ht="12.75" customHeight="1" x14ac:dyDescent="0.3">
      <c r="A193" s="383"/>
      <c r="B193" s="383"/>
      <c r="C193" s="383"/>
      <c r="D193" s="383"/>
      <c r="E193" s="383"/>
      <c r="F193" s="383"/>
      <c r="G193" s="383"/>
      <c r="H193" s="383"/>
      <c r="I193" s="383"/>
      <c r="J193" s="383"/>
      <c r="K193" s="383"/>
      <c r="L193" s="383"/>
      <c r="M193" s="383"/>
      <c r="N193" s="383"/>
      <c r="O193" s="383"/>
      <c r="P193" s="383"/>
      <c r="Q193" s="383"/>
      <c r="R193" s="383"/>
      <c r="S193" s="383"/>
      <c r="T193" s="383"/>
      <c r="U193" s="383"/>
      <c r="V193" s="383"/>
      <c r="W193" s="383"/>
      <c r="X193" s="383"/>
      <c r="Y193" s="383"/>
      <c r="Z193" s="383"/>
    </row>
    <row r="194" spans="1:26" ht="12.75" customHeight="1" x14ac:dyDescent="0.3">
      <c r="A194" s="383"/>
      <c r="B194" s="383"/>
      <c r="C194" s="383"/>
      <c r="D194" s="383"/>
      <c r="E194" s="383"/>
      <c r="F194" s="383"/>
      <c r="G194" s="383"/>
      <c r="H194" s="383"/>
      <c r="I194" s="383"/>
      <c r="J194" s="383"/>
      <c r="K194" s="383"/>
      <c r="L194" s="383"/>
      <c r="M194" s="383"/>
      <c r="N194" s="383"/>
      <c r="O194" s="383"/>
      <c r="P194" s="383"/>
      <c r="Q194" s="383"/>
      <c r="R194" s="383"/>
      <c r="S194" s="383"/>
      <c r="T194" s="383"/>
      <c r="U194" s="383"/>
      <c r="V194" s="383"/>
      <c r="W194" s="383"/>
      <c r="X194" s="383"/>
      <c r="Y194" s="383"/>
      <c r="Z194" s="383"/>
    </row>
    <row r="195" spans="1:26" ht="12.75" customHeight="1" x14ac:dyDescent="0.3">
      <c r="A195" s="383"/>
      <c r="B195" s="383"/>
      <c r="C195" s="383"/>
      <c r="D195" s="383"/>
      <c r="E195" s="383"/>
      <c r="F195" s="383"/>
      <c r="G195" s="383"/>
      <c r="H195" s="383"/>
      <c r="I195" s="383"/>
      <c r="J195" s="383"/>
      <c r="K195" s="383"/>
      <c r="L195" s="383"/>
      <c r="M195" s="383"/>
      <c r="N195" s="383"/>
      <c r="O195" s="383"/>
      <c r="P195" s="383"/>
      <c r="Q195" s="383"/>
      <c r="R195" s="383"/>
      <c r="S195" s="383"/>
      <c r="T195" s="383"/>
      <c r="U195" s="383"/>
      <c r="V195" s="383"/>
      <c r="W195" s="383"/>
      <c r="X195" s="383"/>
      <c r="Y195" s="383"/>
      <c r="Z195" s="383"/>
    </row>
    <row r="196" spans="1:26" ht="12.75" customHeight="1" x14ac:dyDescent="0.3">
      <c r="A196" s="383"/>
      <c r="B196" s="383"/>
      <c r="C196" s="383"/>
      <c r="D196" s="383"/>
      <c r="E196" s="383"/>
      <c r="F196" s="383"/>
      <c r="G196" s="383"/>
      <c r="H196" s="383"/>
      <c r="I196" s="383"/>
      <c r="J196" s="383"/>
      <c r="K196" s="383"/>
      <c r="L196" s="383"/>
      <c r="M196" s="383"/>
      <c r="N196" s="383"/>
      <c r="O196" s="383"/>
      <c r="P196" s="383"/>
      <c r="Q196" s="383"/>
      <c r="R196" s="383"/>
      <c r="S196" s="383"/>
      <c r="T196" s="383"/>
      <c r="U196" s="383"/>
      <c r="V196" s="383"/>
      <c r="W196" s="383"/>
      <c r="X196" s="383"/>
      <c r="Y196" s="383"/>
      <c r="Z196" s="383"/>
    </row>
    <row r="197" spans="1:26" ht="12.75" customHeight="1" x14ac:dyDescent="0.3">
      <c r="A197" s="383"/>
      <c r="B197" s="383"/>
      <c r="C197" s="383"/>
      <c r="D197" s="383"/>
      <c r="E197" s="383"/>
      <c r="F197" s="383"/>
      <c r="G197" s="383"/>
      <c r="H197" s="383"/>
      <c r="I197" s="383"/>
      <c r="J197" s="383"/>
      <c r="K197" s="383"/>
      <c r="L197" s="383"/>
      <c r="M197" s="383"/>
      <c r="N197" s="383"/>
      <c r="O197" s="383"/>
      <c r="P197" s="383"/>
      <c r="Q197" s="383"/>
      <c r="R197" s="383"/>
      <c r="S197" s="383"/>
      <c r="T197" s="383"/>
      <c r="U197" s="383"/>
      <c r="V197" s="383"/>
      <c r="W197" s="383"/>
      <c r="X197" s="383"/>
      <c r="Y197" s="383"/>
      <c r="Z197" s="383"/>
    </row>
    <row r="198" spans="1:26" ht="12.75" customHeight="1" x14ac:dyDescent="0.3">
      <c r="A198" s="383"/>
      <c r="B198" s="383"/>
      <c r="C198" s="383"/>
      <c r="D198" s="383"/>
      <c r="E198" s="383"/>
      <c r="F198" s="383"/>
      <c r="G198" s="383"/>
      <c r="H198" s="383"/>
      <c r="I198" s="383"/>
      <c r="J198" s="383"/>
      <c r="K198" s="383"/>
      <c r="L198" s="383"/>
      <c r="M198" s="383"/>
      <c r="N198" s="383"/>
      <c r="O198" s="383"/>
      <c r="P198" s="383"/>
      <c r="Q198" s="383"/>
      <c r="R198" s="383"/>
      <c r="S198" s="383"/>
      <c r="T198" s="383"/>
      <c r="U198" s="383"/>
      <c r="V198" s="383"/>
      <c r="W198" s="383"/>
      <c r="X198" s="383"/>
      <c r="Y198" s="383"/>
      <c r="Z198" s="383"/>
    </row>
    <row r="199" spans="1:26" ht="12.75" customHeight="1" x14ac:dyDescent="0.3">
      <c r="A199" s="383"/>
      <c r="B199" s="383"/>
      <c r="C199" s="383"/>
      <c r="D199" s="383"/>
      <c r="E199" s="383"/>
      <c r="F199" s="383"/>
      <c r="G199" s="383"/>
      <c r="H199" s="383"/>
      <c r="I199" s="383"/>
      <c r="J199" s="383"/>
      <c r="K199" s="383"/>
      <c r="L199" s="383"/>
      <c r="M199" s="383"/>
      <c r="N199" s="383"/>
      <c r="O199" s="383"/>
      <c r="P199" s="383"/>
      <c r="Q199" s="383"/>
      <c r="R199" s="383"/>
      <c r="S199" s="383"/>
      <c r="T199" s="383"/>
      <c r="U199" s="383"/>
      <c r="V199" s="383"/>
      <c r="W199" s="383"/>
      <c r="X199" s="383"/>
      <c r="Y199" s="383"/>
      <c r="Z199" s="383"/>
    </row>
    <row r="200" spans="1:26" ht="12.75" customHeight="1" x14ac:dyDescent="0.3">
      <c r="A200" s="383"/>
      <c r="B200" s="383"/>
      <c r="C200" s="383"/>
      <c r="D200" s="383"/>
      <c r="E200" s="383"/>
      <c r="F200" s="383"/>
      <c r="G200" s="383"/>
      <c r="H200" s="383"/>
      <c r="I200" s="383"/>
      <c r="J200" s="383"/>
      <c r="K200" s="383"/>
      <c r="L200" s="383"/>
      <c r="M200" s="383"/>
      <c r="N200" s="383"/>
      <c r="O200" s="383"/>
      <c r="P200" s="383"/>
      <c r="Q200" s="383"/>
      <c r="R200" s="383"/>
      <c r="S200" s="383"/>
      <c r="T200" s="383"/>
      <c r="U200" s="383"/>
      <c r="V200" s="383"/>
      <c r="W200" s="383"/>
      <c r="X200" s="383"/>
      <c r="Y200" s="383"/>
      <c r="Z200" s="383"/>
    </row>
    <row r="201" spans="1:26" ht="12.75" customHeight="1" x14ac:dyDescent="0.3">
      <c r="A201" s="383"/>
      <c r="B201" s="383"/>
      <c r="C201" s="383"/>
      <c r="D201" s="383"/>
      <c r="E201" s="383"/>
      <c r="F201" s="383"/>
      <c r="G201" s="383"/>
      <c r="H201" s="383"/>
      <c r="I201" s="383"/>
      <c r="J201" s="383"/>
      <c r="K201" s="383"/>
      <c r="L201" s="383"/>
      <c r="M201" s="383"/>
      <c r="N201" s="383"/>
      <c r="O201" s="383"/>
      <c r="P201" s="383"/>
      <c r="Q201" s="383"/>
      <c r="R201" s="383"/>
      <c r="S201" s="383"/>
      <c r="T201" s="383"/>
      <c r="U201" s="383"/>
      <c r="V201" s="383"/>
      <c r="W201" s="383"/>
      <c r="X201" s="383"/>
      <c r="Y201" s="383"/>
      <c r="Z201" s="383"/>
    </row>
    <row r="202" spans="1:26" ht="12.75" customHeight="1" x14ac:dyDescent="0.3">
      <c r="A202" s="383"/>
      <c r="B202" s="383"/>
      <c r="C202" s="383"/>
      <c r="D202" s="383"/>
      <c r="E202" s="383"/>
      <c r="F202" s="383"/>
      <c r="G202" s="383"/>
      <c r="H202" s="383"/>
      <c r="I202" s="383"/>
      <c r="J202" s="383"/>
      <c r="K202" s="383"/>
      <c r="L202" s="383"/>
      <c r="M202" s="383"/>
      <c r="N202" s="383"/>
      <c r="O202" s="383"/>
      <c r="P202" s="383"/>
      <c r="Q202" s="383"/>
      <c r="R202" s="383"/>
      <c r="S202" s="383"/>
      <c r="T202" s="383"/>
      <c r="U202" s="383"/>
      <c r="V202" s="383"/>
      <c r="W202" s="383"/>
      <c r="X202" s="383"/>
      <c r="Y202" s="383"/>
      <c r="Z202" s="383"/>
    </row>
    <row r="203" spans="1:26" ht="12.75" customHeight="1" x14ac:dyDescent="0.3">
      <c r="A203" s="383"/>
      <c r="B203" s="383"/>
      <c r="C203" s="383"/>
      <c r="D203" s="383"/>
      <c r="E203" s="383"/>
      <c r="F203" s="383"/>
      <c r="G203" s="383"/>
      <c r="H203" s="383"/>
      <c r="I203" s="383"/>
      <c r="J203" s="383"/>
      <c r="K203" s="383"/>
      <c r="L203" s="383"/>
      <c r="M203" s="383"/>
      <c r="N203" s="383"/>
      <c r="O203" s="383"/>
      <c r="P203" s="383"/>
      <c r="Q203" s="383"/>
      <c r="R203" s="383"/>
      <c r="S203" s="383"/>
      <c r="T203" s="383"/>
      <c r="U203" s="383"/>
      <c r="V203" s="383"/>
      <c r="W203" s="383"/>
      <c r="X203" s="383"/>
      <c r="Y203" s="383"/>
      <c r="Z203" s="383"/>
    </row>
    <row r="204" spans="1:26" ht="12.75" customHeight="1" x14ac:dyDescent="0.3">
      <c r="A204" s="383"/>
      <c r="B204" s="383"/>
      <c r="C204" s="383"/>
      <c r="D204" s="383"/>
      <c r="E204" s="383"/>
      <c r="F204" s="383"/>
      <c r="G204" s="383"/>
      <c r="H204" s="383"/>
      <c r="I204" s="383"/>
      <c r="J204" s="383"/>
      <c r="K204" s="383"/>
      <c r="L204" s="383"/>
      <c r="M204" s="383"/>
      <c r="N204" s="383"/>
      <c r="O204" s="383"/>
      <c r="P204" s="383"/>
      <c r="Q204" s="383"/>
      <c r="R204" s="383"/>
      <c r="S204" s="383"/>
      <c r="T204" s="383"/>
      <c r="U204" s="383"/>
      <c r="V204" s="383"/>
      <c r="W204" s="383"/>
      <c r="X204" s="383"/>
      <c r="Y204" s="383"/>
      <c r="Z204" s="383"/>
    </row>
    <row r="205" spans="1:26" ht="12.75" customHeight="1" x14ac:dyDescent="0.3">
      <c r="A205" s="383"/>
      <c r="B205" s="383"/>
      <c r="C205" s="383"/>
      <c r="D205" s="383"/>
      <c r="E205" s="383"/>
      <c r="F205" s="383"/>
      <c r="G205" s="383"/>
      <c r="H205" s="383"/>
      <c r="I205" s="383"/>
      <c r="J205" s="383"/>
      <c r="K205" s="383"/>
      <c r="L205" s="383"/>
      <c r="M205" s="383"/>
      <c r="N205" s="383"/>
      <c r="O205" s="383"/>
      <c r="P205" s="383"/>
      <c r="Q205" s="383"/>
      <c r="R205" s="383"/>
      <c r="S205" s="383"/>
      <c r="T205" s="383"/>
      <c r="U205" s="383"/>
      <c r="V205" s="383"/>
      <c r="W205" s="383"/>
      <c r="X205" s="383"/>
      <c r="Y205" s="383"/>
      <c r="Z205" s="383"/>
    </row>
    <row r="206" spans="1:26" ht="12.75" customHeight="1" x14ac:dyDescent="0.3">
      <c r="A206" s="383"/>
      <c r="B206" s="383"/>
      <c r="C206" s="383"/>
      <c r="D206" s="383"/>
      <c r="E206" s="383"/>
      <c r="F206" s="383"/>
      <c r="G206" s="383"/>
      <c r="H206" s="383"/>
      <c r="I206" s="383"/>
      <c r="J206" s="383"/>
      <c r="K206" s="383"/>
      <c r="L206" s="383"/>
      <c r="M206" s="383"/>
      <c r="N206" s="383"/>
      <c r="O206" s="383"/>
      <c r="P206" s="383"/>
      <c r="Q206" s="383"/>
      <c r="R206" s="383"/>
      <c r="S206" s="383"/>
      <c r="T206" s="383"/>
      <c r="U206" s="383"/>
      <c r="V206" s="383"/>
      <c r="W206" s="383"/>
      <c r="X206" s="383"/>
      <c r="Y206" s="383"/>
      <c r="Z206" s="383"/>
    </row>
    <row r="207" spans="1:26" ht="12.75" customHeight="1" x14ac:dyDescent="0.3">
      <c r="A207" s="383"/>
      <c r="B207" s="383"/>
      <c r="C207" s="383"/>
      <c r="D207" s="383"/>
      <c r="E207" s="383"/>
      <c r="F207" s="383"/>
      <c r="G207" s="383"/>
      <c r="H207" s="383"/>
      <c r="I207" s="383"/>
      <c r="J207" s="383"/>
      <c r="K207" s="383"/>
      <c r="L207" s="383"/>
      <c r="M207" s="383"/>
      <c r="N207" s="383"/>
      <c r="O207" s="383"/>
      <c r="P207" s="383"/>
      <c r="Q207" s="383"/>
      <c r="R207" s="383"/>
      <c r="S207" s="383"/>
      <c r="T207" s="383"/>
      <c r="U207" s="383"/>
      <c r="V207" s="383"/>
      <c r="W207" s="383"/>
      <c r="X207" s="383"/>
      <c r="Y207" s="383"/>
      <c r="Z207" s="383"/>
    </row>
    <row r="208" spans="1:26" ht="12.75" customHeight="1" x14ac:dyDescent="0.3">
      <c r="A208" s="383"/>
      <c r="B208" s="383"/>
      <c r="C208" s="383"/>
      <c r="D208" s="383"/>
      <c r="E208" s="383"/>
      <c r="F208" s="383"/>
      <c r="G208" s="383"/>
      <c r="H208" s="383"/>
      <c r="I208" s="383"/>
      <c r="J208" s="383"/>
      <c r="K208" s="383"/>
      <c r="L208" s="383"/>
      <c r="M208" s="383"/>
      <c r="N208" s="383"/>
      <c r="O208" s="383"/>
      <c r="P208" s="383"/>
      <c r="Q208" s="383"/>
      <c r="R208" s="383"/>
      <c r="S208" s="383"/>
      <c r="T208" s="383"/>
      <c r="U208" s="383"/>
      <c r="V208" s="383"/>
      <c r="W208" s="383"/>
      <c r="X208" s="383"/>
      <c r="Y208" s="383"/>
      <c r="Z208" s="383"/>
    </row>
    <row r="209" spans="1:26" ht="12.75" customHeight="1" x14ac:dyDescent="0.3">
      <c r="A209" s="383"/>
      <c r="B209" s="383"/>
      <c r="C209" s="383"/>
      <c r="D209" s="383"/>
      <c r="E209" s="383"/>
      <c r="F209" s="383"/>
      <c r="G209" s="383"/>
      <c r="H209" s="383"/>
      <c r="I209" s="383"/>
      <c r="J209" s="383"/>
      <c r="K209" s="383"/>
      <c r="L209" s="383"/>
      <c r="M209" s="383"/>
      <c r="N209" s="383"/>
      <c r="O209" s="383"/>
      <c r="P209" s="383"/>
      <c r="Q209" s="383"/>
      <c r="R209" s="383"/>
      <c r="S209" s="383"/>
      <c r="T209" s="383"/>
      <c r="U209" s="383"/>
      <c r="V209" s="383"/>
      <c r="W209" s="383"/>
      <c r="X209" s="383"/>
      <c r="Y209" s="383"/>
      <c r="Z209" s="383"/>
    </row>
    <row r="210" spans="1:26" ht="12.75" customHeight="1" x14ac:dyDescent="0.3">
      <c r="A210" s="383"/>
      <c r="B210" s="383"/>
      <c r="C210" s="383"/>
      <c r="D210" s="383"/>
      <c r="E210" s="383"/>
      <c r="F210" s="383"/>
      <c r="G210" s="383"/>
      <c r="H210" s="383"/>
      <c r="I210" s="383"/>
      <c r="J210" s="383"/>
      <c r="K210" s="383"/>
      <c r="L210" s="383"/>
      <c r="M210" s="383"/>
      <c r="N210" s="383"/>
      <c r="O210" s="383"/>
      <c r="P210" s="383"/>
      <c r="Q210" s="383"/>
      <c r="R210" s="383"/>
      <c r="S210" s="383"/>
      <c r="T210" s="383"/>
      <c r="U210" s="383"/>
      <c r="V210" s="383"/>
      <c r="W210" s="383"/>
      <c r="X210" s="383"/>
      <c r="Y210" s="383"/>
      <c r="Z210" s="383"/>
    </row>
    <row r="211" spans="1:26" ht="12.75" customHeight="1" x14ac:dyDescent="0.3">
      <c r="A211" s="383"/>
      <c r="B211" s="383"/>
      <c r="C211" s="383"/>
      <c r="D211" s="383"/>
      <c r="E211" s="383"/>
      <c r="F211" s="383"/>
      <c r="G211" s="383"/>
      <c r="H211" s="383"/>
      <c r="I211" s="383"/>
      <c r="J211" s="383"/>
      <c r="K211" s="383"/>
      <c r="L211" s="383"/>
      <c r="M211" s="383"/>
      <c r="N211" s="383"/>
      <c r="O211" s="383"/>
      <c r="P211" s="383"/>
      <c r="Q211" s="383"/>
      <c r="R211" s="383"/>
      <c r="S211" s="383"/>
      <c r="T211" s="383"/>
      <c r="U211" s="383"/>
      <c r="V211" s="383"/>
      <c r="W211" s="383"/>
      <c r="X211" s="383"/>
      <c r="Y211" s="383"/>
      <c r="Z211" s="383"/>
    </row>
    <row r="212" spans="1:26" ht="12.75" customHeight="1" x14ac:dyDescent="0.3">
      <c r="A212" s="383"/>
      <c r="B212" s="383"/>
      <c r="C212" s="383"/>
      <c r="D212" s="383"/>
      <c r="E212" s="383"/>
      <c r="F212" s="383"/>
      <c r="G212" s="383"/>
      <c r="H212" s="383"/>
      <c r="I212" s="383"/>
      <c r="J212" s="383"/>
      <c r="K212" s="383"/>
      <c r="L212" s="383"/>
      <c r="M212" s="383"/>
      <c r="N212" s="383"/>
      <c r="O212" s="383"/>
      <c r="P212" s="383"/>
      <c r="Q212" s="383"/>
      <c r="R212" s="383"/>
      <c r="S212" s="383"/>
      <c r="T212" s="383"/>
      <c r="U212" s="383"/>
      <c r="V212" s="383"/>
      <c r="W212" s="383"/>
      <c r="X212" s="383"/>
      <c r="Y212" s="383"/>
      <c r="Z212" s="383"/>
    </row>
    <row r="213" spans="1:26" ht="12.75" customHeight="1" x14ac:dyDescent="0.3">
      <c r="A213" s="383"/>
      <c r="B213" s="383"/>
      <c r="C213" s="383"/>
      <c r="D213" s="383"/>
      <c r="E213" s="383"/>
      <c r="F213" s="383"/>
      <c r="G213" s="383"/>
      <c r="H213" s="383"/>
      <c r="I213" s="383"/>
      <c r="J213" s="383"/>
      <c r="K213" s="383"/>
      <c r="L213" s="383"/>
      <c r="M213" s="383"/>
      <c r="N213" s="383"/>
      <c r="O213" s="383"/>
      <c r="P213" s="383"/>
      <c r="Q213" s="383"/>
      <c r="R213" s="383"/>
      <c r="S213" s="383"/>
      <c r="T213" s="383"/>
      <c r="U213" s="383"/>
      <c r="V213" s="383"/>
      <c r="W213" s="383"/>
      <c r="X213" s="383"/>
      <c r="Y213" s="383"/>
      <c r="Z213" s="383"/>
    </row>
    <row r="214" spans="1:26" ht="12.75" customHeight="1" x14ac:dyDescent="0.3">
      <c r="A214" s="383"/>
      <c r="B214" s="383"/>
      <c r="C214" s="383"/>
      <c r="D214" s="383"/>
      <c r="E214" s="383"/>
      <c r="F214" s="383"/>
      <c r="G214" s="383"/>
      <c r="H214" s="383"/>
      <c r="I214" s="383"/>
      <c r="J214" s="383"/>
      <c r="K214" s="383"/>
      <c r="L214" s="383"/>
      <c r="M214" s="383"/>
      <c r="N214" s="383"/>
      <c r="O214" s="383"/>
      <c r="P214" s="383"/>
      <c r="Q214" s="383"/>
      <c r="R214" s="383"/>
      <c r="S214" s="383"/>
      <c r="T214" s="383"/>
      <c r="U214" s="383"/>
      <c r="V214" s="383"/>
      <c r="W214" s="383"/>
      <c r="X214" s="383"/>
      <c r="Y214" s="383"/>
      <c r="Z214" s="383"/>
    </row>
    <row r="215" spans="1:26" ht="12.75" customHeight="1" x14ac:dyDescent="0.3">
      <c r="A215" s="383"/>
      <c r="B215" s="383"/>
      <c r="C215" s="383"/>
      <c r="D215" s="383"/>
      <c r="E215" s="383"/>
      <c r="F215" s="383"/>
      <c r="G215" s="383"/>
      <c r="H215" s="383"/>
      <c r="I215" s="383"/>
      <c r="J215" s="383"/>
      <c r="K215" s="383"/>
      <c r="L215" s="383"/>
      <c r="M215" s="383"/>
      <c r="N215" s="383"/>
      <c r="O215" s="383"/>
      <c r="P215" s="383"/>
      <c r="Q215" s="383"/>
      <c r="R215" s="383"/>
      <c r="S215" s="383"/>
      <c r="T215" s="383"/>
      <c r="U215" s="383"/>
      <c r="V215" s="383"/>
      <c r="W215" s="383"/>
      <c r="X215" s="383"/>
      <c r="Y215" s="383"/>
      <c r="Z215" s="383"/>
    </row>
    <row r="216" spans="1:26" ht="12.75" customHeight="1" x14ac:dyDescent="0.3">
      <c r="A216" s="383"/>
      <c r="B216" s="383"/>
      <c r="C216" s="383"/>
      <c r="D216" s="383"/>
      <c r="E216" s="383"/>
      <c r="F216" s="383"/>
      <c r="G216" s="383"/>
      <c r="H216" s="383"/>
      <c r="I216" s="383"/>
      <c r="J216" s="383"/>
      <c r="K216" s="383"/>
      <c r="L216" s="383"/>
      <c r="M216" s="383"/>
      <c r="N216" s="383"/>
      <c r="O216" s="383"/>
      <c r="P216" s="383"/>
      <c r="Q216" s="383"/>
      <c r="R216" s="383"/>
      <c r="S216" s="383"/>
      <c r="T216" s="383"/>
      <c r="U216" s="383"/>
      <c r="V216" s="383"/>
      <c r="W216" s="383"/>
      <c r="X216" s="383"/>
      <c r="Y216" s="383"/>
      <c r="Z216" s="383"/>
    </row>
    <row r="217" spans="1:26" ht="12.75" customHeight="1" x14ac:dyDescent="0.3">
      <c r="A217" s="383"/>
      <c r="B217" s="383"/>
      <c r="C217" s="383"/>
      <c r="D217" s="383"/>
      <c r="E217" s="383"/>
      <c r="F217" s="383"/>
      <c r="G217" s="383"/>
      <c r="H217" s="383"/>
      <c r="I217" s="383"/>
      <c r="J217" s="383"/>
      <c r="K217" s="383"/>
      <c r="L217" s="383"/>
      <c r="M217" s="383"/>
      <c r="N217" s="383"/>
      <c r="O217" s="383"/>
      <c r="P217" s="383"/>
      <c r="Q217" s="383"/>
      <c r="R217" s="383"/>
      <c r="S217" s="383"/>
      <c r="T217" s="383"/>
      <c r="U217" s="383"/>
      <c r="V217" s="383"/>
      <c r="W217" s="383"/>
      <c r="X217" s="383"/>
      <c r="Y217" s="383"/>
      <c r="Z217" s="383"/>
    </row>
    <row r="218" spans="1:26" ht="12.75" customHeight="1" x14ac:dyDescent="0.3">
      <c r="A218" s="383"/>
      <c r="B218" s="383"/>
      <c r="C218" s="383"/>
      <c r="D218" s="383"/>
      <c r="E218" s="383"/>
      <c r="F218" s="383"/>
      <c r="G218" s="383"/>
      <c r="H218" s="383"/>
      <c r="I218" s="383"/>
      <c r="J218" s="383"/>
      <c r="K218" s="383"/>
      <c r="L218" s="383"/>
      <c r="M218" s="383"/>
      <c r="N218" s="383"/>
      <c r="O218" s="383"/>
      <c r="P218" s="383"/>
      <c r="Q218" s="383"/>
      <c r="R218" s="383"/>
      <c r="S218" s="383"/>
      <c r="T218" s="383"/>
      <c r="U218" s="383"/>
      <c r="V218" s="383"/>
      <c r="W218" s="383"/>
      <c r="X218" s="383"/>
      <c r="Y218" s="383"/>
      <c r="Z218" s="383"/>
    </row>
    <row r="219" spans="1:26" ht="12.75" customHeight="1" x14ac:dyDescent="0.3">
      <c r="A219" s="383"/>
      <c r="B219" s="383"/>
      <c r="C219" s="383"/>
      <c r="D219" s="383"/>
      <c r="E219" s="383"/>
      <c r="F219" s="383"/>
      <c r="G219" s="383"/>
      <c r="H219" s="383"/>
      <c r="I219" s="383"/>
      <c r="J219" s="383"/>
      <c r="K219" s="383"/>
      <c r="L219" s="383"/>
      <c r="M219" s="383"/>
      <c r="N219" s="383"/>
      <c r="O219" s="383"/>
      <c r="P219" s="383"/>
      <c r="Q219" s="383"/>
      <c r="R219" s="383"/>
      <c r="S219" s="383"/>
      <c r="T219" s="383"/>
      <c r="U219" s="383"/>
      <c r="V219" s="383"/>
      <c r="W219" s="383"/>
      <c r="X219" s="383"/>
      <c r="Y219" s="383"/>
      <c r="Z219" s="383"/>
    </row>
    <row r="220" spans="1:26" ht="12.75" customHeight="1" x14ac:dyDescent="0.3">
      <c r="A220" s="383"/>
      <c r="B220" s="383"/>
      <c r="C220" s="383"/>
      <c r="D220" s="383"/>
      <c r="E220" s="383"/>
      <c r="F220" s="383"/>
      <c r="G220" s="383"/>
      <c r="H220" s="383"/>
      <c r="I220" s="383"/>
      <c r="J220" s="383"/>
      <c r="K220" s="383"/>
      <c r="L220" s="383"/>
      <c r="M220" s="383"/>
      <c r="N220" s="383"/>
      <c r="O220" s="383"/>
      <c r="P220" s="383"/>
      <c r="Q220" s="383"/>
      <c r="R220" s="383"/>
      <c r="S220" s="383"/>
      <c r="T220" s="383"/>
      <c r="U220" s="383"/>
      <c r="V220" s="383"/>
      <c r="W220" s="383"/>
      <c r="X220" s="383"/>
      <c r="Y220" s="383"/>
      <c r="Z220" s="383"/>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
    <mergeCell ref="A1:G1"/>
    <mergeCell ref="B6:F6"/>
    <mergeCell ref="A2:A4"/>
    <mergeCell ref="C2:G2"/>
    <mergeCell ref="B2:B4"/>
    <mergeCell ref="C3:G3"/>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showGridLines="0" workbookViewId="0"/>
  </sheetViews>
  <sheetFormatPr baseColWidth="10" defaultColWidth="12.6640625" defaultRowHeight="15" customHeight="1" x14ac:dyDescent="0.3"/>
  <cols>
    <col min="1" max="1" width="5" customWidth="1"/>
    <col min="2" max="2" width="13.33203125" customWidth="1"/>
    <col min="3" max="3" width="9.33203125" customWidth="1"/>
    <col min="4" max="4" width="15.21875" customWidth="1"/>
    <col min="5" max="5" width="9.88671875" customWidth="1"/>
    <col min="6" max="6" width="6.77734375" customWidth="1"/>
    <col min="7" max="7" width="11.77734375" customWidth="1"/>
    <col min="8" max="22" width="8.44140625" customWidth="1"/>
    <col min="23" max="23" width="8.6640625" customWidth="1"/>
    <col min="24" max="26" width="10.6640625" customWidth="1"/>
  </cols>
  <sheetData>
    <row r="1" spans="1:26" ht="18" customHeight="1" x14ac:dyDescent="0.3">
      <c r="A1" s="1174" t="s">
        <v>2085</v>
      </c>
      <c r="B1" s="1087"/>
      <c r="C1" s="1087"/>
      <c r="D1" s="1087"/>
      <c r="E1" s="1087"/>
      <c r="F1" s="1087"/>
      <c r="G1" s="1088"/>
      <c r="H1" s="383"/>
      <c r="I1" s="383"/>
      <c r="J1" s="383"/>
      <c r="K1" s="383"/>
      <c r="L1" s="383"/>
      <c r="M1" s="383"/>
      <c r="N1" s="383"/>
      <c r="O1" s="383"/>
      <c r="P1" s="383"/>
      <c r="Q1" s="383"/>
      <c r="R1" s="383"/>
      <c r="S1" s="383"/>
      <c r="T1" s="383"/>
      <c r="U1" s="383"/>
      <c r="V1" s="383"/>
      <c r="W1" s="324"/>
      <c r="X1" s="383"/>
      <c r="Y1" s="383"/>
      <c r="Z1" s="383"/>
    </row>
    <row r="2" spans="1:26" ht="12.75" customHeight="1" x14ac:dyDescent="0.3">
      <c r="A2" s="1105" t="s">
        <v>1902</v>
      </c>
      <c r="B2" s="1105" t="s">
        <v>1903</v>
      </c>
      <c r="C2" s="1108" t="s">
        <v>1944</v>
      </c>
      <c r="D2" s="1087"/>
      <c r="E2" s="1087"/>
      <c r="F2" s="1087"/>
      <c r="G2" s="1088"/>
      <c r="H2" s="383"/>
      <c r="I2" s="383"/>
      <c r="J2" s="383"/>
      <c r="K2" s="383"/>
      <c r="L2" s="383"/>
      <c r="M2" s="383"/>
      <c r="N2" s="383"/>
      <c r="O2" s="383"/>
      <c r="P2" s="383"/>
      <c r="Q2" s="383"/>
      <c r="R2" s="383"/>
      <c r="S2" s="383"/>
      <c r="T2" s="383"/>
      <c r="U2" s="383"/>
      <c r="V2" s="383"/>
      <c r="W2" s="324"/>
      <c r="X2" s="383"/>
      <c r="Y2" s="383"/>
      <c r="Z2" s="383"/>
    </row>
    <row r="3" spans="1:26" ht="12.75" customHeight="1" x14ac:dyDescent="0.3">
      <c r="A3" s="1106"/>
      <c r="B3" s="1106"/>
      <c r="C3" s="1110">
        <v>45901</v>
      </c>
      <c r="D3" s="1087"/>
      <c r="E3" s="1087"/>
      <c r="F3" s="1087"/>
      <c r="G3" s="1088"/>
      <c r="H3" s="383"/>
      <c r="I3" s="383"/>
      <c r="J3" s="383"/>
      <c r="K3" s="383"/>
      <c r="L3" s="383"/>
      <c r="M3" s="383"/>
      <c r="N3" s="383"/>
      <c r="O3" s="383"/>
      <c r="P3" s="383"/>
      <c r="Q3" s="383"/>
      <c r="R3" s="383"/>
      <c r="S3" s="383"/>
      <c r="T3" s="383"/>
      <c r="U3" s="383"/>
      <c r="V3" s="383"/>
      <c r="W3" s="324"/>
      <c r="X3" s="383"/>
      <c r="Y3" s="383"/>
      <c r="Z3" s="383"/>
    </row>
    <row r="4" spans="1:26" ht="27.75" customHeight="1" x14ac:dyDescent="0.3">
      <c r="A4" s="1107"/>
      <c r="B4" s="1107"/>
      <c r="C4" s="591" t="s">
        <v>1912</v>
      </c>
      <c r="D4" s="592" t="s">
        <v>1913</v>
      </c>
      <c r="E4" s="592" t="s">
        <v>1914</v>
      </c>
      <c r="F4" s="591" t="s">
        <v>1892</v>
      </c>
      <c r="G4" s="591" t="s">
        <v>2086</v>
      </c>
      <c r="H4" s="609">
        <v>45957</v>
      </c>
      <c r="I4" s="609">
        <v>45987</v>
      </c>
      <c r="J4" s="609">
        <v>46017</v>
      </c>
      <c r="K4" s="609">
        <v>46023</v>
      </c>
      <c r="L4" s="609">
        <v>46054</v>
      </c>
      <c r="M4" s="609">
        <v>46112</v>
      </c>
      <c r="N4" s="609">
        <v>46142</v>
      </c>
      <c r="O4" s="609">
        <v>46172</v>
      </c>
      <c r="P4" s="609">
        <v>46202</v>
      </c>
      <c r="Q4" s="609">
        <v>46232</v>
      </c>
      <c r="R4" s="609">
        <v>46262</v>
      </c>
      <c r="S4" s="609">
        <v>46292</v>
      </c>
      <c r="T4" s="609">
        <v>46322</v>
      </c>
      <c r="U4" s="610">
        <v>46352</v>
      </c>
      <c r="V4" s="609">
        <v>46382</v>
      </c>
      <c r="W4" s="324"/>
      <c r="X4" s="383"/>
      <c r="Y4" s="383"/>
      <c r="Z4" s="383"/>
    </row>
    <row r="5" spans="1:26" ht="23.25" customHeight="1" x14ac:dyDescent="0.3">
      <c r="A5" s="594">
        <v>5025</v>
      </c>
      <c r="B5" s="911" t="s">
        <v>2087</v>
      </c>
      <c r="C5" s="912">
        <v>6016</v>
      </c>
      <c r="D5" s="596">
        <v>113992567.81999999</v>
      </c>
      <c r="E5" s="596">
        <f>D5/C5</f>
        <v>18948.232682845744</v>
      </c>
      <c r="F5" s="597">
        <v>0.01</v>
      </c>
      <c r="G5" s="596">
        <f>D5*F5</f>
        <v>1139925.6782</v>
      </c>
      <c r="H5" s="913">
        <f>+G5</f>
        <v>1139925.6782</v>
      </c>
      <c r="I5" s="913">
        <f>+H5</f>
        <v>1139925.6782</v>
      </c>
      <c r="J5" s="913">
        <f>+I5</f>
        <v>1139925.6782</v>
      </c>
      <c r="K5" s="913">
        <f>+J5*K7</f>
        <v>1213256.185138063</v>
      </c>
      <c r="L5" s="913">
        <f>+K5</f>
        <v>1213256.185138063</v>
      </c>
      <c r="M5" s="913">
        <f>+L5</f>
        <v>1213256.185138063</v>
      </c>
      <c r="N5" s="913">
        <f>+M5*N7</f>
        <v>1268675.7561338684</v>
      </c>
      <c r="O5" s="913">
        <f>+N5</f>
        <v>1268675.7561338684</v>
      </c>
      <c r="P5" s="913">
        <f>+O5</f>
        <v>1268675.7561338684</v>
      </c>
      <c r="Q5" s="913">
        <f>+P5*Q7</f>
        <v>1326626.8030759592</v>
      </c>
      <c r="R5" s="913">
        <f>+Q5</f>
        <v>1326626.8030759592</v>
      </c>
      <c r="S5" s="913">
        <f>+R5</f>
        <v>1326626.8030759592</v>
      </c>
      <c r="T5" s="913">
        <f>+S5*T7</f>
        <v>1387224.9596719134</v>
      </c>
      <c r="U5" s="913">
        <f>+T5</f>
        <v>1387224.9596719134</v>
      </c>
      <c r="V5" s="913">
        <f>+U5</f>
        <v>1387224.9596719134</v>
      </c>
      <c r="W5" s="914">
        <f>SUM(K5:V5)</f>
        <v>15587351.112059413</v>
      </c>
      <c r="X5" s="383"/>
      <c r="Y5" s="383"/>
      <c r="Z5" s="383"/>
    </row>
    <row r="6" spans="1:26" ht="12.75" customHeight="1" x14ac:dyDescent="0.3">
      <c r="A6" s="594" t="s">
        <v>320</v>
      </c>
      <c r="B6" s="1175"/>
      <c r="C6" s="1087"/>
      <c r="D6" s="1087"/>
      <c r="E6" s="1087"/>
      <c r="F6" s="1088"/>
      <c r="G6" s="907">
        <f>G5</f>
        <v>1139925.6782</v>
      </c>
      <c r="H6" s="295"/>
      <c r="I6" s="295"/>
      <c r="J6" s="295"/>
      <c r="K6" s="295"/>
      <c r="L6" s="295"/>
      <c r="M6" s="295"/>
      <c r="N6" s="295"/>
      <c r="O6" s="295"/>
      <c r="P6" s="295"/>
      <c r="Q6" s="295"/>
      <c r="R6" s="295"/>
      <c r="S6" s="295"/>
      <c r="T6" s="295"/>
      <c r="U6" s="295"/>
      <c r="V6" s="295"/>
      <c r="W6" s="324"/>
      <c r="X6" s="383"/>
      <c r="Y6" s="383"/>
      <c r="Z6" s="383"/>
    </row>
    <row r="7" spans="1:26" ht="12.75" customHeight="1" x14ac:dyDescent="0.3">
      <c r="A7" s="383"/>
      <c r="B7" s="383"/>
      <c r="C7" s="383"/>
      <c r="D7" s="383"/>
      <c r="E7" s="383"/>
      <c r="F7" s="383"/>
      <c r="G7" s="383"/>
      <c r="H7" s="295"/>
      <c r="I7" s="297"/>
      <c r="J7" s="297"/>
      <c r="K7" s="583">
        <f>1*(1+H8)*(1+I8)*(1+J8)</f>
        <v>1.0643291999999998</v>
      </c>
      <c r="L7" s="295"/>
      <c r="M7" s="295"/>
      <c r="N7" s="583">
        <f>1*(1+K8)*(1+L8)*(1+M8)</f>
        <v>1.0456783749999996</v>
      </c>
      <c r="O7" s="295"/>
      <c r="P7" s="295"/>
      <c r="Q7" s="583">
        <f>1*(1+N8)*(1+O8)*(1+P8)</f>
        <v>1.0456783749999996</v>
      </c>
      <c r="R7" s="295"/>
      <c r="S7" s="295"/>
      <c r="T7" s="583">
        <f>1*(1+Q8)*(1+R8)*(1+S8)</f>
        <v>1.0456783749999996</v>
      </c>
      <c r="U7" s="295"/>
      <c r="V7" s="295"/>
      <c r="W7" s="324"/>
      <c r="X7" s="383"/>
      <c r="Y7" s="383"/>
      <c r="Z7" s="383"/>
    </row>
    <row r="8" spans="1:26" ht="12.75" customHeight="1" x14ac:dyDescent="0.3">
      <c r="A8" s="383"/>
      <c r="B8" s="383"/>
      <c r="C8" s="383"/>
      <c r="D8" s="383"/>
      <c r="E8" s="901"/>
      <c r="F8" s="901"/>
      <c r="G8" s="901" t="s">
        <v>2078</v>
      </c>
      <c r="H8" s="915">
        <v>2.3E-2</v>
      </c>
      <c r="I8" s="915">
        <v>0.02</v>
      </c>
      <c r="J8" s="915">
        <v>0.02</v>
      </c>
      <c r="K8" s="915">
        <v>1.4999999999999999E-2</v>
      </c>
      <c r="L8" s="915">
        <f t="shared" ref="L8:V8" si="0">+K8</f>
        <v>1.4999999999999999E-2</v>
      </c>
      <c r="M8" s="915">
        <f t="shared" si="0"/>
        <v>1.4999999999999999E-2</v>
      </c>
      <c r="N8" s="915">
        <f t="shared" si="0"/>
        <v>1.4999999999999999E-2</v>
      </c>
      <c r="O8" s="915">
        <f t="shared" si="0"/>
        <v>1.4999999999999999E-2</v>
      </c>
      <c r="P8" s="915">
        <f t="shared" si="0"/>
        <v>1.4999999999999999E-2</v>
      </c>
      <c r="Q8" s="915">
        <f t="shared" si="0"/>
        <v>1.4999999999999999E-2</v>
      </c>
      <c r="R8" s="915">
        <f t="shared" si="0"/>
        <v>1.4999999999999999E-2</v>
      </c>
      <c r="S8" s="915">
        <f t="shared" si="0"/>
        <v>1.4999999999999999E-2</v>
      </c>
      <c r="T8" s="915">
        <f t="shared" si="0"/>
        <v>1.4999999999999999E-2</v>
      </c>
      <c r="U8" s="915">
        <f t="shared" si="0"/>
        <v>1.4999999999999999E-2</v>
      </c>
      <c r="V8" s="915">
        <f t="shared" si="0"/>
        <v>1.4999999999999999E-2</v>
      </c>
      <c r="W8" s="324"/>
      <c r="X8" s="383"/>
      <c r="Y8" s="383"/>
      <c r="Z8" s="383"/>
    </row>
    <row r="9" spans="1:26" ht="12.75" customHeight="1" x14ac:dyDescent="0.3">
      <c r="A9" s="383"/>
      <c r="B9" s="383"/>
      <c r="C9" s="383"/>
      <c r="D9" s="903" t="s">
        <v>2079</v>
      </c>
      <c r="E9" s="383"/>
      <c r="F9" s="383"/>
      <c r="G9" s="383"/>
      <c r="H9" s="383"/>
      <c r="I9" s="383"/>
      <c r="J9" s="383"/>
      <c r="K9" s="383"/>
      <c r="L9" s="383"/>
      <c r="M9" s="383"/>
      <c r="N9" s="383"/>
      <c r="O9" s="383"/>
      <c r="P9" s="383"/>
      <c r="Q9" s="383"/>
      <c r="R9" s="383"/>
      <c r="S9" s="383"/>
      <c r="T9" s="383"/>
      <c r="U9" s="383"/>
      <c r="V9" s="383"/>
      <c r="W9" s="324"/>
      <c r="X9" s="383"/>
      <c r="Y9" s="383"/>
      <c r="Z9" s="383"/>
    </row>
    <row r="10" spans="1:26" ht="12.75" customHeight="1" x14ac:dyDescent="0.3">
      <c r="A10" s="383"/>
      <c r="B10" s="383"/>
      <c r="C10" s="383"/>
      <c r="D10" s="383"/>
      <c r="E10" s="383"/>
      <c r="F10" s="383"/>
      <c r="G10" s="383"/>
      <c r="H10" s="383"/>
      <c r="I10" s="383"/>
      <c r="J10" s="383"/>
      <c r="K10" s="383"/>
      <c r="L10" s="383"/>
      <c r="M10" s="383"/>
      <c r="N10" s="383"/>
      <c r="O10" s="383"/>
      <c r="P10" s="383"/>
      <c r="Q10" s="383"/>
      <c r="R10" s="383"/>
      <c r="S10" s="383"/>
      <c r="T10" s="383"/>
      <c r="U10" s="383"/>
      <c r="V10" s="383"/>
      <c r="W10" s="324"/>
      <c r="X10" s="383"/>
      <c r="Y10" s="383"/>
      <c r="Z10" s="383"/>
    </row>
    <row r="11" spans="1:26" ht="12.75" customHeight="1" x14ac:dyDescent="0.3">
      <c r="A11" s="383"/>
      <c r="B11" s="383"/>
      <c r="C11" s="383"/>
      <c r="D11" s="383"/>
      <c r="E11" s="383"/>
      <c r="F11" s="383"/>
      <c r="G11" s="383"/>
      <c r="H11" s="383"/>
      <c r="I11" s="383"/>
      <c r="J11" s="383"/>
      <c r="K11" s="383"/>
      <c r="L11" s="383"/>
      <c r="M11" s="383"/>
      <c r="N11" s="383"/>
      <c r="O11" s="383"/>
      <c r="P11" s="383"/>
      <c r="Q11" s="383"/>
      <c r="R11" s="383"/>
      <c r="S11" s="383"/>
      <c r="T11" s="383"/>
      <c r="U11" s="383"/>
      <c r="V11" s="383"/>
      <c r="W11" s="324"/>
      <c r="X11" s="383"/>
      <c r="Y11" s="383"/>
      <c r="Z11" s="383"/>
    </row>
    <row r="12" spans="1:26" ht="12.75" customHeight="1" x14ac:dyDescent="0.3">
      <c r="A12" s="383"/>
      <c r="B12" s="383"/>
      <c r="C12" s="383"/>
      <c r="D12" s="383"/>
      <c r="E12" s="383"/>
      <c r="F12" s="383"/>
      <c r="G12" s="383"/>
      <c r="H12" s="383"/>
      <c r="I12" s="383"/>
      <c r="J12" s="383"/>
      <c r="K12" s="383"/>
      <c r="L12" s="383"/>
      <c r="M12" s="383"/>
      <c r="N12" s="383"/>
      <c r="O12" s="383"/>
      <c r="P12" s="383"/>
      <c r="Q12" s="383"/>
      <c r="R12" s="383"/>
      <c r="S12" s="383"/>
      <c r="T12" s="383"/>
      <c r="U12" s="383"/>
      <c r="V12" s="383"/>
      <c r="W12" s="324"/>
      <c r="X12" s="383"/>
      <c r="Y12" s="383"/>
      <c r="Z12" s="383"/>
    </row>
    <row r="13" spans="1:26" ht="12.75" customHeight="1" x14ac:dyDescent="0.3">
      <c r="A13" s="383"/>
      <c r="B13" s="383"/>
      <c r="C13" s="383"/>
      <c r="D13" s="383"/>
      <c r="E13" s="383"/>
      <c r="F13" s="383"/>
      <c r="G13" s="383"/>
      <c r="H13" s="383"/>
      <c r="I13" s="383"/>
      <c r="J13" s="383"/>
      <c r="K13" s="383"/>
      <c r="L13" s="383"/>
      <c r="M13" s="383"/>
      <c r="N13" s="383"/>
      <c r="O13" s="383"/>
      <c r="P13" s="383"/>
      <c r="Q13" s="383"/>
      <c r="R13" s="383"/>
      <c r="S13" s="383"/>
      <c r="T13" s="383"/>
      <c r="U13" s="383"/>
      <c r="V13" s="383"/>
      <c r="W13" s="324"/>
      <c r="X13" s="383"/>
      <c r="Y13" s="383"/>
      <c r="Z13" s="383"/>
    </row>
    <row r="14" spans="1:26" ht="12.75" customHeight="1" x14ac:dyDescent="0.3">
      <c r="A14" s="383"/>
      <c r="B14" s="383"/>
      <c r="C14" s="383"/>
      <c r="D14" s="383"/>
      <c r="E14" s="383"/>
      <c r="F14" s="383"/>
      <c r="G14" s="383"/>
      <c r="H14" s="383"/>
      <c r="I14" s="383"/>
      <c r="J14" s="383"/>
      <c r="K14" s="383"/>
      <c r="L14" s="383"/>
      <c r="M14" s="383"/>
      <c r="N14" s="383"/>
      <c r="O14" s="383"/>
      <c r="P14" s="383"/>
      <c r="Q14" s="383"/>
      <c r="R14" s="383"/>
      <c r="S14" s="383"/>
      <c r="T14" s="383"/>
      <c r="U14" s="383"/>
      <c r="V14" s="383"/>
      <c r="W14" s="324"/>
      <c r="X14" s="383"/>
      <c r="Y14" s="383"/>
      <c r="Z14" s="383"/>
    </row>
    <row r="15" spans="1:26" ht="12.75" customHeight="1" x14ac:dyDescent="0.3">
      <c r="A15" s="383"/>
      <c r="B15" s="383"/>
      <c r="C15" s="383"/>
      <c r="D15" s="383"/>
      <c r="E15" s="383"/>
      <c r="F15" s="383"/>
      <c r="G15" s="383"/>
      <c r="H15" s="383"/>
      <c r="I15" s="383"/>
      <c r="J15" s="383"/>
      <c r="K15" s="383"/>
      <c r="L15" s="383"/>
      <c r="M15" s="383"/>
      <c r="N15" s="383"/>
      <c r="O15" s="383"/>
      <c r="P15" s="383"/>
      <c r="Q15" s="383"/>
      <c r="R15" s="383"/>
      <c r="S15" s="383"/>
      <c r="T15" s="383"/>
      <c r="U15" s="383"/>
      <c r="V15" s="383"/>
      <c r="W15" s="324"/>
      <c r="X15" s="383"/>
      <c r="Y15" s="383"/>
      <c r="Z15" s="383"/>
    </row>
    <row r="16" spans="1:26" ht="12.75" customHeight="1" x14ac:dyDescent="0.3">
      <c r="A16" s="383"/>
      <c r="B16" s="383"/>
      <c r="C16" s="383"/>
      <c r="D16" s="383"/>
      <c r="E16" s="383"/>
      <c r="F16" s="383"/>
      <c r="G16" s="383"/>
      <c r="H16" s="383"/>
      <c r="I16" s="383"/>
      <c r="J16" s="383"/>
      <c r="K16" s="383"/>
      <c r="L16" s="383"/>
      <c r="M16" s="383"/>
      <c r="N16" s="383"/>
      <c r="O16" s="383"/>
      <c r="P16" s="383"/>
      <c r="Q16" s="383"/>
      <c r="R16" s="383"/>
      <c r="S16" s="383"/>
      <c r="T16" s="383"/>
      <c r="U16" s="383"/>
      <c r="V16" s="383"/>
      <c r="W16" s="324"/>
      <c r="X16" s="383"/>
      <c r="Y16" s="383"/>
      <c r="Z16" s="383"/>
    </row>
    <row r="17" spans="1:26" ht="12.75" customHeight="1" x14ac:dyDescent="0.3">
      <c r="A17" s="383"/>
      <c r="B17" s="383"/>
      <c r="C17" s="383"/>
      <c r="D17" s="383"/>
      <c r="E17" s="383"/>
      <c r="F17" s="383"/>
      <c r="G17" s="383"/>
      <c r="H17" s="383"/>
      <c r="I17" s="383"/>
      <c r="J17" s="383"/>
      <c r="K17" s="383"/>
      <c r="L17" s="383"/>
      <c r="M17" s="383"/>
      <c r="N17" s="383"/>
      <c r="O17" s="383"/>
      <c r="P17" s="383"/>
      <c r="Q17" s="383"/>
      <c r="R17" s="383"/>
      <c r="S17" s="383"/>
      <c r="T17" s="383"/>
      <c r="U17" s="383"/>
      <c r="V17" s="383"/>
      <c r="W17" s="324"/>
      <c r="X17" s="383"/>
      <c r="Y17" s="383"/>
      <c r="Z17" s="383"/>
    </row>
    <row r="18" spans="1:26" ht="12.75" customHeight="1" x14ac:dyDescent="0.3">
      <c r="A18" s="383"/>
      <c r="B18" s="383"/>
      <c r="C18" s="383"/>
      <c r="D18" s="383"/>
      <c r="E18" s="383"/>
      <c r="F18" s="383"/>
      <c r="G18" s="383"/>
      <c r="H18" s="383"/>
      <c r="I18" s="383"/>
      <c r="J18" s="383"/>
      <c r="K18" s="383"/>
      <c r="L18" s="383"/>
      <c r="M18" s="383"/>
      <c r="N18" s="383"/>
      <c r="O18" s="383"/>
      <c r="P18" s="383"/>
      <c r="Q18" s="383"/>
      <c r="R18" s="383"/>
      <c r="S18" s="383"/>
      <c r="T18" s="383"/>
      <c r="U18" s="383"/>
      <c r="V18" s="383"/>
      <c r="W18" s="324"/>
      <c r="X18" s="383"/>
      <c r="Y18" s="383"/>
      <c r="Z18" s="383"/>
    </row>
    <row r="19" spans="1:26" ht="12.75" customHeight="1" x14ac:dyDescent="0.3">
      <c r="A19" s="383"/>
      <c r="B19" s="383"/>
      <c r="C19" s="383"/>
      <c r="D19" s="383"/>
      <c r="E19" s="383"/>
      <c r="F19" s="383"/>
      <c r="G19" s="383"/>
      <c r="H19" s="383"/>
      <c r="I19" s="383"/>
      <c r="J19" s="383"/>
      <c r="K19" s="383"/>
      <c r="L19" s="383"/>
      <c r="M19" s="383"/>
      <c r="N19" s="383"/>
      <c r="O19" s="383"/>
      <c r="P19" s="383"/>
      <c r="Q19" s="383"/>
      <c r="R19" s="383"/>
      <c r="S19" s="383"/>
      <c r="T19" s="383"/>
      <c r="U19" s="383"/>
      <c r="V19" s="383"/>
      <c r="W19" s="324"/>
      <c r="X19" s="383"/>
      <c r="Y19" s="383"/>
      <c r="Z19" s="383"/>
    </row>
    <row r="20" spans="1:26" ht="12.75" customHeight="1" x14ac:dyDescent="0.3">
      <c r="A20" s="383"/>
      <c r="B20" s="383"/>
      <c r="C20" s="383"/>
      <c r="D20" s="383"/>
      <c r="E20" s="383"/>
      <c r="F20" s="383"/>
      <c r="G20" s="383"/>
      <c r="H20" s="383"/>
      <c r="I20" s="383"/>
      <c r="J20" s="383"/>
      <c r="K20" s="383"/>
      <c r="L20" s="383"/>
      <c r="M20" s="383"/>
      <c r="N20" s="383"/>
      <c r="O20" s="383"/>
      <c r="P20" s="383"/>
      <c r="Q20" s="383"/>
      <c r="R20" s="383"/>
      <c r="S20" s="383"/>
      <c r="T20" s="383"/>
      <c r="U20" s="383"/>
      <c r="V20" s="383"/>
      <c r="W20" s="324"/>
      <c r="X20" s="383"/>
      <c r="Y20" s="383"/>
      <c r="Z20" s="383"/>
    </row>
    <row r="21" spans="1:26" ht="12.75" customHeight="1" x14ac:dyDescent="0.3">
      <c r="A21" s="383"/>
      <c r="B21" s="383"/>
      <c r="C21" s="383"/>
      <c r="D21" s="383"/>
      <c r="E21" s="383"/>
      <c r="F21" s="383"/>
      <c r="G21" s="383"/>
      <c r="H21" s="383"/>
      <c r="I21" s="383"/>
      <c r="J21" s="383"/>
      <c r="K21" s="383"/>
      <c r="L21" s="383"/>
      <c r="M21" s="383"/>
      <c r="N21" s="383"/>
      <c r="O21" s="383"/>
      <c r="P21" s="383"/>
      <c r="Q21" s="383"/>
      <c r="R21" s="383"/>
      <c r="S21" s="383"/>
      <c r="T21" s="383"/>
      <c r="U21" s="383"/>
      <c r="V21" s="383"/>
      <c r="W21" s="324"/>
      <c r="X21" s="383"/>
      <c r="Y21" s="383"/>
      <c r="Z21" s="383"/>
    </row>
    <row r="22" spans="1:26" ht="12.75" customHeight="1" x14ac:dyDescent="0.3">
      <c r="A22" s="383"/>
      <c r="B22" s="383"/>
      <c r="C22" s="383"/>
      <c r="D22" s="383"/>
      <c r="E22" s="383"/>
      <c r="F22" s="383"/>
      <c r="G22" s="383"/>
      <c r="H22" s="383"/>
      <c r="I22" s="383"/>
      <c r="J22" s="383"/>
      <c r="K22" s="383"/>
      <c r="L22" s="383"/>
      <c r="M22" s="383"/>
      <c r="N22" s="383"/>
      <c r="O22" s="383"/>
      <c r="P22" s="383"/>
      <c r="Q22" s="383"/>
      <c r="R22" s="383"/>
      <c r="S22" s="383"/>
      <c r="T22" s="383"/>
      <c r="U22" s="383"/>
      <c r="V22" s="383"/>
      <c r="W22" s="324"/>
      <c r="X22" s="383"/>
      <c r="Y22" s="383"/>
      <c r="Z22" s="383"/>
    </row>
    <row r="23" spans="1:26" ht="12.75" customHeight="1" x14ac:dyDescent="0.3">
      <c r="A23" s="383"/>
      <c r="B23" s="383"/>
      <c r="C23" s="383"/>
      <c r="D23" s="383"/>
      <c r="E23" s="383"/>
      <c r="F23" s="383"/>
      <c r="G23" s="383"/>
      <c r="H23" s="383"/>
      <c r="I23" s="383"/>
      <c r="J23" s="383"/>
      <c r="K23" s="383"/>
      <c r="L23" s="383"/>
      <c r="M23" s="383"/>
      <c r="N23" s="383"/>
      <c r="O23" s="383"/>
      <c r="P23" s="383"/>
      <c r="Q23" s="383"/>
      <c r="R23" s="383"/>
      <c r="S23" s="383"/>
      <c r="T23" s="383"/>
      <c r="U23" s="383"/>
      <c r="V23" s="383"/>
      <c r="W23" s="324"/>
      <c r="X23" s="383"/>
      <c r="Y23" s="383"/>
      <c r="Z23" s="383"/>
    </row>
    <row r="24" spans="1:26" ht="12.75" customHeight="1" x14ac:dyDescent="0.3">
      <c r="A24" s="383"/>
      <c r="B24" s="383"/>
      <c r="C24" s="383"/>
      <c r="D24" s="383"/>
      <c r="E24" s="383"/>
      <c r="F24" s="383"/>
      <c r="G24" s="383"/>
      <c r="H24" s="383"/>
      <c r="I24" s="383"/>
      <c r="J24" s="383"/>
      <c r="K24" s="383"/>
      <c r="L24" s="383"/>
      <c r="M24" s="383"/>
      <c r="N24" s="383"/>
      <c r="O24" s="383"/>
      <c r="P24" s="383"/>
      <c r="Q24" s="383"/>
      <c r="R24" s="383"/>
      <c r="S24" s="383"/>
      <c r="T24" s="383"/>
      <c r="U24" s="383"/>
      <c r="V24" s="383"/>
      <c r="W24" s="324"/>
      <c r="X24" s="383"/>
      <c r="Y24" s="383"/>
      <c r="Z24" s="383"/>
    </row>
    <row r="25" spans="1:26" ht="12.75" customHeight="1" x14ac:dyDescent="0.3">
      <c r="A25" s="383"/>
      <c r="B25" s="383"/>
      <c r="C25" s="383"/>
      <c r="D25" s="383"/>
      <c r="E25" s="383"/>
      <c r="F25" s="383"/>
      <c r="G25" s="383"/>
      <c r="H25" s="383"/>
      <c r="I25" s="383"/>
      <c r="J25" s="383"/>
      <c r="K25" s="383"/>
      <c r="L25" s="383"/>
      <c r="M25" s="383"/>
      <c r="N25" s="383"/>
      <c r="O25" s="383"/>
      <c r="P25" s="383"/>
      <c r="Q25" s="383"/>
      <c r="R25" s="383"/>
      <c r="S25" s="383"/>
      <c r="T25" s="383"/>
      <c r="U25" s="383"/>
      <c r="V25" s="383"/>
      <c r="W25" s="324"/>
      <c r="X25" s="383"/>
      <c r="Y25" s="383"/>
      <c r="Z25" s="383"/>
    </row>
    <row r="26" spans="1:26" ht="12.75" customHeight="1" x14ac:dyDescent="0.3">
      <c r="A26" s="383"/>
      <c r="B26" s="383"/>
      <c r="C26" s="383"/>
      <c r="D26" s="383"/>
      <c r="E26" s="383"/>
      <c r="F26" s="383"/>
      <c r="G26" s="383"/>
      <c r="H26" s="383"/>
      <c r="I26" s="383"/>
      <c r="J26" s="383"/>
      <c r="K26" s="383"/>
      <c r="L26" s="383"/>
      <c r="M26" s="383"/>
      <c r="N26" s="383"/>
      <c r="O26" s="383"/>
      <c r="P26" s="383"/>
      <c r="Q26" s="383"/>
      <c r="R26" s="383"/>
      <c r="S26" s="383"/>
      <c r="T26" s="383"/>
      <c r="U26" s="383"/>
      <c r="V26" s="383"/>
      <c r="W26" s="324"/>
      <c r="X26" s="383"/>
      <c r="Y26" s="383"/>
      <c r="Z26" s="383"/>
    </row>
    <row r="27" spans="1:26" ht="12.75" customHeight="1" x14ac:dyDescent="0.3">
      <c r="A27" s="383"/>
      <c r="B27" s="383"/>
      <c r="C27" s="383"/>
      <c r="D27" s="383"/>
      <c r="E27" s="383"/>
      <c r="F27" s="383"/>
      <c r="G27" s="383"/>
      <c r="H27" s="383"/>
      <c r="I27" s="383"/>
      <c r="J27" s="383"/>
      <c r="K27" s="383"/>
      <c r="L27" s="383"/>
      <c r="M27" s="383"/>
      <c r="N27" s="383"/>
      <c r="O27" s="383"/>
      <c r="P27" s="383"/>
      <c r="Q27" s="383"/>
      <c r="R27" s="383"/>
      <c r="S27" s="383"/>
      <c r="T27" s="383"/>
      <c r="U27" s="383"/>
      <c r="V27" s="383"/>
      <c r="W27" s="324"/>
      <c r="X27" s="383"/>
      <c r="Y27" s="383"/>
      <c r="Z27" s="383"/>
    </row>
    <row r="28" spans="1:26" ht="12.75" customHeight="1" x14ac:dyDescent="0.3">
      <c r="A28" s="383"/>
      <c r="B28" s="383"/>
      <c r="C28" s="383"/>
      <c r="D28" s="383"/>
      <c r="E28" s="383"/>
      <c r="F28" s="383"/>
      <c r="G28" s="383"/>
      <c r="H28" s="383"/>
      <c r="I28" s="383"/>
      <c r="J28" s="383"/>
      <c r="K28" s="383"/>
      <c r="L28" s="383"/>
      <c r="M28" s="383"/>
      <c r="N28" s="383"/>
      <c r="O28" s="383"/>
      <c r="P28" s="383"/>
      <c r="Q28" s="383"/>
      <c r="R28" s="383"/>
      <c r="S28" s="383"/>
      <c r="T28" s="383"/>
      <c r="U28" s="383"/>
      <c r="V28" s="383"/>
      <c r="W28" s="324"/>
      <c r="X28" s="383"/>
      <c r="Y28" s="383"/>
      <c r="Z28" s="383"/>
    </row>
    <row r="29" spans="1:26" ht="12.75" customHeight="1" x14ac:dyDescent="0.3">
      <c r="A29" s="383"/>
      <c r="B29" s="383"/>
      <c r="C29" s="383"/>
      <c r="D29" s="383"/>
      <c r="E29" s="383"/>
      <c r="F29" s="383"/>
      <c r="G29" s="383"/>
      <c r="H29" s="383"/>
      <c r="I29" s="383"/>
      <c r="J29" s="383"/>
      <c r="K29" s="383"/>
      <c r="L29" s="383"/>
      <c r="M29" s="383"/>
      <c r="N29" s="383"/>
      <c r="O29" s="383"/>
      <c r="P29" s="383"/>
      <c r="Q29" s="383"/>
      <c r="R29" s="383"/>
      <c r="S29" s="383"/>
      <c r="T29" s="383"/>
      <c r="U29" s="383"/>
      <c r="V29" s="383"/>
      <c r="W29" s="324"/>
      <c r="X29" s="383"/>
      <c r="Y29" s="383"/>
      <c r="Z29" s="383"/>
    </row>
    <row r="30" spans="1:26" ht="12.75" customHeight="1" x14ac:dyDescent="0.3">
      <c r="A30" s="383"/>
      <c r="B30" s="383"/>
      <c r="C30" s="383"/>
      <c r="D30" s="383"/>
      <c r="E30" s="383"/>
      <c r="F30" s="383"/>
      <c r="G30" s="383"/>
      <c r="H30" s="383"/>
      <c r="I30" s="383"/>
      <c r="J30" s="383"/>
      <c r="K30" s="383"/>
      <c r="L30" s="383"/>
      <c r="M30" s="383"/>
      <c r="N30" s="383"/>
      <c r="O30" s="383"/>
      <c r="P30" s="383"/>
      <c r="Q30" s="383"/>
      <c r="R30" s="383"/>
      <c r="S30" s="383"/>
      <c r="T30" s="383"/>
      <c r="U30" s="383"/>
      <c r="V30" s="383"/>
      <c r="W30" s="324"/>
      <c r="X30" s="383"/>
      <c r="Y30" s="383"/>
      <c r="Z30" s="383"/>
    </row>
    <row r="31" spans="1:26" ht="12.75" customHeight="1" x14ac:dyDescent="0.3">
      <c r="A31" s="383"/>
      <c r="B31" s="383"/>
      <c r="C31" s="383"/>
      <c r="D31" s="383"/>
      <c r="E31" s="383"/>
      <c r="F31" s="383"/>
      <c r="G31" s="383"/>
      <c r="H31" s="383"/>
      <c r="I31" s="383"/>
      <c r="J31" s="383"/>
      <c r="K31" s="383"/>
      <c r="L31" s="383"/>
      <c r="M31" s="383"/>
      <c r="N31" s="383"/>
      <c r="O31" s="383"/>
      <c r="P31" s="383"/>
      <c r="Q31" s="383"/>
      <c r="R31" s="383"/>
      <c r="S31" s="383"/>
      <c r="T31" s="383"/>
      <c r="U31" s="383"/>
      <c r="V31" s="383"/>
      <c r="W31" s="324"/>
      <c r="X31" s="383"/>
      <c r="Y31" s="383"/>
      <c r="Z31" s="383"/>
    </row>
    <row r="32" spans="1:26" ht="12.75" customHeight="1" x14ac:dyDescent="0.3">
      <c r="A32" s="383"/>
      <c r="B32" s="383"/>
      <c r="C32" s="383"/>
      <c r="D32" s="383"/>
      <c r="E32" s="383"/>
      <c r="F32" s="383"/>
      <c r="G32" s="383"/>
      <c r="H32" s="383"/>
      <c r="I32" s="383"/>
      <c r="J32" s="383"/>
      <c r="K32" s="383"/>
      <c r="L32" s="383"/>
      <c r="M32" s="383"/>
      <c r="N32" s="383"/>
      <c r="O32" s="383"/>
      <c r="P32" s="383"/>
      <c r="Q32" s="383"/>
      <c r="R32" s="383"/>
      <c r="S32" s="383"/>
      <c r="T32" s="383"/>
      <c r="U32" s="383"/>
      <c r="V32" s="383"/>
      <c r="W32" s="324"/>
      <c r="X32" s="383"/>
      <c r="Y32" s="383"/>
      <c r="Z32" s="383"/>
    </row>
    <row r="33" spans="1:26" ht="12.75" customHeight="1" x14ac:dyDescent="0.3">
      <c r="A33" s="383"/>
      <c r="B33" s="383"/>
      <c r="C33" s="383"/>
      <c r="D33" s="383"/>
      <c r="E33" s="383"/>
      <c r="F33" s="383"/>
      <c r="G33" s="383"/>
      <c r="H33" s="383"/>
      <c r="I33" s="383"/>
      <c r="J33" s="383"/>
      <c r="K33" s="383"/>
      <c r="L33" s="383"/>
      <c r="M33" s="383"/>
      <c r="N33" s="383"/>
      <c r="O33" s="383"/>
      <c r="P33" s="383"/>
      <c r="Q33" s="383"/>
      <c r="R33" s="383"/>
      <c r="S33" s="383"/>
      <c r="T33" s="383"/>
      <c r="U33" s="383"/>
      <c r="V33" s="383"/>
      <c r="W33" s="324"/>
      <c r="X33" s="383"/>
      <c r="Y33" s="383"/>
      <c r="Z33" s="383"/>
    </row>
    <row r="34" spans="1:26" ht="12.75" customHeight="1" x14ac:dyDescent="0.3">
      <c r="A34" s="383"/>
      <c r="B34" s="383"/>
      <c r="C34" s="383"/>
      <c r="D34" s="383"/>
      <c r="E34" s="383"/>
      <c r="F34" s="383"/>
      <c r="G34" s="383"/>
      <c r="H34" s="383"/>
      <c r="I34" s="383"/>
      <c r="J34" s="383"/>
      <c r="K34" s="383"/>
      <c r="L34" s="383"/>
      <c r="M34" s="383"/>
      <c r="N34" s="383"/>
      <c r="O34" s="383"/>
      <c r="P34" s="383"/>
      <c r="Q34" s="383"/>
      <c r="R34" s="383"/>
      <c r="S34" s="383"/>
      <c r="T34" s="383"/>
      <c r="U34" s="383"/>
      <c r="V34" s="383"/>
      <c r="W34" s="324"/>
      <c r="X34" s="383"/>
      <c r="Y34" s="383"/>
      <c r="Z34" s="383"/>
    </row>
    <row r="35" spans="1:26" ht="12.75" customHeight="1" x14ac:dyDescent="0.3">
      <c r="A35" s="383"/>
      <c r="B35" s="383"/>
      <c r="C35" s="383"/>
      <c r="D35" s="383"/>
      <c r="E35" s="383"/>
      <c r="F35" s="383"/>
      <c r="G35" s="383"/>
      <c r="H35" s="383"/>
      <c r="I35" s="383"/>
      <c r="J35" s="383"/>
      <c r="K35" s="383"/>
      <c r="L35" s="383"/>
      <c r="M35" s="383"/>
      <c r="N35" s="383"/>
      <c r="O35" s="383"/>
      <c r="P35" s="383"/>
      <c r="Q35" s="383"/>
      <c r="R35" s="383"/>
      <c r="S35" s="383"/>
      <c r="T35" s="383"/>
      <c r="U35" s="383"/>
      <c r="V35" s="383"/>
      <c r="W35" s="324"/>
      <c r="X35" s="383"/>
      <c r="Y35" s="383"/>
      <c r="Z35" s="383"/>
    </row>
    <row r="36" spans="1:26" ht="12.75" customHeight="1" x14ac:dyDescent="0.3">
      <c r="A36" s="383"/>
      <c r="B36" s="383"/>
      <c r="C36" s="383"/>
      <c r="D36" s="383"/>
      <c r="E36" s="383"/>
      <c r="F36" s="383"/>
      <c r="G36" s="383"/>
      <c r="H36" s="383"/>
      <c r="I36" s="383"/>
      <c r="J36" s="383"/>
      <c r="K36" s="383"/>
      <c r="L36" s="383"/>
      <c r="M36" s="383"/>
      <c r="N36" s="383"/>
      <c r="O36" s="383"/>
      <c r="P36" s="383"/>
      <c r="Q36" s="383"/>
      <c r="R36" s="383"/>
      <c r="S36" s="383"/>
      <c r="T36" s="383"/>
      <c r="U36" s="383"/>
      <c r="V36" s="383"/>
      <c r="W36" s="324"/>
      <c r="X36" s="383"/>
      <c r="Y36" s="383"/>
      <c r="Z36" s="383"/>
    </row>
    <row r="37" spans="1:26" ht="12.75" customHeight="1" x14ac:dyDescent="0.3">
      <c r="A37" s="383"/>
      <c r="B37" s="383"/>
      <c r="C37" s="383"/>
      <c r="D37" s="383"/>
      <c r="E37" s="383"/>
      <c r="F37" s="383"/>
      <c r="G37" s="383"/>
      <c r="H37" s="383"/>
      <c r="I37" s="383"/>
      <c r="J37" s="383"/>
      <c r="K37" s="383"/>
      <c r="L37" s="383"/>
      <c r="M37" s="383"/>
      <c r="N37" s="383"/>
      <c r="O37" s="383"/>
      <c r="P37" s="383"/>
      <c r="Q37" s="383"/>
      <c r="R37" s="383"/>
      <c r="S37" s="383"/>
      <c r="T37" s="383"/>
      <c r="U37" s="383"/>
      <c r="V37" s="383"/>
      <c r="W37" s="324"/>
      <c r="X37" s="383"/>
      <c r="Y37" s="383"/>
      <c r="Z37" s="383"/>
    </row>
    <row r="38" spans="1:26" ht="12.75" customHeight="1" x14ac:dyDescent="0.3">
      <c r="A38" s="383"/>
      <c r="B38" s="383"/>
      <c r="C38" s="383"/>
      <c r="D38" s="383"/>
      <c r="E38" s="383"/>
      <c r="F38" s="383"/>
      <c r="G38" s="383"/>
      <c r="H38" s="383"/>
      <c r="I38" s="383"/>
      <c r="J38" s="383"/>
      <c r="K38" s="383"/>
      <c r="L38" s="383"/>
      <c r="M38" s="383"/>
      <c r="N38" s="383"/>
      <c r="O38" s="383"/>
      <c r="P38" s="383"/>
      <c r="Q38" s="383"/>
      <c r="R38" s="383"/>
      <c r="S38" s="383"/>
      <c r="T38" s="383"/>
      <c r="U38" s="383"/>
      <c r="V38" s="383"/>
      <c r="W38" s="324"/>
      <c r="X38" s="383"/>
      <c r="Y38" s="383"/>
      <c r="Z38" s="383"/>
    </row>
    <row r="39" spans="1:26" ht="12.75" customHeight="1" x14ac:dyDescent="0.3">
      <c r="A39" s="383"/>
      <c r="B39" s="383"/>
      <c r="C39" s="383"/>
      <c r="D39" s="383"/>
      <c r="E39" s="383"/>
      <c r="F39" s="383"/>
      <c r="G39" s="383"/>
      <c r="H39" s="383"/>
      <c r="I39" s="383"/>
      <c r="J39" s="383"/>
      <c r="K39" s="383"/>
      <c r="L39" s="383"/>
      <c r="M39" s="383"/>
      <c r="N39" s="383"/>
      <c r="O39" s="383"/>
      <c r="P39" s="383"/>
      <c r="Q39" s="383"/>
      <c r="R39" s="383"/>
      <c r="S39" s="383"/>
      <c r="T39" s="383"/>
      <c r="U39" s="383"/>
      <c r="V39" s="383"/>
      <c r="W39" s="324"/>
      <c r="X39" s="383"/>
      <c r="Y39" s="383"/>
      <c r="Z39" s="383"/>
    </row>
    <row r="40" spans="1:26" ht="12.75" customHeight="1" x14ac:dyDescent="0.3">
      <c r="A40" s="383"/>
      <c r="B40" s="383"/>
      <c r="C40" s="383"/>
      <c r="D40" s="383"/>
      <c r="E40" s="383"/>
      <c r="F40" s="383"/>
      <c r="G40" s="383"/>
      <c r="H40" s="383"/>
      <c r="I40" s="383"/>
      <c r="J40" s="383"/>
      <c r="K40" s="383"/>
      <c r="L40" s="383"/>
      <c r="M40" s="383"/>
      <c r="N40" s="383"/>
      <c r="O40" s="383"/>
      <c r="P40" s="383"/>
      <c r="Q40" s="383"/>
      <c r="R40" s="383"/>
      <c r="S40" s="383"/>
      <c r="T40" s="383"/>
      <c r="U40" s="383"/>
      <c r="V40" s="383"/>
      <c r="W40" s="324"/>
      <c r="X40" s="383"/>
      <c r="Y40" s="383"/>
      <c r="Z40" s="383"/>
    </row>
    <row r="41" spans="1:26" ht="12.75" customHeight="1" x14ac:dyDescent="0.3">
      <c r="A41" s="383"/>
      <c r="B41" s="383"/>
      <c r="C41" s="383"/>
      <c r="D41" s="383"/>
      <c r="E41" s="383"/>
      <c r="F41" s="383"/>
      <c r="G41" s="383"/>
      <c r="H41" s="383"/>
      <c r="I41" s="383"/>
      <c r="J41" s="383"/>
      <c r="K41" s="383"/>
      <c r="L41" s="383"/>
      <c r="M41" s="383"/>
      <c r="N41" s="383"/>
      <c r="O41" s="383"/>
      <c r="P41" s="383"/>
      <c r="Q41" s="383"/>
      <c r="R41" s="383"/>
      <c r="S41" s="383"/>
      <c r="T41" s="383"/>
      <c r="U41" s="383"/>
      <c r="V41" s="383"/>
      <c r="W41" s="324"/>
      <c r="X41" s="383"/>
      <c r="Y41" s="383"/>
      <c r="Z41" s="383"/>
    </row>
    <row r="42" spans="1:26" ht="12.75" customHeight="1" x14ac:dyDescent="0.3">
      <c r="A42" s="383"/>
      <c r="B42" s="383"/>
      <c r="C42" s="383"/>
      <c r="D42" s="383"/>
      <c r="E42" s="383"/>
      <c r="F42" s="383"/>
      <c r="G42" s="383"/>
      <c r="H42" s="383"/>
      <c r="I42" s="383"/>
      <c r="J42" s="383"/>
      <c r="K42" s="383"/>
      <c r="L42" s="383"/>
      <c r="M42" s="383"/>
      <c r="N42" s="383"/>
      <c r="O42" s="383"/>
      <c r="P42" s="383"/>
      <c r="Q42" s="383"/>
      <c r="R42" s="383"/>
      <c r="S42" s="383"/>
      <c r="T42" s="383"/>
      <c r="U42" s="383"/>
      <c r="V42" s="383"/>
      <c r="W42" s="324"/>
      <c r="X42" s="383"/>
      <c r="Y42" s="383"/>
      <c r="Z42" s="383"/>
    </row>
    <row r="43" spans="1:26" ht="12.75" customHeight="1" x14ac:dyDescent="0.3">
      <c r="A43" s="383"/>
      <c r="B43" s="383"/>
      <c r="C43" s="383"/>
      <c r="D43" s="383"/>
      <c r="E43" s="383"/>
      <c r="F43" s="383"/>
      <c r="G43" s="383"/>
      <c r="H43" s="383"/>
      <c r="I43" s="383"/>
      <c r="J43" s="383"/>
      <c r="K43" s="383"/>
      <c r="L43" s="383"/>
      <c r="M43" s="383"/>
      <c r="N43" s="383"/>
      <c r="O43" s="383"/>
      <c r="P43" s="383"/>
      <c r="Q43" s="383"/>
      <c r="R43" s="383"/>
      <c r="S43" s="383"/>
      <c r="T43" s="383"/>
      <c r="U43" s="383"/>
      <c r="V43" s="383"/>
      <c r="W43" s="324"/>
      <c r="X43" s="383"/>
      <c r="Y43" s="383"/>
      <c r="Z43" s="383"/>
    </row>
    <row r="44" spans="1:26" ht="12.75" customHeight="1" x14ac:dyDescent="0.3">
      <c r="A44" s="383"/>
      <c r="B44" s="383"/>
      <c r="C44" s="383"/>
      <c r="D44" s="383"/>
      <c r="E44" s="383"/>
      <c r="F44" s="383"/>
      <c r="G44" s="383"/>
      <c r="H44" s="383"/>
      <c r="I44" s="383"/>
      <c r="J44" s="383"/>
      <c r="K44" s="383"/>
      <c r="L44" s="383"/>
      <c r="M44" s="383"/>
      <c r="N44" s="383"/>
      <c r="O44" s="383"/>
      <c r="P44" s="383"/>
      <c r="Q44" s="383"/>
      <c r="R44" s="383"/>
      <c r="S44" s="383"/>
      <c r="T44" s="383"/>
      <c r="U44" s="383"/>
      <c r="V44" s="383"/>
      <c r="W44" s="324"/>
      <c r="X44" s="383"/>
      <c r="Y44" s="383"/>
      <c r="Z44" s="383"/>
    </row>
    <row r="45" spans="1:26" ht="12.75" customHeight="1" x14ac:dyDescent="0.3">
      <c r="A45" s="383"/>
      <c r="B45" s="383"/>
      <c r="C45" s="383"/>
      <c r="D45" s="383"/>
      <c r="E45" s="383"/>
      <c r="F45" s="383"/>
      <c r="G45" s="383"/>
      <c r="H45" s="383"/>
      <c r="I45" s="383"/>
      <c r="J45" s="383"/>
      <c r="K45" s="383"/>
      <c r="L45" s="383"/>
      <c r="M45" s="383"/>
      <c r="N45" s="383"/>
      <c r="O45" s="383"/>
      <c r="P45" s="383"/>
      <c r="Q45" s="383"/>
      <c r="R45" s="383"/>
      <c r="S45" s="383"/>
      <c r="T45" s="383"/>
      <c r="U45" s="383"/>
      <c r="V45" s="383"/>
      <c r="W45" s="324"/>
      <c r="X45" s="383"/>
      <c r="Y45" s="383"/>
      <c r="Z45" s="383"/>
    </row>
    <row r="46" spans="1:26" ht="12.75" customHeight="1" x14ac:dyDescent="0.3">
      <c r="A46" s="383"/>
      <c r="B46" s="383"/>
      <c r="C46" s="383"/>
      <c r="D46" s="383"/>
      <c r="E46" s="383"/>
      <c r="F46" s="383"/>
      <c r="G46" s="383"/>
      <c r="H46" s="383"/>
      <c r="I46" s="383"/>
      <c r="J46" s="383"/>
      <c r="K46" s="383"/>
      <c r="L46" s="383"/>
      <c r="M46" s="383"/>
      <c r="N46" s="383"/>
      <c r="O46" s="383"/>
      <c r="P46" s="383"/>
      <c r="Q46" s="383"/>
      <c r="R46" s="383"/>
      <c r="S46" s="383"/>
      <c r="T46" s="383"/>
      <c r="U46" s="383"/>
      <c r="V46" s="383"/>
      <c r="W46" s="324"/>
      <c r="X46" s="383"/>
      <c r="Y46" s="383"/>
      <c r="Z46" s="383"/>
    </row>
    <row r="47" spans="1:26" ht="12.75" customHeight="1" x14ac:dyDescent="0.3">
      <c r="A47" s="383"/>
      <c r="B47" s="383"/>
      <c r="C47" s="383"/>
      <c r="D47" s="383"/>
      <c r="E47" s="383"/>
      <c r="F47" s="383"/>
      <c r="G47" s="383"/>
      <c r="H47" s="383"/>
      <c r="I47" s="383"/>
      <c r="J47" s="383"/>
      <c r="K47" s="383"/>
      <c r="L47" s="383"/>
      <c r="M47" s="383"/>
      <c r="N47" s="383"/>
      <c r="O47" s="383"/>
      <c r="P47" s="383"/>
      <c r="Q47" s="383"/>
      <c r="R47" s="383"/>
      <c r="S47" s="383"/>
      <c r="T47" s="383"/>
      <c r="U47" s="383"/>
      <c r="V47" s="383"/>
      <c r="W47" s="324"/>
      <c r="X47" s="383"/>
      <c r="Y47" s="383"/>
      <c r="Z47" s="383"/>
    </row>
    <row r="48" spans="1:26" ht="12.75" customHeight="1" x14ac:dyDescent="0.3">
      <c r="A48" s="383"/>
      <c r="B48" s="383"/>
      <c r="C48" s="383"/>
      <c r="D48" s="383"/>
      <c r="E48" s="383"/>
      <c r="F48" s="383"/>
      <c r="G48" s="383"/>
      <c r="H48" s="383"/>
      <c r="I48" s="383"/>
      <c r="J48" s="383"/>
      <c r="K48" s="383"/>
      <c r="L48" s="383"/>
      <c r="M48" s="383"/>
      <c r="N48" s="383"/>
      <c r="O48" s="383"/>
      <c r="P48" s="383"/>
      <c r="Q48" s="383"/>
      <c r="R48" s="383"/>
      <c r="S48" s="383"/>
      <c r="T48" s="383"/>
      <c r="U48" s="383"/>
      <c r="V48" s="383"/>
      <c r="W48" s="324"/>
      <c r="X48" s="383"/>
      <c r="Y48" s="383"/>
      <c r="Z48" s="383"/>
    </row>
    <row r="49" spans="1:26" ht="12.75" customHeight="1" x14ac:dyDescent="0.3">
      <c r="A49" s="383"/>
      <c r="B49" s="383"/>
      <c r="C49" s="383"/>
      <c r="D49" s="383"/>
      <c r="E49" s="383"/>
      <c r="F49" s="383"/>
      <c r="G49" s="383"/>
      <c r="H49" s="383"/>
      <c r="I49" s="383"/>
      <c r="J49" s="383"/>
      <c r="K49" s="383"/>
      <c r="L49" s="383"/>
      <c r="M49" s="383"/>
      <c r="N49" s="383"/>
      <c r="O49" s="383"/>
      <c r="P49" s="383"/>
      <c r="Q49" s="383"/>
      <c r="R49" s="383"/>
      <c r="S49" s="383"/>
      <c r="T49" s="383"/>
      <c r="U49" s="383"/>
      <c r="V49" s="383"/>
      <c r="W49" s="324"/>
      <c r="X49" s="383"/>
      <c r="Y49" s="383"/>
      <c r="Z49" s="383"/>
    </row>
    <row r="50" spans="1:26" ht="12.75" customHeight="1" x14ac:dyDescent="0.3">
      <c r="A50" s="383"/>
      <c r="B50" s="383"/>
      <c r="C50" s="383"/>
      <c r="D50" s="383"/>
      <c r="E50" s="383"/>
      <c r="F50" s="383"/>
      <c r="G50" s="383"/>
      <c r="H50" s="383"/>
      <c r="I50" s="383"/>
      <c r="J50" s="383"/>
      <c r="K50" s="383"/>
      <c r="L50" s="383"/>
      <c r="M50" s="383"/>
      <c r="N50" s="383"/>
      <c r="O50" s="383"/>
      <c r="P50" s="383"/>
      <c r="Q50" s="383"/>
      <c r="R50" s="383"/>
      <c r="S50" s="383"/>
      <c r="T50" s="383"/>
      <c r="U50" s="383"/>
      <c r="V50" s="383"/>
      <c r="W50" s="324"/>
      <c r="X50" s="383"/>
      <c r="Y50" s="383"/>
      <c r="Z50" s="383"/>
    </row>
    <row r="51" spans="1:26" ht="12.75" customHeight="1" x14ac:dyDescent="0.3">
      <c r="A51" s="383"/>
      <c r="B51" s="383"/>
      <c r="C51" s="383"/>
      <c r="D51" s="383"/>
      <c r="E51" s="383"/>
      <c r="F51" s="383"/>
      <c r="G51" s="383"/>
      <c r="H51" s="383"/>
      <c r="I51" s="383"/>
      <c r="J51" s="383"/>
      <c r="K51" s="383"/>
      <c r="L51" s="383"/>
      <c r="M51" s="383"/>
      <c r="N51" s="383"/>
      <c r="O51" s="383"/>
      <c r="P51" s="383"/>
      <c r="Q51" s="383"/>
      <c r="R51" s="383"/>
      <c r="S51" s="383"/>
      <c r="T51" s="383"/>
      <c r="U51" s="383"/>
      <c r="V51" s="383"/>
      <c r="W51" s="324"/>
      <c r="X51" s="383"/>
      <c r="Y51" s="383"/>
      <c r="Z51" s="383"/>
    </row>
    <row r="52" spans="1:26" ht="12.75" customHeight="1" x14ac:dyDescent="0.3">
      <c r="A52" s="383"/>
      <c r="B52" s="383"/>
      <c r="C52" s="383"/>
      <c r="D52" s="383"/>
      <c r="E52" s="383"/>
      <c r="F52" s="383"/>
      <c r="G52" s="383"/>
      <c r="H52" s="383"/>
      <c r="I52" s="383"/>
      <c r="J52" s="383"/>
      <c r="K52" s="383"/>
      <c r="L52" s="383"/>
      <c r="M52" s="383"/>
      <c r="N52" s="383"/>
      <c r="O52" s="383"/>
      <c r="P52" s="383"/>
      <c r="Q52" s="383"/>
      <c r="R52" s="383"/>
      <c r="S52" s="383"/>
      <c r="T52" s="383"/>
      <c r="U52" s="383"/>
      <c r="V52" s="383"/>
      <c r="W52" s="324"/>
      <c r="X52" s="383"/>
      <c r="Y52" s="383"/>
      <c r="Z52" s="383"/>
    </row>
    <row r="53" spans="1:26" ht="12.75" customHeight="1" x14ac:dyDescent="0.3">
      <c r="A53" s="383"/>
      <c r="B53" s="383"/>
      <c r="C53" s="383"/>
      <c r="D53" s="383"/>
      <c r="E53" s="383"/>
      <c r="F53" s="383"/>
      <c r="G53" s="383"/>
      <c r="H53" s="383"/>
      <c r="I53" s="383"/>
      <c r="J53" s="383"/>
      <c r="K53" s="383"/>
      <c r="L53" s="383"/>
      <c r="M53" s="383"/>
      <c r="N53" s="383"/>
      <c r="O53" s="383"/>
      <c r="P53" s="383"/>
      <c r="Q53" s="383"/>
      <c r="R53" s="383"/>
      <c r="S53" s="383"/>
      <c r="T53" s="383"/>
      <c r="U53" s="383"/>
      <c r="V53" s="383"/>
      <c r="W53" s="324"/>
      <c r="X53" s="383"/>
      <c r="Y53" s="383"/>
      <c r="Z53" s="383"/>
    </row>
    <row r="54" spans="1:26" ht="12.75" customHeight="1" x14ac:dyDescent="0.3">
      <c r="A54" s="383"/>
      <c r="B54" s="383"/>
      <c r="C54" s="383"/>
      <c r="D54" s="383"/>
      <c r="E54" s="383"/>
      <c r="F54" s="383"/>
      <c r="G54" s="383"/>
      <c r="H54" s="383"/>
      <c r="I54" s="383"/>
      <c r="J54" s="383"/>
      <c r="K54" s="383"/>
      <c r="L54" s="383"/>
      <c r="M54" s="383"/>
      <c r="N54" s="383"/>
      <c r="O54" s="383"/>
      <c r="P54" s="383"/>
      <c r="Q54" s="383"/>
      <c r="R54" s="383"/>
      <c r="S54" s="383"/>
      <c r="T54" s="383"/>
      <c r="U54" s="383"/>
      <c r="V54" s="383"/>
      <c r="W54" s="324"/>
      <c r="X54" s="383"/>
      <c r="Y54" s="383"/>
      <c r="Z54" s="383"/>
    </row>
    <row r="55" spans="1:26" ht="12.75" customHeight="1" x14ac:dyDescent="0.3">
      <c r="A55" s="383"/>
      <c r="B55" s="383"/>
      <c r="C55" s="383"/>
      <c r="D55" s="383"/>
      <c r="E55" s="383"/>
      <c r="F55" s="383"/>
      <c r="G55" s="383"/>
      <c r="H55" s="383"/>
      <c r="I55" s="383"/>
      <c r="J55" s="383"/>
      <c r="K55" s="383"/>
      <c r="L55" s="383"/>
      <c r="M55" s="383"/>
      <c r="N55" s="383"/>
      <c r="O55" s="383"/>
      <c r="P55" s="383"/>
      <c r="Q55" s="383"/>
      <c r="R55" s="383"/>
      <c r="S55" s="383"/>
      <c r="T55" s="383"/>
      <c r="U55" s="383"/>
      <c r="V55" s="383"/>
      <c r="W55" s="324"/>
      <c r="X55" s="383"/>
      <c r="Y55" s="383"/>
      <c r="Z55" s="383"/>
    </row>
    <row r="56" spans="1:26" ht="12.75" customHeight="1" x14ac:dyDescent="0.3">
      <c r="A56" s="383"/>
      <c r="B56" s="383"/>
      <c r="C56" s="383"/>
      <c r="D56" s="383"/>
      <c r="E56" s="383"/>
      <c r="F56" s="383"/>
      <c r="G56" s="383"/>
      <c r="H56" s="383"/>
      <c r="I56" s="383"/>
      <c r="J56" s="383"/>
      <c r="K56" s="383"/>
      <c r="L56" s="383"/>
      <c r="M56" s="383"/>
      <c r="N56" s="383"/>
      <c r="O56" s="383"/>
      <c r="P56" s="383"/>
      <c r="Q56" s="383"/>
      <c r="R56" s="383"/>
      <c r="S56" s="383"/>
      <c r="T56" s="383"/>
      <c r="U56" s="383"/>
      <c r="V56" s="383"/>
      <c r="W56" s="324"/>
      <c r="X56" s="383"/>
      <c r="Y56" s="383"/>
      <c r="Z56" s="383"/>
    </row>
    <row r="57" spans="1:26" ht="12.75" customHeight="1" x14ac:dyDescent="0.3">
      <c r="A57" s="383"/>
      <c r="B57" s="383"/>
      <c r="C57" s="383"/>
      <c r="D57" s="383"/>
      <c r="E57" s="383"/>
      <c r="F57" s="383"/>
      <c r="G57" s="383"/>
      <c r="H57" s="383"/>
      <c r="I57" s="383"/>
      <c r="J57" s="383"/>
      <c r="K57" s="383"/>
      <c r="L57" s="383"/>
      <c r="M57" s="383"/>
      <c r="N57" s="383"/>
      <c r="O57" s="383"/>
      <c r="P57" s="383"/>
      <c r="Q57" s="383"/>
      <c r="R57" s="383"/>
      <c r="S57" s="383"/>
      <c r="T57" s="383"/>
      <c r="U57" s="383"/>
      <c r="V57" s="383"/>
      <c r="W57" s="324"/>
      <c r="X57" s="383"/>
      <c r="Y57" s="383"/>
      <c r="Z57" s="383"/>
    </row>
    <row r="58" spans="1:26" ht="12.75" customHeight="1" x14ac:dyDescent="0.3">
      <c r="A58" s="383"/>
      <c r="B58" s="383"/>
      <c r="C58" s="383"/>
      <c r="D58" s="383"/>
      <c r="E58" s="383"/>
      <c r="F58" s="383"/>
      <c r="G58" s="383"/>
      <c r="H58" s="383"/>
      <c r="I58" s="383"/>
      <c r="J58" s="383"/>
      <c r="K58" s="383"/>
      <c r="L58" s="383"/>
      <c r="M58" s="383"/>
      <c r="N58" s="383"/>
      <c r="O58" s="383"/>
      <c r="P58" s="383"/>
      <c r="Q58" s="383"/>
      <c r="R58" s="383"/>
      <c r="S58" s="383"/>
      <c r="T58" s="383"/>
      <c r="U58" s="383"/>
      <c r="V58" s="383"/>
      <c r="W58" s="324"/>
      <c r="X58" s="383"/>
      <c r="Y58" s="383"/>
      <c r="Z58" s="383"/>
    </row>
    <row r="59" spans="1:26" ht="12.75" customHeight="1" x14ac:dyDescent="0.3">
      <c r="A59" s="383"/>
      <c r="B59" s="383"/>
      <c r="C59" s="383"/>
      <c r="D59" s="383"/>
      <c r="E59" s="383"/>
      <c r="F59" s="383"/>
      <c r="G59" s="383"/>
      <c r="H59" s="383"/>
      <c r="I59" s="383"/>
      <c r="J59" s="383"/>
      <c r="K59" s="383"/>
      <c r="L59" s="383"/>
      <c r="M59" s="383"/>
      <c r="N59" s="383"/>
      <c r="O59" s="383"/>
      <c r="P59" s="383"/>
      <c r="Q59" s="383"/>
      <c r="R59" s="383"/>
      <c r="S59" s="383"/>
      <c r="T59" s="383"/>
      <c r="U59" s="383"/>
      <c r="V59" s="383"/>
      <c r="W59" s="324"/>
      <c r="X59" s="383"/>
      <c r="Y59" s="383"/>
      <c r="Z59" s="383"/>
    </row>
    <row r="60" spans="1:26" ht="12.75" customHeight="1" x14ac:dyDescent="0.3">
      <c r="A60" s="383"/>
      <c r="B60" s="383"/>
      <c r="C60" s="383"/>
      <c r="D60" s="383"/>
      <c r="E60" s="383"/>
      <c r="F60" s="383"/>
      <c r="G60" s="383"/>
      <c r="H60" s="383"/>
      <c r="I60" s="383"/>
      <c r="J60" s="383"/>
      <c r="K60" s="383"/>
      <c r="L60" s="383"/>
      <c r="M60" s="383"/>
      <c r="N60" s="383"/>
      <c r="O60" s="383"/>
      <c r="P60" s="383"/>
      <c r="Q60" s="383"/>
      <c r="R60" s="383"/>
      <c r="S60" s="383"/>
      <c r="T60" s="383"/>
      <c r="U60" s="383"/>
      <c r="V60" s="383"/>
      <c r="W60" s="324"/>
      <c r="X60" s="383"/>
      <c r="Y60" s="383"/>
      <c r="Z60" s="383"/>
    </row>
    <row r="61" spans="1:26" ht="12.75" customHeight="1" x14ac:dyDescent="0.3">
      <c r="A61" s="383"/>
      <c r="B61" s="383"/>
      <c r="C61" s="383"/>
      <c r="D61" s="383"/>
      <c r="E61" s="383"/>
      <c r="F61" s="383"/>
      <c r="G61" s="383"/>
      <c r="H61" s="383"/>
      <c r="I61" s="383"/>
      <c r="J61" s="383"/>
      <c r="K61" s="383"/>
      <c r="L61" s="383"/>
      <c r="M61" s="383"/>
      <c r="N61" s="383"/>
      <c r="O61" s="383"/>
      <c r="P61" s="383"/>
      <c r="Q61" s="383"/>
      <c r="R61" s="383"/>
      <c r="S61" s="383"/>
      <c r="T61" s="383"/>
      <c r="U61" s="383"/>
      <c r="V61" s="383"/>
      <c r="W61" s="324"/>
      <c r="X61" s="383"/>
      <c r="Y61" s="383"/>
      <c r="Z61" s="383"/>
    </row>
    <row r="62" spans="1:26" ht="12.75" customHeight="1" x14ac:dyDescent="0.3">
      <c r="A62" s="383"/>
      <c r="B62" s="383"/>
      <c r="C62" s="383"/>
      <c r="D62" s="383"/>
      <c r="E62" s="383"/>
      <c r="F62" s="383"/>
      <c r="G62" s="383"/>
      <c r="H62" s="383"/>
      <c r="I62" s="383"/>
      <c r="J62" s="383"/>
      <c r="K62" s="383"/>
      <c r="L62" s="383"/>
      <c r="M62" s="383"/>
      <c r="N62" s="383"/>
      <c r="O62" s="383"/>
      <c r="P62" s="383"/>
      <c r="Q62" s="383"/>
      <c r="R62" s="383"/>
      <c r="S62" s="383"/>
      <c r="T62" s="383"/>
      <c r="U62" s="383"/>
      <c r="V62" s="383"/>
      <c r="W62" s="324"/>
      <c r="X62" s="383"/>
      <c r="Y62" s="383"/>
      <c r="Z62" s="383"/>
    </row>
    <row r="63" spans="1:26" ht="12.75" customHeight="1" x14ac:dyDescent="0.3">
      <c r="A63" s="383"/>
      <c r="B63" s="383"/>
      <c r="C63" s="383"/>
      <c r="D63" s="383"/>
      <c r="E63" s="383"/>
      <c r="F63" s="383"/>
      <c r="G63" s="383"/>
      <c r="H63" s="383"/>
      <c r="I63" s="383"/>
      <c r="J63" s="383"/>
      <c r="K63" s="383"/>
      <c r="L63" s="383"/>
      <c r="M63" s="383"/>
      <c r="N63" s="383"/>
      <c r="O63" s="383"/>
      <c r="P63" s="383"/>
      <c r="Q63" s="383"/>
      <c r="R63" s="383"/>
      <c r="S63" s="383"/>
      <c r="T63" s="383"/>
      <c r="U63" s="383"/>
      <c r="V63" s="383"/>
      <c r="W63" s="324"/>
      <c r="X63" s="383"/>
      <c r="Y63" s="383"/>
      <c r="Z63" s="383"/>
    </row>
    <row r="64" spans="1:26" ht="12.75" customHeight="1" x14ac:dyDescent="0.3">
      <c r="A64" s="383"/>
      <c r="B64" s="383"/>
      <c r="C64" s="383"/>
      <c r="D64" s="383"/>
      <c r="E64" s="383"/>
      <c r="F64" s="383"/>
      <c r="G64" s="383"/>
      <c r="H64" s="383"/>
      <c r="I64" s="383"/>
      <c r="J64" s="383"/>
      <c r="K64" s="383"/>
      <c r="L64" s="383"/>
      <c r="M64" s="383"/>
      <c r="N64" s="383"/>
      <c r="O64" s="383"/>
      <c r="P64" s="383"/>
      <c r="Q64" s="383"/>
      <c r="R64" s="383"/>
      <c r="S64" s="383"/>
      <c r="T64" s="383"/>
      <c r="U64" s="383"/>
      <c r="V64" s="383"/>
      <c r="W64" s="324"/>
      <c r="X64" s="383"/>
      <c r="Y64" s="383"/>
      <c r="Z64" s="383"/>
    </row>
    <row r="65" spans="1:26" ht="12.75" customHeight="1" x14ac:dyDescent="0.3">
      <c r="A65" s="383"/>
      <c r="B65" s="383"/>
      <c r="C65" s="383"/>
      <c r="D65" s="383"/>
      <c r="E65" s="383"/>
      <c r="F65" s="383"/>
      <c r="G65" s="383"/>
      <c r="H65" s="383"/>
      <c r="I65" s="383"/>
      <c r="J65" s="383"/>
      <c r="K65" s="383"/>
      <c r="L65" s="383"/>
      <c r="M65" s="383"/>
      <c r="N65" s="383"/>
      <c r="O65" s="383"/>
      <c r="P65" s="383"/>
      <c r="Q65" s="383"/>
      <c r="R65" s="383"/>
      <c r="S65" s="383"/>
      <c r="T65" s="383"/>
      <c r="U65" s="383"/>
      <c r="V65" s="383"/>
      <c r="W65" s="324"/>
      <c r="X65" s="383"/>
      <c r="Y65" s="383"/>
      <c r="Z65" s="383"/>
    </row>
    <row r="66" spans="1:26" ht="12.75" customHeight="1" x14ac:dyDescent="0.3">
      <c r="A66" s="383"/>
      <c r="B66" s="383"/>
      <c r="C66" s="383"/>
      <c r="D66" s="383"/>
      <c r="E66" s="383"/>
      <c r="F66" s="383"/>
      <c r="G66" s="383"/>
      <c r="H66" s="383"/>
      <c r="I66" s="383"/>
      <c r="J66" s="383"/>
      <c r="K66" s="383"/>
      <c r="L66" s="383"/>
      <c r="M66" s="383"/>
      <c r="N66" s="383"/>
      <c r="O66" s="383"/>
      <c r="P66" s="383"/>
      <c r="Q66" s="383"/>
      <c r="R66" s="383"/>
      <c r="S66" s="383"/>
      <c r="T66" s="383"/>
      <c r="U66" s="383"/>
      <c r="V66" s="383"/>
      <c r="W66" s="324"/>
      <c r="X66" s="383"/>
      <c r="Y66" s="383"/>
      <c r="Z66" s="383"/>
    </row>
    <row r="67" spans="1:26" ht="12.75" customHeight="1" x14ac:dyDescent="0.3">
      <c r="A67" s="383"/>
      <c r="B67" s="383"/>
      <c r="C67" s="383"/>
      <c r="D67" s="383"/>
      <c r="E67" s="383"/>
      <c r="F67" s="383"/>
      <c r="G67" s="383"/>
      <c r="H67" s="383"/>
      <c r="I67" s="383"/>
      <c r="J67" s="383"/>
      <c r="K67" s="383"/>
      <c r="L67" s="383"/>
      <c r="M67" s="383"/>
      <c r="N67" s="383"/>
      <c r="O67" s="383"/>
      <c r="P67" s="383"/>
      <c r="Q67" s="383"/>
      <c r="R67" s="383"/>
      <c r="S67" s="383"/>
      <c r="T67" s="383"/>
      <c r="U67" s="383"/>
      <c r="V67" s="383"/>
      <c r="W67" s="324"/>
      <c r="X67" s="383"/>
      <c r="Y67" s="383"/>
      <c r="Z67" s="383"/>
    </row>
    <row r="68" spans="1:26" ht="12.75" customHeight="1" x14ac:dyDescent="0.3">
      <c r="A68" s="383"/>
      <c r="B68" s="383"/>
      <c r="C68" s="383"/>
      <c r="D68" s="383"/>
      <c r="E68" s="383"/>
      <c r="F68" s="383"/>
      <c r="G68" s="383"/>
      <c r="H68" s="383"/>
      <c r="I68" s="383"/>
      <c r="J68" s="383"/>
      <c r="K68" s="383"/>
      <c r="L68" s="383"/>
      <c r="M68" s="383"/>
      <c r="N68" s="383"/>
      <c r="O68" s="383"/>
      <c r="P68" s="383"/>
      <c r="Q68" s="383"/>
      <c r="R68" s="383"/>
      <c r="S68" s="383"/>
      <c r="T68" s="383"/>
      <c r="U68" s="383"/>
      <c r="V68" s="383"/>
      <c r="W68" s="324"/>
      <c r="X68" s="383"/>
      <c r="Y68" s="383"/>
      <c r="Z68" s="383"/>
    </row>
    <row r="69" spans="1:26" ht="12.75" customHeight="1" x14ac:dyDescent="0.3">
      <c r="A69" s="383"/>
      <c r="B69" s="383"/>
      <c r="C69" s="383"/>
      <c r="D69" s="383"/>
      <c r="E69" s="383"/>
      <c r="F69" s="383"/>
      <c r="G69" s="383"/>
      <c r="H69" s="383"/>
      <c r="I69" s="383"/>
      <c r="J69" s="383"/>
      <c r="K69" s="383"/>
      <c r="L69" s="383"/>
      <c r="M69" s="383"/>
      <c r="N69" s="383"/>
      <c r="O69" s="383"/>
      <c r="P69" s="383"/>
      <c r="Q69" s="383"/>
      <c r="R69" s="383"/>
      <c r="S69" s="383"/>
      <c r="T69" s="383"/>
      <c r="U69" s="383"/>
      <c r="V69" s="383"/>
      <c r="W69" s="324"/>
      <c r="X69" s="383"/>
      <c r="Y69" s="383"/>
      <c r="Z69" s="383"/>
    </row>
    <row r="70" spans="1:26" ht="12.75" customHeight="1" x14ac:dyDescent="0.3">
      <c r="A70" s="383"/>
      <c r="B70" s="383"/>
      <c r="C70" s="383"/>
      <c r="D70" s="383"/>
      <c r="E70" s="383"/>
      <c r="F70" s="383"/>
      <c r="G70" s="383"/>
      <c r="H70" s="383"/>
      <c r="I70" s="383"/>
      <c r="J70" s="383"/>
      <c r="K70" s="383"/>
      <c r="L70" s="383"/>
      <c r="M70" s="383"/>
      <c r="N70" s="383"/>
      <c r="O70" s="383"/>
      <c r="P70" s="383"/>
      <c r="Q70" s="383"/>
      <c r="R70" s="383"/>
      <c r="S70" s="383"/>
      <c r="T70" s="383"/>
      <c r="U70" s="383"/>
      <c r="V70" s="383"/>
      <c r="W70" s="324"/>
      <c r="X70" s="383"/>
      <c r="Y70" s="383"/>
      <c r="Z70" s="383"/>
    </row>
    <row r="71" spans="1:26" ht="12.75" customHeight="1" x14ac:dyDescent="0.3">
      <c r="A71" s="383"/>
      <c r="B71" s="383"/>
      <c r="C71" s="383"/>
      <c r="D71" s="383"/>
      <c r="E71" s="383"/>
      <c r="F71" s="383"/>
      <c r="G71" s="383"/>
      <c r="H71" s="383"/>
      <c r="I71" s="383"/>
      <c r="J71" s="383"/>
      <c r="K71" s="383"/>
      <c r="L71" s="383"/>
      <c r="M71" s="383"/>
      <c r="N71" s="383"/>
      <c r="O71" s="383"/>
      <c r="P71" s="383"/>
      <c r="Q71" s="383"/>
      <c r="R71" s="383"/>
      <c r="S71" s="383"/>
      <c r="T71" s="383"/>
      <c r="U71" s="383"/>
      <c r="V71" s="383"/>
      <c r="W71" s="324"/>
      <c r="X71" s="383"/>
      <c r="Y71" s="383"/>
      <c r="Z71" s="383"/>
    </row>
    <row r="72" spans="1:26" ht="12.75" customHeight="1" x14ac:dyDescent="0.3">
      <c r="A72" s="383"/>
      <c r="B72" s="383"/>
      <c r="C72" s="383"/>
      <c r="D72" s="383"/>
      <c r="E72" s="383"/>
      <c r="F72" s="383"/>
      <c r="G72" s="383"/>
      <c r="H72" s="383"/>
      <c r="I72" s="383"/>
      <c r="J72" s="383"/>
      <c r="K72" s="383"/>
      <c r="L72" s="383"/>
      <c r="M72" s="383"/>
      <c r="N72" s="383"/>
      <c r="O72" s="383"/>
      <c r="P72" s="383"/>
      <c r="Q72" s="383"/>
      <c r="R72" s="383"/>
      <c r="S72" s="383"/>
      <c r="T72" s="383"/>
      <c r="U72" s="383"/>
      <c r="V72" s="383"/>
      <c r="W72" s="324"/>
      <c r="X72" s="383"/>
      <c r="Y72" s="383"/>
      <c r="Z72" s="383"/>
    </row>
    <row r="73" spans="1:26" ht="12.75" customHeight="1" x14ac:dyDescent="0.3">
      <c r="A73" s="383"/>
      <c r="B73" s="383"/>
      <c r="C73" s="383"/>
      <c r="D73" s="383"/>
      <c r="E73" s="383"/>
      <c r="F73" s="383"/>
      <c r="G73" s="383"/>
      <c r="H73" s="383"/>
      <c r="I73" s="383"/>
      <c r="J73" s="383"/>
      <c r="K73" s="383"/>
      <c r="L73" s="383"/>
      <c r="M73" s="383"/>
      <c r="N73" s="383"/>
      <c r="O73" s="383"/>
      <c r="P73" s="383"/>
      <c r="Q73" s="383"/>
      <c r="R73" s="383"/>
      <c r="S73" s="383"/>
      <c r="T73" s="383"/>
      <c r="U73" s="383"/>
      <c r="V73" s="383"/>
      <c r="W73" s="324"/>
      <c r="X73" s="383"/>
      <c r="Y73" s="383"/>
      <c r="Z73" s="383"/>
    </row>
    <row r="74" spans="1:26" ht="12.75" customHeight="1" x14ac:dyDescent="0.3">
      <c r="A74" s="383"/>
      <c r="B74" s="383"/>
      <c r="C74" s="383"/>
      <c r="D74" s="383"/>
      <c r="E74" s="383"/>
      <c r="F74" s="383"/>
      <c r="G74" s="383"/>
      <c r="H74" s="383"/>
      <c r="I74" s="383"/>
      <c r="J74" s="383"/>
      <c r="K74" s="383"/>
      <c r="L74" s="383"/>
      <c r="M74" s="383"/>
      <c r="N74" s="383"/>
      <c r="O74" s="383"/>
      <c r="P74" s="383"/>
      <c r="Q74" s="383"/>
      <c r="R74" s="383"/>
      <c r="S74" s="383"/>
      <c r="T74" s="383"/>
      <c r="U74" s="383"/>
      <c r="V74" s="383"/>
      <c r="W74" s="324"/>
      <c r="X74" s="383"/>
      <c r="Y74" s="383"/>
      <c r="Z74" s="383"/>
    </row>
    <row r="75" spans="1:26" ht="12.75" customHeight="1" x14ac:dyDescent="0.3">
      <c r="A75" s="383"/>
      <c r="B75" s="383"/>
      <c r="C75" s="383"/>
      <c r="D75" s="383"/>
      <c r="E75" s="383"/>
      <c r="F75" s="383"/>
      <c r="G75" s="383"/>
      <c r="H75" s="383"/>
      <c r="I75" s="383"/>
      <c r="J75" s="383"/>
      <c r="K75" s="383"/>
      <c r="L75" s="383"/>
      <c r="M75" s="383"/>
      <c r="N75" s="383"/>
      <c r="O75" s="383"/>
      <c r="P75" s="383"/>
      <c r="Q75" s="383"/>
      <c r="R75" s="383"/>
      <c r="S75" s="383"/>
      <c r="T75" s="383"/>
      <c r="U75" s="383"/>
      <c r="V75" s="383"/>
      <c r="W75" s="324"/>
      <c r="X75" s="383"/>
      <c r="Y75" s="383"/>
      <c r="Z75" s="383"/>
    </row>
    <row r="76" spans="1:26" ht="12.75" customHeight="1" x14ac:dyDescent="0.3">
      <c r="A76" s="383"/>
      <c r="B76" s="383"/>
      <c r="C76" s="383"/>
      <c r="D76" s="383"/>
      <c r="E76" s="383"/>
      <c r="F76" s="383"/>
      <c r="G76" s="383"/>
      <c r="H76" s="383"/>
      <c r="I76" s="383"/>
      <c r="J76" s="383"/>
      <c r="K76" s="383"/>
      <c r="L76" s="383"/>
      <c r="M76" s="383"/>
      <c r="N76" s="383"/>
      <c r="O76" s="383"/>
      <c r="P76" s="383"/>
      <c r="Q76" s="383"/>
      <c r="R76" s="383"/>
      <c r="S76" s="383"/>
      <c r="T76" s="383"/>
      <c r="U76" s="383"/>
      <c r="V76" s="383"/>
      <c r="W76" s="324"/>
      <c r="X76" s="383"/>
      <c r="Y76" s="383"/>
      <c r="Z76" s="383"/>
    </row>
    <row r="77" spans="1:26" ht="12.75" customHeight="1" x14ac:dyDescent="0.3">
      <c r="A77" s="383"/>
      <c r="B77" s="383"/>
      <c r="C77" s="383"/>
      <c r="D77" s="383"/>
      <c r="E77" s="383"/>
      <c r="F77" s="383"/>
      <c r="G77" s="383"/>
      <c r="H77" s="383"/>
      <c r="I77" s="383"/>
      <c r="J77" s="383"/>
      <c r="K77" s="383"/>
      <c r="L77" s="383"/>
      <c r="M77" s="383"/>
      <c r="N77" s="383"/>
      <c r="O77" s="383"/>
      <c r="P77" s="383"/>
      <c r="Q77" s="383"/>
      <c r="R77" s="383"/>
      <c r="S77" s="383"/>
      <c r="T77" s="383"/>
      <c r="U77" s="383"/>
      <c r="V77" s="383"/>
      <c r="W77" s="324"/>
      <c r="X77" s="383"/>
      <c r="Y77" s="383"/>
      <c r="Z77" s="383"/>
    </row>
    <row r="78" spans="1:26" ht="12.75" customHeight="1" x14ac:dyDescent="0.3">
      <c r="A78" s="383"/>
      <c r="B78" s="383"/>
      <c r="C78" s="383"/>
      <c r="D78" s="383"/>
      <c r="E78" s="383"/>
      <c r="F78" s="383"/>
      <c r="G78" s="383"/>
      <c r="H78" s="383"/>
      <c r="I78" s="383"/>
      <c r="J78" s="383"/>
      <c r="K78" s="383"/>
      <c r="L78" s="383"/>
      <c r="M78" s="383"/>
      <c r="N78" s="383"/>
      <c r="O78" s="383"/>
      <c r="P78" s="383"/>
      <c r="Q78" s="383"/>
      <c r="R78" s="383"/>
      <c r="S78" s="383"/>
      <c r="T78" s="383"/>
      <c r="U78" s="383"/>
      <c r="V78" s="383"/>
      <c r="W78" s="324"/>
      <c r="X78" s="383"/>
      <c r="Y78" s="383"/>
      <c r="Z78" s="383"/>
    </row>
    <row r="79" spans="1:26" ht="12.75" customHeight="1" x14ac:dyDescent="0.3">
      <c r="A79" s="383"/>
      <c r="B79" s="383"/>
      <c r="C79" s="383"/>
      <c r="D79" s="383"/>
      <c r="E79" s="383"/>
      <c r="F79" s="383"/>
      <c r="G79" s="383"/>
      <c r="H79" s="383"/>
      <c r="I79" s="383"/>
      <c r="J79" s="383"/>
      <c r="K79" s="383"/>
      <c r="L79" s="383"/>
      <c r="M79" s="383"/>
      <c r="N79" s="383"/>
      <c r="O79" s="383"/>
      <c r="P79" s="383"/>
      <c r="Q79" s="383"/>
      <c r="R79" s="383"/>
      <c r="S79" s="383"/>
      <c r="T79" s="383"/>
      <c r="U79" s="383"/>
      <c r="V79" s="383"/>
      <c r="W79" s="324"/>
      <c r="X79" s="383"/>
      <c r="Y79" s="383"/>
      <c r="Z79" s="383"/>
    </row>
    <row r="80" spans="1:26" ht="12.75" customHeight="1" x14ac:dyDescent="0.3">
      <c r="A80" s="383"/>
      <c r="B80" s="383"/>
      <c r="C80" s="383"/>
      <c r="D80" s="383"/>
      <c r="E80" s="383"/>
      <c r="F80" s="383"/>
      <c r="G80" s="383"/>
      <c r="H80" s="383"/>
      <c r="I80" s="383"/>
      <c r="J80" s="383"/>
      <c r="K80" s="383"/>
      <c r="L80" s="383"/>
      <c r="M80" s="383"/>
      <c r="N80" s="383"/>
      <c r="O80" s="383"/>
      <c r="P80" s="383"/>
      <c r="Q80" s="383"/>
      <c r="R80" s="383"/>
      <c r="S80" s="383"/>
      <c r="T80" s="383"/>
      <c r="U80" s="383"/>
      <c r="V80" s="383"/>
      <c r="W80" s="324"/>
      <c r="X80" s="383"/>
      <c r="Y80" s="383"/>
      <c r="Z80" s="383"/>
    </row>
    <row r="81" spans="1:26" ht="12.75" customHeight="1" x14ac:dyDescent="0.3">
      <c r="A81" s="383"/>
      <c r="B81" s="383"/>
      <c r="C81" s="383"/>
      <c r="D81" s="383"/>
      <c r="E81" s="383"/>
      <c r="F81" s="383"/>
      <c r="G81" s="383"/>
      <c r="H81" s="383"/>
      <c r="I81" s="383"/>
      <c r="J81" s="383"/>
      <c r="K81" s="383"/>
      <c r="L81" s="383"/>
      <c r="M81" s="383"/>
      <c r="N81" s="383"/>
      <c r="O81" s="383"/>
      <c r="P81" s="383"/>
      <c r="Q81" s="383"/>
      <c r="R81" s="383"/>
      <c r="S81" s="383"/>
      <c r="T81" s="383"/>
      <c r="U81" s="383"/>
      <c r="V81" s="383"/>
      <c r="W81" s="324"/>
      <c r="X81" s="383"/>
      <c r="Y81" s="383"/>
      <c r="Z81" s="383"/>
    </row>
    <row r="82" spans="1:26" ht="12.75" customHeight="1" x14ac:dyDescent="0.3">
      <c r="A82" s="383"/>
      <c r="B82" s="383"/>
      <c r="C82" s="383"/>
      <c r="D82" s="383"/>
      <c r="E82" s="383"/>
      <c r="F82" s="383"/>
      <c r="G82" s="383"/>
      <c r="H82" s="383"/>
      <c r="I82" s="383"/>
      <c r="J82" s="383"/>
      <c r="K82" s="383"/>
      <c r="L82" s="383"/>
      <c r="M82" s="383"/>
      <c r="N82" s="383"/>
      <c r="O82" s="383"/>
      <c r="P82" s="383"/>
      <c r="Q82" s="383"/>
      <c r="R82" s="383"/>
      <c r="S82" s="383"/>
      <c r="T82" s="383"/>
      <c r="U82" s="383"/>
      <c r="V82" s="383"/>
      <c r="W82" s="324"/>
      <c r="X82" s="383"/>
      <c r="Y82" s="383"/>
      <c r="Z82" s="383"/>
    </row>
    <row r="83" spans="1:26" ht="12.75" customHeight="1" x14ac:dyDescent="0.3">
      <c r="A83" s="383"/>
      <c r="B83" s="383"/>
      <c r="C83" s="383"/>
      <c r="D83" s="383"/>
      <c r="E83" s="383"/>
      <c r="F83" s="383"/>
      <c r="G83" s="383"/>
      <c r="H83" s="383"/>
      <c r="I83" s="383"/>
      <c r="J83" s="383"/>
      <c r="K83" s="383"/>
      <c r="L83" s="383"/>
      <c r="M83" s="383"/>
      <c r="N83" s="383"/>
      <c r="O83" s="383"/>
      <c r="P83" s="383"/>
      <c r="Q83" s="383"/>
      <c r="R83" s="383"/>
      <c r="S83" s="383"/>
      <c r="T83" s="383"/>
      <c r="U83" s="383"/>
      <c r="V83" s="383"/>
      <c r="W83" s="324"/>
      <c r="X83" s="383"/>
      <c r="Y83" s="383"/>
      <c r="Z83" s="383"/>
    </row>
    <row r="84" spans="1:26" ht="12.75" customHeight="1" x14ac:dyDescent="0.3">
      <c r="A84" s="383"/>
      <c r="B84" s="383"/>
      <c r="C84" s="383"/>
      <c r="D84" s="383"/>
      <c r="E84" s="383"/>
      <c r="F84" s="383"/>
      <c r="G84" s="383"/>
      <c r="H84" s="383"/>
      <c r="I84" s="383"/>
      <c r="J84" s="383"/>
      <c r="K84" s="383"/>
      <c r="L84" s="383"/>
      <c r="M84" s="383"/>
      <c r="N84" s="383"/>
      <c r="O84" s="383"/>
      <c r="P84" s="383"/>
      <c r="Q84" s="383"/>
      <c r="R84" s="383"/>
      <c r="S84" s="383"/>
      <c r="T84" s="383"/>
      <c r="U84" s="383"/>
      <c r="V84" s="383"/>
      <c r="W84" s="324"/>
      <c r="X84" s="383"/>
      <c r="Y84" s="383"/>
      <c r="Z84" s="383"/>
    </row>
    <row r="85" spans="1:26" ht="12.75" customHeight="1" x14ac:dyDescent="0.3">
      <c r="A85" s="383"/>
      <c r="B85" s="383"/>
      <c r="C85" s="383"/>
      <c r="D85" s="383"/>
      <c r="E85" s="383"/>
      <c r="F85" s="383"/>
      <c r="G85" s="383"/>
      <c r="H85" s="383"/>
      <c r="I85" s="383"/>
      <c r="J85" s="383"/>
      <c r="K85" s="383"/>
      <c r="L85" s="383"/>
      <c r="M85" s="383"/>
      <c r="N85" s="383"/>
      <c r="O85" s="383"/>
      <c r="P85" s="383"/>
      <c r="Q85" s="383"/>
      <c r="R85" s="383"/>
      <c r="S85" s="383"/>
      <c r="T85" s="383"/>
      <c r="U85" s="383"/>
      <c r="V85" s="383"/>
      <c r="W85" s="324"/>
      <c r="X85" s="383"/>
      <c r="Y85" s="383"/>
      <c r="Z85" s="383"/>
    </row>
    <row r="86" spans="1:26" ht="12.75" customHeight="1" x14ac:dyDescent="0.3">
      <c r="A86" s="383"/>
      <c r="B86" s="383"/>
      <c r="C86" s="383"/>
      <c r="D86" s="383"/>
      <c r="E86" s="383"/>
      <c r="F86" s="383"/>
      <c r="G86" s="383"/>
      <c r="H86" s="383"/>
      <c r="I86" s="383"/>
      <c r="J86" s="383"/>
      <c r="K86" s="383"/>
      <c r="L86" s="383"/>
      <c r="M86" s="383"/>
      <c r="N86" s="383"/>
      <c r="O86" s="383"/>
      <c r="P86" s="383"/>
      <c r="Q86" s="383"/>
      <c r="R86" s="383"/>
      <c r="S86" s="383"/>
      <c r="T86" s="383"/>
      <c r="U86" s="383"/>
      <c r="V86" s="383"/>
      <c r="W86" s="324"/>
      <c r="X86" s="383"/>
      <c r="Y86" s="383"/>
      <c r="Z86" s="383"/>
    </row>
    <row r="87" spans="1:26" ht="12.75" customHeight="1" x14ac:dyDescent="0.3">
      <c r="A87" s="383"/>
      <c r="B87" s="383"/>
      <c r="C87" s="383"/>
      <c r="D87" s="383"/>
      <c r="E87" s="383"/>
      <c r="F87" s="383"/>
      <c r="G87" s="383"/>
      <c r="H87" s="383"/>
      <c r="I87" s="383"/>
      <c r="J87" s="383"/>
      <c r="K87" s="383"/>
      <c r="L87" s="383"/>
      <c r="M87" s="383"/>
      <c r="N87" s="383"/>
      <c r="O87" s="383"/>
      <c r="P87" s="383"/>
      <c r="Q87" s="383"/>
      <c r="R87" s="383"/>
      <c r="S87" s="383"/>
      <c r="T87" s="383"/>
      <c r="U87" s="383"/>
      <c r="V87" s="383"/>
      <c r="W87" s="324"/>
      <c r="X87" s="383"/>
      <c r="Y87" s="383"/>
      <c r="Z87" s="383"/>
    </row>
    <row r="88" spans="1:26" ht="12.75" customHeight="1" x14ac:dyDescent="0.3">
      <c r="A88" s="383"/>
      <c r="B88" s="383"/>
      <c r="C88" s="383"/>
      <c r="D88" s="383"/>
      <c r="E88" s="383"/>
      <c r="F88" s="383"/>
      <c r="G88" s="383"/>
      <c r="H88" s="383"/>
      <c r="I88" s="383"/>
      <c r="J88" s="383"/>
      <c r="K88" s="383"/>
      <c r="L88" s="383"/>
      <c r="M88" s="383"/>
      <c r="N88" s="383"/>
      <c r="O88" s="383"/>
      <c r="P88" s="383"/>
      <c r="Q88" s="383"/>
      <c r="R88" s="383"/>
      <c r="S88" s="383"/>
      <c r="T88" s="383"/>
      <c r="U88" s="383"/>
      <c r="V88" s="383"/>
      <c r="W88" s="324"/>
      <c r="X88" s="383"/>
      <c r="Y88" s="383"/>
      <c r="Z88" s="383"/>
    </row>
    <row r="89" spans="1:26" ht="12.75" customHeight="1" x14ac:dyDescent="0.3">
      <c r="A89" s="383"/>
      <c r="B89" s="383"/>
      <c r="C89" s="383"/>
      <c r="D89" s="383"/>
      <c r="E89" s="383"/>
      <c r="F89" s="383"/>
      <c r="G89" s="383"/>
      <c r="H89" s="383"/>
      <c r="I89" s="383"/>
      <c r="J89" s="383"/>
      <c r="K89" s="383"/>
      <c r="L89" s="383"/>
      <c r="M89" s="383"/>
      <c r="N89" s="383"/>
      <c r="O89" s="383"/>
      <c r="P89" s="383"/>
      <c r="Q89" s="383"/>
      <c r="R89" s="383"/>
      <c r="S89" s="383"/>
      <c r="T89" s="383"/>
      <c r="U89" s="383"/>
      <c r="V89" s="383"/>
      <c r="W89" s="324"/>
      <c r="X89" s="383"/>
      <c r="Y89" s="383"/>
      <c r="Z89" s="383"/>
    </row>
    <row r="90" spans="1:26" ht="12.75" customHeight="1" x14ac:dyDescent="0.3">
      <c r="A90" s="383"/>
      <c r="B90" s="383"/>
      <c r="C90" s="383"/>
      <c r="D90" s="383"/>
      <c r="E90" s="383"/>
      <c r="F90" s="383"/>
      <c r="G90" s="383"/>
      <c r="H90" s="383"/>
      <c r="I90" s="383"/>
      <c r="J90" s="383"/>
      <c r="K90" s="383"/>
      <c r="L90" s="383"/>
      <c r="M90" s="383"/>
      <c r="N90" s="383"/>
      <c r="O90" s="383"/>
      <c r="P90" s="383"/>
      <c r="Q90" s="383"/>
      <c r="R90" s="383"/>
      <c r="S90" s="383"/>
      <c r="T90" s="383"/>
      <c r="U90" s="383"/>
      <c r="V90" s="383"/>
      <c r="W90" s="324"/>
      <c r="X90" s="383"/>
      <c r="Y90" s="383"/>
      <c r="Z90" s="383"/>
    </row>
    <row r="91" spans="1:26" ht="12.75" customHeight="1" x14ac:dyDescent="0.3">
      <c r="A91" s="383"/>
      <c r="B91" s="383"/>
      <c r="C91" s="383"/>
      <c r="D91" s="383"/>
      <c r="E91" s="383"/>
      <c r="F91" s="383"/>
      <c r="G91" s="383"/>
      <c r="H91" s="383"/>
      <c r="I91" s="383"/>
      <c r="J91" s="383"/>
      <c r="K91" s="383"/>
      <c r="L91" s="383"/>
      <c r="M91" s="383"/>
      <c r="N91" s="383"/>
      <c r="O91" s="383"/>
      <c r="P91" s="383"/>
      <c r="Q91" s="383"/>
      <c r="R91" s="383"/>
      <c r="S91" s="383"/>
      <c r="T91" s="383"/>
      <c r="U91" s="383"/>
      <c r="V91" s="383"/>
      <c r="W91" s="324"/>
      <c r="X91" s="383"/>
      <c r="Y91" s="383"/>
      <c r="Z91" s="383"/>
    </row>
    <row r="92" spans="1:26" ht="12.75" customHeight="1" x14ac:dyDescent="0.3">
      <c r="A92" s="383"/>
      <c r="B92" s="383"/>
      <c r="C92" s="383"/>
      <c r="D92" s="383"/>
      <c r="E92" s="383"/>
      <c r="F92" s="383"/>
      <c r="G92" s="383"/>
      <c r="H92" s="383"/>
      <c r="I92" s="383"/>
      <c r="J92" s="383"/>
      <c r="K92" s="383"/>
      <c r="L92" s="383"/>
      <c r="M92" s="383"/>
      <c r="N92" s="383"/>
      <c r="O92" s="383"/>
      <c r="P92" s="383"/>
      <c r="Q92" s="383"/>
      <c r="R92" s="383"/>
      <c r="S92" s="383"/>
      <c r="T92" s="383"/>
      <c r="U92" s="383"/>
      <c r="V92" s="383"/>
      <c r="W92" s="324"/>
      <c r="X92" s="383"/>
      <c r="Y92" s="383"/>
      <c r="Z92" s="383"/>
    </row>
    <row r="93" spans="1:26" ht="12.75" customHeight="1" x14ac:dyDescent="0.3">
      <c r="A93" s="383"/>
      <c r="B93" s="383"/>
      <c r="C93" s="383"/>
      <c r="D93" s="383"/>
      <c r="E93" s="383"/>
      <c r="F93" s="383"/>
      <c r="G93" s="383"/>
      <c r="H93" s="383"/>
      <c r="I93" s="383"/>
      <c r="J93" s="383"/>
      <c r="K93" s="383"/>
      <c r="L93" s="383"/>
      <c r="M93" s="383"/>
      <c r="N93" s="383"/>
      <c r="O93" s="383"/>
      <c r="P93" s="383"/>
      <c r="Q93" s="383"/>
      <c r="R93" s="383"/>
      <c r="S93" s="383"/>
      <c r="T93" s="383"/>
      <c r="U93" s="383"/>
      <c r="V93" s="383"/>
      <c r="W93" s="324"/>
      <c r="X93" s="383"/>
      <c r="Y93" s="383"/>
      <c r="Z93" s="383"/>
    </row>
    <row r="94" spans="1:26" ht="12.75" customHeight="1" x14ac:dyDescent="0.3">
      <c r="A94" s="383"/>
      <c r="B94" s="383"/>
      <c r="C94" s="383"/>
      <c r="D94" s="383"/>
      <c r="E94" s="383"/>
      <c r="F94" s="383"/>
      <c r="G94" s="383"/>
      <c r="H94" s="383"/>
      <c r="I94" s="383"/>
      <c r="J94" s="383"/>
      <c r="K94" s="383"/>
      <c r="L94" s="383"/>
      <c r="M94" s="383"/>
      <c r="N94" s="383"/>
      <c r="O94" s="383"/>
      <c r="P94" s="383"/>
      <c r="Q94" s="383"/>
      <c r="R94" s="383"/>
      <c r="S94" s="383"/>
      <c r="T94" s="383"/>
      <c r="U94" s="383"/>
      <c r="V94" s="383"/>
      <c r="W94" s="324"/>
      <c r="X94" s="383"/>
      <c r="Y94" s="383"/>
      <c r="Z94" s="383"/>
    </row>
    <row r="95" spans="1:26" ht="12.75" customHeight="1" x14ac:dyDescent="0.3">
      <c r="A95" s="383"/>
      <c r="B95" s="383"/>
      <c r="C95" s="383"/>
      <c r="D95" s="383"/>
      <c r="E95" s="383"/>
      <c r="F95" s="383"/>
      <c r="G95" s="383"/>
      <c r="H95" s="383"/>
      <c r="I95" s="383"/>
      <c r="J95" s="383"/>
      <c r="K95" s="383"/>
      <c r="L95" s="383"/>
      <c r="M95" s="383"/>
      <c r="N95" s="383"/>
      <c r="O95" s="383"/>
      <c r="P95" s="383"/>
      <c r="Q95" s="383"/>
      <c r="R95" s="383"/>
      <c r="S95" s="383"/>
      <c r="T95" s="383"/>
      <c r="U95" s="383"/>
      <c r="V95" s="383"/>
      <c r="W95" s="324"/>
      <c r="X95" s="383"/>
      <c r="Y95" s="383"/>
      <c r="Z95" s="383"/>
    </row>
    <row r="96" spans="1:26" ht="12.75" customHeight="1" x14ac:dyDescent="0.3">
      <c r="A96" s="383"/>
      <c r="B96" s="383"/>
      <c r="C96" s="383"/>
      <c r="D96" s="383"/>
      <c r="E96" s="383"/>
      <c r="F96" s="383"/>
      <c r="G96" s="383"/>
      <c r="H96" s="383"/>
      <c r="I96" s="383"/>
      <c r="J96" s="383"/>
      <c r="K96" s="383"/>
      <c r="L96" s="383"/>
      <c r="M96" s="383"/>
      <c r="N96" s="383"/>
      <c r="O96" s="383"/>
      <c r="P96" s="383"/>
      <c r="Q96" s="383"/>
      <c r="R96" s="383"/>
      <c r="S96" s="383"/>
      <c r="T96" s="383"/>
      <c r="U96" s="383"/>
      <c r="V96" s="383"/>
      <c r="W96" s="324"/>
      <c r="X96" s="383"/>
      <c r="Y96" s="383"/>
      <c r="Z96" s="383"/>
    </row>
    <row r="97" spans="1:26" ht="12.75" customHeight="1" x14ac:dyDescent="0.3">
      <c r="A97" s="383"/>
      <c r="B97" s="383"/>
      <c r="C97" s="383"/>
      <c r="D97" s="383"/>
      <c r="E97" s="383"/>
      <c r="F97" s="383"/>
      <c r="G97" s="383"/>
      <c r="H97" s="383"/>
      <c r="I97" s="383"/>
      <c r="J97" s="383"/>
      <c r="K97" s="383"/>
      <c r="L97" s="383"/>
      <c r="M97" s="383"/>
      <c r="N97" s="383"/>
      <c r="O97" s="383"/>
      <c r="P97" s="383"/>
      <c r="Q97" s="383"/>
      <c r="R97" s="383"/>
      <c r="S97" s="383"/>
      <c r="T97" s="383"/>
      <c r="U97" s="383"/>
      <c r="V97" s="383"/>
      <c r="W97" s="324"/>
      <c r="X97" s="383"/>
      <c r="Y97" s="383"/>
      <c r="Z97" s="383"/>
    </row>
    <row r="98" spans="1:26" ht="12.75" customHeight="1" x14ac:dyDescent="0.3">
      <c r="A98" s="383"/>
      <c r="B98" s="383"/>
      <c r="C98" s="383"/>
      <c r="D98" s="383"/>
      <c r="E98" s="383"/>
      <c r="F98" s="383"/>
      <c r="G98" s="383"/>
      <c r="H98" s="383"/>
      <c r="I98" s="383"/>
      <c r="J98" s="383"/>
      <c r="K98" s="383"/>
      <c r="L98" s="383"/>
      <c r="M98" s="383"/>
      <c r="N98" s="383"/>
      <c r="O98" s="383"/>
      <c r="P98" s="383"/>
      <c r="Q98" s="383"/>
      <c r="R98" s="383"/>
      <c r="S98" s="383"/>
      <c r="T98" s="383"/>
      <c r="U98" s="383"/>
      <c r="V98" s="383"/>
      <c r="W98" s="324"/>
      <c r="X98" s="383"/>
      <c r="Y98" s="383"/>
      <c r="Z98" s="383"/>
    </row>
    <row r="99" spans="1:26" ht="12.75" customHeight="1" x14ac:dyDescent="0.3">
      <c r="A99" s="383"/>
      <c r="B99" s="383"/>
      <c r="C99" s="383"/>
      <c r="D99" s="383"/>
      <c r="E99" s="383"/>
      <c r="F99" s="383"/>
      <c r="G99" s="383"/>
      <c r="H99" s="383"/>
      <c r="I99" s="383"/>
      <c r="J99" s="383"/>
      <c r="K99" s="383"/>
      <c r="L99" s="383"/>
      <c r="M99" s="383"/>
      <c r="N99" s="383"/>
      <c r="O99" s="383"/>
      <c r="P99" s="383"/>
      <c r="Q99" s="383"/>
      <c r="R99" s="383"/>
      <c r="S99" s="383"/>
      <c r="T99" s="383"/>
      <c r="U99" s="383"/>
      <c r="V99" s="383"/>
      <c r="W99" s="324"/>
      <c r="X99" s="383"/>
      <c r="Y99" s="383"/>
      <c r="Z99" s="383"/>
    </row>
    <row r="100" spans="1:26" ht="12.75" customHeight="1" x14ac:dyDescent="0.3">
      <c r="A100" s="383"/>
      <c r="B100" s="383"/>
      <c r="C100" s="383"/>
      <c r="D100" s="383"/>
      <c r="E100" s="383"/>
      <c r="F100" s="383"/>
      <c r="G100" s="383"/>
      <c r="H100" s="383"/>
      <c r="I100" s="383"/>
      <c r="J100" s="383"/>
      <c r="K100" s="383"/>
      <c r="L100" s="383"/>
      <c r="M100" s="383"/>
      <c r="N100" s="383"/>
      <c r="O100" s="383"/>
      <c r="P100" s="383"/>
      <c r="Q100" s="383"/>
      <c r="R100" s="383"/>
      <c r="S100" s="383"/>
      <c r="T100" s="383"/>
      <c r="U100" s="383"/>
      <c r="V100" s="383"/>
      <c r="W100" s="324"/>
      <c r="X100" s="383"/>
      <c r="Y100" s="383"/>
      <c r="Z100" s="383"/>
    </row>
    <row r="101" spans="1:26" ht="12.75" customHeight="1" x14ac:dyDescent="0.3">
      <c r="A101" s="383"/>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24"/>
      <c r="X101" s="383"/>
      <c r="Y101" s="383"/>
      <c r="Z101" s="383"/>
    </row>
    <row r="102" spans="1:26" ht="12.75" customHeight="1" x14ac:dyDescent="0.3">
      <c r="A102" s="383"/>
      <c r="B102" s="383"/>
      <c r="C102" s="383"/>
      <c r="D102" s="383"/>
      <c r="E102" s="383"/>
      <c r="F102" s="383"/>
      <c r="G102" s="383"/>
      <c r="H102" s="383"/>
      <c r="I102" s="383"/>
      <c r="J102" s="383"/>
      <c r="K102" s="383"/>
      <c r="L102" s="383"/>
      <c r="M102" s="383"/>
      <c r="N102" s="383"/>
      <c r="O102" s="383"/>
      <c r="P102" s="383"/>
      <c r="Q102" s="383"/>
      <c r="R102" s="383"/>
      <c r="S102" s="383"/>
      <c r="T102" s="383"/>
      <c r="U102" s="383"/>
      <c r="V102" s="383"/>
      <c r="W102" s="324"/>
      <c r="X102" s="383"/>
      <c r="Y102" s="383"/>
      <c r="Z102" s="383"/>
    </row>
    <row r="103" spans="1:26" ht="12.75" customHeight="1" x14ac:dyDescent="0.3">
      <c r="A103" s="383"/>
      <c r="B103" s="383"/>
      <c r="C103" s="383"/>
      <c r="D103" s="383"/>
      <c r="E103" s="383"/>
      <c r="F103" s="383"/>
      <c r="G103" s="383"/>
      <c r="H103" s="383"/>
      <c r="I103" s="383"/>
      <c r="J103" s="383"/>
      <c r="K103" s="383"/>
      <c r="L103" s="383"/>
      <c r="M103" s="383"/>
      <c r="N103" s="383"/>
      <c r="O103" s="383"/>
      <c r="P103" s="383"/>
      <c r="Q103" s="383"/>
      <c r="R103" s="383"/>
      <c r="S103" s="383"/>
      <c r="T103" s="383"/>
      <c r="U103" s="383"/>
      <c r="V103" s="383"/>
      <c r="W103" s="324"/>
      <c r="X103" s="383"/>
      <c r="Y103" s="383"/>
      <c r="Z103" s="383"/>
    </row>
    <row r="104" spans="1:26" ht="12.75" customHeight="1" x14ac:dyDescent="0.3">
      <c r="A104" s="383"/>
      <c r="B104" s="383"/>
      <c r="C104" s="383"/>
      <c r="D104" s="383"/>
      <c r="E104" s="383"/>
      <c r="F104" s="383"/>
      <c r="G104" s="383"/>
      <c r="H104" s="383"/>
      <c r="I104" s="383"/>
      <c r="J104" s="383"/>
      <c r="K104" s="383"/>
      <c r="L104" s="383"/>
      <c r="M104" s="383"/>
      <c r="N104" s="383"/>
      <c r="O104" s="383"/>
      <c r="P104" s="383"/>
      <c r="Q104" s="383"/>
      <c r="R104" s="383"/>
      <c r="S104" s="383"/>
      <c r="T104" s="383"/>
      <c r="U104" s="383"/>
      <c r="V104" s="383"/>
      <c r="W104" s="324"/>
      <c r="X104" s="383"/>
      <c r="Y104" s="383"/>
      <c r="Z104" s="383"/>
    </row>
    <row r="105" spans="1:26" ht="12.75" customHeight="1" x14ac:dyDescent="0.3">
      <c r="A105" s="383"/>
      <c r="B105" s="383"/>
      <c r="C105" s="383"/>
      <c r="D105" s="383"/>
      <c r="E105" s="383"/>
      <c r="F105" s="383"/>
      <c r="G105" s="383"/>
      <c r="H105" s="383"/>
      <c r="I105" s="383"/>
      <c r="J105" s="383"/>
      <c r="K105" s="383"/>
      <c r="L105" s="383"/>
      <c r="M105" s="383"/>
      <c r="N105" s="383"/>
      <c r="O105" s="383"/>
      <c r="P105" s="383"/>
      <c r="Q105" s="383"/>
      <c r="R105" s="383"/>
      <c r="S105" s="383"/>
      <c r="T105" s="383"/>
      <c r="U105" s="383"/>
      <c r="V105" s="383"/>
      <c r="W105" s="324"/>
      <c r="X105" s="383"/>
      <c r="Y105" s="383"/>
      <c r="Z105" s="383"/>
    </row>
    <row r="106" spans="1:26" ht="12.75" customHeight="1" x14ac:dyDescent="0.3">
      <c r="A106" s="383"/>
      <c r="B106" s="383"/>
      <c r="C106" s="383"/>
      <c r="D106" s="383"/>
      <c r="E106" s="383"/>
      <c r="F106" s="383"/>
      <c r="G106" s="383"/>
      <c r="H106" s="383"/>
      <c r="I106" s="383"/>
      <c r="J106" s="383"/>
      <c r="K106" s="383"/>
      <c r="L106" s="383"/>
      <c r="M106" s="383"/>
      <c r="N106" s="383"/>
      <c r="O106" s="383"/>
      <c r="P106" s="383"/>
      <c r="Q106" s="383"/>
      <c r="R106" s="383"/>
      <c r="S106" s="383"/>
      <c r="T106" s="383"/>
      <c r="U106" s="383"/>
      <c r="V106" s="383"/>
      <c r="W106" s="324"/>
      <c r="X106" s="383"/>
      <c r="Y106" s="383"/>
      <c r="Z106" s="383"/>
    </row>
    <row r="107" spans="1:26" ht="12.75" customHeight="1" x14ac:dyDescent="0.3">
      <c r="A107" s="383"/>
      <c r="B107" s="383"/>
      <c r="C107" s="383"/>
      <c r="D107" s="383"/>
      <c r="E107" s="383"/>
      <c r="F107" s="383"/>
      <c r="G107" s="383"/>
      <c r="H107" s="383"/>
      <c r="I107" s="383"/>
      <c r="J107" s="383"/>
      <c r="K107" s="383"/>
      <c r="L107" s="383"/>
      <c r="M107" s="383"/>
      <c r="N107" s="383"/>
      <c r="O107" s="383"/>
      <c r="P107" s="383"/>
      <c r="Q107" s="383"/>
      <c r="R107" s="383"/>
      <c r="S107" s="383"/>
      <c r="T107" s="383"/>
      <c r="U107" s="383"/>
      <c r="V107" s="383"/>
      <c r="W107" s="324"/>
      <c r="X107" s="383"/>
      <c r="Y107" s="383"/>
      <c r="Z107" s="383"/>
    </row>
    <row r="108" spans="1:26" ht="12.75" customHeight="1" x14ac:dyDescent="0.3">
      <c r="A108" s="383"/>
      <c r="B108" s="383"/>
      <c r="C108" s="383"/>
      <c r="D108" s="383"/>
      <c r="E108" s="383"/>
      <c r="F108" s="383"/>
      <c r="G108" s="383"/>
      <c r="H108" s="383"/>
      <c r="I108" s="383"/>
      <c r="J108" s="383"/>
      <c r="K108" s="383"/>
      <c r="L108" s="383"/>
      <c r="M108" s="383"/>
      <c r="N108" s="383"/>
      <c r="O108" s="383"/>
      <c r="P108" s="383"/>
      <c r="Q108" s="383"/>
      <c r="R108" s="383"/>
      <c r="S108" s="383"/>
      <c r="T108" s="383"/>
      <c r="U108" s="383"/>
      <c r="V108" s="383"/>
      <c r="W108" s="324"/>
      <c r="X108" s="383"/>
      <c r="Y108" s="383"/>
      <c r="Z108" s="383"/>
    </row>
    <row r="109" spans="1:26" ht="12.75" customHeight="1" x14ac:dyDescent="0.3">
      <c r="A109" s="383"/>
      <c r="B109" s="383"/>
      <c r="C109" s="383"/>
      <c r="D109" s="383"/>
      <c r="E109" s="383"/>
      <c r="F109" s="383"/>
      <c r="G109" s="383"/>
      <c r="H109" s="383"/>
      <c r="I109" s="383"/>
      <c r="J109" s="383"/>
      <c r="K109" s="383"/>
      <c r="L109" s="383"/>
      <c r="M109" s="383"/>
      <c r="N109" s="383"/>
      <c r="O109" s="383"/>
      <c r="P109" s="383"/>
      <c r="Q109" s="383"/>
      <c r="R109" s="383"/>
      <c r="S109" s="383"/>
      <c r="T109" s="383"/>
      <c r="U109" s="383"/>
      <c r="V109" s="383"/>
      <c r="W109" s="324"/>
      <c r="X109" s="383"/>
      <c r="Y109" s="383"/>
      <c r="Z109" s="383"/>
    </row>
    <row r="110" spans="1:26" ht="12.75" customHeight="1" x14ac:dyDescent="0.3">
      <c r="A110" s="383"/>
      <c r="B110" s="383"/>
      <c r="C110" s="383"/>
      <c r="D110" s="383"/>
      <c r="E110" s="383"/>
      <c r="F110" s="383"/>
      <c r="G110" s="383"/>
      <c r="H110" s="383"/>
      <c r="I110" s="383"/>
      <c r="J110" s="383"/>
      <c r="K110" s="383"/>
      <c r="L110" s="383"/>
      <c r="M110" s="383"/>
      <c r="N110" s="383"/>
      <c r="O110" s="383"/>
      <c r="P110" s="383"/>
      <c r="Q110" s="383"/>
      <c r="R110" s="383"/>
      <c r="S110" s="383"/>
      <c r="T110" s="383"/>
      <c r="U110" s="383"/>
      <c r="V110" s="383"/>
      <c r="W110" s="324"/>
      <c r="X110" s="383"/>
      <c r="Y110" s="383"/>
      <c r="Z110" s="383"/>
    </row>
    <row r="111" spans="1:26" ht="12.75" customHeight="1" x14ac:dyDescent="0.3">
      <c r="A111" s="383"/>
      <c r="B111" s="383"/>
      <c r="C111" s="383"/>
      <c r="D111" s="383"/>
      <c r="E111" s="383"/>
      <c r="F111" s="383"/>
      <c r="G111" s="383"/>
      <c r="H111" s="383"/>
      <c r="I111" s="383"/>
      <c r="J111" s="383"/>
      <c r="K111" s="383"/>
      <c r="L111" s="383"/>
      <c r="M111" s="383"/>
      <c r="N111" s="383"/>
      <c r="O111" s="383"/>
      <c r="P111" s="383"/>
      <c r="Q111" s="383"/>
      <c r="R111" s="383"/>
      <c r="S111" s="383"/>
      <c r="T111" s="383"/>
      <c r="U111" s="383"/>
      <c r="V111" s="383"/>
      <c r="W111" s="324"/>
      <c r="X111" s="383"/>
      <c r="Y111" s="383"/>
      <c r="Z111" s="383"/>
    </row>
    <row r="112" spans="1:26" ht="12.75" customHeight="1" x14ac:dyDescent="0.3">
      <c r="A112" s="383"/>
      <c r="B112" s="383"/>
      <c r="C112" s="383"/>
      <c r="D112" s="383"/>
      <c r="E112" s="383"/>
      <c r="F112" s="383"/>
      <c r="G112" s="383"/>
      <c r="H112" s="383"/>
      <c r="I112" s="383"/>
      <c r="J112" s="383"/>
      <c r="K112" s="383"/>
      <c r="L112" s="383"/>
      <c r="M112" s="383"/>
      <c r="N112" s="383"/>
      <c r="O112" s="383"/>
      <c r="P112" s="383"/>
      <c r="Q112" s="383"/>
      <c r="R112" s="383"/>
      <c r="S112" s="383"/>
      <c r="T112" s="383"/>
      <c r="U112" s="383"/>
      <c r="V112" s="383"/>
      <c r="W112" s="324"/>
      <c r="X112" s="383"/>
      <c r="Y112" s="383"/>
      <c r="Z112" s="383"/>
    </row>
    <row r="113" spans="1:26" ht="12.75" customHeight="1" x14ac:dyDescent="0.3">
      <c r="A113" s="383"/>
      <c r="B113" s="383"/>
      <c r="C113" s="383"/>
      <c r="D113" s="383"/>
      <c r="E113" s="383"/>
      <c r="F113" s="383"/>
      <c r="G113" s="383"/>
      <c r="H113" s="383"/>
      <c r="I113" s="383"/>
      <c r="J113" s="383"/>
      <c r="K113" s="383"/>
      <c r="L113" s="383"/>
      <c r="M113" s="383"/>
      <c r="N113" s="383"/>
      <c r="O113" s="383"/>
      <c r="P113" s="383"/>
      <c r="Q113" s="383"/>
      <c r="R113" s="383"/>
      <c r="S113" s="383"/>
      <c r="T113" s="383"/>
      <c r="U113" s="383"/>
      <c r="V113" s="383"/>
      <c r="W113" s="324"/>
      <c r="X113" s="383"/>
      <c r="Y113" s="383"/>
      <c r="Z113" s="383"/>
    </row>
    <row r="114" spans="1:26" ht="12.75" customHeight="1" x14ac:dyDescent="0.3">
      <c r="A114" s="383"/>
      <c r="B114" s="383"/>
      <c r="C114" s="383"/>
      <c r="D114" s="383"/>
      <c r="E114" s="383"/>
      <c r="F114" s="383"/>
      <c r="G114" s="383"/>
      <c r="H114" s="383"/>
      <c r="I114" s="383"/>
      <c r="J114" s="383"/>
      <c r="K114" s="383"/>
      <c r="L114" s="383"/>
      <c r="M114" s="383"/>
      <c r="N114" s="383"/>
      <c r="O114" s="383"/>
      <c r="P114" s="383"/>
      <c r="Q114" s="383"/>
      <c r="R114" s="383"/>
      <c r="S114" s="383"/>
      <c r="T114" s="383"/>
      <c r="U114" s="383"/>
      <c r="V114" s="383"/>
      <c r="W114" s="324"/>
      <c r="X114" s="383"/>
      <c r="Y114" s="383"/>
      <c r="Z114" s="383"/>
    </row>
    <row r="115" spans="1:26" ht="12.75" customHeight="1" x14ac:dyDescent="0.3">
      <c r="A115" s="383"/>
      <c r="B115" s="383"/>
      <c r="C115" s="383"/>
      <c r="D115" s="383"/>
      <c r="E115" s="383"/>
      <c r="F115" s="383"/>
      <c r="G115" s="383"/>
      <c r="H115" s="383"/>
      <c r="I115" s="383"/>
      <c r="J115" s="383"/>
      <c r="K115" s="383"/>
      <c r="L115" s="383"/>
      <c r="M115" s="383"/>
      <c r="N115" s="383"/>
      <c r="O115" s="383"/>
      <c r="P115" s="383"/>
      <c r="Q115" s="383"/>
      <c r="R115" s="383"/>
      <c r="S115" s="383"/>
      <c r="T115" s="383"/>
      <c r="U115" s="383"/>
      <c r="V115" s="383"/>
      <c r="W115" s="324"/>
      <c r="X115" s="383"/>
      <c r="Y115" s="383"/>
      <c r="Z115" s="383"/>
    </row>
    <row r="116" spans="1:26" ht="12.75" customHeight="1" x14ac:dyDescent="0.3">
      <c r="A116" s="383"/>
      <c r="B116" s="383"/>
      <c r="C116" s="383"/>
      <c r="D116" s="383"/>
      <c r="E116" s="383"/>
      <c r="F116" s="383"/>
      <c r="G116" s="383"/>
      <c r="H116" s="383"/>
      <c r="I116" s="383"/>
      <c r="J116" s="383"/>
      <c r="K116" s="383"/>
      <c r="L116" s="383"/>
      <c r="M116" s="383"/>
      <c r="N116" s="383"/>
      <c r="O116" s="383"/>
      <c r="P116" s="383"/>
      <c r="Q116" s="383"/>
      <c r="R116" s="383"/>
      <c r="S116" s="383"/>
      <c r="T116" s="383"/>
      <c r="U116" s="383"/>
      <c r="V116" s="383"/>
      <c r="W116" s="324"/>
      <c r="X116" s="383"/>
      <c r="Y116" s="383"/>
      <c r="Z116" s="383"/>
    </row>
    <row r="117" spans="1:26" ht="12.75" customHeight="1" x14ac:dyDescent="0.3">
      <c r="A117" s="383"/>
      <c r="B117" s="383"/>
      <c r="C117" s="383"/>
      <c r="D117" s="383"/>
      <c r="E117" s="383"/>
      <c r="F117" s="383"/>
      <c r="G117" s="383"/>
      <c r="H117" s="383"/>
      <c r="I117" s="383"/>
      <c r="J117" s="383"/>
      <c r="K117" s="383"/>
      <c r="L117" s="383"/>
      <c r="M117" s="383"/>
      <c r="N117" s="383"/>
      <c r="O117" s="383"/>
      <c r="P117" s="383"/>
      <c r="Q117" s="383"/>
      <c r="R117" s="383"/>
      <c r="S117" s="383"/>
      <c r="T117" s="383"/>
      <c r="U117" s="383"/>
      <c r="V117" s="383"/>
      <c r="W117" s="324"/>
      <c r="X117" s="383"/>
      <c r="Y117" s="383"/>
      <c r="Z117" s="383"/>
    </row>
    <row r="118" spans="1:26" ht="12.75" customHeight="1" x14ac:dyDescent="0.3">
      <c r="A118" s="383"/>
      <c r="B118" s="383"/>
      <c r="C118" s="383"/>
      <c r="D118" s="383"/>
      <c r="E118" s="383"/>
      <c r="F118" s="383"/>
      <c r="G118" s="383"/>
      <c r="H118" s="383"/>
      <c r="I118" s="383"/>
      <c r="J118" s="383"/>
      <c r="K118" s="383"/>
      <c r="L118" s="383"/>
      <c r="M118" s="383"/>
      <c r="N118" s="383"/>
      <c r="O118" s="383"/>
      <c r="P118" s="383"/>
      <c r="Q118" s="383"/>
      <c r="R118" s="383"/>
      <c r="S118" s="383"/>
      <c r="T118" s="383"/>
      <c r="U118" s="383"/>
      <c r="V118" s="383"/>
      <c r="W118" s="324"/>
      <c r="X118" s="383"/>
      <c r="Y118" s="383"/>
      <c r="Z118" s="383"/>
    </row>
    <row r="119" spans="1:26" ht="12.75" customHeight="1" x14ac:dyDescent="0.3">
      <c r="A119" s="383"/>
      <c r="B119" s="383"/>
      <c r="C119" s="383"/>
      <c r="D119" s="383"/>
      <c r="E119" s="383"/>
      <c r="F119" s="383"/>
      <c r="G119" s="383"/>
      <c r="H119" s="383"/>
      <c r="I119" s="383"/>
      <c r="J119" s="383"/>
      <c r="K119" s="383"/>
      <c r="L119" s="383"/>
      <c r="M119" s="383"/>
      <c r="N119" s="383"/>
      <c r="O119" s="383"/>
      <c r="P119" s="383"/>
      <c r="Q119" s="383"/>
      <c r="R119" s="383"/>
      <c r="S119" s="383"/>
      <c r="T119" s="383"/>
      <c r="U119" s="383"/>
      <c r="V119" s="383"/>
      <c r="W119" s="324"/>
      <c r="X119" s="383"/>
      <c r="Y119" s="383"/>
      <c r="Z119" s="383"/>
    </row>
    <row r="120" spans="1:26" ht="12.75" customHeight="1" x14ac:dyDescent="0.3">
      <c r="A120" s="383"/>
      <c r="B120" s="383"/>
      <c r="C120" s="383"/>
      <c r="D120" s="383"/>
      <c r="E120" s="383"/>
      <c r="F120" s="383"/>
      <c r="G120" s="383"/>
      <c r="H120" s="383"/>
      <c r="I120" s="383"/>
      <c r="J120" s="383"/>
      <c r="K120" s="383"/>
      <c r="L120" s="383"/>
      <c r="M120" s="383"/>
      <c r="N120" s="383"/>
      <c r="O120" s="383"/>
      <c r="P120" s="383"/>
      <c r="Q120" s="383"/>
      <c r="R120" s="383"/>
      <c r="S120" s="383"/>
      <c r="T120" s="383"/>
      <c r="U120" s="383"/>
      <c r="V120" s="383"/>
      <c r="W120" s="324"/>
      <c r="X120" s="383"/>
      <c r="Y120" s="383"/>
      <c r="Z120" s="383"/>
    </row>
    <row r="121" spans="1:26" ht="12.75" customHeight="1" x14ac:dyDescent="0.3">
      <c r="A121" s="383"/>
      <c r="B121" s="383"/>
      <c r="C121" s="383"/>
      <c r="D121" s="383"/>
      <c r="E121" s="383"/>
      <c r="F121" s="383"/>
      <c r="G121" s="383"/>
      <c r="H121" s="383"/>
      <c r="I121" s="383"/>
      <c r="J121" s="383"/>
      <c r="K121" s="383"/>
      <c r="L121" s="383"/>
      <c r="M121" s="383"/>
      <c r="N121" s="383"/>
      <c r="O121" s="383"/>
      <c r="P121" s="383"/>
      <c r="Q121" s="383"/>
      <c r="R121" s="383"/>
      <c r="S121" s="383"/>
      <c r="T121" s="383"/>
      <c r="U121" s="383"/>
      <c r="V121" s="383"/>
      <c r="W121" s="324"/>
      <c r="X121" s="383"/>
      <c r="Y121" s="383"/>
      <c r="Z121" s="383"/>
    </row>
    <row r="122" spans="1:26" ht="12.75" customHeight="1" x14ac:dyDescent="0.3">
      <c r="A122" s="383"/>
      <c r="B122" s="383"/>
      <c r="C122" s="383"/>
      <c r="D122" s="383"/>
      <c r="E122" s="383"/>
      <c r="F122" s="383"/>
      <c r="G122" s="383"/>
      <c r="H122" s="383"/>
      <c r="I122" s="383"/>
      <c r="J122" s="383"/>
      <c r="K122" s="383"/>
      <c r="L122" s="383"/>
      <c r="M122" s="383"/>
      <c r="N122" s="383"/>
      <c r="O122" s="383"/>
      <c r="P122" s="383"/>
      <c r="Q122" s="383"/>
      <c r="R122" s="383"/>
      <c r="S122" s="383"/>
      <c r="T122" s="383"/>
      <c r="U122" s="383"/>
      <c r="V122" s="383"/>
      <c r="W122" s="324"/>
      <c r="X122" s="383"/>
      <c r="Y122" s="383"/>
      <c r="Z122" s="383"/>
    </row>
    <row r="123" spans="1:26" ht="12.75" customHeight="1" x14ac:dyDescent="0.3">
      <c r="A123" s="383"/>
      <c r="B123" s="383"/>
      <c r="C123" s="383"/>
      <c r="D123" s="383"/>
      <c r="E123" s="383"/>
      <c r="F123" s="383"/>
      <c r="G123" s="383"/>
      <c r="H123" s="383"/>
      <c r="I123" s="383"/>
      <c r="J123" s="383"/>
      <c r="K123" s="383"/>
      <c r="L123" s="383"/>
      <c r="M123" s="383"/>
      <c r="N123" s="383"/>
      <c r="O123" s="383"/>
      <c r="P123" s="383"/>
      <c r="Q123" s="383"/>
      <c r="R123" s="383"/>
      <c r="S123" s="383"/>
      <c r="T123" s="383"/>
      <c r="U123" s="383"/>
      <c r="V123" s="383"/>
      <c r="W123" s="324"/>
      <c r="X123" s="383"/>
      <c r="Y123" s="383"/>
      <c r="Z123" s="383"/>
    </row>
    <row r="124" spans="1:26" ht="12.75" customHeight="1" x14ac:dyDescent="0.3">
      <c r="A124" s="383"/>
      <c r="B124" s="383"/>
      <c r="C124" s="383"/>
      <c r="D124" s="383"/>
      <c r="E124" s="383"/>
      <c r="F124" s="383"/>
      <c r="G124" s="383"/>
      <c r="H124" s="383"/>
      <c r="I124" s="383"/>
      <c r="J124" s="383"/>
      <c r="K124" s="383"/>
      <c r="L124" s="383"/>
      <c r="M124" s="383"/>
      <c r="N124" s="383"/>
      <c r="O124" s="383"/>
      <c r="P124" s="383"/>
      <c r="Q124" s="383"/>
      <c r="R124" s="383"/>
      <c r="S124" s="383"/>
      <c r="T124" s="383"/>
      <c r="U124" s="383"/>
      <c r="V124" s="383"/>
      <c r="W124" s="324"/>
      <c r="X124" s="383"/>
      <c r="Y124" s="383"/>
      <c r="Z124" s="383"/>
    </row>
    <row r="125" spans="1:26" ht="12.75" customHeight="1" x14ac:dyDescent="0.3">
      <c r="A125" s="383"/>
      <c r="B125" s="383"/>
      <c r="C125" s="383"/>
      <c r="D125" s="383"/>
      <c r="E125" s="383"/>
      <c r="F125" s="383"/>
      <c r="G125" s="383"/>
      <c r="H125" s="383"/>
      <c r="I125" s="383"/>
      <c r="J125" s="383"/>
      <c r="K125" s="383"/>
      <c r="L125" s="383"/>
      <c r="M125" s="383"/>
      <c r="N125" s="383"/>
      <c r="O125" s="383"/>
      <c r="P125" s="383"/>
      <c r="Q125" s="383"/>
      <c r="R125" s="383"/>
      <c r="S125" s="383"/>
      <c r="T125" s="383"/>
      <c r="U125" s="383"/>
      <c r="V125" s="383"/>
      <c r="W125" s="324"/>
      <c r="X125" s="383"/>
      <c r="Y125" s="383"/>
      <c r="Z125" s="383"/>
    </row>
    <row r="126" spans="1:26" ht="12.75" customHeight="1" x14ac:dyDescent="0.3">
      <c r="A126" s="383"/>
      <c r="B126" s="383"/>
      <c r="C126" s="383"/>
      <c r="D126" s="383"/>
      <c r="E126" s="383"/>
      <c r="F126" s="383"/>
      <c r="G126" s="383"/>
      <c r="H126" s="383"/>
      <c r="I126" s="383"/>
      <c r="J126" s="383"/>
      <c r="K126" s="383"/>
      <c r="L126" s="383"/>
      <c r="M126" s="383"/>
      <c r="N126" s="383"/>
      <c r="O126" s="383"/>
      <c r="P126" s="383"/>
      <c r="Q126" s="383"/>
      <c r="R126" s="383"/>
      <c r="S126" s="383"/>
      <c r="T126" s="383"/>
      <c r="U126" s="383"/>
      <c r="V126" s="383"/>
      <c r="W126" s="324"/>
      <c r="X126" s="383"/>
      <c r="Y126" s="383"/>
      <c r="Z126" s="383"/>
    </row>
    <row r="127" spans="1:26" ht="12.75" customHeight="1" x14ac:dyDescent="0.3">
      <c r="A127" s="383"/>
      <c r="B127" s="383"/>
      <c r="C127" s="383"/>
      <c r="D127" s="383"/>
      <c r="E127" s="383"/>
      <c r="F127" s="383"/>
      <c r="G127" s="383"/>
      <c r="H127" s="383"/>
      <c r="I127" s="383"/>
      <c r="J127" s="383"/>
      <c r="K127" s="383"/>
      <c r="L127" s="383"/>
      <c r="M127" s="383"/>
      <c r="N127" s="383"/>
      <c r="O127" s="383"/>
      <c r="P127" s="383"/>
      <c r="Q127" s="383"/>
      <c r="R127" s="383"/>
      <c r="S127" s="383"/>
      <c r="T127" s="383"/>
      <c r="U127" s="383"/>
      <c r="V127" s="383"/>
      <c r="W127" s="324"/>
      <c r="X127" s="383"/>
      <c r="Y127" s="383"/>
      <c r="Z127" s="383"/>
    </row>
    <row r="128" spans="1:26" ht="12.75" customHeight="1" x14ac:dyDescent="0.3">
      <c r="A128" s="383"/>
      <c r="B128" s="383"/>
      <c r="C128" s="383"/>
      <c r="D128" s="383"/>
      <c r="E128" s="383"/>
      <c r="F128" s="383"/>
      <c r="G128" s="383"/>
      <c r="H128" s="383"/>
      <c r="I128" s="383"/>
      <c r="J128" s="383"/>
      <c r="K128" s="383"/>
      <c r="L128" s="383"/>
      <c r="M128" s="383"/>
      <c r="N128" s="383"/>
      <c r="O128" s="383"/>
      <c r="P128" s="383"/>
      <c r="Q128" s="383"/>
      <c r="R128" s="383"/>
      <c r="S128" s="383"/>
      <c r="T128" s="383"/>
      <c r="U128" s="383"/>
      <c r="V128" s="383"/>
      <c r="W128" s="324"/>
      <c r="X128" s="383"/>
      <c r="Y128" s="383"/>
      <c r="Z128" s="383"/>
    </row>
    <row r="129" spans="1:26" ht="12.75" customHeight="1" x14ac:dyDescent="0.3">
      <c r="A129" s="383"/>
      <c r="B129" s="383"/>
      <c r="C129" s="383"/>
      <c r="D129" s="383"/>
      <c r="E129" s="383"/>
      <c r="F129" s="383"/>
      <c r="G129" s="383"/>
      <c r="H129" s="383"/>
      <c r="I129" s="383"/>
      <c r="J129" s="383"/>
      <c r="K129" s="383"/>
      <c r="L129" s="383"/>
      <c r="M129" s="383"/>
      <c r="N129" s="383"/>
      <c r="O129" s="383"/>
      <c r="P129" s="383"/>
      <c r="Q129" s="383"/>
      <c r="R129" s="383"/>
      <c r="S129" s="383"/>
      <c r="T129" s="383"/>
      <c r="U129" s="383"/>
      <c r="V129" s="383"/>
      <c r="W129" s="324"/>
      <c r="X129" s="383"/>
      <c r="Y129" s="383"/>
      <c r="Z129" s="383"/>
    </row>
    <row r="130" spans="1:26" ht="12.75" customHeight="1" x14ac:dyDescent="0.3">
      <c r="A130" s="383"/>
      <c r="B130" s="383"/>
      <c r="C130" s="383"/>
      <c r="D130" s="383"/>
      <c r="E130" s="383"/>
      <c r="F130" s="383"/>
      <c r="G130" s="383"/>
      <c r="H130" s="383"/>
      <c r="I130" s="383"/>
      <c r="J130" s="383"/>
      <c r="K130" s="383"/>
      <c r="L130" s="383"/>
      <c r="M130" s="383"/>
      <c r="N130" s="383"/>
      <c r="O130" s="383"/>
      <c r="P130" s="383"/>
      <c r="Q130" s="383"/>
      <c r="R130" s="383"/>
      <c r="S130" s="383"/>
      <c r="T130" s="383"/>
      <c r="U130" s="383"/>
      <c r="V130" s="383"/>
      <c r="W130" s="324"/>
      <c r="X130" s="383"/>
      <c r="Y130" s="383"/>
      <c r="Z130" s="383"/>
    </row>
    <row r="131" spans="1:26" ht="12.75" customHeight="1" x14ac:dyDescent="0.3">
      <c r="A131" s="383"/>
      <c r="B131" s="383"/>
      <c r="C131" s="383"/>
      <c r="D131" s="383"/>
      <c r="E131" s="383"/>
      <c r="F131" s="383"/>
      <c r="G131" s="383"/>
      <c r="H131" s="383"/>
      <c r="I131" s="383"/>
      <c r="J131" s="383"/>
      <c r="K131" s="383"/>
      <c r="L131" s="383"/>
      <c r="M131" s="383"/>
      <c r="N131" s="383"/>
      <c r="O131" s="383"/>
      <c r="P131" s="383"/>
      <c r="Q131" s="383"/>
      <c r="R131" s="383"/>
      <c r="S131" s="383"/>
      <c r="T131" s="383"/>
      <c r="U131" s="383"/>
      <c r="V131" s="383"/>
      <c r="W131" s="324"/>
      <c r="X131" s="383"/>
      <c r="Y131" s="383"/>
      <c r="Z131" s="383"/>
    </row>
    <row r="132" spans="1:26" ht="12.75" customHeight="1" x14ac:dyDescent="0.3">
      <c r="A132" s="383"/>
      <c r="B132" s="383"/>
      <c r="C132" s="383"/>
      <c r="D132" s="383"/>
      <c r="E132" s="383"/>
      <c r="F132" s="383"/>
      <c r="G132" s="383"/>
      <c r="H132" s="383"/>
      <c r="I132" s="383"/>
      <c r="J132" s="383"/>
      <c r="K132" s="383"/>
      <c r="L132" s="383"/>
      <c r="M132" s="383"/>
      <c r="N132" s="383"/>
      <c r="O132" s="383"/>
      <c r="P132" s="383"/>
      <c r="Q132" s="383"/>
      <c r="R132" s="383"/>
      <c r="S132" s="383"/>
      <c r="T132" s="383"/>
      <c r="U132" s="383"/>
      <c r="V132" s="383"/>
      <c r="W132" s="324"/>
      <c r="X132" s="383"/>
      <c r="Y132" s="383"/>
      <c r="Z132" s="383"/>
    </row>
    <row r="133" spans="1:26" ht="12.75" customHeight="1" x14ac:dyDescent="0.3">
      <c r="A133" s="383"/>
      <c r="B133" s="383"/>
      <c r="C133" s="383"/>
      <c r="D133" s="383"/>
      <c r="E133" s="383"/>
      <c r="F133" s="383"/>
      <c r="G133" s="383"/>
      <c r="H133" s="383"/>
      <c r="I133" s="383"/>
      <c r="J133" s="383"/>
      <c r="K133" s="383"/>
      <c r="L133" s="383"/>
      <c r="M133" s="383"/>
      <c r="N133" s="383"/>
      <c r="O133" s="383"/>
      <c r="P133" s="383"/>
      <c r="Q133" s="383"/>
      <c r="R133" s="383"/>
      <c r="S133" s="383"/>
      <c r="T133" s="383"/>
      <c r="U133" s="383"/>
      <c r="V133" s="383"/>
      <c r="W133" s="324"/>
      <c r="X133" s="383"/>
      <c r="Y133" s="383"/>
      <c r="Z133" s="383"/>
    </row>
    <row r="134" spans="1:26" ht="12.75" customHeight="1" x14ac:dyDescent="0.3">
      <c r="A134" s="383"/>
      <c r="B134" s="383"/>
      <c r="C134" s="383"/>
      <c r="D134" s="383"/>
      <c r="E134" s="383"/>
      <c r="F134" s="383"/>
      <c r="G134" s="383"/>
      <c r="H134" s="383"/>
      <c r="I134" s="383"/>
      <c r="J134" s="383"/>
      <c r="K134" s="383"/>
      <c r="L134" s="383"/>
      <c r="M134" s="383"/>
      <c r="N134" s="383"/>
      <c r="O134" s="383"/>
      <c r="P134" s="383"/>
      <c r="Q134" s="383"/>
      <c r="R134" s="383"/>
      <c r="S134" s="383"/>
      <c r="T134" s="383"/>
      <c r="U134" s="383"/>
      <c r="V134" s="383"/>
      <c r="W134" s="324"/>
      <c r="X134" s="383"/>
      <c r="Y134" s="383"/>
      <c r="Z134" s="383"/>
    </row>
    <row r="135" spans="1:26" ht="12.75" customHeight="1" x14ac:dyDescent="0.3">
      <c r="A135" s="383"/>
      <c r="B135" s="383"/>
      <c r="C135" s="383"/>
      <c r="D135" s="383"/>
      <c r="E135" s="383"/>
      <c r="F135" s="383"/>
      <c r="G135" s="383"/>
      <c r="H135" s="383"/>
      <c r="I135" s="383"/>
      <c r="J135" s="383"/>
      <c r="K135" s="383"/>
      <c r="L135" s="383"/>
      <c r="M135" s="383"/>
      <c r="N135" s="383"/>
      <c r="O135" s="383"/>
      <c r="P135" s="383"/>
      <c r="Q135" s="383"/>
      <c r="R135" s="383"/>
      <c r="S135" s="383"/>
      <c r="T135" s="383"/>
      <c r="U135" s="383"/>
      <c r="V135" s="383"/>
      <c r="W135" s="324"/>
      <c r="X135" s="383"/>
      <c r="Y135" s="383"/>
      <c r="Z135" s="383"/>
    </row>
    <row r="136" spans="1:26" ht="12.75" customHeight="1" x14ac:dyDescent="0.3">
      <c r="A136" s="383"/>
      <c r="B136" s="383"/>
      <c r="C136" s="383"/>
      <c r="D136" s="383"/>
      <c r="E136" s="383"/>
      <c r="F136" s="383"/>
      <c r="G136" s="383"/>
      <c r="H136" s="383"/>
      <c r="I136" s="383"/>
      <c r="J136" s="383"/>
      <c r="K136" s="383"/>
      <c r="L136" s="383"/>
      <c r="M136" s="383"/>
      <c r="N136" s="383"/>
      <c r="O136" s="383"/>
      <c r="P136" s="383"/>
      <c r="Q136" s="383"/>
      <c r="R136" s="383"/>
      <c r="S136" s="383"/>
      <c r="T136" s="383"/>
      <c r="U136" s="383"/>
      <c r="V136" s="383"/>
      <c r="W136" s="324"/>
      <c r="X136" s="383"/>
      <c r="Y136" s="383"/>
      <c r="Z136" s="383"/>
    </row>
    <row r="137" spans="1:26" ht="12.75" customHeight="1" x14ac:dyDescent="0.3">
      <c r="A137" s="383"/>
      <c r="B137" s="383"/>
      <c r="C137" s="383"/>
      <c r="D137" s="383"/>
      <c r="E137" s="383"/>
      <c r="F137" s="383"/>
      <c r="G137" s="383"/>
      <c r="H137" s="383"/>
      <c r="I137" s="383"/>
      <c r="J137" s="383"/>
      <c r="K137" s="383"/>
      <c r="L137" s="383"/>
      <c r="M137" s="383"/>
      <c r="N137" s="383"/>
      <c r="O137" s="383"/>
      <c r="P137" s="383"/>
      <c r="Q137" s="383"/>
      <c r="R137" s="383"/>
      <c r="S137" s="383"/>
      <c r="T137" s="383"/>
      <c r="U137" s="383"/>
      <c r="V137" s="383"/>
      <c r="W137" s="324"/>
      <c r="X137" s="383"/>
      <c r="Y137" s="383"/>
      <c r="Z137" s="383"/>
    </row>
    <row r="138" spans="1:26" ht="12.75" customHeight="1" x14ac:dyDescent="0.3">
      <c r="A138" s="383"/>
      <c r="B138" s="383"/>
      <c r="C138" s="383"/>
      <c r="D138" s="383"/>
      <c r="E138" s="383"/>
      <c r="F138" s="383"/>
      <c r="G138" s="383"/>
      <c r="H138" s="383"/>
      <c r="I138" s="383"/>
      <c r="J138" s="383"/>
      <c r="K138" s="383"/>
      <c r="L138" s="383"/>
      <c r="M138" s="383"/>
      <c r="N138" s="383"/>
      <c r="O138" s="383"/>
      <c r="P138" s="383"/>
      <c r="Q138" s="383"/>
      <c r="R138" s="383"/>
      <c r="S138" s="383"/>
      <c r="T138" s="383"/>
      <c r="U138" s="383"/>
      <c r="V138" s="383"/>
      <c r="W138" s="324"/>
      <c r="X138" s="383"/>
      <c r="Y138" s="383"/>
      <c r="Z138" s="383"/>
    </row>
    <row r="139" spans="1:26" ht="12.75" customHeight="1" x14ac:dyDescent="0.3">
      <c r="A139" s="383"/>
      <c r="B139" s="383"/>
      <c r="C139" s="383"/>
      <c r="D139" s="383"/>
      <c r="E139" s="383"/>
      <c r="F139" s="383"/>
      <c r="G139" s="383"/>
      <c r="H139" s="383"/>
      <c r="I139" s="383"/>
      <c r="J139" s="383"/>
      <c r="K139" s="383"/>
      <c r="L139" s="383"/>
      <c r="M139" s="383"/>
      <c r="N139" s="383"/>
      <c r="O139" s="383"/>
      <c r="P139" s="383"/>
      <c r="Q139" s="383"/>
      <c r="R139" s="383"/>
      <c r="S139" s="383"/>
      <c r="T139" s="383"/>
      <c r="U139" s="383"/>
      <c r="V139" s="383"/>
      <c r="W139" s="324"/>
      <c r="X139" s="383"/>
      <c r="Y139" s="383"/>
      <c r="Z139" s="383"/>
    </row>
    <row r="140" spans="1:26" ht="12.75" customHeight="1" x14ac:dyDescent="0.3">
      <c r="A140" s="383"/>
      <c r="B140" s="383"/>
      <c r="C140" s="383"/>
      <c r="D140" s="383"/>
      <c r="E140" s="383"/>
      <c r="F140" s="383"/>
      <c r="G140" s="383"/>
      <c r="H140" s="383"/>
      <c r="I140" s="383"/>
      <c r="J140" s="383"/>
      <c r="K140" s="383"/>
      <c r="L140" s="383"/>
      <c r="M140" s="383"/>
      <c r="N140" s="383"/>
      <c r="O140" s="383"/>
      <c r="P140" s="383"/>
      <c r="Q140" s="383"/>
      <c r="R140" s="383"/>
      <c r="S140" s="383"/>
      <c r="T140" s="383"/>
      <c r="U140" s="383"/>
      <c r="V140" s="383"/>
      <c r="W140" s="324"/>
      <c r="X140" s="383"/>
      <c r="Y140" s="383"/>
      <c r="Z140" s="383"/>
    </row>
    <row r="141" spans="1:26" ht="12.75" customHeight="1" x14ac:dyDescent="0.3">
      <c r="A141" s="383"/>
      <c r="B141" s="383"/>
      <c r="C141" s="383"/>
      <c r="D141" s="383"/>
      <c r="E141" s="383"/>
      <c r="F141" s="383"/>
      <c r="G141" s="383"/>
      <c r="H141" s="383"/>
      <c r="I141" s="383"/>
      <c r="J141" s="383"/>
      <c r="K141" s="383"/>
      <c r="L141" s="383"/>
      <c r="M141" s="383"/>
      <c r="N141" s="383"/>
      <c r="O141" s="383"/>
      <c r="P141" s="383"/>
      <c r="Q141" s="383"/>
      <c r="R141" s="383"/>
      <c r="S141" s="383"/>
      <c r="T141" s="383"/>
      <c r="U141" s="383"/>
      <c r="V141" s="383"/>
      <c r="W141" s="324"/>
      <c r="X141" s="383"/>
      <c r="Y141" s="383"/>
      <c r="Z141" s="383"/>
    </row>
    <row r="142" spans="1:26" ht="12.75" customHeight="1" x14ac:dyDescent="0.3">
      <c r="A142" s="383"/>
      <c r="B142" s="383"/>
      <c r="C142" s="383"/>
      <c r="D142" s="383"/>
      <c r="E142" s="383"/>
      <c r="F142" s="383"/>
      <c r="G142" s="383"/>
      <c r="H142" s="383"/>
      <c r="I142" s="383"/>
      <c r="J142" s="383"/>
      <c r="K142" s="383"/>
      <c r="L142" s="383"/>
      <c r="M142" s="383"/>
      <c r="N142" s="383"/>
      <c r="O142" s="383"/>
      <c r="P142" s="383"/>
      <c r="Q142" s="383"/>
      <c r="R142" s="383"/>
      <c r="S142" s="383"/>
      <c r="T142" s="383"/>
      <c r="U142" s="383"/>
      <c r="V142" s="383"/>
      <c r="W142" s="324"/>
      <c r="X142" s="383"/>
      <c r="Y142" s="383"/>
      <c r="Z142" s="383"/>
    </row>
    <row r="143" spans="1:26" ht="12.75" customHeight="1" x14ac:dyDescent="0.3">
      <c r="A143" s="383"/>
      <c r="B143" s="383"/>
      <c r="C143" s="383"/>
      <c r="D143" s="383"/>
      <c r="E143" s="383"/>
      <c r="F143" s="383"/>
      <c r="G143" s="383"/>
      <c r="H143" s="383"/>
      <c r="I143" s="383"/>
      <c r="J143" s="383"/>
      <c r="K143" s="383"/>
      <c r="L143" s="383"/>
      <c r="M143" s="383"/>
      <c r="N143" s="383"/>
      <c r="O143" s="383"/>
      <c r="P143" s="383"/>
      <c r="Q143" s="383"/>
      <c r="R143" s="383"/>
      <c r="S143" s="383"/>
      <c r="T143" s="383"/>
      <c r="U143" s="383"/>
      <c r="V143" s="383"/>
      <c r="W143" s="324"/>
      <c r="X143" s="383"/>
      <c r="Y143" s="383"/>
      <c r="Z143" s="383"/>
    </row>
    <row r="144" spans="1:26" ht="12.75" customHeight="1" x14ac:dyDescent="0.3">
      <c r="A144" s="383"/>
      <c r="B144" s="383"/>
      <c r="C144" s="383"/>
      <c r="D144" s="383"/>
      <c r="E144" s="383"/>
      <c r="F144" s="383"/>
      <c r="G144" s="383"/>
      <c r="H144" s="383"/>
      <c r="I144" s="383"/>
      <c r="J144" s="383"/>
      <c r="K144" s="383"/>
      <c r="L144" s="383"/>
      <c r="M144" s="383"/>
      <c r="N144" s="383"/>
      <c r="O144" s="383"/>
      <c r="P144" s="383"/>
      <c r="Q144" s="383"/>
      <c r="R144" s="383"/>
      <c r="S144" s="383"/>
      <c r="T144" s="383"/>
      <c r="U144" s="383"/>
      <c r="V144" s="383"/>
      <c r="W144" s="324"/>
      <c r="X144" s="383"/>
      <c r="Y144" s="383"/>
      <c r="Z144" s="383"/>
    </row>
    <row r="145" spans="1:26" ht="12.75" customHeight="1" x14ac:dyDescent="0.3">
      <c r="A145" s="383"/>
      <c r="B145" s="383"/>
      <c r="C145" s="383"/>
      <c r="D145" s="383"/>
      <c r="E145" s="383"/>
      <c r="F145" s="383"/>
      <c r="G145" s="383"/>
      <c r="H145" s="383"/>
      <c r="I145" s="383"/>
      <c r="J145" s="383"/>
      <c r="K145" s="383"/>
      <c r="L145" s="383"/>
      <c r="M145" s="383"/>
      <c r="N145" s="383"/>
      <c r="O145" s="383"/>
      <c r="P145" s="383"/>
      <c r="Q145" s="383"/>
      <c r="R145" s="383"/>
      <c r="S145" s="383"/>
      <c r="T145" s="383"/>
      <c r="U145" s="383"/>
      <c r="V145" s="383"/>
      <c r="W145" s="324"/>
      <c r="X145" s="383"/>
      <c r="Y145" s="383"/>
      <c r="Z145" s="383"/>
    </row>
    <row r="146" spans="1:26" ht="12.75" customHeight="1" x14ac:dyDescent="0.3">
      <c r="A146" s="383"/>
      <c r="B146" s="383"/>
      <c r="C146" s="383"/>
      <c r="D146" s="383"/>
      <c r="E146" s="383"/>
      <c r="F146" s="383"/>
      <c r="G146" s="383"/>
      <c r="H146" s="383"/>
      <c r="I146" s="383"/>
      <c r="J146" s="383"/>
      <c r="K146" s="383"/>
      <c r="L146" s="383"/>
      <c r="M146" s="383"/>
      <c r="N146" s="383"/>
      <c r="O146" s="383"/>
      <c r="P146" s="383"/>
      <c r="Q146" s="383"/>
      <c r="R146" s="383"/>
      <c r="S146" s="383"/>
      <c r="T146" s="383"/>
      <c r="U146" s="383"/>
      <c r="V146" s="383"/>
      <c r="W146" s="324"/>
      <c r="X146" s="383"/>
      <c r="Y146" s="383"/>
      <c r="Z146" s="383"/>
    </row>
    <row r="147" spans="1:26" ht="12.75" customHeight="1" x14ac:dyDescent="0.3">
      <c r="A147" s="383"/>
      <c r="B147" s="383"/>
      <c r="C147" s="383"/>
      <c r="D147" s="383"/>
      <c r="E147" s="383"/>
      <c r="F147" s="383"/>
      <c r="G147" s="383"/>
      <c r="H147" s="383"/>
      <c r="I147" s="383"/>
      <c r="J147" s="383"/>
      <c r="K147" s="383"/>
      <c r="L147" s="383"/>
      <c r="M147" s="383"/>
      <c r="N147" s="383"/>
      <c r="O147" s="383"/>
      <c r="P147" s="383"/>
      <c r="Q147" s="383"/>
      <c r="R147" s="383"/>
      <c r="S147" s="383"/>
      <c r="T147" s="383"/>
      <c r="U147" s="383"/>
      <c r="V147" s="383"/>
      <c r="W147" s="324"/>
      <c r="X147" s="383"/>
      <c r="Y147" s="383"/>
      <c r="Z147" s="383"/>
    </row>
    <row r="148" spans="1:26" ht="12.75" customHeight="1" x14ac:dyDescent="0.3">
      <c r="A148" s="383"/>
      <c r="B148" s="383"/>
      <c r="C148" s="383"/>
      <c r="D148" s="383"/>
      <c r="E148" s="383"/>
      <c r="F148" s="383"/>
      <c r="G148" s="383"/>
      <c r="H148" s="383"/>
      <c r="I148" s="383"/>
      <c r="J148" s="383"/>
      <c r="K148" s="383"/>
      <c r="L148" s="383"/>
      <c r="M148" s="383"/>
      <c r="N148" s="383"/>
      <c r="O148" s="383"/>
      <c r="P148" s="383"/>
      <c r="Q148" s="383"/>
      <c r="R148" s="383"/>
      <c r="S148" s="383"/>
      <c r="T148" s="383"/>
      <c r="U148" s="383"/>
      <c r="V148" s="383"/>
      <c r="W148" s="324"/>
      <c r="X148" s="383"/>
      <c r="Y148" s="383"/>
      <c r="Z148" s="383"/>
    </row>
    <row r="149" spans="1:26" ht="12.75" customHeight="1" x14ac:dyDescent="0.3">
      <c r="A149" s="383"/>
      <c r="B149" s="383"/>
      <c r="C149" s="383"/>
      <c r="D149" s="383"/>
      <c r="E149" s="383"/>
      <c r="F149" s="383"/>
      <c r="G149" s="383"/>
      <c r="H149" s="383"/>
      <c r="I149" s="383"/>
      <c r="J149" s="383"/>
      <c r="K149" s="383"/>
      <c r="L149" s="383"/>
      <c r="M149" s="383"/>
      <c r="N149" s="383"/>
      <c r="O149" s="383"/>
      <c r="P149" s="383"/>
      <c r="Q149" s="383"/>
      <c r="R149" s="383"/>
      <c r="S149" s="383"/>
      <c r="T149" s="383"/>
      <c r="U149" s="383"/>
      <c r="V149" s="383"/>
      <c r="W149" s="324"/>
      <c r="X149" s="383"/>
      <c r="Y149" s="383"/>
      <c r="Z149" s="383"/>
    </row>
    <row r="150" spans="1:26" ht="12.75" customHeight="1" x14ac:dyDescent="0.3">
      <c r="A150" s="383"/>
      <c r="B150" s="383"/>
      <c r="C150" s="383"/>
      <c r="D150" s="383"/>
      <c r="E150" s="383"/>
      <c r="F150" s="383"/>
      <c r="G150" s="383"/>
      <c r="H150" s="383"/>
      <c r="I150" s="383"/>
      <c r="J150" s="383"/>
      <c r="K150" s="383"/>
      <c r="L150" s="383"/>
      <c r="M150" s="383"/>
      <c r="N150" s="383"/>
      <c r="O150" s="383"/>
      <c r="P150" s="383"/>
      <c r="Q150" s="383"/>
      <c r="R150" s="383"/>
      <c r="S150" s="383"/>
      <c r="T150" s="383"/>
      <c r="U150" s="383"/>
      <c r="V150" s="383"/>
      <c r="W150" s="324"/>
      <c r="X150" s="383"/>
      <c r="Y150" s="383"/>
      <c r="Z150" s="383"/>
    </row>
    <row r="151" spans="1:26" ht="12.75" customHeight="1" x14ac:dyDescent="0.3">
      <c r="A151" s="383"/>
      <c r="B151" s="383"/>
      <c r="C151" s="383"/>
      <c r="D151" s="383"/>
      <c r="E151" s="383"/>
      <c r="F151" s="383"/>
      <c r="G151" s="383"/>
      <c r="H151" s="383"/>
      <c r="I151" s="383"/>
      <c r="J151" s="383"/>
      <c r="K151" s="383"/>
      <c r="L151" s="383"/>
      <c r="M151" s="383"/>
      <c r="N151" s="383"/>
      <c r="O151" s="383"/>
      <c r="P151" s="383"/>
      <c r="Q151" s="383"/>
      <c r="R151" s="383"/>
      <c r="S151" s="383"/>
      <c r="T151" s="383"/>
      <c r="U151" s="383"/>
      <c r="V151" s="383"/>
      <c r="W151" s="324"/>
      <c r="X151" s="383"/>
      <c r="Y151" s="383"/>
      <c r="Z151" s="383"/>
    </row>
    <row r="152" spans="1:26" ht="12.75" customHeight="1" x14ac:dyDescent="0.3">
      <c r="A152" s="383"/>
      <c r="B152" s="383"/>
      <c r="C152" s="383"/>
      <c r="D152" s="383"/>
      <c r="E152" s="383"/>
      <c r="F152" s="383"/>
      <c r="G152" s="383"/>
      <c r="H152" s="383"/>
      <c r="I152" s="383"/>
      <c r="J152" s="383"/>
      <c r="K152" s="383"/>
      <c r="L152" s="383"/>
      <c r="M152" s="383"/>
      <c r="N152" s="383"/>
      <c r="O152" s="383"/>
      <c r="P152" s="383"/>
      <c r="Q152" s="383"/>
      <c r="R152" s="383"/>
      <c r="S152" s="383"/>
      <c r="T152" s="383"/>
      <c r="U152" s="383"/>
      <c r="V152" s="383"/>
      <c r="W152" s="324"/>
      <c r="X152" s="383"/>
      <c r="Y152" s="383"/>
      <c r="Z152" s="383"/>
    </row>
    <row r="153" spans="1:26" ht="12.75" customHeight="1" x14ac:dyDescent="0.3">
      <c r="A153" s="383"/>
      <c r="B153" s="383"/>
      <c r="C153" s="383"/>
      <c r="D153" s="383"/>
      <c r="E153" s="383"/>
      <c r="F153" s="383"/>
      <c r="G153" s="383"/>
      <c r="H153" s="383"/>
      <c r="I153" s="383"/>
      <c r="J153" s="383"/>
      <c r="K153" s="383"/>
      <c r="L153" s="383"/>
      <c r="M153" s="383"/>
      <c r="N153" s="383"/>
      <c r="O153" s="383"/>
      <c r="P153" s="383"/>
      <c r="Q153" s="383"/>
      <c r="R153" s="383"/>
      <c r="S153" s="383"/>
      <c r="T153" s="383"/>
      <c r="U153" s="383"/>
      <c r="V153" s="383"/>
      <c r="W153" s="324"/>
      <c r="X153" s="383"/>
      <c r="Y153" s="383"/>
      <c r="Z153" s="383"/>
    </row>
    <row r="154" spans="1:26" ht="12.75" customHeight="1" x14ac:dyDescent="0.3">
      <c r="A154" s="383"/>
      <c r="B154" s="383"/>
      <c r="C154" s="383"/>
      <c r="D154" s="383"/>
      <c r="E154" s="383"/>
      <c r="F154" s="383"/>
      <c r="G154" s="383"/>
      <c r="H154" s="383"/>
      <c r="I154" s="383"/>
      <c r="J154" s="383"/>
      <c r="K154" s="383"/>
      <c r="L154" s="383"/>
      <c r="M154" s="383"/>
      <c r="N154" s="383"/>
      <c r="O154" s="383"/>
      <c r="P154" s="383"/>
      <c r="Q154" s="383"/>
      <c r="R154" s="383"/>
      <c r="S154" s="383"/>
      <c r="T154" s="383"/>
      <c r="U154" s="383"/>
      <c r="V154" s="383"/>
      <c r="W154" s="324"/>
      <c r="X154" s="383"/>
      <c r="Y154" s="383"/>
      <c r="Z154" s="383"/>
    </row>
    <row r="155" spans="1:26" ht="12.75" customHeight="1" x14ac:dyDescent="0.3">
      <c r="A155" s="383"/>
      <c r="B155" s="383"/>
      <c r="C155" s="383"/>
      <c r="D155" s="383"/>
      <c r="E155" s="383"/>
      <c r="F155" s="383"/>
      <c r="G155" s="383"/>
      <c r="H155" s="383"/>
      <c r="I155" s="383"/>
      <c r="J155" s="383"/>
      <c r="K155" s="383"/>
      <c r="L155" s="383"/>
      <c r="M155" s="383"/>
      <c r="N155" s="383"/>
      <c r="O155" s="383"/>
      <c r="P155" s="383"/>
      <c r="Q155" s="383"/>
      <c r="R155" s="383"/>
      <c r="S155" s="383"/>
      <c r="T155" s="383"/>
      <c r="U155" s="383"/>
      <c r="V155" s="383"/>
      <c r="W155" s="324"/>
      <c r="X155" s="383"/>
      <c r="Y155" s="383"/>
      <c r="Z155" s="383"/>
    </row>
    <row r="156" spans="1:26" ht="12.75" customHeight="1" x14ac:dyDescent="0.3">
      <c r="A156" s="383"/>
      <c r="B156" s="383"/>
      <c r="C156" s="383"/>
      <c r="D156" s="383"/>
      <c r="E156" s="383"/>
      <c r="F156" s="383"/>
      <c r="G156" s="383"/>
      <c r="H156" s="383"/>
      <c r="I156" s="383"/>
      <c r="J156" s="383"/>
      <c r="K156" s="383"/>
      <c r="L156" s="383"/>
      <c r="M156" s="383"/>
      <c r="N156" s="383"/>
      <c r="O156" s="383"/>
      <c r="P156" s="383"/>
      <c r="Q156" s="383"/>
      <c r="R156" s="383"/>
      <c r="S156" s="383"/>
      <c r="T156" s="383"/>
      <c r="U156" s="383"/>
      <c r="V156" s="383"/>
      <c r="W156" s="324"/>
      <c r="X156" s="383"/>
      <c r="Y156" s="383"/>
      <c r="Z156" s="383"/>
    </row>
    <row r="157" spans="1:26" ht="12.75" customHeight="1" x14ac:dyDescent="0.3">
      <c r="A157" s="383"/>
      <c r="B157" s="383"/>
      <c r="C157" s="383"/>
      <c r="D157" s="383"/>
      <c r="E157" s="383"/>
      <c r="F157" s="383"/>
      <c r="G157" s="383"/>
      <c r="H157" s="383"/>
      <c r="I157" s="383"/>
      <c r="J157" s="383"/>
      <c r="K157" s="383"/>
      <c r="L157" s="383"/>
      <c r="M157" s="383"/>
      <c r="N157" s="383"/>
      <c r="O157" s="383"/>
      <c r="P157" s="383"/>
      <c r="Q157" s="383"/>
      <c r="R157" s="383"/>
      <c r="S157" s="383"/>
      <c r="T157" s="383"/>
      <c r="U157" s="383"/>
      <c r="V157" s="383"/>
      <c r="W157" s="324"/>
      <c r="X157" s="383"/>
      <c r="Y157" s="383"/>
      <c r="Z157" s="383"/>
    </row>
    <row r="158" spans="1:26" ht="12.75" customHeight="1" x14ac:dyDescent="0.3">
      <c r="A158" s="383"/>
      <c r="B158" s="383"/>
      <c r="C158" s="383"/>
      <c r="D158" s="383"/>
      <c r="E158" s="383"/>
      <c r="F158" s="383"/>
      <c r="G158" s="383"/>
      <c r="H158" s="383"/>
      <c r="I158" s="383"/>
      <c r="J158" s="383"/>
      <c r="K158" s="383"/>
      <c r="L158" s="383"/>
      <c r="M158" s="383"/>
      <c r="N158" s="383"/>
      <c r="O158" s="383"/>
      <c r="P158" s="383"/>
      <c r="Q158" s="383"/>
      <c r="R158" s="383"/>
      <c r="S158" s="383"/>
      <c r="T158" s="383"/>
      <c r="U158" s="383"/>
      <c r="V158" s="383"/>
      <c r="W158" s="324"/>
      <c r="X158" s="383"/>
      <c r="Y158" s="383"/>
      <c r="Z158" s="383"/>
    </row>
    <row r="159" spans="1:26" ht="12.75" customHeight="1" x14ac:dyDescent="0.3">
      <c r="A159" s="383"/>
      <c r="B159" s="383"/>
      <c r="C159" s="383"/>
      <c r="D159" s="383"/>
      <c r="E159" s="383"/>
      <c r="F159" s="383"/>
      <c r="G159" s="383"/>
      <c r="H159" s="383"/>
      <c r="I159" s="383"/>
      <c r="J159" s="383"/>
      <c r="K159" s="383"/>
      <c r="L159" s="383"/>
      <c r="M159" s="383"/>
      <c r="N159" s="383"/>
      <c r="O159" s="383"/>
      <c r="P159" s="383"/>
      <c r="Q159" s="383"/>
      <c r="R159" s="383"/>
      <c r="S159" s="383"/>
      <c r="T159" s="383"/>
      <c r="U159" s="383"/>
      <c r="V159" s="383"/>
      <c r="W159" s="324"/>
      <c r="X159" s="383"/>
      <c r="Y159" s="383"/>
      <c r="Z159" s="383"/>
    </row>
    <row r="160" spans="1:26" ht="12.75" customHeight="1" x14ac:dyDescent="0.3">
      <c r="A160" s="383"/>
      <c r="B160" s="383"/>
      <c r="C160" s="383"/>
      <c r="D160" s="383"/>
      <c r="E160" s="383"/>
      <c r="F160" s="383"/>
      <c r="G160" s="383"/>
      <c r="H160" s="383"/>
      <c r="I160" s="383"/>
      <c r="J160" s="383"/>
      <c r="K160" s="383"/>
      <c r="L160" s="383"/>
      <c r="M160" s="383"/>
      <c r="N160" s="383"/>
      <c r="O160" s="383"/>
      <c r="P160" s="383"/>
      <c r="Q160" s="383"/>
      <c r="R160" s="383"/>
      <c r="S160" s="383"/>
      <c r="T160" s="383"/>
      <c r="U160" s="383"/>
      <c r="V160" s="383"/>
      <c r="W160" s="324"/>
      <c r="X160" s="383"/>
      <c r="Y160" s="383"/>
      <c r="Z160" s="383"/>
    </row>
    <row r="161" spans="1:26" ht="12.75" customHeight="1" x14ac:dyDescent="0.3">
      <c r="A161" s="383"/>
      <c r="B161" s="383"/>
      <c r="C161" s="383"/>
      <c r="D161" s="383"/>
      <c r="E161" s="383"/>
      <c r="F161" s="383"/>
      <c r="G161" s="383"/>
      <c r="H161" s="383"/>
      <c r="I161" s="383"/>
      <c r="J161" s="383"/>
      <c r="K161" s="383"/>
      <c r="L161" s="383"/>
      <c r="M161" s="383"/>
      <c r="N161" s="383"/>
      <c r="O161" s="383"/>
      <c r="P161" s="383"/>
      <c r="Q161" s="383"/>
      <c r="R161" s="383"/>
      <c r="S161" s="383"/>
      <c r="T161" s="383"/>
      <c r="U161" s="383"/>
      <c r="V161" s="383"/>
      <c r="W161" s="324"/>
      <c r="X161" s="383"/>
      <c r="Y161" s="383"/>
      <c r="Z161" s="383"/>
    </row>
    <row r="162" spans="1:26" ht="12.75" customHeight="1" x14ac:dyDescent="0.3">
      <c r="A162" s="383"/>
      <c r="B162" s="383"/>
      <c r="C162" s="383"/>
      <c r="D162" s="383"/>
      <c r="E162" s="383"/>
      <c r="F162" s="383"/>
      <c r="G162" s="383"/>
      <c r="H162" s="383"/>
      <c r="I162" s="383"/>
      <c r="J162" s="383"/>
      <c r="K162" s="383"/>
      <c r="L162" s="383"/>
      <c r="M162" s="383"/>
      <c r="N162" s="383"/>
      <c r="O162" s="383"/>
      <c r="P162" s="383"/>
      <c r="Q162" s="383"/>
      <c r="R162" s="383"/>
      <c r="S162" s="383"/>
      <c r="T162" s="383"/>
      <c r="U162" s="383"/>
      <c r="V162" s="383"/>
      <c r="W162" s="324"/>
      <c r="X162" s="383"/>
      <c r="Y162" s="383"/>
      <c r="Z162" s="383"/>
    </row>
    <row r="163" spans="1:26" ht="12.75" customHeight="1" x14ac:dyDescent="0.3">
      <c r="A163" s="383"/>
      <c r="B163" s="383"/>
      <c r="C163" s="383"/>
      <c r="D163" s="383"/>
      <c r="E163" s="383"/>
      <c r="F163" s="383"/>
      <c r="G163" s="383"/>
      <c r="H163" s="383"/>
      <c r="I163" s="383"/>
      <c r="J163" s="383"/>
      <c r="K163" s="383"/>
      <c r="L163" s="383"/>
      <c r="M163" s="383"/>
      <c r="N163" s="383"/>
      <c r="O163" s="383"/>
      <c r="P163" s="383"/>
      <c r="Q163" s="383"/>
      <c r="R163" s="383"/>
      <c r="S163" s="383"/>
      <c r="T163" s="383"/>
      <c r="U163" s="383"/>
      <c r="V163" s="383"/>
      <c r="W163" s="324"/>
      <c r="X163" s="383"/>
      <c r="Y163" s="383"/>
      <c r="Z163" s="383"/>
    </row>
    <row r="164" spans="1:26" ht="12.75" customHeight="1" x14ac:dyDescent="0.3">
      <c r="A164" s="383"/>
      <c r="B164" s="383"/>
      <c r="C164" s="383"/>
      <c r="D164" s="383"/>
      <c r="E164" s="383"/>
      <c r="F164" s="383"/>
      <c r="G164" s="383"/>
      <c r="H164" s="383"/>
      <c r="I164" s="383"/>
      <c r="J164" s="383"/>
      <c r="K164" s="383"/>
      <c r="L164" s="383"/>
      <c r="M164" s="383"/>
      <c r="N164" s="383"/>
      <c r="O164" s="383"/>
      <c r="P164" s="383"/>
      <c r="Q164" s="383"/>
      <c r="R164" s="383"/>
      <c r="S164" s="383"/>
      <c r="T164" s="383"/>
      <c r="U164" s="383"/>
      <c r="V164" s="383"/>
      <c r="W164" s="324"/>
      <c r="X164" s="383"/>
      <c r="Y164" s="383"/>
      <c r="Z164" s="383"/>
    </row>
    <row r="165" spans="1:26" ht="12.75" customHeight="1" x14ac:dyDescent="0.3">
      <c r="A165" s="383"/>
      <c r="B165" s="383"/>
      <c r="C165" s="383"/>
      <c r="D165" s="383"/>
      <c r="E165" s="383"/>
      <c r="F165" s="383"/>
      <c r="G165" s="383"/>
      <c r="H165" s="383"/>
      <c r="I165" s="383"/>
      <c r="J165" s="383"/>
      <c r="K165" s="383"/>
      <c r="L165" s="383"/>
      <c r="M165" s="383"/>
      <c r="N165" s="383"/>
      <c r="O165" s="383"/>
      <c r="P165" s="383"/>
      <c r="Q165" s="383"/>
      <c r="R165" s="383"/>
      <c r="S165" s="383"/>
      <c r="T165" s="383"/>
      <c r="U165" s="383"/>
      <c r="V165" s="383"/>
      <c r="W165" s="324"/>
      <c r="X165" s="383"/>
      <c r="Y165" s="383"/>
      <c r="Z165" s="383"/>
    </row>
    <row r="166" spans="1:26" ht="12.75" customHeight="1" x14ac:dyDescent="0.3">
      <c r="A166" s="383"/>
      <c r="B166" s="383"/>
      <c r="C166" s="383"/>
      <c r="D166" s="383"/>
      <c r="E166" s="383"/>
      <c r="F166" s="383"/>
      <c r="G166" s="383"/>
      <c r="H166" s="383"/>
      <c r="I166" s="383"/>
      <c r="J166" s="383"/>
      <c r="K166" s="383"/>
      <c r="L166" s="383"/>
      <c r="M166" s="383"/>
      <c r="N166" s="383"/>
      <c r="O166" s="383"/>
      <c r="P166" s="383"/>
      <c r="Q166" s="383"/>
      <c r="R166" s="383"/>
      <c r="S166" s="383"/>
      <c r="T166" s="383"/>
      <c r="U166" s="383"/>
      <c r="V166" s="383"/>
      <c r="W166" s="324"/>
      <c r="X166" s="383"/>
      <c r="Y166" s="383"/>
      <c r="Z166" s="383"/>
    </row>
    <row r="167" spans="1:26" ht="12.75" customHeight="1" x14ac:dyDescent="0.3">
      <c r="A167" s="383"/>
      <c r="B167" s="383"/>
      <c r="C167" s="383"/>
      <c r="D167" s="383"/>
      <c r="E167" s="383"/>
      <c r="F167" s="383"/>
      <c r="G167" s="383"/>
      <c r="H167" s="383"/>
      <c r="I167" s="383"/>
      <c r="J167" s="383"/>
      <c r="K167" s="383"/>
      <c r="L167" s="383"/>
      <c r="M167" s="383"/>
      <c r="N167" s="383"/>
      <c r="O167" s="383"/>
      <c r="P167" s="383"/>
      <c r="Q167" s="383"/>
      <c r="R167" s="383"/>
      <c r="S167" s="383"/>
      <c r="T167" s="383"/>
      <c r="U167" s="383"/>
      <c r="V167" s="383"/>
      <c r="W167" s="324"/>
      <c r="X167" s="383"/>
      <c r="Y167" s="383"/>
      <c r="Z167" s="383"/>
    </row>
    <row r="168" spans="1:26" ht="12.75" customHeight="1" x14ac:dyDescent="0.3">
      <c r="A168" s="383"/>
      <c r="B168" s="383"/>
      <c r="C168" s="383"/>
      <c r="D168" s="383"/>
      <c r="E168" s="383"/>
      <c r="F168" s="383"/>
      <c r="G168" s="383"/>
      <c r="H168" s="383"/>
      <c r="I168" s="383"/>
      <c r="J168" s="383"/>
      <c r="K168" s="383"/>
      <c r="L168" s="383"/>
      <c r="M168" s="383"/>
      <c r="N168" s="383"/>
      <c r="O168" s="383"/>
      <c r="P168" s="383"/>
      <c r="Q168" s="383"/>
      <c r="R168" s="383"/>
      <c r="S168" s="383"/>
      <c r="T168" s="383"/>
      <c r="U168" s="383"/>
      <c r="V168" s="383"/>
      <c r="W168" s="324"/>
      <c r="X168" s="383"/>
      <c r="Y168" s="383"/>
      <c r="Z168" s="383"/>
    </row>
    <row r="169" spans="1:26" ht="12.75" customHeight="1" x14ac:dyDescent="0.3">
      <c r="A169" s="383"/>
      <c r="B169" s="383"/>
      <c r="C169" s="383"/>
      <c r="D169" s="383"/>
      <c r="E169" s="383"/>
      <c r="F169" s="383"/>
      <c r="G169" s="383"/>
      <c r="H169" s="383"/>
      <c r="I169" s="383"/>
      <c r="J169" s="383"/>
      <c r="K169" s="383"/>
      <c r="L169" s="383"/>
      <c r="M169" s="383"/>
      <c r="N169" s="383"/>
      <c r="O169" s="383"/>
      <c r="P169" s="383"/>
      <c r="Q169" s="383"/>
      <c r="R169" s="383"/>
      <c r="S169" s="383"/>
      <c r="T169" s="383"/>
      <c r="U169" s="383"/>
      <c r="V169" s="383"/>
      <c r="W169" s="324"/>
      <c r="X169" s="383"/>
      <c r="Y169" s="383"/>
      <c r="Z169" s="383"/>
    </row>
    <row r="170" spans="1:26" ht="12.75" customHeight="1" x14ac:dyDescent="0.3">
      <c r="A170" s="383"/>
      <c r="B170" s="383"/>
      <c r="C170" s="383"/>
      <c r="D170" s="383"/>
      <c r="E170" s="383"/>
      <c r="F170" s="383"/>
      <c r="G170" s="383"/>
      <c r="H170" s="383"/>
      <c r="I170" s="383"/>
      <c r="J170" s="383"/>
      <c r="K170" s="383"/>
      <c r="L170" s="383"/>
      <c r="M170" s="383"/>
      <c r="N170" s="383"/>
      <c r="O170" s="383"/>
      <c r="P170" s="383"/>
      <c r="Q170" s="383"/>
      <c r="R170" s="383"/>
      <c r="S170" s="383"/>
      <c r="T170" s="383"/>
      <c r="U170" s="383"/>
      <c r="V170" s="383"/>
      <c r="W170" s="324"/>
      <c r="X170" s="383"/>
      <c r="Y170" s="383"/>
      <c r="Z170" s="383"/>
    </row>
    <row r="171" spans="1:26" ht="12.75" customHeight="1" x14ac:dyDescent="0.3">
      <c r="A171" s="383"/>
      <c r="B171" s="383"/>
      <c r="C171" s="383"/>
      <c r="D171" s="383"/>
      <c r="E171" s="383"/>
      <c r="F171" s="383"/>
      <c r="G171" s="383"/>
      <c r="H171" s="383"/>
      <c r="I171" s="383"/>
      <c r="J171" s="383"/>
      <c r="K171" s="383"/>
      <c r="L171" s="383"/>
      <c r="M171" s="383"/>
      <c r="N171" s="383"/>
      <c r="O171" s="383"/>
      <c r="P171" s="383"/>
      <c r="Q171" s="383"/>
      <c r="R171" s="383"/>
      <c r="S171" s="383"/>
      <c r="T171" s="383"/>
      <c r="U171" s="383"/>
      <c r="V171" s="383"/>
      <c r="W171" s="324"/>
      <c r="X171" s="383"/>
      <c r="Y171" s="383"/>
      <c r="Z171" s="383"/>
    </row>
    <row r="172" spans="1:26" ht="12.75" customHeight="1" x14ac:dyDescent="0.3">
      <c r="A172" s="383"/>
      <c r="B172" s="383"/>
      <c r="C172" s="383"/>
      <c r="D172" s="383"/>
      <c r="E172" s="383"/>
      <c r="F172" s="383"/>
      <c r="G172" s="383"/>
      <c r="H172" s="383"/>
      <c r="I172" s="383"/>
      <c r="J172" s="383"/>
      <c r="K172" s="383"/>
      <c r="L172" s="383"/>
      <c r="M172" s="383"/>
      <c r="N172" s="383"/>
      <c r="O172" s="383"/>
      <c r="P172" s="383"/>
      <c r="Q172" s="383"/>
      <c r="R172" s="383"/>
      <c r="S172" s="383"/>
      <c r="T172" s="383"/>
      <c r="U172" s="383"/>
      <c r="V172" s="383"/>
      <c r="W172" s="324"/>
      <c r="X172" s="383"/>
      <c r="Y172" s="383"/>
      <c r="Z172" s="383"/>
    </row>
    <row r="173" spans="1:26" ht="12.75" customHeight="1" x14ac:dyDescent="0.3">
      <c r="A173" s="383"/>
      <c r="B173" s="383"/>
      <c r="C173" s="383"/>
      <c r="D173" s="383"/>
      <c r="E173" s="383"/>
      <c r="F173" s="383"/>
      <c r="G173" s="383"/>
      <c r="H173" s="383"/>
      <c r="I173" s="383"/>
      <c r="J173" s="383"/>
      <c r="K173" s="383"/>
      <c r="L173" s="383"/>
      <c r="M173" s="383"/>
      <c r="N173" s="383"/>
      <c r="O173" s="383"/>
      <c r="P173" s="383"/>
      <c r="Q173" s="383"/>
      <c r="R173" s="383"/>
      <c r="S173" s="383"/>
      <c r="T173" s="383"/>
      <c r="U173" s="383"/>
      <c r="V173" s="383"/>
      <c r="W173" s="324"/>
      <c r="X173" s="383"/>
      <c r="Y173" s="383"/>
      <c r="Z173" s="383"/>
    </row>
    <row r="174" spans="1:26" ht="12.75" customHeight="1" x14ac:dyDescent="0.3">
      <c r="A174" s="383"/>
      <c r="B174" s="383"/>
      <c r="C174" s="383"/>
      <c r="D174" s="383"/>
      <c r="E174" s="383"/>
      <c r="F174" s="383"/>
      <c r="G174" s="383"/>
      <c r="H174" s="383"/>
      <c r="I174" s="383"/>
      <c r="J174" s="383"/>
      <c r="K174" s="383"/>
      <c r="L174" s="383"/>
      <c r="M174" s="383"/>
      <c r="N174" s="383"/>
      <c r="O174" s="383"/>
      <c r="P174" s="383"/>
      <c r="Q174" s="383"/>
      <c r="R174" s="383"/>
      <c r="S174" s="383"/>
      <c r="T174" s="383"/>
      <c r="U174" s="383"/>
      <c r="V174" s="383"/>
      <c r="W174" s="324"/>
      <c r="X174" s="383"/>
      <c r="Y174" s="383"/>
      <c r="Z174" s="383"/>
    </row>
    <row r="175" spans="1:26" ht="12.75" customHeight="1" x14ac:dyDescent="0.3">
      <c r="A175" s="383"/>
      <c r="B175" s="383"/>
      <c r="C175" s="383"/>
      <c r="D175" s="383"/>
      <c r="E175" s="383"/>
      <c r="F175" s="383"/>
      <c r="G175" s="383"/>
      <c r="H175" s="383"/>
      <c r="I175" s="383"/>
      <c r="J175" s="383"/>
      <c r="K175" s="383"/>
      <c r="L175" s="383"/>
      <c r="M175" s="383"/>
      <c r="N175" s="383"/>
      <c r="O175" s="383"/>
      <c r="P175" s="383"/>
      <c r="Q175" s="383"/>
      <c r="R175" s="383"/>
      <c r="S175" s="383"/>
      <c r="T175" s="383"/>
      <c r="U175" s="383"/>
      <c r="V175" s="383"/>
      <c r="W175" s="324"/>
      <c r="X175" s="383"/>
      <c r="Y175" s="383"/>
      <c r="Z175" s="383"/>
    </row>
    <row r="176" spans="1:26" ht="12.75" customHeight="1" x14ac:dyDescent="0.3">
      <c r="A176" s="383"/>
      <c r="B176" s="383"/>
      <c r="C176" s="383"/>
      <c r="D176" s="383"/>
      <c r="E176" s="383"/>
      <c r="F176" s="383"/>
      <c r="G176" s="383"/>
      <c r="H176" s="383"/>
      <c r="I176" s="383"/>
      <c r="J176" s="383"/>
      <c r="K176" s="383"/>
      <c r="L176" s="383"/>
      <c r="M176" s="383"/>
      <c r="N176" s="383"/>
      <c r="O176" s="383"/>
      <c r="P176" s="383"/>
      <c r="Q176" s="383"/>
      <c r="R176" s="383"/>
      <c r="S176" s="383"/>
      <c r="T176" s="383"/>
      <c r="U176" s="383"/>
      <c r="V176" s="383"/>
      <c r="W176" s="324"/>
      <c r="X176" s="383"/>
      <c r="Y176" s="383"/>
      <c r="Z176" s="383"/>
    </row>
    <row r="177" spans="1:26" ht="12.75" customHeight="1" x14ac:dyDescent="0.3">
      <c r="A177" s="383"/>
      <c r="B177" s="383"/>
      <c r="C177" s="383"/>
      <c r="D177" s="383"/>
      <c r="E177" s="383"/>
      <c r="F177" s="383"/>
      <c r="G177" s="383"/>
      <c r="H177" s="383"/>
      <c r="I177" s="383"/>
      <c r="J177" s="383"/>
      <c r="K177" s="383"/>
      <c r="L177" s="383"/>
      <c r="M177" s="383"/>
      <c r="N177" s="383"/>
      <c r="O177" s="383"/>
      <c r="P177" s="383"/>
      <c r="Q177" s="383"/>
      <c r="R177" s="383"/>
      <c r="S177" s="383"/>
      <c r="T177" s="383"/>
      <c r="U177" s="383"/>
      <c r="V177" s="383"/>
      <c r="W177" s="324"/>
      <c r="X177" s="383"/>
      <c r="Y177" s="383"/>
      <c r="Z177" s="383"/>
    </row>
    <row r="178" spans="1:26" ht="12.75" customHeight="1" x14ac:dyDescent="0.3">
      <c r="A178" s="383"/>
      <c r="B178" s="383"/>
      <c r="C178" s="383"/>
      <c r="D178" s="383"/>
      <c r="E178" s="383"/>
      <c r="F178" s="383"/>
      <c r="G178" s="383"/>
      <c r="H178" s="383"/>
      <c r="I178" s="383"/>
      <c r="J178" s="383"/>
      <c r="K178" s="383"/>
      <c r="L178" s="383"/>
      <c r="M178" s="383"/>
      <c r="N178" s="383"/>
      <c r="O178" s="383"/>
      <c r="P178" s="383"/>
      <c r="Q178" s="383"/>
      <c r="R178" s="383"/>
      <c r="S178" s="383"/>
      <c r="T178" s="383"/>
      <c r="U178" s="383"/>
      <c r="V178" s="383"/>
      <c r="W178" s="324"/>
      <c r="X178" s="383"/>
      <c r="Y178" s="383"/>
      <c r="Z178" s="383"/>
    </row>
    <row r="179" spans="1:26" ht="12.75" customHeight="1" x14ac:dyDescent="0.3">
      <c r="A179" s="383"/>
      <c r="B179" s="383"/>
      <c r="C179" s="383"/>
      <c r="D179" s="383"/>
      <c r="E179" s="383"/>
      <c r="F179" s="383"/>
      <c r="G179" s="383"/>
      <c r="H179" s="383"/>
      <c r="I179" s="383"/>
      <c r="J179" s="383"/>
      <c r="K179" s="383"/>
      <c r="L179" s="383"/>
      <c r="M179" s="383"/>
      <c r="N179" s="383"/>
      <c r="O179" s="383"/>
      <c r="P179" s="383"/>
      <c r="Q179" s="383"/>
      <c r="R179" s="383"/>
      <c r="S179" s="383"/>
      <c r="T179" s="383"/>
      <c r="U179" s="383"/>
      <c r="V179" s="383"/>
      <c r="W179" s="324"/>
      <c r="X179" s="383"/>
      <c r="Y179" s="383"/>
      <c r="Z179" s="383"/>
    </row>
    <row r="180" spans="1:26" ht="12.75" customHeight="1" x14ac:dyDescent="0.3">
      <c r="A180" s="383"/>
      <c r="B180" s="383"/>
      <c r="C180" s="383"/>
      <c r="D180" s="383"/>
      <c r="E180" s="383"/>
      <c r="F180" s="383"/>
      <c r="G180" s="383"/>
      <c r="H180" s="383"/>
      <c r="I180" s="383"/>
      <c r="J180" s="383"/>
      <c r="K180" s="383"/>
      <c r="L180" s="383"/>
      <c r="M180" s="383"/>
      <c r="N180" s="383"/>
      <c r="O180" s="383"/>
      <c r="P180" s="383"/>
      <c r="Q180" s="383"/>
      <c r="R180" s="383"/>
      <c r="S180" s="383"/>
      <c r="T180" s="383"/>
      <c r="U180" s="383"/>
      <c r="V180" s="383"/>
      <c r="W180" s="324"/>
      <c r="X180" s="383"/>
      <c r="Y180" s="383"/>
      <c r="Z180" s="383"/>
    </row>
    <row r="181" spans="1:26" ht="12.75" customHeight="1" x14ac:dyDescent="0.3">
      <c r="A181" s="383"/>
      <c r="B181" s="383"/>
      <c r="C181" s="383"/>
      <c r="D181" s="383"/>
      <c r="E181" s="383"/>
      <c r="F181" s="383"/>
      <c r="G181" s="383"/>
      <c r="H181" s="383"/>
      <c r="I181" s="383"/>
      <c r="J181" s="383"/>
      <c r="K181" s="383"/>
      <c r="L181" s="383"/>
      <c r="M181" s="383"/>
      <c r="N181" s="383"/>
      <c r="O181" s="383"/>
      <c r="P181" s="383"/>
      <c r="Q181" s="383"/>
      <c r="R181" s="383"/>
      <c r="S181" s="383"/>
      <c r="T181" s="383"/>
      <c r="U181" s="383"/>
      <c r="V181" s="383"/>
      <c r="W181" s="324"/>
      <c r="X181" s="383"/>
      <c r="Y181" s="383"/>
      <c r="Z181" s="383"/>
    </row>
    <row r="182" spans="1:26" ht="12.75" customHeight="1" x14ac:dyDescent="0.3">
      <c r="A182" s="383"/>
      <c r="B182" s="383"/>
      <c r="C182" s="383"/>
      <c r="D182" s="383"/>
      <c r="E182" s="383"/>
      <c r="F182" s="383"/>
      <c r="G182" s="383"/>
      <c r="H182" s="383"/>
      <c r="I182" s="383"/>
      <c r="J182" s="383"/>
      <c r="K182" s="383"/>
      <c r="L182" s="383"/>
      <c r="M182" s="383"/>
      <c r="N182" s="383"/>
      <c r="O182" s="383"/>
      <c r="P182" s="383"/>
      <c r="Q182" s="383"/>
      <c r="R182" s="383"/>
      <c r="S182" s="383"/>
      <c r="T182" s="383"/>
      <c r="U182" s="383"/>
      <c r="V182" s="383"/>
      <c r="W182" s="324"/>
      <c r="X182" s="383"/>
      <c r="Y182" s="383"/>
      <c r="Z182" s="383"/>
    </row>
    <row r="183" spans="1:26" ht="12.75" customHeight="1" x14ac:dyDescent="0.3">
      <c r="A183" s="383"/>
      <c r="B183" s="383"/>
      <c r="C183" s="383"/>
      <c r="D183" s="383"/>
      <c r="E183" s="383"/>
      <c r="F183" s="383"/>
      <c r="G183" s="383"/>
      <c r="H183" s="383"/>
      <c r="I183" s="383"/>
      <c r="J183" s="383"/>
      <c r="K183" s="383"/>
      <c r="L183" s="383"/>
      <c r="M183" s="383"/>
      <c r="N183" s="383"/>
      <c r="O183" s="383"/>
      <c r="P183" s="383"/>
      <c r="Q183" s="383"/>
      <c r="R183" s="383"/>
      <c r="S183" s="383"/>
      <c r="T183" s="383"/>
      <c r="U183" s="383"/>
      <c r="V183" s="383"/>
      <c r="W183" s="324"/>
      <c r="X183" s="383"/>
      <c r="Y183" s="383"/>
      <c r="Z183" s="383"/>
    </row>
    <row r="184" spans="1:26" ht="12.75" customHeight="1" x14ac:dyDescent="0.3">
      <c r="A184" s="383"/>
      <c r="B184" s="383"/>
      <c r="C184" s="383"/>
      <c r="D184" s="383"/>
      <c r="E184" s="383"/>
      <c r="F184" s="383"/>
      <c r="G184" s="383"/>
      <c r="H184" s="383"/>
      <c r="I184" s="383"/>
      <c r="J184" s="383"/>
      <c r="K184" s="383"/>
      <c r="L184" s="383"/>
      <c r="M184" s="383"/>
      <c r="N184" s="383"/>
      <c r="O184" s="383"/>
      <c r="P184" s="383"/>
      <c r="Q184" s="383"/>
      <c r="R184" s="383"/>
      <c r="S184" s="383"/>
      <c r="T184" s="383"/>
      <c r="U184" s="383"/>
      <c r="V184" s="383"/>
      <c r="W184" s="324"/>
      <c r="X184" s="383"/>
      <c r="Y184" s="383"/>
      <c r="Z184" s="383"/>
    </row>
    <row r="185" spans="1:26" ht="12.75" customHeight="1" x14ac:dyDescent="0.3">
      <c r="A185" s="383"/>
      <c r="B185" s="383"/>
      <c r="C185" s="383"/>
      <c r="D185" s="383"/>
      <c r="E185" s="383"/>
      <c r="F185" s="383"/>
      <c r="G185" s="383"/>
      <c r="H185" s="383"/>
      <c r="I185" s="383"/>
      <c r="J185" s="383"/>
      <c r="K185" s="383"/>
      <c r="L185" s="383"/>
      <c r="M185" s="383"/>
      <c r="N185" s="383"/>
      <c r="O185" s="383"/>
      <c r="P185" s="383"/>
      <c r="Q185" s="383"/>
      <c r="R185" s="383"/>
      <c r="S185" s="383"/>
      <c r="T185" s="383"/>
      <c r="U185" s="383"/>
      <c r="V185" s="383"/>
      <c r="W185" s="324"/>
      <c r="X185" s="383"/>
      <c r="Y185" s="383"/>
      <c r="Z185" s="383"/>
    </row>
    <row r="186" spans="1:26" ht="12.75" customHeight="1" x14ac:dyDescent="0.3">
      <c r="A186" s="383"/>
      <c r="B186" s="383"/>
      <c r="C186" s="383"/>
      <c r="D186" s="383"/>
      <c r="E186" s="383"/>
      <c r="F186" s="383"/>
      <c r="G186" s="383"/>
      <c r="H186" s="383"/>
      <c r="I186" s="383"/>
      <c r="J186" s="383"/>
      <c r="K186" s="383"/>
      <c r="L186" s="383"/>
      <c r="M186" s="383"/>
      <c r="N186" s="383"/>
      <c r="O186" s="383"/>
      <c r="P186" s="383"/>
      <c r="Q186" s="383"/>
      <c r="R186" s="383"/>
      <c r="S186" s="383"/>
      <c r="T186" s="383"/>
      <c r="U186" s="383"/>
      <c r="V186" s="383"/>
      <c r="W186" s="324"/>
      <c r="X186" s="383"/>
      <c r="Y186" s="383"/>
      <c r="Z186" s="383"/>
    </row>
    <row r="187" spans="1:26" ht="12.75" customHeight="1" x14ac:dyDescent="0.3">
      <c r="A187" s="383"/>
      <c r="B187" s="383"/>
      <c r="C187" s="383"/>
      <c r="D187" s="383"/>
      <c r="E187" s="383"/>
      <c r="F187" s="383"/>
      <c r="G187" s="383"/>
      <c r="H187" s="383"/>
      <c r="I187" s="383"/>
      <c r="J187" s="383"/>
      <c r="K187" s="383"/>
      <c r="L187" s="383"/>
      <c r="M187" s="383"/>
      <c r="N187" s="383"/>
      <c r="O187" s="383"/>
      <c r="P187" s="383"/>
      <c r="Q187" s="383"/>
      <c r="R187" s="383"/>
      <c r="S187" s="383"/>
      <c r="T187" s="383"/>
      <c r="U187" s="383"/>
      <c r="V187" s="383"/>
      <c r="W187" s="324"/>
      <c r="X187" s="383"/>
      <c r="Y187" s="383"/>
      <c r="Z187" s="383"/>
    </row>
    <row r="188" spans="1:26" ht="12.75" customHeight="1" x14ac:dyDescent="0.3">
      <c r="A188" s="383"/>
      <c r="B188" s="383"/>
      <c r="C188" s="383"/>
      <c r="D188" s="383"/>
      <c r="E188" s="383"/>
      <c r="F188" s="383"/>
      <c r="G188" s="383"/>
      <c r="H188" s="383"/>
      <c r="I188" s="383"/>
      <c r="J188" s="383"/>
      <c r="K188" s="383"/>
      <c r="L188" s="383"/>
      <c r="M188" s="383"/>
      <c r="N188" s="383"/>
      <c r="O188" s="383"/>
      <c r="P188" s="383"/>
      <c r="Q188" s="383"/>
      <c r="R188" s="383"/>
      <c r="S188" s="383"/>
      <c r="T188" s="383"/>
      <c r="U188" s="383"/>
      <c r="V188" s="383"/>
      <c r="W188" s="324"/>
      <c r="X188" s="383"/>
      <c r="Y188" s="383"/>
      <c r="Z188" s="383"/>
    </row>
    <row r="189" spans="1:26" ht="12.75" customHeight="1" x14ac:dyDescent="0.3">
      <c r="A189" s="383"/>
      <c r="B189" s="383"/>
      <c r="C189" s="383"/>
      <c r="D189" s="383"/>
      <c r="E189" s="383"/>
      <c r="F189" s="383"/>
      <c r="G189" s="383"/>
      <c r="H189" s="383"/>
      <c r="I189" s="383"/>
      <c r="J189" s="383"/>
      <c r="K189" s="383"/>
      <c r="L189" s="383"/>
      <c r="M189" s="383"/>
      <c r="N189" s="383"/>
      <c r="O189" s="383"/>
      <c r="P189" s="383"/>
      <c r="Q189" s="383"/>
      <c r="R189" s="383"/>
      <c r="S189" s="383"/>
      <c r="T189" s="383"/>
      <c r="U189" s="383"/>
      <c r="V189" s="383"/>
      <c r="W189" s="324"/>
      <c r="X189" s="383"/>
      <c r="Y189" s="383"/>
      <c r="Z189" s="383"/>
    </row>
    <row r="190" spans="1:26" ht="12.75" customHeight="1" x14ac:dyDescent="0.3">
      <c r="A190" s="383"/>
      <c r="B190" s="383"/>
      <c r="C190" s="383"/>
      <c r="D190" s="383"/>
      <c r="E190" s="383"/>
      <c r="F190" s="383"/>
      <c r="G190" s="383"/>
      <c r="H190" s="383"/>
      <c r="I190" s="383"/>
      <c r="J190" s="383"/>
      <c r="K190" s="383"/>
      <c r="L190" s="383"/>
      <c r="M190" s="383"/>
      <c r="N190" s="383"/>
      <c r="O190" s="383"/>
      <c r="P190" s="383"/>
      <c r="Q190" s="383"/>
      <c r="R190" s="383"/>
      <c r="S190" s="383"/>
      <c r="T190" s="383"/>
      <c r="U190" s="383"/>
      <c r="V190" s="383"/>
      <c r="W190" s="324"/>
      <c r="X190" s="383"/>
      <c r="Y190" s="383"/>
      <c r="Z190" s="383"/>
    </row>
    <row r="191" spans="1:26" ht="12.75" customHeight="1" x14ac:dyDescent="0.3">
      <c r="A191" s="383"/>
      <c r="B191" s="383"/>
      <c r="C191" s="383"/>
      <c r="D191" s="383"/>
      <c r="E191" s="383"/>
      <c r="F191" s="383"/>
      <c r="G191" s="383"/>
      <c r="H191" s="383"/>
      <c r="I191" s="383"/>
      <c r="J191" s="383"/>
      <c r="K191" s="383"/>
      <c r="L191" s="383"/>
      <c r="M191" s="383"/>
      <c r="N191" s="383"/>
      <c r="O191" s="383"/>
      <c r="P191" s="383"/>
      <c r="Q191" s="383"/>
      <c r="R191" s="383"/>
      <c r="S191" s="383"/>
      <c r="T191" s="383"/>
      <c r="U191" s="383"/>
      <c r="V191" s="383"/>
      <c r="W191" s="324"/>
      <c r="X191" s="383"/>
      <c r="Y191" s="383"/>
      <c r="Z191" s="383"/>
    </row>
    <row r="192" spans="1:26" ht="12.75" customHeight="1" x14ac:dyDescent="0.3">
      <c r="A192" s="383"/>
      <c r="B192" s="383"/>
      <c r="C192" s="383"/>
      <c r="D192" s="383"/>
      <c r="E192" s="383"/>
      <c r="F192" s="383"/>
      <c r="G192" s="383"/>
      <c r="H192" s="383"/>
      <c r="I192" s="383"/>
      <c r="J192" s="383"/>
      <c r="K192" s="383"/>
      <c r="L192" s="383"/>
      <c r="M192" s="383"/>
      <c r="N192" s="383"/>
      <c r="O192" s="383"/>
      <c r="P192" s="383"/>
      <c r="Q192" s="383"/>
      <c r="R192" s="383"/>
      <c r="S192" s="383"/>
      <c r="T192" s="383"/>
      <c r="U192" s="383"/>
      <c r="V192" s="383"/>
      <c r="W192" s="324"/>
      <c r="X192" s="383"/>
      <c r="Y192" s="383"/>
      <c r="Z192" s="383"/>
    </row>
    <row r="193" spans="1:26" ht="12.75" customHeight="1" x14ac:dyDescent="0.3">
      <c r="A193" s="383"/>
      <c r="B193" s="383"/>
      <c r="C193" s="383"/>
      <c r="D193" s="383"/>
      <c r="E193" s="383"/>
      <c r="F193" s="383"/>
      <c r="G193" s="383"/>
      <c r="H193" s="383"/>
      <c r="I193" s="383"/>
      <c r="J193" s="383"/>
      <c r="K193" s="383"/>
      <c r="L193" s="383"/>
      <c r="M193" s="383"/>
      <c r="N193" s="383"/>
      <c r="O193" s="383"/>
      <c r="P193" s="383"/>
      <c r="Q193" s="383"/>
      <c r="R193" s="383"/>
      <c r="S193" s="383"/>
      <c r="T193" s="383"/>
      <c r="U193" s="383"/>
      <c r="V193" s="383"/>
      <c r="W193" s="324"/>
      <c r="X193" s="383"/>
      <c r="Y193" s="383"/>
      <c r="Z193" s="383"/>
    </row>
    <row r="194" spans="1:26" ht="12.75" customHeight="1" x14ac:dyDescent="0.3">
      <c r="A194" s="383"/>
      <c r="B194" s="383"/>
      <c r="C194" s="383"/>
      <c r="D194" s="383"/>
      <c r="E194" s="383"/>
      <c r="F194" s="383"/>
      <c r="G194" s="383"/>
      <c r="H194" s="383"/>
      <c r="I194" s="383"/>
      <c r="J194" s="383"/>
      <c r="K194" s="383"/>
      <c r="L194" s="383"/>
      <c r="M194" s="383"/>
      <c r="N194" s="383"/>
      <c r="O194" s="383"/>
      <c r="P194" s="383"/>
      <c r="Q194" s="383"/>
      <c r="R194" s="383"/>
      <c r="S194" s="383"/>
      <c r="T194" s="383"/>
      <c r="U194" s="383"/>
      <c r="V194" s="383"/>
      <c r="W194" s="324"/>
      <c r="X194" s="383"/>
      <c r="Y194" s="383"/>
      <c r="Z194" s="383"/>
    </row>
    <row r="195" spans="1:26" ht="12.75" customHeight="1" x14ac:dyDescent="0.3">
      <c r="A195" s="383"/>
      <c r="B195" s="383"/>
      <c r="C195" s="383"/>
      <c r="D195" s="383"/>
      <c r="E195" s="383"/>
      <c r="F195" s="383"/>
      <c r="G195" s="383"/>
      <c r="H195" s="383"/>
      <c r="I195" s="383"/>
      <c r="J195" s="383"/>
      <c r="K195" s="383"/>
      <c r="L195" s="383"/>
      <c r="M195" s="383"/>
      <c r="N195" s="383"/>
      <c r="O195" s="383"/>
      <c r="P195" s="383"/>
      <c r="Q195" s="383"/>
      <c r="R195" s="383"/>
      <c r="S195" s="383"/>
      <c r="T195" s="383"/>
      <c r="U195" s="383"/>
      <c r="V195" s="383"/>
      <c r="W195" s="324"/>
      <c r="X195" s="383"/>
      <c r="Y195" s="383"/>
      <c r="Z195" s="383"/>
    </row>
    <row r="196" spans="1:26" ht="12.75" customHeight="1" x14ac:dyDescent="0.3">
      <c r="A196" s="383"/>
      <c r="B196" s="383"/>
      <c r="C196" s="383"/>
      <c r="D196" s="383"/>
      <c r="E196" s="383"/>
      <c r="F196" s="383"/>
      <c r="G196" s="383"/>
      <c r="H196" s="383"/>
      <c r="I196" s="383"/>
      <c r="J196" s="383"/>
      <c r="K196" s="383"/>
      <c r="L196" s="383"/>
      <c r="M196" s="383"/>
      <c r="N196" s="383"/>
      <c r="O196" s="383"/>
      <c r="P196" s="383"/>
      <c r="Q196" s="383"/>
      <c r="R196" s="383"/>
      <c r="S196" s="383"/>
      <c r="T196" s="383"/>
      <c r="U196" s="383"/>
      <c r="V196" s="383"/>
      <c r="W196" s="324"/>
      <c r="X196" s="383"/>
      <c r="Y196" s="383"/>
      <c r="Z196" s="383"/>
    </row>
    <row r="197" spans="1:26" ht="12.75" customHeight="1" x14ac:dyDescent="0.3">
      <c r="A197" s="383"/>
      <c r="B197" s="383"/>
      <c r="C197" s="383"/>
      <c r="D197" s="383"/>
      <c r="E197" s="383"/>
      <c r="F197" s="383"/>
      <c r="G197" s="383"/>
      <c r="H197" s="383"/>
      <c r="I197" s="383"/>
      <c r="J197" s="383"/>
      <c r="K197" s="383"/>
      <c r="L197" s="383"/>
      <c r="M197" s="383"/>
      <c r="N197" s="383"/>
      <c r="O197" s="383"/>
      <c r="P197" s="383"/>
      <c r="Q197" s="383"/>
      <c r="R197" s="383"/>
      <c r="S197" s="383"/>
      <c r="T197" s="383"/>
      <c r="U197" s="383"/>
      <c r="V197" s="383"/>
      <c r="W197" s="324"/>
      <c r="X197" s="383"/>
      <c r="Y197" s="383"/>
      <c r="Z197" s="383"/>
    </row>
    <row r="198" spans="1:26" ht="12.75" customHeight="1" x14ac:dyDescent="0.3">
      <c r="A198" s="383"/>
      <c r="B198" s="383"/>
      <c r="C198" s="383"/>
      <c r="D198" s="383"/>
      <c r="E198" s="383"/>
      <c r="F198" s="383"/>
      <c r="G198" s="383"/>
      <c r="H198" s="383"/>
      <c r="I198" s="383"/>
      <c r="J198" s="383"/>
      <c r="K198" s="383"/>
      <c r="L198" s="383"/>
      <c r="M198" s="383"/>
      <c r="N198" s="383"/>
      <c r="O198" s="383"/>
      <c r="P198" s="383"/>
      <c r="Q198" s="383"/>
      <c r="R198" s="383"/>
      <c r="S198" s="383"/>
      <c r="T198" s="383"/>
      <c r="U198" s="383"/>
      <c r="V198" s="383"/>
      <c r="W198" s="324"/>
      <c r="X198" s="383"/>
      <c r="Y198" s="383"/>
      <c r="Z198" s="383"/>
    </row>
    <row r="199" spans="1:26" ht="12.75" customHeight="1" x14ac:dyDescent="0.3">
      <c r="A199" s="383"/>
      <c r="B199" s="383"/>
      <c r="C199" s="383"/>
      <c r="D199" s="383"/>
      <c r="E199" s="383"/>
      <c r="F199" s="383"/>
      <c r="G199" s="383"/>
      <c r="H199" s="383"/>
      <c r="I199" s="383"/>
      <c r="J199" s="383"/>
      <c r="K199" s="383"/>
      <c r="L199" s="383"/>
      <c r="M199" s="383"/>
      <c r="N199" s="383"/>
      <c r="O199" s="383"/>
      <c r="P199" s="383"/>
      <c r="Q199" s="383"/>
      <c r="R199" s="383"/>
      <c r="S199" s="383"/>
      <c r="T199" s="383"/>
      <c r="U199" s="383"/>
      <c r="V199" s="383"/>
      <c r="W199" s="324"/>
      <c r="X199" s="383"/>
      <c r="Y199" s="383"/>
      <c r="Z199" s="383"/>
    </row>
    <row r="200" spans="1:26" ht="12.75" customHeight="1" x14ac:dyDescent="0.3">
      <c r="A200" s="383"/>
      <c r="B200" s="383"/>
      <c r="C200" s="383"/>
      <c r="D200" s="383"/>
      <c r="E200" s="383"/>
      <c r="F200" s="383"/>
      <c r="G200" s="383"/>
      <c r="H200" s="383"/>
      <c r="I200" s="383"/>
      <c r="J200" s="383"/>
      <c r="K200" s="383"/>
      <c r="L200" s="383"/>
      <c r="M200" s="383"/>
      <c r="N200" s="383"/>
      <c r="O200" s="383"/>
      <c r="P200" s="383"/>
      <c r="Q200" s="383"/>
      <c r="R200" s="383"/>
      <c r="S200" s="383"/>
      <c r="T200" s="383"/>
      <c r="U200" s="383"/>
      <c r="V200" s="383"/>
      <c r="W200" s="324"/>
      <c r="X200" s="383"/>
      <c r="Y200" s="383"/>
      <c r="Z200" s="383"/>
    </row>
    <row r="201" spans="1:26" ht="12.75" customHeight="1" x14ac:dyDescent="0.3">
      <c r="A201" s="383"/>
      <c r="B201" s="383"/>
      <c r="C201" s="383"/>
      <c r="D201" s="383"/>
      <c r="E201" s="383"/>
      <c r="F201" s="383"/>
      <c r="G201" s="383"/>
      <c r="H201" s="383"/>
      <c r="I201" s="383"/>
      <c r="J201" s="383"/>
      <c r="K201" s="383"/>
      <c r="L201" s="383"/>
      <c r="M201" s="383"/>
      <c r="N201" s="383"/>
      <c r="O201" s="383"/>
      <c r="P201" s="383"/>
      <c r="Q201" s="383"/>
      <c r="R201" s="383"/>
      <c r="S201" s="383"/>
      <c r="T201" s="383"/>
      <c r="U201" s="383"/>
      <c r="V201" s="383"/>
      <c r="W201" s="324"/>
      <c r="X201" s="383"/>
      <c r="Y201" s="383"/>
      <c r="Z201" s="383"/>
    </row>
    <row r="202" spans="1:26" ht="12.75" customHeight="1" x14ac:dyDescent="0.3">
      <c r="A202" s="383"/>
      <c r="B202" s="383"/>
      <c r="C202" s="383"/>
      <c r="D202" s="383"/>
      <c r="E202" s="383"/>
      <c r="F202" s="383"/>
      <c r="G202" s="383"/>
      <c r="H202" s="383"/>
      <c r="I202" s="383"/>
      <c r="J202" s="383"/>
      <c r="K202" s="383"/>
      <c r="L202" s="383"/>
      <c r="M202" s="383"/>
      <c r="N202" s="383"/>
      <c r="O202" s="383"/>
      <c r="P202" s="383"/>
      <c r="Q202" s="383"/>
      <c r="R202" s="383"/>
      <c r="S202" s="383"/>
      <c r="T202" s="383"/>
      <c r="U202" s="383"/>
      <c r="V202" s="383"/>
      <c r="W202" s="324"/>
      <c r="X202" s="383"/>
      <c r="Y202" s="383"/>
      <c r="Z202" s="383"/>
    </row>
    <row r="203" spans="1:26" ht="12.75" customHeight="1" x14ac:dyDescent="0.3">
      <c r="A203" s="383"/>
      <c r="B203" s="383"/>
      <c r="C203" s="383"/>
      <c r="D203" s="383"/>
      <c r="E203" s="383"/>
      <c r="F203" s="383"/>
      <c r="G203" s="383"/>
      <c r="H203" s="383"/>
      <c r="I203" s="383"/>
      <c r="J203" s="383"/>
      <c r="K203" s="383"/>
      <c r="L203" s="383"/>
      <c r="M203" s="383"/>
      <c r="N203" s="383"/>
      <c r="O203" s="383"/>
      <c r="P203" s="383"/>
      <c r="Q203" s="383"/>
      <c r="R203" s="383"/>
      <c r="S203" s="383"/>
      <c r="T203" s="383"/>
      <c r="U203" s="383"/>
      <c r="V203" s="383"/>
      <c r="W203" s="324"/>
      <c r="X203" s="383"/>
      <c r="Y203" s="383"/>
      <c r="Z203" s="383"/>
    </row>
    <row r="204" spans="1:26" ht="12.75" customHeight="1" x14ac:dyDescent="0.3">
      <c r="A204" s="383"/>
      <c r="B204" s="383"/>
      <c r="C204" s="383"/>
      <c r="D204" s="383"/>
      <c r="E204" s="383"/>
      <c r="F204" s="383"/>
      <c r="G204" s="383"/>
      <c r="H204" s="383"/>
      <c r="I204" s="383"/>
      <c r="J204" s="383"/>
      <c r="K204" s="383"/>
      <c r="L204" s="383"/>
      <c r="M204" s="383"/>
      <c r="N204" s="383"/>
      <c r="O204" s="383"/>
      <c r="P204" s="383"/>
      <c r="Q204" s="383"/>
      <c r="R204" s="383"/>
      <c r="S204" s="383"/>
      <c r="T204" s="383"/>
      <c r="U204" s="383"/>
      <c r="V204" s="383"/>
      <c r="W204" s="324"/>
      <c r="X204" s="383"/>
      <c r="Y204" s="383"/>
      <c r="Z204" s="383"/>
    </row>
    <row r="205" spans="1:26" ht="12.75" customHeight="1" x14ac:dyDescent="0.3">
      <c r="A205" s="383"/>
      <c r="B205" s="383"/>
      <c r="C205" s="383"/>
      <c r="D205" s="383"/>
      <c r="E205" s="383"/>
      <c r="F205" s="383"/>
      <c r="G205" s="383"/>
      <c r="H205" s="383"/>
      <c r="I205" s="383"/>
      <c r="J205" s="383"/>
      <c r="K205" s="383"/>
      <c r="L205" s="383"/>
      <c r="M205" s="383"/>
      <c r="N205" s="383"/>
      <c r="O205" s="383"/>
      <c r="P205" s="383"/>
      <c r="Q205" s="383"/>
      <c r="R205" s="383"/>
      <c r="S205" s="383"/>
      <c r="T205" s="383"/>
      <c r="U205" s="383"/>
      <c r="V205" s="383"/>
      <c r="W205" s="324"/>
      <c r="X205" s="383"/>
      <c r="Y205" s="383"/>
      <c r="Z205" s="383"/>
    </row>
    <row r="206" spans="1:26" ht="12.75" customHeight="1" x14ac:dyDescent="0.3">
      <c r="A206" s="383"/>
      <c r="B206" s="383"/>
      <c r="C206" s="383"/>
      <c r="D206" s="383"/>
      <c r="E206" s="383"/>
      <c r="F206" s="383"/>
      <c r="G206" s="383"/>
      <c r="H206" s="383"/>
      <c r="I206" s="383"/>
      <c r="J206" s="383"/>
      <c r="K206" s="383"/>
      <c r="L206" s="383"/>
      <c r="M206" s="383"/>
      <c r="N206" s="383"/>
      <c r="O206" s="383"/>
      <c r="P206" s="383"/>
      <c r="Q206" s="383"/>
      <c r="R206" s="383"/>
      <c r="S206" s="383"/>
      <c r="T206" s="383"/>
      <c r="U206" s="383"/>
      <c r="V206" s="383"/>
      <c r="W206" s="324"/>
      <c r="X206" s="383"/>
      <c r="Y206" s="383"/>
      <c r="Z206" s="383"/>
    </row>
    <row r="207" spans="1:26" ht="12.75" customHeight="1" x14ac:dyDescent="0.3">
      <c r="A207" s="383"/>
      <c r="B207" s="383"/>
      <c r="C207" s="383"/>
      <c r="D207" s="383"/>
      <c r="E207" s="383"/>
      <c r="F207" s="383"/>
      <c r="G207" s="383"/>
      <c r="H207" s="383"/>
      <c r="I207" s="383"/>
      <c r="J207" s="383"/>
      <c r="K207" s="383"/>
      <c r="L207" s="383"/>
      <c r="M207" s="383"/>
      <c r="N207" s="383"/>
      <c r="O207" s="383"/>
      <c r="P207" s="383"/>
      <c r="Q207" s="383"/>
      <c r="R207" s="383"/>
      <c r="S207" s="383"/>
      <c r="T207" s="383"/>
      <c r="U207" s="383"/>
      <c r="V207" s="383"/>
      <c r="W207" s="324"/>
      <c r="X207" s="383"/>
      <c r="Y207" s="383"/>
      <c r="Z207" s="383"/>
    </row>
    <row r="208" spans="1:26" ht="12.75" customHeight="1" x14ac:dyDescent="0.3">
      <c r="A208" s="383"/>
      <c r="B208" s="383"/>
      <c r="C208" s="383"/>
      <c r="D208" s="383"/>
      <c r="E208" s="383"/>
      <c r="F208" s="383"/>
      <c r="G208" s="383"/>
      <c r="H208" s="383"/>
      <c r="I208" s="383"/>
      <c r="J208" s="383"/>
      <c r="K208" s="383"/>
      <c r="L208" s="383"/>
      <c r="M208" s="383"/>
      <c r="N208" s="383"/>
      <c r="O208" s="383"/>
      <c r="P208" s="383"/>
      <c r="Q208" s="383"/>
      <c r="R208" s="383"/>
      <c r="S208" s="383"/>
      <c r="T208" s="383"/>
      <c r="U208" s="383"/>
      <c r="V208" s="383"/>
      <c r="W208" s="324"/>
      <c r="X208" s="383"/>
      <c r="Y208" s="383"/>
      <c r="Z208" s="383"/>
    </row>
    <row r="209" spans="1:26" ht="12.75" customHeight="1" x14ac:dyDescent="0.3">
      <c r="A209" s="383"/>
      <c r="B209" s="383"/>
      <c r="C209" s="383"/>
      <c r="D209" s="383"/>
      <c r="E209" s="383"/>
      <c r="F209" s="383"/>
      <c r="G209" s="383"/>
      <c r="H209" s="383"/>
      <c r="I209" s="383"/>
      <c r="J209" s="383"/>
      <c r="K209" s="383"/>
      <c r="L209" s="383"/>
      <c r="M209" s="383"/>
      <c r="N209" s="383"/>
      <c r="O209" s="383"/>
      <c r="P209" s="383"/>
      <c r="Q209" s="383"/>
      <c r="R209" s="383"/>
      <c r="S209" s="383"/>
      <c r="T209" s="383"/>
      <c r="U209" s="383"/>
      <c r="V209" s="383"/>
      <c r="W209" s="324"/>
      <c r="X209" s="383"/>
      <c r="Y209" s="383"/>
      <c r="Z209" s="383"/>
    </row>
    <row r="210" spans="1:26" ht="12.75" customHeight="1" x14ac:dyDescent="0.3">
      <c r="A210" s="383"/>
      <c r="B210" s="383"/>
      <c r="C210" s="383"/>
      <c r="D210" s="383"/>
      <c r="E210" s="383"/>
      <c r="F210" s="383"/>
      <c r="G210" s="383"/>
      <c r="H210" s="383"/>
      <c r="I210" s="383"/>
      <c r="J210" s="383"/>
      <c r="K210" s="383"/>
      <c r="L210" s="383"/>
      <c r="M210" s="383"/>
      <c r="N210" s="383"/>
      <c r="O210" s="383"/>
      <c r="P210" s="383"/>
      <c r="Q210" s="383"/>
      <c r="R210" s="383"/>
      <c r="S210" s="383"/>
      <c r="T210" s="383"/>
      <c r="U210" s="383"/>
      <c r="V210" s="383"/>
      <c r="W210" s="324"/>
      <c r="X210" s="383"/>
      <c r="Y210" s="383"/>
      <c r="Z210" s="383"/>
    </row>
    <row r="211" spans="1:26" ht="12.75" customHeight="1" x14ac:dyDescent="0.3">
      <c r="A211" s="383"/>
      <c r="B211" s="383"/>
      <c r="C211" s="383"/>
      <c r="D211" s="383"/>
      <c r="E211" s="383"/>
      <c r="F211" s="383"/>
      <c r="G211" s="383"/>
      <c r="H211" s="383"/>
      <c r="I211" s="383"/>
      <c r="J211" s="383"/>
      <c r="K211" s="383"/>
      <c r="L211" s="383"/>
      <c r="M211" s="383"/>
      <c r="N211" s="383"/>
      <c r="O211" s="383"/>
      <c r="P211" s="383"/>
      <c r="Q211" s="383"/>
      <c r="R211" s="383"/>
      <c r="S211" s="383"/>
      <c r="T211" s="383"/>
      <c r="U211" s="383"/>
      <c r="V211" s="383"/>
      <c r="W211" s="324"/>
      <c r="X211" s="383"/>
      <c r="Y211" s="383"/>
      <c r="Z211" s="383"/>
    </row>
    <row r="212" spans="1:26" ht="12.75" customHeight="1" x14ac:dyDescent="0.3">
      <c r="A212" s="383"/>
      <c r="B212" s="383"/>
      <c r="C212" s="383"/>
      <c r="D212" s="383"/>
      <c r="E212" s="383"/>
      <c r="F212" s="383"/>
      <c r="G212" s="383"/>
      <c r="H212" s="383"/>
      <c r="I212" s="383"/>
      <c r="J212" s="383"/>
      <c r="K212" s="383"/>
      <c r="L212" s="383"/>
      <c r="M212" s="383"/>
      <c r="N212" s="383"/>
      <c r="O212" s="383"/>
      <c r="P212" s="383"/>
      <c r="Q212" s="383"/>
      <c r="R212" s="383"/>
      <c r="S212" s="383"/>
      <c r="T212" s="383"/>
      <c r="U212" s="383"/>
      <c r="V212" s="383"/>
      <c r="W212" s="324"/>
      <c r="X212" s="383"/>
      <c r="Y212" s="383"/>
      <c r="Z212" s="383"/>
    </row>
    <row r="213" spans="1:26" ht="12.75" customHeight="1" x14ac:dyDescent="0.3">
      <c r="A213" s="383"/>
      <c r="B213" s="383"/>
      <c r="C213" s="383"/>
      <c r="D213" s="383"/>
      <c r="E213" s="383"/>
      <c r="F213" s="383"/>
      <c r="G213" s="383"/>
      <c r="H213" s="383"/>
      <c r="I213" s="383"/>
      <c r="J213" s="383"/>
      <c r="K213" s="383"/>
      <c r="L213" s="383"/>
      <c r="M213" s="383"/>
      <c r="N213" s="383"/>
      <c r="O213" s="383"/>
      <c r="P213" s="383"/>
      <c r="Q213" s="383"/>
      <c r="R213" s="383"/>
      <c r="S213" s="383"/>
      <c r="T213" s="383"/>
      <c r="U213" s="383"/>
      <c r="V213" s="383"/>
      <c r="W213" s="324"/>
      <c r="X213" s="383"/>
      <c r="Y213" s="383"/>
      <c r="Z213" s="383"/>
    </row>
    <row r="214" spans="1:26" ht="12.75" customHeight="1" x14ac:dyDescent="0.3">
      <c r="A214" s="383"/>
      <c r="B214" s="383"/>
      <c r="C214" s="383"/>
      <c r="D214" s="383"/>
      <c r="E214" s="383"/>
      <c r="F214" s="383"/>
      <c r="G214" s="383"/>
      <c r="H214" s="383"/>
      <c r="I214" s="383"/>
      <c r="J214" s="383"/>
      <c r="K214" s="383"/>
      <c r="L214" s="383"/>
      <c r="M214" s="383"/>
      <c r="N214" s="383"/>
      <c r="O214" s="383"/>
      <c r="P214" s="383"/>
      <c r="Q214" s="383"/>
      <c r="R214" s="383"/>
      <c r="S214" s="383"/>
      <c r="T214" s="383"/>
      <c r="U214" s="383"/>
      <c r="V214" s="383"/>
      <c r="W214" s="324"/>
      <c r="X214" s="383"/>
      <c r="Y214" s="383"/>
      <c r="Z214" s="383"/>
    </row>
    <row r="215" spans="1:26" ht="12.75" customHeight="1" x14ac:dyDescent="0.3">
      <c r="A215" s="383"/>
      <c r="B215" s="383"/>
      <c r="C215" s="383"/>
      <c r="D215" s="383"/>
      <c r="E215" s="383"/>
      <c r="F215" s="383"/>
      <c r="G215" s="383"/>
      <c r="H215" s="383"/>
      <c r="I215" s="383"/>
      <c r="J215" s="383"/>
      <c r="K215" s="383"/>
      <c r="L215" s="383"/>
      <c r="M215" s="383"/>
      <c r="N215" s="383"/>
      <c r="O215" s="383"/>
      <c r="P215" s="383"/>
      <c r="Q215" s="383"/>
      <c r="R215" s="383"/>
      <c r="S215" s="383"/>
      <c r="T215" s="383"/>
      <c r="U215" s="383"/>
      <c r="V215" s="383"/>
      <c r="W215" s="324"/>
      <c r="X215" s="383"/>
      <c r="Y215" s="383"/>
      <c r="Z215" s="383"/>
    </row>
    <row r="216" spans="1:26" ht="12.75" customHeight="1" x14ac:dyDescent="0.3">
      <c r="A216" s="383"/>
      <c r="B216" s="383"/>
      <c r="C216" s="383"/>
      <c r="D216" s="383"/>
      <c r="E216" s="383"/>
      <c r="F216" s="383"/>
      <c r="G216" s="383"/>
      <c r="H216" s="383"/>
      <c r="I216" s="383"/>
      <c r="J216" s="383"/>
      <c r="K216" s="383"/>
      <c r="L216" s="383"/>
      <c r="M216" s="383"/>
      <c r="N216" s="383"/>
      <c r="O216" s="383"/>
      <c r="P216" s="383"/>
      <c r="Q216" s="383"/>
      <c r="R216" s="383"/>
      <c r="S216" s="383"/>
      <c r="T216" s="383"/>
      <c r="U216" s="383"/>
      <c r="V216" s="383"/>
      <c r="W216" s="324"/>
      <c r="X216" s="383"/>
      <c r="Y216" s="383"/>
      <c r="Z216" s="383"/>
    </row>
    <row r="217" spans="1:26" ht="12.75" customHeight="1" x14ac:dyDescent="0.3">
      <c r="A217" s="383"/>
      <c r="B217" s="383"/>
      <c r="C217" s="383"/>
      <c r="D217" s="383"/>
      <c r="E217" s="383"/>
      <c r="F217" s="383"/>
      <c r="G217" s="383"/>
      <c r="H217" s="383"/>
      <c r="I217" s="383"/>
      <c r="J217" s="383"/>
      <c r="K217" s="383"/>
      <c r="L217" s="383"/>
      <c r="M217" s="383"/>
      <c r="N217" s="383"/>
      <c r="O217" s="383"/>
      <c r="P217" s="383"/>
      <c r="Q217" s="383"/>
      <c r="R217" s="383"/>
      <c r="S217" s="383"/>
      <c r="T217" s="383"/>
      <c r="U217" s="383"/>
      <c r="V217" s="383"/>
      <c r="W217" s="324"/>
      <c r="X217" s="383"/>
      <c r="Y217" s="383"/>
      <c r="Z217" s="383"/>
    </row>
    <row r="218" spans="1:26" ht="12.75" customHeight="1" x14ac:dyDescent="0.3">
      <c r="A218" s="383"/>
      <c r="B218" s="383"/>
      <c r="C218" s="383"/>
      <c r="D218" s="383"/>
      <c r="E218" s="383"/>
      <c r="F218" s="383"/>
      <c r="G218" s="383"/>
      <c r="H218" s="383"/>
      <c r="I218" s="383"/>
      <c r="J218" s="383"/>
      <c r="K218" s="383"/>
      <c r="L218" s="383"/>
      <c r="M218" s="383"/>
      <c r="N218" s="383"/>
      <c r="O218" s="383"/>
      <c r="P218" s="383"/>
      <c r="Q218" s="383"/>
      <c r="R218" s="383"/>
      <c r="S218" s="383"/>
      <c r="T218" s="383"/>
      <c r="U218" s="383"/>
      <c r="V218" s="383"/>
      <c r="W218" s="324"/>
      <c r="X218" s="383"/>
      <c r="Y218" s="383"/>
      <c r="Z218" s="383"/>
    </row>
    <row r="219" spans="1:26" ht="12.75" customHeight="1" x14ac:dyDescent="0.3">
      <c r="A219" s="383"/>
      <c r="B219" s="383"/>
      <c r="C219" s="383"/>
      <c r="D219" s="383"/>
      <c r="E219" s="383"/>
      <c r="F219" s="383"/>
      <c r="G219" s="383"/>
      <c r="H219" s="383"/>
      <c r="I219" s="383"/>
      <c r="J219" s="383"/>
      <c r="K219" s="383"/>
      <c r="L219" s="383"/>
      <c r="M219" s="383"/>
      <c r="N219" s="383"/>
      <c r="O219" s="383"/>
      <c r="P219" s="383"/>
      <c r="Q219" s="383"/>
      <c r="R219" s="383"/>
      <c r="S219" s="383"/>
      <c r="T219" s="383"/>
      <c r="U219" s="383"/>
      <c r="V219" s="383"/>
      <c r="W219" s="324"/>
      <c r="X219" s="383"/>
      <c r="Y219" s="383"/>
      <c r="Z219" s="383"/>
    </row>
    <row r="220" spans="1:26" ht="12.75" customHeight="1" x14ac:dyDescent="0.3">
      <c r="A220" s="383"/>
      <c r="B220" s="383"/>
      <c r="C220" s="383"/>
      <c r="D220" s="383"/>
      <c r="E220" s="383"/>
      <c r="F220" s="383"/>
      <c r="G220" s="383"/>
      <c r="H220" s="383"/>
      <c r="I220" s="383"/>
      <c r="J220" s="383"/>
      <c r="K220" s="383"/>
      <c r="L220" s="383"/>
      <c r="M220" s="383"/>
      <c r="N220" s="383"/>
      <c r="O220" s="383"/>
      <c r="P220" s="383"/>
      <c r="Q220" s="383"/>
      <c r="R220" s="383"/>
      <c r="S220" s="383"/>
      <c r="T220" s="383"/>
      <c r="U220" s="383"/>
      <c r="V220" s="383"/>
      <c r="W220" s="324"/>
      <c r="X220" s="383"/>
      <c r="Y220" s="383"/>
      <c r="Z220" s="383"/>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
    <mergeCell ref="A1:G1"/>
    <mergeCell ref="B6:F6"/>
    <mergeCell ref="A2:A4"/>
    <mergeCell ref="C2:G2"/>
    <mergeCell ref="B2:B4"/>
    <mergeCell ref="C3:G3"/>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showGridLines="0" topLeftCell="A29" workbookViewId="0"/>
  </sheetViews>
  <sheetFormatPr baseColWidth="10" defaultColWidth="12.6640625" defaultRowHeight="15" customHeight="1" outlineLevelRow="1" x14ac:dyDescent="0.3"/>
  <cols>
    <col min="1" max="1" width="6" customWidth="1"/>
    <col min="2" max="2" width="25.109375" customWidth="1"/>
    <col min="3" max="3" width="10.33203125" customWidth="1"/>
    <col min="4" max="4" width="9.21875" customWidth="1"/>
    <col min="5" max="5" width="9.77734375" customWidth="1"/>
    <col min="6" max="6" width="6.33203125" customWidth="1"/>
    <col min="7" max="21" width="8.44140625" customWidth="1"/>
    <col min="22" max="22" width="8.21875" customWidth="1"/>
    <col min="23" max="23" width="11.44140625" customWidth="1"/>
    <col min="24" max="26" width="10.6640625" customWidth="1"/>
  </cols>
  <sheetData>
    <row r="1" spans="1:26" ht="14.25" hidden="1" customHeight="1" outlineLevel="1" x14ac:dyDescent="0.3">
      <c r="A1" s="295"/>
      <c r="B1" s="295"/>
      <c r="C1" s="295"/>
      <c r="D1" s="295"/>
      <c r="E1" s="295"/>
      <c r="F1" s="295"/>
      <c r="G1" s="295"/>
      <c r="H1" s="295"/>
      <c r="I1" s="295"/>
      <c r="J1" s="295"/>
      <c r="K1" s="295"/>
      <c r="L1" s="295"/>
      <c r="M1" s="295"/>
      <c r="N1" s="295"/>
      <c r="O1" s="295"/>
      <c r="P1" s="295"/>
      <c r="Q1" s="295"/>
      <c r="R1" s="295"/>
      <c r="S1" s="295"/>
      <c r="T1" s="295"/>
      <c r="U1" s="295"/>
      <c r="V1" s="295"/>
      <c r="W1" s="295"/>
      <c r="X1" s="295"/>
      <c r="Y1" s="295"/>
      <c r="Z1" s="295"/>
    </row>
    <row r="2" spans="1:26" ht="15" hidden="1" customHeight="1" outlineLevel="1" x14ac:dyDescent="0.3">
      <c r="A2" s="1176" t="s">
        <v>2088</v>
      </c>
      <c r="B2" s="1087"/>
      <c r="C2" s="1087"/>
      <c r="D2" s="1087"/>
      <c r="E2" s="1088"/>
      <c r="F2" s="295"/>
      <c r="G2" s="295"/>
      <c r="H2" s="295"/>
      <c r="I2" s="295"/>
      <c r="J2" s="295"/>
      <c r="K2" s="295"/>
      <c r="L2" s="295"/>
      <c r="M2" s="295"/>
      <c r="N2" s="295"/>
      <c r="O2" s="295"/>
      <c r="P2" s="295"/>
      <c r="Q2" s="295"/>
      <c r="R2" s="295"/>
      <c r="S2" s="295"/>
      <c r="T2" s="295"/>
      <c r="U2" s="295"/>
      <c r="V2" s="295"/>
      <c r="W2" s="295"/>
      <c r="X2" s="295"/>
      <c r="Y2" s="295"/>
      <c r="Z2" s="295"/>
    </row>
    <row r="3" spans="1:26" ht="15" hidden="1" customHeight="1" outlineLevel="1" x14ac:dyDescent="0.3">
      <c r="A3" s="1180" t="s">
        <v>1902</v>
      </c>
      <c r="B3" s="1180" t="s">
        <v>2089</v>
      </c>
      <c r="C3" s="1179" t="s">
        <v>1944</v>
      </c>
      <c r="D3" s="1087"/>
      <c r="E3" s="1088"/>
      <c r="F3" s="295"/>
      <c r="G3" s="295"/>
      <c r="H3" s="295"/>
      <c r="I3" s="295"/>
      <c r="J3" s="295"/>
      <c r="K3" s="295"/>
      <c r="L3" s="295"/>
      <c r="M3" s="295"/>
      <c r="N3" s="295"/>
      <c r="O3" s="295"/>
      <c r="P3" s="295"/>
      <c r="Q3" s="295"/>
      <c r="R3" s="295"/>
      <c r="S3" s="295"/>
      <c r="T3" s="295"/>
      <c r="U3" s="295"/>
      <c r="V3" s="295"/>
      <c r="W3" s="295"/>
      <c r="X3" s="295"/>
      <c r="Y3" s="295"/>
      <c r="Z3" s="295"/>
    </row>
    <row r="4" spans="1:26" ht="15" hidden="1" customHeight="1" outlineLevel="1" x14ac:dyDescent="0.3">
      <c r="A4" s="1106"/>
      <c r="B4" s="1106"/>
      <c r="C4" s="1178">
        <v>45802</v>
      </c>
      <c r="D4" s="1087"/>
      <c r="E4" s="1088"/>
      <c r="F4" s="295"/>
      <c r="G4" s="295"/>
      <c r="H4" s="295"/>
      <c r="I4" s="295"/>
      <c r="J4" s="295"/>
      <c r="K4" s="295"/>
      <c r="L4" s="295"/>
      <c r="M4" s="295"/>
      <c r="N4" s="295"/>
      <c r="O4" s="295"/>
      <c r="P4" s="295"/>
      <c r="Q4" s="295"/>
      <c r="R4" s="295"/>
      <c r="S4" s="295"/>
      <c r="T4" s="295"/>
      <c r="U4" s="295"/>
      <c r="V4" s="295"/>
      <c r="W4" s="295"/>
      <c r="X4" s="295"/>
      <c r="Y4" s="295"/>
      <c r="Z4" s="295"/>
    </row>
    <row r="5" spans="1:26" ht="14.25" hidden="1" customHeight="1" outlineLevel="1" x14ac:dyDescent="0.3">
      <c r="A5" s="1107"/>
      <c r="B5" s="1107"/>
      <c r="C5" s="916" t="s">
        <v>1773</v>
      </c>
      <c r="D5" s="916" t="s">
        <v>2090</v>
      </c>
      <c r="E5" s="916" t="s">
        <v>2091</v>
      </c>
      <c r="F5" s="295"/>
      <c r="G5" s="295"/>
      <c r="H5" s="295"/>
      <c r="I5" s="295"/>
      <c r="J5" s="295"/>
      <c r="K5" s="295"/>
      <c r="L5" s="295"/>
      <c r="M5" s="295"/>
      <c r="N5" s="295"/>
      <c r="O5" s="295"/>
      <c r="P5" s="295"/>
      <c r="Q5" s="295"/>
      <c r="R5" s="295"/>
      <c r="S5" s="295"/>
      <c r="T5" s="295"/>
      <c r="U5" s="295"/>
      <c r="V5" s="295"/>
      <c r="W5" s="295"/>
      <c r="X5" s="295"/>
      <c r="Y5" s="295"/>
      <c r="Z5" s="295"/>
    </row>
    <row r="6" spans="1:26" ht="14.25" hidden="1" customHeight="1" outlineLevel="1" x14ac:dyDescent="0.3">
      <c r="A6" s="917">
        <v>5070</v>
      </c>
      <c r="B6" s="918" t="s">
        <v>2092</v>
      </c>
      <c r="C6" s="919">
        <v>69</v>
      </c>
      <c r="D6" s="920">
        <v>286.48</v>
      </c>
      <c r="E6" s="920">
        <v>19767.400000000001</v>
      </c>
      <c r="F6" s="295"/>
      <c r="G6" s="295"/>
      <c r="H6" s="295"/>
      <c r="I6" s="295"/>
      <c r="J6" s="295"/>
      <c r="K6" s="295"/>
      <c r="L6" s="295"/>
      <c r="M6" s="295"/>
      <c r="N6" s="295"/>
      <c r="O6" s="295"/>
      <c r="P6" s="295"/>
      <c r="Q6" s="295"/>
      <c r="R6" s="295"/>
      <c r="S6" s="295"/>
      <c r="T6" s="295"/>
      <c r="U6" s="295"/>
      <c r="V6" s="295"/>
      <c r="W6" s="295"/>
      <c r="X6" s="295"/>
      <c r="Y6" s="295"/>
      <c r="Z6" s="295"/>
    </row>
    <row r="7" spans="1:26" ht="14.25" hidden="1" customHeight="1" outlineLevel="1" x14ac:dyDescent="0.3">
      <c r="A7" s="917" t="s">
        <v>320</v>
      </c>
      <c r="B7" s="1177"/>
      <c r="C7" s="1087"/>
      <c r="D7" s="1088"/>
      <c r="E7" s="921">
        <v>19767.400000000001</v>
      </c>
      <c r="F7" s="295"/>
      <c r="G7" s="295"/>
      <c r="H7" s="295"/>
      <c r="I7" s="295"/>
      <c r="J7" s="295"/>
      <c r="K7" s="295"/>
      <c r="L7" s="295"/>
      <c r="M7" s="295"/>
      <c r="N7" s="295"/>
      <c r="O7" s="295"/>
      <c r="P7" s="295"/>
      <c r="Q7" s="295"/>
      <c r="R7" s="295"/>
      <c r="S7" s="295"/>
      <c r="T7" s="295"/>
      <c r="U7" s="295"/>
      <c r="V7" s="295"/>
      <c r="W7" s="295"/>
      <c r="X7" s="295"/>
      <c r="Y7" s="295"/>
      <c r="Z7" s="295"/>
    </row>
    <row r="8" spans="1:26" ht="14.25" hidden="1" customHeight="1" outlineLevel="1" x14ac:dyDescent="0.3">
      <c r="A8" s="295"/>
      <c r="B8" s="295"/>
      <c r="C8" s="295"/>
      <c r="D8" s="295"/>
      <c r="E8" s="295"/>
      <c r="F8" s="295"/>
      <c r="G8" s="295"/>
      <c r="H8" s="295"/>
      <c r="I8" s="295"/>
      <c r="J8" s="295"/>
      <c r="K8" s="295"/>
      <c r="L8" s="295"/>
      <c r="M8" s="295"/>
      <c r="N8" s="295"/>
      <c r="O8" s="295"/>
      <c r="P8" s="295"/>
      <c r="Q8" s="295"/>
      <c r="R8" s="295"/>
      <c r="S8" s="295"/>
      <c r="T8" s="295"/>
      <c r="U8" s="295"/>
      <c r="V8" s="295"/>
      <c r="W8" s="295"/>
      <c r="X8" s="295"/>
      <c r="Y8" s="295"/>
      <c r="Z8" s="295"/>
    </row>
    <row r="9" spans="1:26" ht="15" hidden="1" customHeight="1" outlineLevel="1" x14ac:dyDescent="0.3">
      <c r="A9" s="1176" t="s">
        <v>2093</v>
      </c>
      <c r="B9" s="1087"/>
      <c r="C9" s="1087"/>
      <c r="D9" s="1087"/>
      <c r="E9" s="1088"/>
      <c r="F9" s="295"/>
      <c r="G9" s="295"/>
      <c r="H9" s="295"/>
      <c r="I9" s="295"/>
      <c r="J9" s="295"/>
      <c r="K9" s="295"/>
      <c r="L9" s="295"/>
      <c r="M9" s="295"/>
      <c r="N9" s="295"/>
      <c r="O9" s="295"/>
      <c r="P9" s="295"/>
      <c r="Q9" s="295"/>
      <c r="R9" s="295"/>
      <c r="S9" s="295"/>
      <c r="T9" s="295"/>
      <c r="U9" s="295"/>
      <c r="V9" s="295"/>
      <c r="W9" s="295"/>
      <c r="X9" s="295"/>
      <c r="Y9" s="295"/>
      <c r="Z9" s="295"/>
    </row>
    <row r="10" spans="1:26" ht="15" hidden="1" customHeight="1" outlineLevel="1" x14ac:dyDescent="0.3">
      <c r="A10" s="1180" t="s">
        <v>1902</v>
      </c>
      <c r="B10" s="1180" t="s">
        <v>2089</v>
      </c>
      <c r="C10" s="1179" t="s">
        <v>1944</v>
      </c>
      <c r="D10" s="1087"/>
      <c r="E10" s="1088"/>
      <c r="F10" s="295"/>
      <c r="G10" s="295"/>
      <c r="H10" s="295"/>
      <c r="I10" s="295"/>
      <c r="J10" s="295"/>
      <c r="K10" s="295"/>
      <c r="L10" s="295"/>
      <c r="M10" s="295"/>
      <c r="N10" s="295"/>
      <c r="O10" s="295"/>
      <c r="P10" s="295"/>
      <c r="Q10" s="295"/>
      <c r="R10" s="295"/>
      <c r="S10" s="295"/>
      <c r="T10" s="295"/>
      <c r="U10" s="295"/>
      <c r="V10" s="295"/>
      <c r="W10" s="295"/>
      <c r="X10" s="295"/>
      <c r="Y10" s="295"/>
      <c r="Z10" s="295"/>
    </row>
    <row r="11" spans="1:26" ht="15" hidden="1" customHeight="1" outlineLevel="1" x14ac:dyDescent="0.3">
      <c r="A11" s="1106"/>
      <c r="B11" s="1106"/>
      <c r="C11" s="1178">
        <v>45833</v>
      </c>
      <c r="D11" s="1087"/>
      <c r="E11" s="1088"/>
      <c r="F11" s="295"/>
      <c r="G11" s="295"/>
      <c r="H11" s="295"/>
      <c r="I11" s="295"/>
      <c r="J11" s="295"/>
      <c r="K11" s="295"/>
      <c r="L11" s="295"/>
      <c r="M11" s="295"/>
      <c r="N11" s="295"/>
      <c r="O11" s="295"/>
      <c r="P11" s="295"/>
      <c r="Q11" s="295"/>
      <c r="R11" s="295"/>
      <c r="S11" s="295"/>
      <c r="T11" s="295"/>
      <c r="U11" s="295"/>
      <c r="V11" s="295"/>
      <c r="W11" s="295"/>
      <c r="X11" s="295"/>
      <c r="Y11" s="295"/>
      <c r="Z11" s="295"/>
    </row>
    <row r="12" spans="1:26" ht="14.25" hidden="1" customHeight="1" outlineLevel="1" x14ac:dyDescent="0.3">
      <c r="A12" s="1107"/>
      <c r="B12" s="1107"/>
      <c r="C12" s="916" t="s">
        <v>1773</v>
      </c>
      <c r="D12" s="916" t="s">
        <v>2090</v>
      </c>
      <c r="E12" s="916" t="s">
        <v>2091</v>
      </c>
      <c r="F12" s="295"/>
      <c r="G12" s="295"/>
      <c r="H12" s="295"/>
      <c r="I12" s="295"/>
      <c r="J12" s="295"/>
      <c r="K12" s="295"/>
      <c r="L12" s="295"/>
      <c r="M12" s="295"/>
      <c r="N12" s="295"/>
      <c r="O12" s="295"/>
      <c r="P12" s="295"/>
      <c r="Q12" s="295"/>
      <c r="R12" s="295"/>
      <c r="S12" s="295"/>
      <c r="T12" s="295"/>
      <c r="U12" s="295"/>
      <c r="V12" s="295"/>
      <c r="W12" s="295"/>
      <c r="X12" s="295"/>
      <c r="Y12" s="295"/>
      <c r="Z12" s="295"/>
    </row>
    <row r="13" spans="1:26" ht="14.25" hidden="1" customHeight="1" outlineLevel="1" x14ac:dyDescent="0.3">
      <c r="A13" s="917">
        <v>5070</v>
      </c>
      <c r="B13" s="918" t="s">
        <v>2094</v>
      </c>
      <c r="C13" s="919">
        <v>49</v>
      </c>
      <c r="D13" s="920">
        <v>304.02</v>
      </c>
      <c r="E13" s="920">
        <v>14896.98</v>
      </c>
      <c r="F13" s="892">
        <f>+D13/D6</f>
        <v>1.0612259145490086</v>
      </c>
      <c r="G13" s="295"/>
      <c r="H13" s="295"/>
      <c r="I13" s="295"/>
      <c r="J13" s="295"/>
      <c r="K13" s="295"/>
      <c r="L13" s="295"/>
      <c r="M13" s="295"/>
      <c r="N13" s="295"/>
      <c r="O13" s="295"/>
      <c r="P13" s="295"/>
      <c r="Q13" s="295"/>
      <c r="R13" s="295"/>
      <c r="S13" s="295"/>
      <c r="T13" s="295"/>
      <c r="U13" s="295"/>
      <c r="V13" s="295"/>
      <c r="W13" s="295"/>
      <c r="X13" s="295"/>
      <c r="Y13" s="295"/>
      <c r="Z13" s="295"/>
    </row>
    <row r="14" spans="1:26" ht="14.25" hidden="1" customHeight="1" outlineLevel="1" x14ac:dyDescent="0.3">
      <c r="A14" s="917" t="s">
        <v>320</v>
      </c>
      <c r="B14" s="1177"/>
      <c r="C14" s="1087"/>
      <c r="D14" s="1088"/>
      <c r="E14" s="921">
        <v>14896.98</v>
      </c>
      <c r="F14" s="295"/>
      <c r="G14" s="295"/>
      <c r="H14" s="295"/>
      <c r="I14" s="295"/>
      <c r="J14" s="295"/>
      <c r="K14" s="295"/>
      <c r="L14" s="295"/>
      <c r="M14" s="295"/>
      <c r="N14" s="295"/>
      <c r="O14" s="295"/>
      <c r="P14" s="295"/>
      <c r="Q14" s="295"/>
      <c r="R14" s="295"/>
      <c r="S14" s="295"/>
      <c r="T14" s="295"/>
      <c r="U14" s="295"/>
      <c r="V14" s="295"/>
      <c r="W14" s="295"/>
      <c r="X14" s="295"/>
      <c r="Y14" s="295"/>
      <c r="Z14" s="295"/>
    </row>
    <row r="15" spans="1:26" ht="14.25" hidden="1" customHeight="1" outlineLevel="1" x14ac:dyDescent="0.3">
      <c r="A15" s="295"/>
      <c r="B15" s="295"/>
      <c r="C15" s="295"/>
      <c r="D15" s="295"/>
      <c r="E15" s="295"/>
      <c r="F15" s="295"/>
      <c r="G15" s="295"/>
      <c r="H15" s="295"/>
      <c r="I15" s="295"/>
      <c r="J15" s="295"/>
      <c r="K15" s="295"/>
      <c r="L15" s="295"/>
      <c r="M15" s="295"/>
      <c r="N15" s="295"/>
      <c r="O15" s="295"/>
      <c r="P15" s="295"/>
      <c r="Q15" s="295"/>
      <c r="R15" s="295"/>
      <c r="S15" s="295"/>
      <c r="T15" s="295"/>
      <c r="U15" s="295"/>
      <c r="V15" s="295"/>
      <c r="W15" s="295"/>
      <c r="X15" s="295"/>
      <c r="Y15" s="295"/>
      <c r="Z15" s="295"/>
    </row>
    <row r="16" spans="1:26" ht="15" hidden="1" customHeight="1" outlineLevel="1" x14ac:dyDescent="0.3">
      <c r="A16" s="1176" t="s">
        <v>2095</v>
      </c>
      <c r="B16" s="1087"/>
      <c r="C16" s="1087"/>
      <c r="D16" s="1087"/>
      <c r="E16" s="1088"/>
      <c r="F16" s="295"/>
      <c r="G16" s="295"/>
      <c r="H16" s="295"/>
      <c r="I16" s="295"/>
      <c r="J16" s="295"/>
      <c r="K16" s="295"/>
      <c r="L16" s="295"/>
      <c r="M16" s="295"/>
      <c r="N16" s="295"/>
      <c r="O16" s="295"/>
      <c r="P16" s="295"/>
      <c r="Q16" s="295"/>
      <c r="R16" s="295"/>
      <c r="S16" s="295"/>
      <c r="T16" s="295"/>
      <c r="U16" s="295"/>
      <c r="V16" s="295"/>
      <c r="W16" s="295"/>
      <c r="X16" s="295"/>
      <c r="Y16" s="295"/>
      <c r="Z16" s="295"/>
    </row>
    <row r="17" spans="1:26" ht="15" hidden="1" customHeight="1" outlineLevel="1" x14ac:dyDescent="0.3">
      <c r="A17" s="1180" t="s">
        <v>1902</v>
      </c>
      <c r="B17" s="1180" t="s">
        <v>2089</v>
      </c>
      <c r="C17" s="1179" t="s">
        <v>1944</v>
      </c>
      <c r="D17" s="1087"/>
      <c r="E17" s="1088"/>
      <c r="F17" s="295"/>
      <c r="G17" s="295"/>
      <c r="H17" s="295"/>
      <c r="I17" s="295"/>
      <c r="J17" s="295"/>
      <c r="K17" s="295"/>
      <c r="L17" s="295"/>
      <c r="M17" s="295"/>
      <c r="N17" s="295"/>
      <c r="O17" s="295"/>
      <c r="P17" s="295"/>
      <c r="Q17" s="295"/>
      <c r="R17" s="295"/>
      <c r="S17" s="295"/>
      <c r="T17" s="295"/>
      <c r="U17" s="295"/>
      <c r="V17" s="295"/>
      <c r="W17" s="295"/>
      <c r="X17" s="295"/>
      <c r="Y17" s="295"/>
      <c r="Z17" s="295"/>
    </row>
    <row r="18" spans="1:26" ht="15" hidden="1" customHeight="1" outlineLevel="1" x14ac:dyDescent="0.3">
      <c r="A18" s="1106"/>
      <c r="B18" s="1106"/>
      <c r="C18" s="1178">
        <v>45863</v>
      </c>
      <c r="D18" s="1087"/>
      <c r="E18" s="1088"/>
      <c r="F18" s="295"/>
      <c r="G18" s="295"/>
      <c r="H18" s="295"/>
      <c r="I18" s="295"/>
      <c r="J18" s="295"/>
      <c r="K18" s="295"/>
      <c r="L18" s="295"/>
      <c r="M18" s="295"/>
      <c r="N18" s="295"/>
      <c r="O18" s="295"/>
      <c r="P18" s="295"/>
      <c r="Q18" s="295"/>
      <c r="R18" s="295"/>
      <c r="S18" s="295"/>
      <c r="T18" s="295"/>
      <c r="U18" s="295"/>
      <c r="V18" s="295"/>
      <c r="W18" s="295"/>
      <c r="X18" s="295"/>
      <c r="Y18" s="295"/>
      <c r="Z18" s="295"/>
    </row>
    <row r="19" spans="1:26" ht="14.25" hidden="1" customHeight="1" outlineLevel="1" x14ac:dyDescent="0.3">
      <c r="A19" s="1107"/>
      <c r="B19" s="1107"/>
      <c r="C19" s="916" t="s">
        <v>1773</v>
      </c>
      <c r="D19" s="916" t="s">
        <v>2090</v>
      </c>
      <c r="E19" s="916" t="s">
        <v>2091</v>
      </c>
      <c r="F19" s="295"/>
      <c r="G19" s="295"/>
      <c r="H19" s="295"/>
      <c r="I19" s="295"/>
      <c r="J19" s="295"/>
      <c r="K19" s="295"/>
      <c r="L19" s="295"/>
      <c r="M19" s="295"/>
      <c r="N19" s="295"/>
      <c r="O19" s="295"/>
      <c r="P19" s="295"/>
      <c r="Q19" s="295"/>
      <c r="R19" s="295"/>
      <c r="S19" s="295"/>
      <c r="T19" s="295"/>
      <c r="U19" s="295"/>
      <c r="V19" s="295"/>
      <c r="W19" s="295"/>
      <c r="X19" s="295"/>
      <c r="Y19" s="295"/>
      <c r="Z19" s="295"/>
    </row>
    <row r="20" spans="1:26" ht="14.25" hidden="1" customHeight="1" outlineLevel="1" x14ac:dyDescent="0.3">
      <c r="A20" s="917">
        <v>5070</v>
      </c>
      <c r="B20" s="918" t="s">
        <v>2094</v>
      </c>
      <c r="C20" s="919">
        <v>41</v>
      </c>
      <c r="D20" s="920">
        <v>304.02</v>
      </c>
      <c r="E20" s="920">
        <v>12464.82</v>
      </c>
      <c r="F20" s="295"/>
      <c r="G20" s="295"/>
      <c r="H20" s="295"/>
      <c r="I20" s="295"/>
      <c r="J20" s="295"/>
      <c r="K20" s="295"/>
      <c r="L20" s="295"/>
      <c r="M20" s="295"/>
      <c r="N20" s="295"/>
      <c r="O20" s="295"/>
      <c r="P20" s="295"/>
      <c r="Q20" s="295"/>
      <c r="R20" s="295"/>
      <c r="S20" s="295"/>
      <c r="T20" s="295"/>
      <c r="U20" s="295"/>
      <c r="V20" s="295"/>
      <c r="W20" s="295"/>
      <c r="X20" s="295"/>
      <c r="Y20" s="295"/>
      <c r="Z20" s="295"/>
    </row>
    <row r="21" spans="1:26" ht="14.25" hidden="1" customHeight="1" outlineLevel="1" x14ac:dyDescent="0.3">
      <c r="A21" s="917" t="s">
        <v>320</v>
      </c>
      <c r="B21" s="1177"/>
      <c r="C21" s="1087"/>
      <c r="D21" s="1088"/>
      <c r="E21" s="921">
        <v>12464.82</v>
      </c>
      <c r="F21" s="295"/>
      <c r="G21" s="295"/>
      <c r="H21" s="295"/>
      <c r="I21" s="295"/>
      <c r="J21" s="295"/>
      <c r="K21" s="295"/>
      <c r="L21" s="295"/>
      <c r="M21" s="295"/>
      <c r="N21" s="295"/>
      <c r="O21" s="295"/>
      <c r="P21" s="295"/>
      <c r="Q21" s="295"/>
      <c r="R21" s="295"/>
      <c r="S21" s="295"/>
      <c r="T21" s="295"/>
      <c r="U21" s="295"/>
      <c r="V21" s="295"/>
      <c r="W21" s="295"/>
      <c r="X21" s="295"/>
      <c r="Y21" s="295"/>
      <c r="Z21" s="295"/>
    </row>
    <row r="22" spans="1:26" ht="14.25" hidden="1" customHeight="1" outlineLevel="1" x14ac:dyDescent="0.3">
      <c r="A22" s="295"/>
      <c r="B22" s="295"/>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row>
    <row r="23" spans="1:26" ht="15" hidden="1" customHeight="1" outlineLevel="1" x14ac:dyDescent="0.3">
      <c r="A23" s="1176" t="s">
        <v>2096</v>
      </c>
      <c r="B23" s="1087"/>
      <c r="C23" s="1087"/>
      <c r="D23" s="1087"/>
      <c r="E23" s="1088"/>
      <c r="F23" s="295"/>
      <c r="G23" s="295"/>
      <c r="H23" s="295"/>
      <c r="I23" s="295"/>
      <c r="J23" s="295"/>
      <c r="K23" s="295"/>
      <c r="L23" s="295"/>
      <c r="M23" s="295"/>
      <c r="N23" s="295"/>
      <c r="O23" s="295"/>
      <c r="P23" s="295"/>
      <c r="Q23" s="295"/>
      <c r="R23" s="295"/>
      <c r="S23" s="295"/>
      <c r="T23" s="295"/>
      <c r="U23" s="295"/>
      <c r="V23" s="295"/>
      <c r="W23" s="295"/>
      <c r="X23" s="295"/>
      <c r="Y23" s="295"/>
      <c r="Z23" s="295"/>
    </row>
    <row r="24" spans="1:26" ht="15" hidden="1" customHeight="1" outlineLevel="1" x14ac:dyDescent="0.3">
      <c r="A24" s="1180" t="s">
        <v>1902</v>
      </c>
      <c r="B24" s="1180" t="s">
        <v>2089</v>
      </c>
      <c r="C24" s="1179" t="s">
        <v>1944</v>
      </c>
      <c r="D24" s="1087"/>
      <c r="E24" s="1088"/>
      <c r="F24" s="295"/>
      <c r="G24" s="295"/>
      <c r="H24" s="295"/>
      <c r="I24" s="295"/>
      <c r="J24" s="295"/>
      <c r="K24" s="295"/>
      <c r="L24" s="295"/>
      <c r="M24" s="295"/>
      <c r="N24" s="295"/>
      <c r="O24" s="295"/>
      <c r="P24" s="295"/>
      <c r="Q24" s="295"/>
      <c r="R24" s="295"/>
      <c r="S24" s="295"/>
      <c r="T24" s="295"/>
      <c r="U24" s="295"/>
      <c r="V24" s="295"/>
      <c r="W24" s="295"/>
      <c r="X24" s="295"/>
      <c r="Y24" s="295"/>
      <c r="Z24" s="295"/>
    </row>
    <row r="25" spans="1:26" ht="15" hidden="1" customHeight="1" outlineLevel="1" x14ac:dyDescent="0.3">
      <c r="A25" s="1106"/>
      <c r="B25" s="1106"/>
      <c r="C25" s="1181" t="s">
        <v>2097</v>
      </c>
      <c r="D25" s="1087"/>
      <c r="E25" s="1088"/>
      <c r="F25" s="295"/>
      <c r="G25" s="295"/>
      <c r="H25" s="295"/>
      <c r="I25" s="295"/>
      <c r="J25" s="295"/>
      <c r="K25" s="295"/>
      <c r="L25" s="295"/>
      <c r="M25" s="295"/>
      <c r="N25" s="295"/>
      <c r="O25" s="295"/>
      <c r="P25" s="295"/>
      <c r="Q25" s="295"/>
      <c r="R25" s="295"/>
      <c r="S25" s="295"/>
      <c r="T25" s="295"/>
      <c r="U25" s="295"/>
      <c r="V25" s="295"/>
      <c r="W25" s="295"/>
      <c r="X25" s="295"/>
      <c r="Y25" s="295"/>
      <c r="Z25" s="295"/>
    </row>
    <row r="26" spans="1:26" ht="14.25" hidden="1" customHeight="1" outlineLevel="1" x14ac:dyDescent="0.3">
      <c r="A26" s="1107"/>
      <c r="B26" s="1107"/>
      <c r="C26" s="916" t="s">
        <v>1773</v>
      </c>
      <c r="D26" s="916" t="s">
        <v>2090</v>
      </c>
      <c r="E26" s="916" t="s">
        <v>2091</v>
      </c>
      <c r="F26" s="295"/>
      <c r="G26" s="295"/>
      <c r="H26" s="295"/>
      <c r="I26" s="295"/>
      <c r="J26" s="295"/>
      <c r="K26" s="295"/>
      <c r="L26" s="295"/>
      <c r="M26" s="295"/>
      <c r="N26" s="295"/>
      <c r="O26" s="295"/>
      <c r="P26" s="295"/>
      <c r="Q26" s="295"/>
      <c r="R26" s="295"/>
      <c r="S26" s="295"/>
      <c r="T26" s="295"/>
      <c r="U26" s="295"/>
      <c r="V26" s="295"/>
      <c r="W26" s="295"/>
      <c r="X26" s="295"/>
      <c r="Y26" s="295"/>
      <c r="Z26" s="295"/>
    </row>
    <row r="27" spans="1:26" ht="14.25" hidden="1" customHeight="1" outlineLevel="1" x14ac:dyDescent="0.3">
      <c r="A27" s="917">
        <v>5070</v>
      </c>
      <c r="B27" s="918" t="s">
        <v>2094</v>
      </c>
      <c r="C27" s="919">
        <v>41</v>
      </c>
      <c r="D27" s="920">
        <v>304.02</v>
      </c>
      <c r="E27" s="920">
        <v>12464.82</v>
      </c>
      <c r="F27" s="295"/>
      <c r="G27" s="295"/>
      <c r="H27" s="295"/>
      <c r="I27" s="295"/>
      <c r="J27" s="295"/>
      <c r="K27" s="295"/>
      <c r="L27" s="295"/>
      <c r="M27" s="295"/>
      <c r="N27" s="295"/>
      <c r="O27" s="295"/>
      <c r="P27" s="295"/>
      <c r="Q27" s="295"/>
      <c r="R27" s="295"/>
      <c r="S27" s="295"/>
      <c r="T27" s="295"/>
      <c r="U27" s="295"/>
      <c r="V27" s="295"/>
      <c r="W27" s="295"/>
      <c r="X27" s="295"/>
      <c r="Y27" s="295"/>
      <c r="Z27" s="295"/>
    </row>
    <row r="28" spans="1:26" ht="14.25" hidden="1" customHeight="1" outlineLevel="1" x14ac:dyDescent="0.3">
      <c r="A28" s="917" t="s">
        <v>320</v>
      </c>
      <c r="B28" s="1177"/>
      <c r="C28" s="1087"/>
      <c r="D28" s="1088"/>
      <c r="E28" s="921">
        <v>12464.82</v>
      </c>
      <c r="F28" s="295"/>
      <c r="G28" s="295"/>
      <c r="H28" s="295"/>
      <c r="I28" s="295"/>
      <c r="J28" s="295"/>
      <c r="K28" s="295"/>
      <c r="L28" s="295"/>
      <c r="M28" s="295"/>
      <c r="N28" s="295"/>
      <c r="O28" s="295"/>
      <c r="P28" s="295"/>
      <c r="Q28" s="295"/>
      <c r="R28" s="295"/>
      <c r="S28" s="295"/>
      <c r="T28" s="295"/>
      <c r="U28" s="295"/>
      <c r="V28" s="295"/>
      <c r="W28" s="295"/>
      <c r="X28" s="295"/>
      <c r="Y28" s="295"/>
      <c r="Z28" s="295"/>
    </row>
    <row r="29" spans="1:26" ht="14.25" customHeight="1" collapsed="1" x14ac:dyDescent="0.3">
      <c r="A29" s="295"/>
      <c r="B29" s="295"/>
      <c r="C29" s="295"/>
      <c r="D29" s="295"/>
      <c r="E29" s="295"/>
      <c r="F29" s="295"/>
      <c r="G29" s="295"/>
      <c r="H29" s="295"/>
      <c r="I29" s="295"/>
      <c r="J29" s="295"/>
      <c r="K29" s="295"/>
      <c r="L29" s="295"/>
      <c r="M29" s="295"/>
      <c r="N29" s="295"/>
      <c r="O29" s="295"/>
      <c r="P29" s="295"/>
      <c r="Q29" s="295"/>
      <c r="R29" s="295"/>
      <c r="S29" s="295"/>
      <c r="T29" s="295"/>
      <c r="U29" s="295"/>
      <c r="V29" s="295"/>
      <c r="W29" s="295"/>
      <c r="X29" s="295"/>
      <c r="Y29" s="295"/>
      <c r="Z29" s="295"/>
    </row>
    <row r="30" spans="1:26" ht="15" customHeight="1" x14ac:dyDescent="0.3">
      <c r="A30" s="1183" t="s">
        <v>2098</v>
      </c>
      <c r="B30" s="1087"/>
      <c r="C30" s="1087"/>
      <c r="D30" s="1087"/>
      <c r="E30" s="1088"/>
      <c r="F30" s="922" t="s">
        <v>2099</v>
      </c>
      <c r="G30" s="295"/>
      <c r="H30" s="295"/>
      <c r="I30" s="295"/>
      <c r="J30" s="295"/>
      <c r="K30" s="295"/>
      <c r="L30" s="295"/>
      <c r="M30" s="295"/>
      <c r="N30" s="295"/>
      <c r="O30" s="295"/>
      <c r="P30" s="295"/>
      <c r="Q30" s="295"/>
      <c r="R30" s="295"/>
      <c r="S30" s="295"/>
      <c r="T30" s="295"/>
      <c r="U30" s="295"/>
      <c r="V30" s="295"/>
      <c r="W30" s="295"/>
      <c r="X30" s="295"/>
      <c r="Y30" s="295"/>
      <c r="Z30" s="295"/>
    </row>
    <row r="31" spans="1:26" ht="15" customHeight="1" x14ac:dyDescent="0.3">
      <c r="A31" s="1180" t="s">
        <v>1902</v>
      </c>
      <c r="B31" s="1180" t="s">
        <v>2089</v>
      </c>
      <c r="C31" s="1179" t="s">
        <v>1944</v>
      </c>
      <c r="D31" s="1087"/>
      <c r="E31" s="1088"/>
      <c r="F31" s="295"/>
      <c r="G31" s="865" t="s">
        <v>2100</v>
      </c>
      <c r="H31" s="295"/>
      <c r="I31" s="295"/>
      <c r="J31" s="295"/>
      <c r="K31" s="295"/>
      <c r="L31" s="295"/>
      <c r="M31" s="295"/>
      <c r="N31" s="295"/>
      <c r="O31" s="295"/>
      <c r="P31" s="295"/>
      <c r="Q31" s="295"/>
      <c r="R31" s="295"/>
      <c r="S31" s="295"/>
      <c r="T31" s="295"/>
      <c r="U31" s="295"/>
      <c r="V31" s="295"/>
      <c r="W31" s="295"/>
      <c r="X31" s="295"/>
      <c r="Y31" s="295"/>
      <c r="Z31" s="295"/>
    </row>
    <row r="32" spans="1:26" ht="15" customHeight="1" x14ac:dyDescent="0.3">
      <c r="A32" s="1106"/>
      <c r="B32" s="1106"/>
      <c r="C32" s="1178">
        <v>45925</v>
      </c>
      <c r="D32" s="1087"/>
      <c r="E32" s="1088"/>
      <c r="F32" s="295"/>
      <c r="G32" s="609">
        <v>45957</v>
      </c>
      <c r="H32" s="609">
        <v>45987</v>
      </c>
      <c r="I32" s="609">
        <v>46017</v>
      </c>
      <c r="J32" s="609">
        <v>46023</v>
      </c>
      <c r="K32" s="609">
        <v>46054</v>
      </c>
      <c r="L32" s="609">
        <v>46112</v>
      </c>
      <c r="M32" s="609">
        <v>46142</v>
      </c>
      <c r="N32" s="609">
        <v>46172</v>
      </c>
      <c r="O32" s="609">
        <v>46202</v>
      </c>
      <c r="P32" s="609">
        <v>46232</v>
      </c>
      <c r="Q32" s="609">
        <v>46262</v>
      </c>
      <c r="R32" s="609">
        <v>46292</v>
      </c>
      <c r="S32" s="609">
        <v>46322</v>
      </c>
      <c r="T32" s="610">
        <v>46352</v>
      </c>
      <c r="U32" s="610">
        <v>46382</v>
      </c>
      <c r="V32" s="923" t="s">
        <v>2101</v>
      </c>
      <c r="W32" s="295"/>
      <c r="X32" s="295"/>
      <c r="Y32" s="295"/>
      <c r="Z32" s="295"/>
    </row>
    <row r="33" spans="1:26" ht="14.25" customHeight="1" x14ac:dyDescent="0.3">
      <c r="A33" s="1107"/>
      <c r="B33" s="1107"/>
      <c r="C33" s="916" t="s">
        <v>1773</v>
      </c>
      <c r="D33" s="916" t="s">
        <v>2090</v>
      </c>
      <c r="E33" s="916" t="s">
        <v>2091</v>
      </c>
      <c r="F33" s="295"/>
      <c r="G33" s="295"/>
      <c r="H33" s="295"/>
      <c r="I33" s="295"/>
      <c r="J33" s="295"/>
      <c r="K33" s="295"/>
      <c r="L33" s="295"/>
      <c r="M33" s="295"/>
      <c r="N33" s="295"/>
      <c r="O33" s="295"/>
      <c r="P33" s="295"/>
      <c r="Q33" s="295"/>
      <c r="R33" s="295"/>
      <c r="S33" s="295"/>
      <c r="T33" s="295"/>
      <c r="U33" s="295"/>
      <c r="V33" s="924"/>
      <c r="W33" s="295"/>
      <c r="X33" s="295"/>
      <c r="Y33" s="295"/>
      <c r="Z33" s="295"/>
    </row>
    <row r="34" spans="1:26" ht="14.25" customHeight="1" x14ac:dyDescent="0.3">
      <c r="A34" s="917">
        <v>5070</v>
      </c>
      <c r="B34" s="918" t="s">
        <v>2094</v>
      </c>
      <c r="C34" s="919">
        <v>34</v>
      </c>
      <c r="D34" s="920">
        <v>323.26</v>
      </c>
      <c r="E34" s="920">
        <v>10990.84</v>
      </c>
      <c r="F34" s="892">
        <f>+D34/D27</f>
        <v>1.0632853101769622</v>
      </c>
      <c r="G34" s="925">
        <f>+E34</f>
        <v>10990.84</v>
      </c>
      <c r="H34" s="925">
        <f>+G34</f>
        <v>10990.84</v>
      </c>
      <c r="I34" s="925">
        <f>+H34*I36</f>
        <v>11709.340446434397</v>
      </c>
      <c r="J34" s="925">
        <f>+I34</f>
        <v>11709.340446434397</v>
      </c>
      <c r="K34" s="925">
        <f>+J34</f>
        <v>11709.340446434397</v>
      </c>
      <c r="L34" s="925">
        <f>+K34*L36</f>
        <v>12646.296342595902</v>
      </c>
      <c r="M34" s="925">
        <f>+L34</f>
        <v>12646.296342595902</v>
      </c>
      <c r="N34" s="925">
        <f>+M34</f>
        <v>12646.296342595902</v>
      </c>
      <c r="O34" s="925">
        <f>+N34*O36</f>
        <v>13697.99477155</v>
      </c>
      <c r="P34" s="925">
        <f>+O34</f>
        <v>13697.99477155</v>
      </c>
      <c r="Q34" s="925">
        <f>+P34</f>
        <v>13697.99477155</v>
      </c>
      <c r="R34" s="925">
        <f>+Q34*R36</f>
        <v>14924.614437877952</v>
      </c>
      <c r="S34" s="925">
        <f>+R34</f>
        <v>14924.614437877952</v>
      </c>
      <c r="T34" s="925">
        <f>+S34</f>
        <v>14924.614437877952</v>
      </c>
      <c r="U34" s="925">
        <f>+T34*U36</f>
        <v>16261.074692621622</v>
      </c>
      <c r="V34" s="926">
        <f>SUM(J34:U34)</f>
        <v>163486.47224156201</v>
      </c>
      <c r="W34" s="927"/>
      <c r="X34" s="295"/>
      <c r="Y34" s="295"/>
      <c r="Z34" s="295"/>
    </row>
    <row r="35" spans="1:26" ht="14.25" customHeight="1" x14ac:dyDescent="0.3">
      <c r="A35" s="917" t="s">
        <v>320</v>
      </c>
      <c r="B35" s="1177"/>
      <c r="C35" s="1087"/>
      <c r="D35" s="1088"/>
      <c r="E35" s="921">
        <v>10990.84</v>
      </c>
      <c r="F35" s="295"/>
      <c r="G35" s="295"/>
      <c r="H35" s="295"/>
      <c r="I35" s="295"/>
      <c r="J35" s="295"/>
      <c r="K35" s="295"/>
      <c r="L35" s="295"/>
      <c r="M35" s="295"/>
      <c r="N35" s="295"/>
      <c r="O35" s="295"/>
      <c r="P35" s="295"/>
      <c r="Q35" s="295"/>
      <c r="R35" s="295"/>
      <c r="S35" s="295"/>
      <c r="T35" s="295"/>
      <c r="U35" s="295"/>
      <c r="V35" s="928"/>
      <c r="W35" s="295"/>
      <c r="X35" s="295"/>
      <c r="Y35" s="295"/>
      <c r="Z35" s="295"/>
    </row>
    <row r="36" spans="1:26" ht="14.25" customHeight="1" x14ac:dyDescent="0.3">
      <c r="A36" s="295"/>
      <c r="B36" s="295"/>
      <c r="C36" s="295"/>
      <c r="D36" s="295"/>
      <c r="E36" s="295"/>
      <c r="F36" s="295"/>
      <c r="G36" s="295"/>
      <c r="H36" s="295"/>
      <c r="I36" s="583">
        <f>1*(1+F37)*(1+G37)*(1+H37)</f>
        <v>1.0653726599999997</v>
      </c>
      <c r="J36" s="929"/>
      <c r="K36" s="929"/>
      <c r="L36" s="583">
        <f>1*(1+I37)*(1+J37)*(1+K37)</f>
        <v>1.0800178199999999</v>
      </c>
      <c r="M36" s="929"/>
      <c r="N36" s="929"/>
      <c r="O36" s="583">
        <f>1*(1+L37)*(1+M37)*(1+N37)</f>
        <v>1.083162564</v>
      </c>
      <c r="P36" s="929"/>
      <c r="Q36" s="929"/>
      <c r="R36" s="583">
        <f>1*(1+O37)*(1+P37)*(1+Q37)</f>
        <v>1.0895473889999998</v>
      </c>
      <c r="S36" s="295"/>
      <c r="T36" s="295"/>
      <c r="U36" s="583">
        <f>1*(1+R37)*(1+S37)*(1+T37)</f>
        <v>1.0895473889999998</v>
      </c>
      <c r="V36" s="295"/>
      <c r="W36" s="295"/>
      <c r="X36" s="295"/>
      <c r="Y36" s="295"/>
      <c r="Z36" s="295"/>
    </row>
    <row r="37" spans="1:26" ht="14.25" customHeight="1" x14ac:dyDescent="0.3">
      <c r="A37" s="295"/>
      <c r="B37" s="295"/>
      <c r="C37" s="295"/>
      <c r="D37" s="412"/>
      <c r="E37" s="412" t="s">
        <v>1894</v>
      </c>
      <c r="F37" s="930">
        <v>2.1000000000000001E-2</v>
      </c>
      <c r="G37" s="414">
        <f>+SidusDermo!G19</f>
        <v>2.3E-2</v>
      </c>
      <c r="H37" s="414">
        <f>+SidusDermo!H19</f>
        <v>0.02</v>
      </c>
      <c r="I37" s="414">
        <f>+SidusDermo!I19</f>
        <v>0.02</v>
      </c>
      <c r="J37" s="414">
        <f>+SidusDermo!J19</f>
        <v>2.9000000000000001E-2</v>
      </c>
      <c r="K37" s="414">
        <f>+SidusDermo!K19</f>
        <v>2.9000000000000001E-2</v>
      </c>
      <c r="L37" s="414">
        <f>+SidusDermo!L19</f>
        <v>3.4000000000000002E-2</v>
      </c>
      <c r="M37" s="414">
        <f>+SidusDermo!M19</f>
        <v>2.5999999999999999E-2</v>
      </c>
      <c r="N37" s="414">
        <f>+SidusDermo!N19</f>
        <v>2.1000000000000001E-2</v>
      </c>
      <c r="O37" s="414">
        <f>+SidusDermo!O19</f>
        <v>2.9000000000000001E-2</v>
      </c>
      <c r="P37" s="414">
        <f>+SidusDermo!P19</f>
        <v>2.9000000000000001E-2</v>
      </c>
      <c r="Q37" s="414">
        <f>+SidusDermo!Q19</f>
        <v>2.9000000000000001E-2</v>
      </c>
      <c r="R37" s="414">
        <f>+SidusDermo!R19</f>
        <v>2.9000000000000001E-2</v>
      </c>
      <c r="S37" s="414">
        <f>+SidusDermo!S19</f>
        <v>2.9000000000000001E-2</v>
      </c>
      <c r="T37" s="414">
        <f>+SidusDermo!T19</f>
        <v>2.9000000000000001E-2</v>
      </c>
      <c r="U37" s="414">
        <f>+T37</f>
        <v>2.9000000000000001E-2</v>
      </c>
      <c r="V37" s="295"/>
      <c r="W37" s="295"/>
      <c r="X37" s="295"/>
      <c r="Y37" s="295"/>
      <c r="Z37" s="295"/>
    </row>
    <row r="38" spans="1:26" ht="14.25" customHeight="1" x14ac:dyDescent="0.3">
      <c r="A38" s="295"/>
      <c r="B38" s="295"/>
      <c r="C38" s="295"/>
      <c r="D38" s="295"/>
      <c r="E38" s="295"/>
      <c r="F38" s="295"/>
      <c r="G38" s="295"/>
      <c r="H38" s="295"/>
      <c r="I38" s="295"/>
      <c r="J38" s="295"/>
      <c r="K38" s="295"/>
      <c r="L38" s="295"/>
      <c r="M38" s="295"/>
      <c r="N38" s="295"/>
      <c r="O38" s="295"/>
      <c r="P38" s="295"/>
      <c r="Q38" s="295"/>
      <c r="R38" s="295"/>
      <c r="S38" s="295"/>
      <c r="T38" s="295"/>
      <c r="U38" s="295"/>
      <c r="V38" s="295"/>
      <c r="W38" s="295"/>
      <c r="X38" s="295"/>
      <c r="Y38" s="295"/>
      <c r="Z38" s="295"/>
    </row>
    <row r="39" spans="1:26" ht="14.25" customHeight="1" x14ac:dyDescent="0.3">
      <c r="A39" s="1119" t="s">
        <v>2102</v>
      </c>
      <c r="B39" s="1087"/>
      <c r="C39" s="1087"/>
      <c r="D39" s="1088"/>
      <c r="E39" s="931"/>
      <c r="F39" s="295"/>
      <c r="G39" s="865" t="s">
        <v>2103</v>
      </c>
      <c r="H39" s="295"/>
      <c r="I39" s="295"/>
      <c r="J39" s="295"/>
      <c r="K39" s="295"/>
      <c r="L39" s="295"/>
      <c r="M39" s="295"/>
      <c r="N39" s="295"/>
      <c r="O39" s="295"/>
      <c r="P39" s="295"/>
      <c r="Q39" s="295"/>
      <c r="R39" s="295"/>
      <c r="S39" s="295"/>
      <c r="T39" s="295"/>
      <c r="U39" s="295"/>
      <c r="V39" s="295"/>
      <c r="W39" s="295"/>
      <c r="X39" s="295"/>
      <c r="Y39" s="295"/>
      <c r="Z39" s="295"/>
    </row>
    <row r="40" spans="1:26" ht="14.25" customHeight="1" x14ac:dyDescent="0.3">
      <c r="A40" s="1182" t="s">
        <v>2104</v>
      </c>
      <c r="B40" s="1088"/>
      <c r="C40" s="932" t="s">
        <v>2105</v>
      </c>
      <c r="D40" s="933">
        <v>25001</v>
      </c>
      <c r="E40" s="295"/>
      <c r="F40" s="295"/>
      <c r="G40" s="609">
        <v>45957</v>
      </c>
      <c r="H40" s="609">
        <v>45987</v>
      </c>
      <c r="I40" s="609">
        <v>46017</v>
      </c>
      <c r="J40" s="609">
        <v>46023</v>
      </c>
      <c r="K40" s="609">
        <v>46054</v>
      </c>
      <c r="L40" s="609">
        <v>46112</v>
      </c>
      <c r="M40" s="609">
        <v>46142</v>
      </c>
      <c r="N40" s="609">
        <v>46172</v>
      </c>
      <c r="O40" s="609">
        <v>46202</v>
      </c>
      <c r="P40" s="609">
        <v>46232</v>
      </c>
      <c r="Q40" s="609">
        <v>46262</v>
      </c>
      <c r="R40" s="609">
        <v>46292</v>
      </c>
      <c r="S40" s="609">
        <v>46322</v>
      </c>
      <c r="T40" s="610">
        <v>46352</v>
      </c>
      <c r="U40" s="609">
        <v>46382</v>
      </c>
      <c r="V40" s="295"/>
      <c r="W40" s="295"/>
      <c r="X40" s="295"/>
      <c r="Y40" s="295"/>
      <c r="Z40" s="295"/>
    </row>
    <row r="41" spans="1:26" ht="14.25" customHeight="1" x14ac:dyDescent="0.3">
      <c r="A41" s="1182" t="s">
        <v>2106</v>
      </c>
      <c r="B41" s="1088"/>
      <c r="C41" s="934">
        <v>74.806451999999993</v>
      </c>
      <c r="D41" s="934">
        <v>63.909655999999998</v>
      </c>
      <c r="E41" s="295"/>
      <c r="F41" s="295"/>
      <c r="G41" s="295"/>
      <c r="H41" s="295"/>
      <c r="I41" s="295"/>
      <c r="J41" s="295"/>
      <c r="K41" s="295"/>
      <c r="L41" s="295"/>
      <c r="M41" s="295"/>
      <c r="N41" s="295"/>
      <c r="O41" s="295"/>
      <c r="P41" s="295"/>
      <c r="Q41" s="295"/>
      <c r="R41" s="295"/>
      <c r="S41" s="295"/>
      <c r="T41" s="295"/>
      <c r="U41" s="295"/>
      <c r="V41" s="295"/>
      <c r="W41" s="295"/>
      <c r="X41" s="295"/>
      <c r="Y41" s="295"/>
      <c r="Z41" s="295"/>
    </row>
    <row r="42" spans="1:26" ht="14.25" customHeight="1" x14ac:dyDescent="0.3">
      <c r="A42" s="935" t="s">
        <v>2107</v>
      </c>
      <c r="B42" s="936" t="s">
        <v>2089</v>
      </c>
      <c r="C42" s="935"/>
      <c r="D42" s="935" t="s">
        <v>2108</v>
      </c>
      <c r="E42" s="937" t="s">
        <v>2091</v>
      </c>
      <c r="F42" s="295"/>
      <c r="G42" s="295"/>
      <c r="H42" s="295"/>
      <c r="I42" s="295"/>
      <c r="J42" s="295"/>
      <c r="K42" s="295"/>
      <c r="L42" s="295"/>
      <c r="M42" s="295"/>
      <c r="N42" s="295"/>
      <c r="O42" s="295"/>
      <c r="P42" s="295"/>
      <c r="Q42" s="295"/>
      <c r="R42" s="295"/>
      <c r="S42" s="295"/>
      <c r="T42" s="295"/>
      <c r="U42" s="295"/>
      <c r="V42" s="295"/>
      <c r="W42" s="295"/>
      <c r="X42" s="295"/>
      <c r="Y42" s="295"/>
      <c r="Z42" s="295"/>
    </row>
    <row r="43" spans="1:26" ht="14.25" customHeight="1" x14ac:dyDescent="0.3">
      <c r="A43" s="923">
        <v>5070</v>
      </c>
      <c r="B43" s="938" t="s">
        <v>2109</v>
      </c>
      <c r="C43" s="478">
        <v>29</v>
      </c>
      <c r="D43" s="939">
        <v>0</v>
      </c>
      <c r="E43" s="940">
        <f>(C43*C41)+D43*D41</f>
        <v>2169.3871079999999</v>
      </c>
      <c r="F43" s="295"/>
      <c r="G43" s="941">
        <f>+E43</f>
        <v>2169.3871079999999</v>
      </c>
      <c r="H43" s="941">
        <f>+G43</f>
        <v>2169.3871079999999</v>
      </c>
      <c r="I43" s="941">
        <f>+H43*I36</f>
        <v>2311.2057138196665</v>
      </c>
      <c r="J43" s="941">
        <f>+I43</f>
        <v>2311.2057138196665</v>
      </c>
      <c r="K43" s="941">
        <f>+J43</f>
        <v>2311.2057138196665</v>
      </c>
      <c r="L43" s="941">
        <f>+K43*L36</f>
        <v>2496.14335661106</v>
      </c>
      <c r="M43" s="941">
        <f>+L43</f>
        <v>2496.14335661106</v>
      </c>
      <c r="N43" s="941">
        <f>+M43</f>
        <v>2496.14335661106</v>
      </c>
      <c r="O43" s="941">
        <f>+N43*O36</f>
        <v>2703.7290382584019</v>
      </c>
      <c r="P43" s="941">
        <f>+O43</f>
        <v>2703.7290382584019</v>
      </c>
      <c r="Q43" s="941">
        <f>+P43</f>
        <v>2703.7290382584019</v>
      </c>
      <c r="R43" s="941">
        <f>+Q43*R36</f>
        <v>2945.8409141979223</v>
      </c>
      <c r="S43" s="941">
        <f>+R43</f>
        <v>2945.8409141979223</v>
      </c>
      <c r="T43" s="941">
        <f>+S43</f>
        <v>2945.8409141979223</v>
      </c>
      <c r="U43" s="941">
        <f>+T43*U36</f>
        <v>3209.6332764737185</v>
      </c>
      <c r="V43" s="942">
        <f>SUM(J43:U43)</f>
        <v>32269.184631315202</v>
      </c>
      <c r="W43" s="295"/>
      <c r="X43" s="295"/>
      <c r="Y43" s="295"/>
      <c r="Z43" s="295"/>
    </row>
    <row r="44" spans="1:26" ht="14.25" customHeight="1" x14ac:dyDescent="0.3">
      <c r="A44" s="890"/>
      <c r="B44" s="295"/>
      <c r="C44" s="943"/>
      <c r="D44" s="944" t="s">
        <v>2091</v>
      </c>
      <c r="E44" s="945">
        <f>SUM(E43)</f>
        <v>2169.3871079999999</v>
      </c>
      <c r="F44" s="295"/>
      <c r="G44" s="295"/>
      <c r="H44" s="295"/>
      <c r="I44" s="295"/>
      <c r="J44" s="295"/>
      <c r="K44" s="295"/>
      <c r="L44" s="295"/>
      <c r="M44" s="295"/>
      <c r="N44" s="295"/>
      <c r="O44" s="295"/>
      <c r="P44" s="295"/>
      <c r="Q44" s="295"/>
      <c r="R44" s="295"/>
      <c r="S44" s="295"/>
      <c r="T44" s="295"/>
      <c r="U44" s="295"/>
      <c r="V44" s="295"/>
      <c r="W44" s="295"/>
      <c r="X44" s="295"/>
      <c r="Y44" s="295"/>
      <c r="Z44" s="295"/>
    </row>
    <row r="45" spans="1:26" ht="14.25" customHeight="1" x14ac:dyDescent="0.3">
      <c r="A45" s="295"/>
      <c r="B45" s="295"/>
      <c r="C45" s="295"/>
      <c r="D45" s="295"/>
      <c r="E45" s="295"/>
      <c r="F45" s="295"/>
      <c r="G45" s="295"/>
      <c r="H45" s="295"/>
      <c r="I45" s="295"/>
      <c r="J45" s="295"/>
      <c r="K45" s="295"/>
      <c r="L45" s="295"/>
      <c r="M45" s="295"/>
      <c r="N45" s="295"/>
      <c r="O45" s="295"/>
      <c r="P45" s="295"/>
      <c r="Q45" s="295"/>
      <c r="R45" s="295"/>
      <c r="S45" s="295"/>
      <c r="T45" s="295"/>
      <c r="U45" s="295"/>
      <c r="V45" s="295"/>
      <c r="W45" s="295"/>
      <c r="X45" s="295"/>
      <c r="Y45" s="295"/>
      <c r="Z45" s="295"/>
    </row>
    <row r="46" spans="1:26" ht="14.25" customHeight="1" x14ac:dyDescent="0.3">
      <c r="A46" s="295"/>
      <c r="B46" s="295"/>
      <c r="C46" s="295"/>
      <c r="D46" s="295"/>
      <c r="E46" s="295"/>
      <c r="F46" s="295"/>
      <c r="G46" s="295"/>
      <c r="H46" s="295"/>
      <c r="I46" s="295"/>
      <c r="J46" s="295"/>
      <c r="K46" s="295"/>
      <c r="L46" s="295"/>
      <c r="M46" s="295"/>
      <c r="N46" s="295"/>
      <c r="O46" s="295"/>
      <c r="P46" s="295"/>
      <c r="Q46" s="295"/>
      <c r="R46" s="295"/>
      <c r="S46" s="295"/>
      <c r="T46" s="295"/>
      <c r="U46" s="295"/>
      <c r="V46" s="295"/>
      <c r="W46" s="295"/>
      <c r="X46" s="295"/>
      <c r="Y46" s="295"/>
      <c r="Z46" s="295"/>
    </row>
    <row r="47" spans="1:26" ht="14.25" customHeight="1" x14ac:dyDescent="0.3">
      <c r="A47" s="295"/>
      <c r="B47" s="295"/>
      <c r="C47" s="295"/>
      <c r="D47" s="295"/>
      <c r="E47" s="295"/>
      <c r="F47" s="295"/>
      <c r="G47" s="295"/>
      <c r="H47" s="295"/>
      <c r="I47" s="295"/>
      <c r="J47" s="295"/>
      <c r="K47" s="295"/>
      <c r="L47" s="295"/>
      <c r="M47" s="295"/>
      <c r="N47" s="295"/>
      <c r="O47" s="295"/>
      <c r="P47" s="295"/>
      <c r="Q47" s="295"/>
      <c r="R47" s="295"/>
      <c r="S47" s="295"/>
      <c r="T47" s="295"/>
      <c r="U47" s="295"/>
      <c r="V47" s="295"/>
      <c r="W47" s="295"/>
      <c r="X47" s="295"/>
      <c r="Y47" s="295"/>
      <c r="Z47" s="295"/>
    </row>
    <row r="48" spans="1:26" ht="14.25" customHeight="1" x14ac:dyDescent="0.3">
      <c r="A48" s="295"/>
      <c r="B48" s="295"/>
      <c r="C48" s="295"/>
      <c r="D48" s="295"/>
      <c r="E48" s="295"/>
      <c r="F48" s="295"/>
      <c r="G48" s="295"/>
      <c r="H48" s="295"/>
      <c r="I48" s="295"/>
      <c r="J48" s="295"/>
      <c r="K48" s="295"/>
      <c r="L48" s="295"/>
      <c r="M48" s="295"/>
      <c r="N48" s="295"/>
      <c r="O48" s="295"/>
      <c r="P48" s="295"/>
      <c r="Q48" s="295"/>
      <c r="R48" s="295"/>
      <c r="S48" s="295"/>
      <c r="T48" s="295"/>
      <c r="U48" s="295"/>
      <c r="V48" s="295"/>
      <c r="W48" s="295"/>
      <c r="X48" s="295"/>
      <c r="Y48" s="295"/>
      <c r="Z48" s="295"/>
    </row>
    <row r="49" spans="1:26" ht="14.25" customHeight="1" x14ac:dyDescent="0.3">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row>
    <row r="50" spans="1:26" ht="14.25" customHeight="1" x14ac:dyDescent="0.3">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row>
    <row r="51" spans="1:26" ht="14.25" customHeight="1" x14ac:dyDescent="0.3">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row>
    <row r="52" spans="1:26" ht="14.25" customHeight="1" x14ac:dyDescent="0.3">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row>
    <row r="53" spans="1:26" ht="14.25" customHeight="1" x14ac:dyDescent="0.3">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row>
    <row r="54" spans="1:26" ht="14.25" customHeight="1" x14ac:dyDescent="0.3">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row>
    <row r="55" spans="1:26" ht="14.25" customHeight="1" x14ac:dyDescent="0.3">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row>
    <row r="56" spans="1:26" ht="14.25" customHeight="1" x14ac:dyDescent="0.3">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row>
    <row r="57" spans="1:26" ht="14.25" customHeight="1" x14ac:dyDescent="0.3">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row>
    <row r="58" spans="1:26" ht="14.25" customHeight="1" x14ac:dyDescent="0.3">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row>
    <row r="59" spans="1:26" ht="14.25" customHeight="1" x14ac:dyDescent="0.3">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row>
    <row r="60" spans="1:26" ht="14.25" customHeight="1" x14ac:dyDescent="0.3">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row>
    <row r="61" spans="1:26" ht="14.25" customHeight="1" x14ac:dyDescent="0.3">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row>
    <row r="62" spans="1:26" ht="14.25" customHeight="1" x14ac:dyDescent="0.3">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row>
    <row r="63" spans="1:26" ht="14.25" customHeight="1" x14ac:dyDescent="0.3">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row>
    <row r="64" spans="1:26" ht="14.25" customHeight="1" x14ac:dyDescent="0.3">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row>
    <row r="65" spans="1:26" ht="14.25" customHeight="1" x14ac:dyDescent="0.3">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row>
    <row r="66" spans="1:26" ht="14.25" customHeight="1" x14ac:dyDescent="0.3">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row>
    <row r="67" spans="1:26" ht="14.25" customHeight="1" x14ac:dyDescent="0.3">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row>
    <row r="68" spans="1:26" ht="14.25" customHeight="1" x14ac:dyDescent="0.3">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row>
    <row r="69" spans="1:26" ht="14.25" customHeight="1" x14ac:dyDescent="0.3">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row>
    <row r="70" spans="1:26" ht="14.25" customHeight="1" x14ac:dyDescent="0.3">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row>
    <row r="71" spans="1:26" ht="14.25" customHeight="1" x14ac:dyDescent="0.3">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row>
    <row r="72" spans="1:26" ht="14.25" customHeight="1" x14ac:dyDescent="0.3">
      <c r="A72" s="295"/>
      <c r="B72" s="295"/>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row>
    <row r="73" spans="1:26" ht="14.25" customHeight="1" x14ac:dyDescent="0.3">
      <c r="A73" s="295"/>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row>
    <row r="74" spans="1:26" ht="14.25" customHeight="1" x14ac:dyDescent="0.3">
      <c r="A74" s="295"/>
      <c r="B74" s="295"/>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row>
    <row r="75" spans="1:26" ht="14.25" customHeight="1" x14ac:dyDescent="0.3">
      <c r="A75" s="295"/>
      <c r="B75" s="295"/>
      <c r="C75" s="295"/>
      <c r="D75" s="295"/>
      <c r="E75" s="295"/>
      <c r="F75" s="295"/>
      <c r="G75" s="295"/>
      <c r="H75" s="295"/>
      <c r="I75" s="295"/>
      <c r="J75" s="295"/>
      <c r="K75" s="295"/>
      <c r="L75" s="295"/>
      <c r="M75" s="295"/>
      <c r="N75" s="295"/>
      <c r="O75" s="295"/>
      <c r="P75" s="295"/>
      <c r="Q75" s="295"/>
      <c r="R75" s="295"/>
      <c r="S75" s="295"/>
      <c r="T75" s="295"/>
      <c r="U75" s="295"/>
      <c r="V75" s="295"/>
      <c r="W75" s="295"/>
      <c r="X75" s="295"/>
      <c r="Y75" s="295"/>
      <c r="Z75" s="295"/>
    </row>
    <row r="76" spans="1:26" ht="14.25" customHeight="1" x14ac:dyDescent="0.3">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row>
    <row r="77" spans="1:26" ht="14.25" customHeight="1" x14ac:dyDescent="0.3">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row>
    <row r="78" spans="1:26" ht="14.25" customHeight="1" x14ac:dyDescent="0.3">
      <c r="A78" s="295"/>
      <c r="B78" s="295"/>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row>
    <row r="79" spans="1:26" ht="14.25" customHeight="1" x14ac:dyDescent="0.3">
      <c r="A79" s="295"/>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row>
    <row r="80" spans="1:26" ht="14.25" customHeight="1" x14ac:dyDescent="0.3">
      <c r="A80" s="295"/>
      <c r="B80" s="295"/>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row>
    <row r="81" spans="1:26" ht="14.25" customHeight="1" x14ac:dyDescent="0.3">
      <c r="A81" s="295"/>
      <c r="B81" s="295"/>
      <c r="C81" s="295"/>
      <c r="D81" s="295"/>
      <c r="E81" s="295"/>
      <c r="F81" s="295"/>
      <c r="G81" s="295"/>
      <c r="H81" s="295"/>
      <c r="I81" s="295"/>
      <c r="J81" s="295"/>
      <c r="K81" s="295"/>
      <c r="L81" s="295"/>
      <c r="M81" s="295"/>
      <c r="N81" s="295"/>
      <c r="O81" s="295"/>
      <c r="P81" s="295"/>
      <c r="Q81" s="295"/>
      <c r="R81" s="295"/>
      <c r="S81" s="295"/>
      <c r="T81" s="295"/>
      <c r="U81" s="295"/>
      <c r="V81" s="295"/>
      <c r="W81" s="295"/>
      <c r="X81" s="295"/>
      <c r="Y81" s="295"/>
      <c r="Z81" s="295"/>
    </row>
    <row r="82" spans="1:26" ht="14.25" customHeight="1" x14ac:dyDescent="0.3">
      <c r="A82" s="295"/>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row>
    <row r="83" spans="1:26" ht="14.25" customHeight="1" x14ac:dyDescent="0.3">
      <c r="A83" s="295"/>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row>
    <row r="84" spans="1:26" ht="14.25" customHeight="1" x14ac:dyDescent="0.3">
      <c r="A84" s="295"/>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row>
    <row r="85" spans="1:26" ht="14.25" customHeight="1" x14ac:dyDescent="0.3">
      <c r="A85" s="295"/>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row>
    <row r="86" spans="1:26" ht="14.25" customHeight="1" x14ac:dyDescent="0.3">
      <c r="A86" s="295"/>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row>
    <row r="87" spans="1:26" ht="14.25" customHeight="1" x14ac:dyDescent="0.3">
      <c r="A87" s="295"/>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row>
    <row r="88" spans="1:26" ht="14.25" customHeight="1" x14ac:dyDescent="0.3">
      <c r="A88" s="295"/>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row>
    <row r="89" spans="1:26" ht="14.25" customHeight="1" x14ac:dyDescent="0.3">
      <c r="A89" s="295"/>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row>
    <row r="90" spans="1:26" ht="14.25" customHeight="1" x14ac:dyDescent="0.3">
      <c r="A90" s="295"/>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row>
    <row r="91" spans="1:26" ht="14.25" customHeight="1" x14ac:dyDescent="0.3">
      <c r="A91" s="295"/>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row>
    <row r="92" spans="1:26" ht="14.25" customHeight="1" x14ac:dyDescent="0.3">
      <c r="A92" s="295"/>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row>
    <row r="93" spans="1:26" ht="14.25" customHeight="1" x14ac:dyDescent="0.3">
      <c r="A93" s="295"/>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row>
    <row r="94" spans="1:26" ht="14.25" customHeight="1" x14ac:dyDescent="0.3">
      <c r="A94" s="295"/>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row>
    <row r="95" spans="1:26" ht="14.25" customHeight="1" x14ac:dyDescent="0.3">
      <c r="A95" s="295"/>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row>
    <row r="96" spans="1:26" ht="14.25" customHeight="1" x14ac:dyDescent="0.3">
      <c r="A96" s="295"/>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row>
    <row r="97" spans="1:26" ht="14.25" customHeight="1" x14ac:dyDescent="0.3">
      <c r="A97" s="295"/>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row>
    <row r="98" spans="1:26" ht="14.25" customHeight="1" x14ac:dyDescent="0.3">
      <c r="A98" s="295"/>
      <c r="B98" s="295"/>
      <c r="C98" s="295"/>
      <c r="D98" s="295"/>
      <c r="E98" s="295"/>
      <c r="F98" s="295"/>
      <c r="G98" s="295"/>
      <c r="H98" s="295"/>
      <c r="I98" s="295"/>
      <c r="J98" s="295"/>
      <c r="K98" s="295"/>
      <c r="L98" s="295"/>
      <c r="M98" s="295"/>
      <c r="N98" s="295"/>
      <c r="O98" s="295"/>
      <c r="P98" s="295"/>
      <c r="Q98" s="295"/>
      <c r="R98" s="295"/>
      <c r="S98" s="295"/>
      <c r="T98" s="295"/>
      <c r="U98" s="295"/>
      <c r="V98" s="295"/>
      <c r="W98" s="295"/>
      <c r="X98" s="295"/>
      <c r="Y98" s="295"/>
      <c r="Z98" s="295"/>
    </row>
    <row r="99" spans="1:26" ht="14.25" customHeight="1" x14ac:dyDescent="0.3">
      <c r="A99" s="295"/>
      <c r="B99" s="295"/>
      <c r="C99" s="295"/>
      <c r="D99" s="295"/>
      <c r="E99" s="295"/>
      <c r="F99" s="295"/>
      <c r="G99" s="295"/>
      <c r="H99" s="295"/>
      <c r="I99" s="295"/>
      <c r="J99" s="295"/>
      <c r="K99" s="295"/>
      <c r="L99" s="295"/>
      <c r="M99" s="295"/>
      <c r="N99" s="295"/>
      <c r="O99" s="295"/>
      <c r="P99" s="295"/>
      <c r="Q99" s="295"/>
      <c r="R99" s="295"/>
      <c r="S99" s="295"/>
      <c r="T99" s="295"/>
      <c r="U99" s="295"/>
      <c r="V99" s="295"/>
      <c r="W99" s="295"/>
      <c r="X99" s="295"/>
      <c r="Y99" s="295"/>
      <c r="Z99" s="295"/>
    </row>
    <row r="100" spans="1:26" ht="14.25" customHeight="1" x14ac:dyDescent="0.3">
      <c r="A100" s="295"/>
      <c r="B100" s="295"/>
      <c r="C100" s="295"/>
      <c r="D100" s="295"/>
      <c r="E100" s="295"/>
      <c r="F100" s="295"/>
      <c r="G100" s="295"/>
      <c r="H100" s="295"/>
      <c r="I100" s="295"/>
      <c r="J100" s="295"/>
      <c r="K100" s="295"/>
      <c r="L100" s="295"/>
      <c r="M100" s="295"/>
      <c r="N100" s="295"/>
      <c r="O100" s="295"/>
      <c r="P100" s="295"/>
      <c r="Q100" s="295"/>
      <c r="R100" s="295"/>
      <c r="S100" s="295"/>
      <c r="T100" s="295"/>
      <c r="U100" s="295"/>
      <c r="V100" s="295"/>
      <c r="W100" s="295"/>
      <c r="X100" s="295"/>
      <c r="Y100" s="295"/>
      <c r="Z100" s="295"/>
    </row>
    <row r="101" spans="1:26" ht="14.25" customHeight="1" x14ac:dyDescent="0.3">
      <c r="A101" s="295"/>
      <c r="B101" s="295"/>
      <c r="C101" s="295"/>
      <c r="D101" s="295"/>
      <c r="E101" s="295"/>
      <c r="F101" s="295"/>
      <c r="G101" s="295"/>
      <c r="H101" s="295"/>
      <c r="I101" s="295"/>
      <c r="J101" s="295"/>
      <c r="K101" s="295"/>
      <c r="L101" s="295"/>
      <c r="M101" s="295"/>
      <c r="N101" s="295"/>
      <c r="O101" s="295"/>
      <c r="P101" s="295"/>
      <c r="Q101" s="295"/>
      <c r="R101" s="295"/>
      <c r="S101" s="295"/>
      <c r="T101" s="295"/>
      <c r="U101" s="295"/>
      <c r="V101" s="295"/>
      <c r="W101" s="295"/>
      <c r="X101" s="295"/>
      <c r="Y101" s="295"/>
      <c r="Z101" s="295"/>
    </row>
    <row r="102" spans="1:26" ht="14.25" customHeight="1" x14ac:dyDescent="0.3">
      <c r="A102" s="295"/>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row>
    <row r="103" spans="1:26" ht="14.25" customHeight="1" x14ac:dyDescent="0.3">
      <c r="A103" s="295"/>
      <c r="B103" s="295"/>
      <c r="C103" s="295"/>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row>
    <row r="104" spans="1:26" ht="14.25" customHeight="1" x14ac:dyDescent="0.3">
      <c r="A104" s="295"/>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row>
    <row r="105" spans="1:26" ht="14.25" customHeight="1" x14ac:dyDescent="0.3">
      <c r="A105" s="295"/>
      <c r="B105" s="295"/>
      <c r="C105" s="295"/>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row>
    <row r="106" spans="1:26" ht="14.25" customHeight="1" x14ac:dyDescent="0.3">
      <c r="A106" s="295"/>
      <c r="B106" s="295"/>
      <c r="C106" s="295"/>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row>
    <row r="107" spans="1:26" ht="14.25" customHeight="1" x14ac:dyDescent="0.3">
      <c r="A107" s="295"/>
      <c r="B107" s="295"/>
      <c r="C107" s="295"/>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row>
    <row r="108" spans="1:26" ht="14.25" customHeight="1" x14ac:dyDescent="0.3">
      <c r="A108" s="295"/>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row>
    <row r="109" spans="1:26" ht="14.25" customHeight="1" x14ac:dyDescent="0.3">
      <c r="A109" s="295"/>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row>
    <row r="110" spans="1:26" ht="14.25" customHeight="1" x14ac:dyDescent="0.3">
      <c r="A110" s="295"/>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row>
    <row r="111" spans="1:26" ht="14.25" customHeight="1" x14ac:dyDescent="0.3">
      <c r="A111" s="295"/>
      <c r="B111" s="295"/>
      <c r="C111" s="295"/>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row>
    <row r="112" spans="1:26" ht="14.25" customHeight="1" x14ac:dyDescent="0.3">
      <c r="A112" s="295"/>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row>
    <row r="113" spans="1:26" ht="14.25" customHeight="1" x14ac:dyDescent="0.3">
      <c r="A113" s="295"/>
      <c r="B113" s="295"/>
      <c r="C113" s="295"/>
      <c r="D113" s="295"/>
      <c r="E113" s="295"/>
      <c r="F113" s="295"/>
      <c r="G113" s="295"/>
      <c r="H113" s="295"/>
      <c r="I113" s="295"/>
      <c r="J113" s="295"/>
      <c r="K113" s="295"/>
      <c r="L113" s="295"/>
      <c r="M113" s="295"/>
      <c r="N113" s="295"/>
      <c r="O113" s="295"/>
      <c r="P113" s="295"/>
      <c r="Q113" s="295"/>
      <c r="R113" s="295"/>
      <c r="S113" s="295"/>
      <c r="T113" s="295"/>
      <c r="U113" s="295"/>
      <c r="V113" s="295"/>
      <c r="W113" s="295"/>
      <c r="X113" s="295"/>
      <c r="Y113" s="295"/>
      <c r="Z113" s="295"/>
    </row>
    <row r="114" spans="1:26" ht="14.25" customHeight="1" x14ac:dyDescent="0.3">
      <c r="A114" s="295"/>
      <c r="B114" s="295"/>
      <c r="C114" s="295"/>
      <c r="D114" s="295"/>
      <c r="E114" s="295"/>
      <c r="F114" s="295"/>
      <c r="G114" s="295"/>
      <c r="H114" s="295"/>
      <c r="I114" s="295"/>
      <c r="J114" s="295"/>
      <c r="K114" s="295"/>
      <c r="L114" s="295"/>
      <c r="M114" s="295"/>
      <c r="N114" s="295"/>
      <c r="O114" s="295"/>
      <c r="P114" s="295"/>
      <c r="Q114" s="295"/>
      <c r="R114" s="295"/>
      <c r="S114" s="295"/>
      <c r="T114" s="295"/>
      <c r="U114" s="295"/>
      <c r="V114" s="295"/>
      <c r="W114" s="295"/>
      <c r="X114" s="295"/>
      <c r="Y114" s="295"/>
      <c r="Z114" s="295"/>
    </row>
    <row r="115" spans="1:26" ht="14.25" customHeight="1" x14ac:dyDescent="0.3">
      <c r="A115" s="295"/>
      <c r="B115" s="295"/>
      <c r="C115" s="295"/>
      <c r="D115" s="295"/>
      <c r="E115" s="295"/>
      <c r="F115" s="295"/>
      <c r="G115" s="295"/>
      <c r="H115" s="295"/>
      <c r="I115" s="295"/>
      <c r="J115" s="295"/>
      <c r="K115" s="295"/>
      <c r="L115" s="295"/>
      <c r="M115" s="295"/>
      <c r="N115" s="295"/>
      <c r="O115" s="295"/>
      <c r="P115" s="295"/>
      <c r="Q115" s="295"/>
      <c r="R115" s="295"/>
      <c r="S115" s="295"/>
      <c r="T115" s="295"/>
      <c r="U115" s="295"/>
      <c r="V115" s="295"/>
      <c r="W115" s="295"/>
      <c r="X115" s="295"/>
      <c r="Y115" s="295"/>
      <c r="Z115" s="295"/>
    </row>
    <row r="116" spans="1:26" ht="14.25" customHeight="1" x14ac:dyDescent="0.3">
      <c r="A116" s="295"/>
      <c r="B116" s="295"/>
      <c r="C116" s="295"/>
      <c r="D116" s="295"/>
      <c r="E116" s="295"/>
      <c r="F116" s="295"/>
      <c r="G116" s="295"/>
      <c r="H116" s="295"/>
      <c r="I116" s="295"/>
      <c r="J116" s="295"/>
      <c r="K116" s="295"/>
      <c r="L116" s="295"/>
      <c r="M116" s="295"/>
      <c r="N116" s="295"/>
      <c r="O116" s="295"/>
      <c r="P116" s="295"/>
      <c r="Q116" s="295"/>
      <c r="R116" s="295"/>
      <c r="S116" s="295"/>
      <c r="T116" s="295"/>
      <c r="U116" s="295"/>
      <c r="V116" s="295"/>
      <c r="W116" s="295"/>
      <c r="X116" s="295"/>
      <c r="Y116" s="295"/>
      <c r="Z116" s="295"/>
    </row>
    <row r="117" spans="1:26" ht="14.25" customHeight="1" x14ac:dyDescent="0.3">
      <c r="A117" s="295"/>
      <c r="B117" s="295"/>
      <c r="C117" s="295"/>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row>
    <row r="118" spans="1:26" ht="14.25" customHeight="1" x14ac:dyDescent="0.3">
      <c r="A118" s="295"/>
      <c r="B118" s="295"/>
      <c r="C118" s="295"/>
      <c r="D118" s="295"/>
      <c r="E118" s="295"/>
      <c r="F118" s="295"/>
      <c r="G118" s="295"/>
      <c r="H118" s="295"/>
      <c r="I118" s="295"/>
      <c r="J118" s="295"/>
      <c r="K118" s="295"/>
      <c r="L118" s="295"/>
      <c r="M118" s="295"/>
      <c r="N118" s="295"/>
      <c r="O118" s="295"/>
      <c r="P118" s="295"/>
      <c r="Q118" s="295"/>
      <c r="R118" s="295"/>
      <c r="S118" s="295"/>
      <c r="T118" s="295"/>
      <c r="U118" s="295"/>
      <c r="V118" s="295"/>
      <c r="W118" s="295"/>
      <c r="X118" s="295"/>
      <c r="Y118" s="295"/>
      <c r="Z118" s="295"/>
    </row>
    <row r="119" spans="1:26" ht="14.25" customHeight="1" x14ac:dyDescent="0.3">
      <c r="A119" s="295"/>
      <c r="B119" s="295"/>
      <c r="C119" s="295"/>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row>
    <row r="120" spans="1:26" ht="14.25" customHeight="1" x14ac:dyDescent="0.3">
      <c r="A120" s="295"/>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row>
    <row r="121" spans="1:26" ht="14.25" customHeight="1" x14ac:dyDescent="0.3">
      <c r="A121" s="295"/>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row>
    <row r="122" spans="1:26" ht="14.25" customHeight="1" x14ac:dyDescent="0.3">
      <c r="A122" s="295"/>
      <c r="B122" s="295"/>
      <c r="C122" s="295"/>
      <c r="D122" s="295"/>
      <c r="E122" s="295"/>
      <c r="F122" s="295"/>
      <c r="G122" s="295"/>
      <c r="H122" s="295"/>
      <c r="I122" s="295"/>
      <c r="J122" s="295"/>
      <c r="K122" s="295"/>
      <c r="L122" s="295"/>
      <c r="M122" s="295"/>
      <c r="N122" s="295"/>
      <c r="O122" s="295"/>
      <c r="P122" s="295"/>
      <c r="Q122" s="295"/>
      <c r="R122" s="295"/>
      <c r="S122" s="295"/>
      <c r="T122" s="295"/>
      <c r="U122" s="295"/>
      <c r="V122" s="295"/>
      <c r="W122" s="295"/>
      <c r="X122" s="295"/>
      <c r="Y122" s="295"/>
      <c r="Z122" s="295"/>
    </row>
    <row r="123" spans="1:26" ht="14.25" customHeight="1" x14ac:dyDescent="0.3">
      <c r="A123" s="295"/>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row>
    <row r="124" spans="1:26" ht="14.25" customHeight="1" x14ac:dyDescent="0.3">
      <c r="A124" s="295"/>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row>
    <row r="125" spans="1:26" ht="14.25" customHeight="1" x14ac:dyDescent="0.3">
      <c r="A125" s="295"/>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row>
    <row r="126" spans="1:26" ht="14.25" customHeight="1" x14ac:dyDescent="0.3">
      <c r="A126" s="295"/>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row>
    <row r="127" spans="1:26" ht="14.25" customHeight="1" x14ac:dyDescent="0.3">
      <c r="A127" s="295"/>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row>
    <row r="128" spans="1:26" ht="14.25" customHeight="1" x14ac:dyDescent="0.3">
      <c r="A128" s="295"/>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row>
    <row r="129" spans="1:26" ht="14.25" customHeight="1" x14ac:dyDescent="0.3">
      <c r="A129" s="295"/>
      <c r="B129" s="295"/>
      <c r="C129" s="295"/>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row>
    <row r="130" spans="1:26" ht="14.25" customHeight="1" x14ac:dyDescent="0.3">
      <c r="A130" s="295"/>
      <c r="B130" s="295"/>
      <c r="C130" s="295"/>
      <c r="D130" s="295"/>
      <c r="E130" s="295"/>
      <c r="F130" s="295"/>
      <c r="G130" s="295"/>
      <c r="H130" s="295"/>
      <c r="I130" s="295"/>
      <c r="J130" s="295"/>
      <c r="K130" s="295"/>
      <c r="L130" s="295"/>
      <c r="M130" s="295"/>
      <c r="N130" s="295"/>
      <c r="O130" s="295"/>
      <c r="P130" s="295"/>
      <c r="Q130" s="295"/>
      <c r="R130" s="295"/>
      <c r="S130" s="295"/>
      <c r="T130" s="295"/>
      <c r="U130" s="295"/>
      <c r="V130" s="295"/>
      <c r="W130" s="295"/>
      <c r="X130" s="295"/>
      <c r="Y130" s="295"/>
      <c r="Z130" s="295"/>
    </row>
    <row r="131" spans="1:26" ht="14.25" customHeight="1" x14ac:dyDescent="0.3">
      <c r="A131" s="295"/>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row>
    <row r="132" spans="1:26" ht="14.25" customHeight="1" x14ac:dyDescent="0.3">
      <c r="A132" s="295"/>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row>
    <row r="133" spans="1:26" ht="14.25" customHeight="1" x14ac:dyDescent="0.3">
      <c r="A133" s="295"/>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row>
    <row r="134" spans="1:26" ht="14.25" customHeight="1" x14ac:dyDescent="0.3">
      <c r="A134" s="295"/>
      <c r="B134" s="295"/>
      <c r="C134" s="295"/>
      <c r="D134" s="295"/>
      <c r="E134" s="295"/>
      <c r="F134" s="295"/>
      <c r="G134" s="295"/>
      <c r="H134" s="295"/>
      <c r="I134" s="295"/>
      <c r="J134" s="295"/>
      <c r="K134" s="295"/>
      <c r="L134" s="295"/>
      <c r="M134" s="295"/>
      <c r="N134" s="295"/>
      <c r="O134" s="295"/>
      <c r="P134" s="295"/>
      <c r="Q134" s="295"/>
      <c r="R134" s="295"/>
      <c r="S134" s="295"/>
      <c r="T134" s="295"/>
      <c r="U134" s="295"/>
      <c r="V134" s="295"/>
      <c r="W134" s="295"/>
      <c r="X134" s="295"/>
      <c r="Y134" s="295"/>
      <c r="Z134" s="295"/>
    </row>
    <row r="135" spans="1:26" ht="14.25" customHeight="1" x14ac:dyDescent="0.3">
      <c r="A135" s="295"/>
      <c r="B135" s="295"/>
      <c r="C135" s="295"/>
      <c r="D135" s="295"/>
      <c r="E135" s="295"/>
      <c r="F135" s="295"/>
      <c r="G135" s="295"/>
      <c r="H135" s="295"/>
      <c r="I135" s="295"/>
      <c r="J135" s="295"/>
      <c r="K135" s="295"/>
      <c r="L135" s="295"/>
      <c r="M135" s="295"/>
      <c r="N135" s="295"/>
      <c r="O135" s="295"/>
      <c r="P135" s="295"/>
      <c r="Q135" s="295"/>
      <c r="R135" s="295"/>
      <c r="S135" s="295"/>
      <c r="T135" s="295"/>
      <c r="U135" s="295"/>
      <c r="V135" s="295"/>
      <c r="W135" s="295"/>
      <c r="X135" s="295"/>
      <c r="Y135" s="295"/>
      <c r="Z135" s="295"/>
    </row>
    <row r="136" spans="1:26" ht="14.25" customHeight="1" x14ac:dyDescent="0.3">
      <c r="A136" s="295"/>
      <c r="B136" s="295"/>
      <c r="C136" s="295"/>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row>
    <row r="137" spans="1:26" ht="14.25" customHeight="1" x14ac:dyDescent="0.3">
      <c r="A137" s="295"/>
      <c r="B137" s="295"/>
      <c r="C137" s="295"/>
      <c r="D137" s="295"/>
      <c r="E137" s="295"/>
      <c r="F137" s="295"/>
      <c r="G137" s="295"/>
      <c r="H137" s="295"/>
      <c r="I137" s="295"/>
      <c r="J137" s="295"/>
      <c r="K137" s="295"/>
      <c r="L137" s="295"/>
      <c r="M137" s="295"/>
      <c r="N137" s="295"/>
      <c r="O137" s="295"/>
      <c r="P137" s="295"/>
      <c r="Q137" s="295"/>
      <c r="R137" s="295"/>
      <c r="S137" s="295"/>
      <c r="T137" s="295"/>
      <c r="U137" s="295"/>
      <c r="V137" s="295"/>
      <c r="W137" s="295"/>
      <c r="X137" s="295"/>
      <c r="Y137" s="295"/>
      <c r="Z137" s="295"/>
    </row>
    <row r="138" spans="1:26" ht="14.25" customHeight="1" x14ac:dyDescent="0.3">
      <c r="A138" s="295"/>
      <c r="B138" s="295"/>
      <c r="C138" s="295"/>
      <c r="D138" s="295"/>
      <c r="E138" s="295"/>
      <c r="F138" s="295"/>
      <c r="G138" s="295"/>
      <c r="H138" s="295"/>
      <c r="I138" s="295"/>
      <c r="J138" s="295"/>
      <c r="K138" s="295"/>
      <c r="L138" s="295"/>
      <c r="M138" s="295"/>
      <c r="N138" s="295"/>
      <c r="O138" s="295"/>
      <c r="P138" s="295"/>
      <c r="Q138" s="295"/>
      <c r="R138" s="295"/>
      <c r="S138" s="295"/>
      <c r="T138" s="295"/>
      <c r="U138" s="295"/>
      <c r="V138" s="295"/>
      <c r="W138" s="295"/>
      <c r="X138" s="295"/>
      <c r="Y138" s="295"/>
      <c r="Z138" s="295"/>
    </row>
    <row r="139" spans="1:26" ht="14.25" customHeight="1" x14ac:dyDescent="0.3">
      <c r="A139" s="295"/>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row>
    <row r="140" spans="1:26" ht="14.25" customHeight="1" x14ac:dyDescent="0.3">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row>
    <row r="141" spans="1:26" ht="14.25" customHeight="1" x14ac:dyDescent="0.3">
      <c r="A141" s="295"/>
      <c r="B141" s="295"/>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row>
    <row r="142" spans="1:26" ht="14.25" customHeight="1" x14ac:dyDescent="0.3">
      <c r="A142" s="295"/>
      <c r="B142" s="295"/>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row>
    <row r="143" spans="1:26" ht="14.25" customHeight="1" x14ac:dyDescent="0.3">
      <c r="A143" s="295"/>
      <c r="B143" s="295"/>
      <c r="C143" s="295"/>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row>
    <row r="144" spans="1:26" ht="14.25" customHeight="1" x14ac:dyDescent="0.3">
      <c r="A144" s="295"/>
      <c r="B144" s="295"/>
      <c r="C144" s="295"/>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row>
    <row r="145" spans="1:26" ht="14.25" customHeight="1" x14ac:dyDescent="0.3">
      <c r="A145" s="295"/>
      <c r="B145" s="295"/>
      <c r="C145" s="295"/>
      <c r="D145" s="295"/>
      <c r="E145" s="295"/>
      <c r="F145" s="295"/>
      <c r="G145" s="295"/>
      <c r="H145" s="295"/>
      <c r="I145" s="295"/>
      <c r="J145" s="295"/>
      <c r="K145" s="295"/>
      <c r="L145" s="295"/>
      <c r="M145" s="295"/>
      <c r="N145" s="295"/>
      <c r="O145" s="295"/>
      <c r="P145" s="295"/>
      <c r="Q145" s="295"/>
      <c r="R145" s="295"/>
      <c r="S145" s="295"/>
      <c r="T145" s="295"/>
      <c r="U145" s="295"/>
      <c r="V145" s="295"/>
      <c r="W145" s="295"/>
      <c r="X145" s="295"/>
      <c r="Y145" s="295"/>
      <c r="Z145" s="295"/>
    </row>
    <row r="146" spans="1:26" ht="14.25" customHeight="1" x14ac:dyDescent="0.3">
      <c r="A146" s="295"/>
      <c r="B146" s="295"/>
      <c r="C146" s="295"/>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row>
    <row r="147" spans="1:26" ht="14.25" customHeight="1" x14ac:dyDescent="0.3">
      <c r="A147" s="295"/>
      <c r="B147" s="295"/>
      <c r="C147" s="295"/>
      <c r="D147" s="295"/>
      <c r="E147" s="295"/>
      <c r="F147" s="295"/>
      <c r="G147" s="295"/>
      <c r="H147" s="295"/>
      <c r="I147" s="295"/>
      <c r="J147" s="295"/>
      <c r="K147" s="295"/>
      <c r="L147" s="295"/>
      <c r="M147" s="295"/>
      <c r="N147" s="295"/>
      <c r="O147" s="295"/>
      <c r="P147" s="295"/>
      <c r="Q147" s="295"/>
      <c r="R147" s="295"/>
      <c r="S147" s="295"/>
      <c r="T147" s="295"/>
      <c r="U147" s="295"/>
      <c r="V147" s="295"/>
      <c r="W147" s="295"/>
      <c r="X147" s="295"/>
      <c r="Y147" s="295"/>
      <c r="Z147" s="295"/>
    </row>
    <row r="148" spans="1:26" ht="14.25" customHeight="1" x14ac:dyDescent="0.3">
      <c r="A148" s="295"/>
      <c r="B148" s="295"/>
      <c r="C148" s="295"/>
      <c r="D148" s="295"/>
      <c r="E148" s="295"/>
      <c r="F148" s="295"/>
      <c r="G148" s="295"/>
      <c r="H148" s="295"/>
      <c r="I148" s="295"/>
      <c r="J148" s="295"/>
      <c r="K148" s="295"/>
      <c r="L148" s="295"/>
      <c r="M148" s="295"/>
      <c r="N148" s="295"/>
      <c r="O148" s="295"/>
      <c r="P148" s="295"/>
      <c r="Q148" s="295"/>
      <c r="R148" s="295"/>
      <c r="S148" s="295"/>
      <c r="T148" s="295"/>
      <c r="U148" s="295"/>
      <c r="V148" s="295"/>
      <c r="W148" s="295"/>
      <c r="X148" s="295"/>
      <c r="Y148" s="295"/>
      <c r="Z148" s="295"/>
    </row>
    <row r="149" spans="1:26" ht="14.25" customHeight="1" x14ac:dyDescent="0.3">
      <c r="A149" s="295"/>
      <c r="B149" s="295"/>
      <c r="C149" s="295"/>
      <c r="D149" s="295"/>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row>
    <row r="150" spans="1:26" ht="14.25" customHeight="1" x14ac:dyDescent="0.3">
      <c r="A150" s="295"/>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row>
    <row r="151" spans="1:26" ht="14.25" customHeight="1" x14ac:dyDescent="0.3">
      <c r="A151" s="295"/>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row>
    <row r="152" spans="1:26" ht="14.25" customHeight="1" x14ac:dyDescent="0.3">
      <c r="A152" s="295"/>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row>
    <row r="153" spans="1:26" ht="14.25" customHeight="1" x14ac:dyDescent="0.3">
      <c r="A153" s="295"/>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row>
    <row r="154" spans="1:26" ht="14.25" customHeight="1" x14ac:dyDescent="0.3">
      <c r="A154" s="295"/>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row>
    <row r="155" spans="1:26" ht="14.25" customHeight="1" x14ac:dyDescent="0.3">
      <c r="A155" s="295"/>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row>
    <row r="156" spans="1:26" ht="14.25" customHeight="1" x14ac:dyDescent="0.3">
      <c r="A156" s="295"/>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row>
    <row r="157" spans="1:26" ht="14.25" customHeight="1" x14ac:dyDescent="0.3">
      <c r="A157" s="295"/>
      <c r="B157" s="295"/>
      <c r="C157" s="295"/>
      <c r="D157" s="295"/>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5"/>
    </row>
    <row r="158" spans="1:26" ht="14.25" customHeight="1" x14ac:dyDescent="0.3">
      <c r="A158" s="295"/>
      <c r="B158" s="295"/>
      <c r="C158" s="295"/>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5"/>
    </row>
    <row r="159" spans="1:26" ht="14.25" customHeight="1" x14ac:dyDescent="0.3">
      <c r="A159" s="295"/>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row>
    <row r="160" spans="1:26" ht="14.25" customHeight="1" x14ac:dyDescent="0.3">
      <c r="A160" s="295"/>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row>
    <row r="161" spans="1:26" ht="14.25" customHeight="1" x14ac:dyDescent="0.3">
      <c r="A161" s="295"/>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row>
    <row r="162" spans="1:26" ht="14.25" customHeight="1" x14ac:dyDescent="0.3">
      <c r="A162" s="295"/>
      <c r="B162" s="295"/>
      <c r="C162" s="295"/>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row>
    <row r="163" spans="1:26" ht="14.25" customHeight="1" x14ac:dyDescent="0.3">
      <c r="A163" s="295"/>
      <c r="B163" s="295"/>
      <c r="C163" s="295"/>
      <c r="D163" s="295"/>
      <c r="E163" s="295"/>
      <c r="F163" s="295"/>
      <c r="G163" s="295"/>
      <c r="H163" s="295"/>
      <c r="I163" s="295"/>
      <c r="J163" s="295"/>
      <c r="K163" s="295"/>
      <c r="L163" s="295"/>
      <c r="M163" s="295"/>
      <c r="N163" s="295"/>
      <c r="O163" s="295"/>
      <c r="P163" s="295"/>
      <c r="Q163" s="295"/>
      <c r="R163" s="295"/>
      <c r="S163" s="295"/>
      <c r="T163" s="295"/>
      <c r="U163" s="295"/>
      <c r="V163" s="295"/>
      <c r="W163" s="295"/>
      <c r="X163" s="295"/>
      <c r="Y163" s="295"/>
      <c r="Z163" s="295"/>
    </row>
    <row r="164" spans="1:26" ht="14.25" customHeight="1" x14ac:dyDescent="0.3">
      <c r="A164" s="295"/>
      <c r="B164" s="295"/>
      <c r="C164" s="295"/>
      <c r="D164" s="295"/>
      <c r="E164" s="295"/>
      <c r="F164" s="295"/>
      <c r="G164" s="295"/>
      <c r="H164" s="295"/>
      <c r="I164" s="295"/>
      <c r="J164" s="295"/>
      <c r="K164" s="295"/>
      <c r="L164" s="295"/>
      <c r="M164" s="295"/>
      <c r="N164" s="295"/>
      <c r="O164" s="295"/>
      <c r="P164" s="295"/>
      <c r="Q164" s="295"/>
      <c r="R164" s="295"/>
      <c r="S164" s="295"/>
      <c r="T164" s="295"/>
      <c r="U164" s="295"/>
      <c r="V164" s="295"/>
      <c r="W164" s="295"/>
      <c r="X164" s="295"/>
      <c r="Y164" s="295"/>
      <c r="Z164" s="295"/>
    </row>
    <row r="165" spans="1:26" ht="14.25" customHeight="1" x14ac:dyDescent="0.3">
      <c r="A165" s="295"/>
      <c r="B165" s="295"/>
      <c r="C165" s="295"/>
      <c r="D165" s="295"/>
      <c r="E165" s="295"/>
      <c r="F165" s="295"/>
      <c r="G165" s="295"/>
      <c r="H165" s="295"/>
      <c r="I165" s="295"/>
      <c r="J165" s="295"/>
      <c r="K165" s="295"/>
      <c r="L165" s="295"/>
      <c r="M165" s="295"/>
      <c r="N165" s="295"/>
      <c r="O165" s="295"/>
      <c r="P165" s="295"/>
      <c r="Q165" s="295"/>
      <c r="R165" s="295"/>
      <c r="S165" s="295"/>
      <c r="T165" s="295"/>
      <c r="U165" s="295"/>
      <c r="V165" s="295"/>
      <c r="W165" s="295"/>
      <c r="X165" s="295"/>
      <c r="Y165" s="295"/>
      <c r="Z165" s="295"/>
    </row>
    <row r="166" spans="1:26" ht="14.25" customHeight="1" x14ac:dyDescent="0.3">
      <c r="A166" s="295"/>
      <c r="B166" s="295"/>
      <c r="C166" s="295"/>
      <c r="D166" s="295"/>
      <c r="E166" s="295"/>
      <c r="F166" s="295"/>
      <c r="G166" s="295"/>
      <c r="H166" s="295"/>
      <c r="I166" s="295"/>
      <c r="J166" s="295"/>
      <c r="K166" s="295"/>
      <c r="L166" s="295"/>
      <c r="M166" s="295"/>
      <c r="N166" s="295"/>
      <c r="O166" s="295"/>
      <c r="P166" s="295"/>
      <c r="Q166" s="295"/>
      <c r="R166" s="295"/>
      <c r="S166" s="295"/>
      <c r="T166" s="295"/>
      <c r="U166" s="295"/>
      <c r="V166" s="295"/>
      <c r="W166" s="295"/>
      <c r="X166" s="295"/>
      <c r="Y166" s="295"/>
      <c r="Z166" s="295"/>
    </row>
    <row r="167" spans="1:26" ht="14.25" customHeight="1" x14ac:dyDescent="0.3">
      <c r="A167" s="295"/>
      <c r="B167" s="295"/>
      <c r="C167" s="295"/>
      <c r="D167" s="295"/>
      <c r="E167" s="295"/>
      <c r="F167" s="295"/>
      <c r="G167" s="295"/>
      <c r="H167" s="295"/>
      <c r="I167" s="295"/>
      <c r="J167" s="295"/>
      <c r="K167" s="295"/>
      <c r="L167" s="295"/>
      <c r="M167" s="295"/>
      <c r="N167" s="295"/>
      <c r="O167" s="295"/>
      <c r="P167" s="295"/>
      <c r="Q167" s="295"/>
      <c r="R167" s="295"/>
      <c r="S167" s="295"/>
      <c r="T167" s="295"/>
      <c r="U167" s="295"/>
      <c r="V167" s="295"/>
      <c r="W167" s="295"/>
      <c r="X167" s="295"/>
      <c r="Y167" s="295"/>
      <c r="Z167" s="295"/>
    </row>
    <row r="168" spans="1:26" ht="14.25" customHeight="1" x14ac:dyDescent="0.3">
      <c r="A168" s="295"/>
      <c r="B168" s="295"/>
      <c r="C168" s="295"/>
      <c r="D168" s="295"/>
      <c r="E168" s="295"/>
      <c r="F168" s="295"/>
      <c r="G168" s="295"/>
      <c r="H168" s="295"/>
      <c r="I168" s="295"/>
      <c r="J168" s="295"/>
      <c r="K168" s="295"/>
      <c r="L168" s="295"/>
      <c r="M168" s="295"/>
      <c r="N168" s="295"/>
      <c r="O168" s="295"/>
      <c r="P168" s="295"/>
      <c r="Q168" s="295"/>
      <c r="R168" s="295"/>
      <c r="S168" s="295"/>
      <c r="T168" s="295"/>
      <c r="U168" s="295"/>
      <c r="V168" s="295"/>
      <c r="W168" s="295"/>
      <c r="X168" s="295"/>
      <c r="Y168" s="295"/>
      <c r="Z168" s="295"/>
    </row>
    <row r="169" spans="1:26" ht="14.25" customHeight="1" x14ac:dyDescent="0.3">
      <c r="A169" s="295"/>
      <c r="B169" s="295"/>
      <c r="C169" s="295"/>
      <c r="D169" s="295"/>
      <c r="E169" s="295"/>
      <c r="F169" s="295"/>
      <c r="G169" s="295"/>
      <c r="H169" s="295"/>
      <c r="I169" s="295"/>
      <c r="J169" s="295"/>
      <c r="K169" s="295"/>
      <c r="L169" s="295"/>
      <c r="M169" s="295"/>
      <c r="N169" s="295"/>
      <c r="O169" s="295"/>
      <c r="P169" s="295"/>
      <c r="Q169" s="295"/>
      <c r="R169" s="295"/>
      <c r="S169" s="295"/>
      <c r="T169" s="295"/>
      <c r="U169" s="295"/>
      <c r="V169" s="295"/>
      <c r="W169" s="295"/>
      <c r="X169" s="295"/>
      <c r="Y169" s="295"/>
      <c r="Z169" s="295"/>
    </row>
    <row r="170" spans="1:26" ht="14.25" customHeight="1" x14ac:dyDescent="0.3">
      <c r="A170" s="295"/>
      <c r="B170" s="295"/>
      <c r="C170" s="295"/>
      <c r="D170" s="295"/>
      <c r="E170" s="295"/>
      <c r="F170" s="295"/>
      <c r="G170" s="295"/>
      <c r="H170" s="295"/>
      <c r="I170" s="295"/>
      <c r="J170" s="295"/>
      <c r="K170" s="295"/>
      <c r="L170" s="295"/>
      <c r="M170" s="295"/>
      <c r="N170" s="295"/>
      <c r="O170" s="295"/>
      <c r="P170" s="295"/>
      <c r="Q170" s="295"/>
      <c r="R170" s="295"/>
      <c r="S170" s="295"/>
      <c r="T170" s="295"/>
      <c r="U170" s="295"/>
      <c r="V170" s="295"/>
      <c r="W170" s="295"/>
      <c r="X170" s="295"/>
      <c r="Y170" s="295"/>
      <c r="Z170" s="295"/>
    </row>
    <row r="171" spans="1:26" ht="14.25" customHeight="1" x14ac:dyDescent="0.3">
      <c r="A171" s="295"/>
      <c r="B171" s="295"/>
      <c r="C171" s="295"/>
      <c r="D171" s="295"/>
      <c r="E171" s="295"/>
      <c r="F171" s="295"/>
      <c r="G171" s="295"/>
      <c r="H171" s="295"/>
      <c r="I171" s="295"/>
      <c r="J171" s="295"/>
      <c r="K171" s="295"/>
      <c r="L171" s="295"/>
      <c r="M171" s="295"/>
      <c r="N171" s="295"/>
      <c r="O171" s="295"/>
      <c r="P171" s="295"/>
      <c r="Q171" s="295"/>
      <c r="R171" s="295"/>
      <c r="S171" s="295"/>
      <c r="T171" s="295"/>
      <c r="U171" s="295"/>
      <c r="V171" s="295"/>
      <c r="W171" s="295"/>
      <c r="X171" s="295"/>
      <c r="Y171" s="295"/>
      <c r="Z171" s="295"/>
    </row>
    <row r="172" spans="1:26" ht="14.25" customHeight="1" x14ac:dyDescent="0.3">
      <c r="A172" s="295"/>
      <c r="B172" s="295"/>
      <c r="C172" s="295"/>
      <c r="D172" s="295"/>
      <c r="E172" s="295"/>
      <c r="F172" s="295"/>
      <c r="G172" s="295"/>
      <c r="H172" s="295"/>
      <c r="I172" s="295"/>
      <c r="J172" s="295"/>
      <c r="K172" s="295"/>
      <c r="L172" s="295"/>
      <c r="M172" s="295"/>
      <c r="N172" s="295"/>
      <c r="O172" s="295"/>
      <c r="P172" s="295"/>
      <c r="Q172" s="295"/>
      <c r="R172" s="295"/>
      <c r="S172" s="295"/>
      <c r="T172" s="295"/>
      <c r="U172" s="295"/>
      <c r="V172" s="295"/>
      <c r="W172" s="295"/>
      <c r="X172" s="295"/>
      <c r="Y172" s="295"/>
      <c r="Z172" s="295"/>
    </row>
    <row r="173" spans="1:26" ht="14.25" customHeight="1" x14ac:dyDescent="0.3">
      <c r="A173" s="295"/>
      <c r="B173" s="295"/>
      <c r="C173" s="295"/>
      <c r="D173" s="295"/>
      <c r="E173" s="295"/>
      <c r="F173" s="295"/>
      <c r="G173" s="295"/>
      <c r="H173" s="295"/>
      <c r="I173" s="295"/>
      <c r="J173" s="295"/>
      <c r="K173" s="295"/>
      <c r="L173" s="295"/>
      <c r="M173" s="295"/>
      <c r="N173" s="295"/>
      <c r="O173" s="295"/>
      <c r="P173" s="295"/>
      <c r="Q173" s="295"/>
      <c r="R173" s="295"/>
      <c r="S173" s="295"/>
      <c r="T173" s="295"/>
      <c r="U173" s="295"/>
      <c r="V173" s="295"/>
      <c r="W173" s="295"/>
      <c r="X173" s="295"/>
      <c r="Y173" s="295"/>
      <c r="Z173" s="295"/>
    </row>
    <row r="174" spans="1:26" ht="14.25" customHeight="1" x14ac:dyDescent="0.3">
      <c r="A174" s="295"/>
      <c r="B174" s="295"/>
      <c r="C174" s="295"/>
      <c r="D174" s="295"/>
      <c r="E174" s="295"/>
      <c r="F174" s="295"/>
      <c r="G174" s="295"/>
      <c r="H174" s="295"/>
      <c r="I174" s="295"/>
      <c r="J174" s="295"/>
      <c r="K174" s="295"/>
      <c r="L174" s="295"/>
      <c r="M174" s="295"/>
      <c r="N174" s="295"/>
      <c r="O174" s="295"/>
      <c r="P174" s="295"/>
      <c r="Q174" s="295"/>
      <c r="R174" s="295"/>
      <c r="S174" s="295"/>
      <c r="T174" s="295"/>
      <c r="U174" s="295"/>
      <c r="V174" s="295"/>
      <c r="W174" s="295"/>
      <c r="X174" s="295"/>
      <c r="Y174" s="295"/>
      <c r="Z174" s="295"/>
    </row>
    <row r="175" spans="1:26" ht="14.25" customHeight="1" x14ac:dyDescent="0.3">
      <c r="A175" s="295"/>
      <c r="B175" s="295"/>
      <c r="C175" s="295"/>
      <c r="D175" s="295"/>
      <c r="E175" s="295"/>
      <c r="F175" s="295"/>
      <c r="G175" s="295"/>
      <c r="H175" s="295"/>
      <c r="I175" s="295"/>
      <c r="J175" s="295"/>
      <c r="K175" s="295"/>
      <c r="L175" s="295"/>
      <c r="M175" s="295"/>
      <c r="N175" s="295"/>
      <c r="O175" s="295"/>
      <c r="P175" s="295"/>
      <c r="Q175" s="295"/>
      <c r="R175" s="295"/>
      <c r="S175" s="295"/>
      <c r="T175" s="295"/>
      <c r="U175" s="295"/>
      <c r="V175" s="295"/>
      <c r="W175" s="295"/>
      <c r="X175" s="295"/>
      <c r="Y175" s="295"/>
      <c r="Z175" s="295"/>
    </row>
    <row r="176" spans="1:26" ht="14.25" customHeight="1" x14ac:dyDescent="0.3">
      <c r="A176" s="295"/>
      <c r="B176" s="295"/>
      <c r="C176" s="295"/>
      <c r="D176" s="295"/>
      <c r="E176" s="295"/>
      <c r="F176" s="295"/>
      <c r="G176" s="295"/>
      <c r="H176" s="295"/>
      <c r="I176" s="295"/>
      <c r="J176" s="295"/>
      <c r="K176" s="295"/>
      <c r="L176" s="295"/>
      <c r="M176" s="295"/>
      <c r="N176" s="295"/>
      <c r="O176" s="295"/>
      <c r="P176" s="295"/>
      <c r="Q176" s="295"/>
      <c r="R176" s="295"/>
      <c r="S176" s="295"/>
      <c r="T176" s="295"/>
      <c r="U176" s="295"/>
      <c r="V176" s="295"/>
      <c r="W176" s="295"/>
      <c r="X176" s="295"/>
      <c r="Y176" s="295"/>
      <c r="Z176" s="295"/>
    </row>
    <row r="177" spans="1:26" ht="14.25" customHeight="1" x14ac:dyDescent="0.3">
      <c r="A177" s="295"/>
      <c r="B177" s="295"/>
      <c r="C177" s="295"/>
      <c r="D177" s="295"/>
      <c r="E177" s="295"/>
      <c r="F177" s="295"/>
      <c r="G177" s="295"/>
      <c r="H177" s="295"/>
      <c r="I177" s="295"/>
      <c r="J177" s="295"/>
      <c r="K177" s="295"/>
      <c r="L177" s="295"/>
      <c r="M177" s="295"/>
      <c r="N177" s="295"/>
      <c r="O177" s="295"/>
      <c r="P177" s="295"/>
      <c r="Q177" s="295"/>
      <c r="R177" s="295"/>
      <c r="S177" s="295"/>
      <c r="T177" s="295"/>
      <c r="U177" s="295"/>
      <c r="V177" s="295"/>
      <c r="W177" s="295"/>
      <c r="X177" s="295"/>
      <c r="Y177" s="295"/>
      <c r="Z177" s="295"/>
    </row>
    <row r="178" spans="1:26" ht="14.25" customHeight="1" x14ac:dyDescent="0.3">
      <c r="A178" s="295"/>
      <c r="B178" s="295"/>
      <c r="C178" s="295"/>
      <c r="D178" s="295"/>
      <c r="E178" s="295"/>
      <c r="F178" s="295"/>
      <c r="G178" s="295"/>
      <c r="H178" s="295"/>
      <c r="I178" s="295"/>
      <c r="J178" s="295"/>
      <c r="K178" s="295"/>
      <c r="L178" s="295"/>
      <c r="M178" s="295"/>
      <c r="N178" s="295"/>
      <c r="O178" s="295"/>
      <c r="P178" s="295"/>
      <c r="Q178" s="295"/>
      <c r="R178" s="295"/>
      <c r="S178" s="295"/>
      <c r="T178" s="295"/>
      <c r="U178" s="295"/>
      <c r="V178" s="295"/>
      <c r="W178" s="295"/>
      <c r="X178" s="295"/>
      <c r="Y178" s="295"/>
      <c r="Z178" s="295"/>
    </row>
    <row r="179" spans="1:26" ht="14.25" customHeight="1" x14ac:dyDescent="0.3">
      <c r="A179" s="295"/>
      <c r="B179" s="295"/>
      <c r="C179" s="295"/>
      <c r="D179" s="295"/>
      <c r="E179" s="295"/>
      <c r="F179" s="295"/>
      <c r="G179" s="295"/>
      <c r="H179" s="295"/>
      <c r="I179" s="295"/>
      <c r="J179" s="295"/>
      <c r="K179" s="295"/>
      <c r="L179" s="295"/>
      <c r="M179" s="295"/>
      <c r="N179" s="295"/>
      <c r="O179" s="295"/>
      <c r="P179" s="295"/>
      <c r="Q179" s="295"/>
      <c r="R179" s="295"/>
      <c r="S179" s="295"/>
      <c r="T179" s="295"/>
      <c r="U179" s="295"/>
      <c r="V179" s="295"/>
      <c r="W179" s="295"/>
      <c r="X179" s="295"/>
      <c r="Y179" s="295"/>
      <c r="Z179" s="295"/>
    </row>
    <row r="180" spans="1:26" ht="14.25" customHeight="1" x14ac:dyDescent="0.3">
      <c r="A180" s="295"/>
      <c r="B180" s="295"/>
      <c r="C180" s="295"/>
      <c r="D180" s="295"/>
      <c r="E180" s="295"/>
      <c r="F180" s="295"/>
      <c r="G180" s="295"/>
      <c r="H180" s="295"/>
      <c r="I180" s="295"/>
      <c r="J180" s="295"/>
      <c r="K180" s="295"/>
      <c r="L180" s="295"/>
      <c r="M180" s="295"/>
      <c r="N180" s="295"/>
      <c r="O180" s="295"/>
      <c r="P180" s="295"/>
      <c r="Q180" s="295"/>
      <c r="R180" s="295"/>
      <c r="S180" s="295"/>
      <c r="T180" s="295"/>
      <c r="U180" s="295"/>
      <c r="V180" s="295"/>
      <c r="W180" s="295"/>
      <c r="X180" s="295"/>
      <c r="Y180" s="295"/>
      <c r="Z180" s="295"/>
    </row>
    <row r="181" spans="1:26" ht="14.25" customHeight="1" x14ac:dyDescent="0.3">
      <c r="A181" s="295"/>
      <c r="B181" s="295"/>
      <c r="C181" s="295"/>
      <c r="D181" s="295"/>
      <c r="E181" s="295"/>
      <c r="F181" s="295"/>
      <c r="G181" s="295"/>
      <c r="H181" s="295"/>
      <c r="I181" s="295"/>
      <c r="J181" s="295"/>
      <c r="K181" s="295"/>
      <c r="L181" s="295"/>
      <c r="M181" s="295"/>
      <c r="N181" s="295"/>
      <c r="O181" s="295"/>
      <c r="P181" s="295"/>
      <c r="Q181" s="295"/>
      <c r="R181" s="295"/>
      <c r="S181" s="295"/>
      <c r="T181" s="295"/>
      <c r="U181" s="295"/>
      <c r="V181" s="295"/>
      <c r="W181" s="295"/>
      <c r="X181" s="295"/>
      <c r="Y181" s="295"/>
      <c r="Z181" s="295"/>
    </row>
    <row r="182" spans="1:26" ht="14.25" customHeight="1" x14ac:dyDescent="0.3">
      <c r="A182" s="295"/>
      <c r="B182" s="295"/>
      <c r="C182" s="295"/>
      <c r="D182" s="295"/>
      <c r="E182" s="295"/>
      <c r="F182" s="295"/>
      <c r="G182" s="295"/>
      <c r="H182" s="295"/>
      <c r="I182" s="295"/>
      <c r="J182" s="295"/>
      <c r="K182" s="295"/>
      <c r="L182" s="295"/>
      <c r="M182" s="295"/>
      <c r="N182" s="295"/>
      <c r="O182" s="295"/>
      <c r="P182" s="295"/>
      <c r="Q182" s="295"/>
      <c r="R182" s="295"/>
      <c r="S182" s="295"/>
      <c r="T182" s="295"/>
      <c r="U182" s="295"/>
      <c r="V182" s="295"/>
      <c r="W182" s="295"/>
      <c r="X182" s="295"/>
      <c r="Y182" s="295"/>
      <c r="Z182" s="295"/>
    </row>
    <row r="183" spans="1:26" ht="14.25" customHeight="1" x14ac:dyDescent="0.3">
      <c r="A183" s="295"/>
      <c r="B183" s="295"/>
      <c r="C183" s="295"/>
      <c r="D183" s="295"/>
      <c r="E183" s="295"/>
      <c r="F183" s="295"/>
      <c r="G183" s="295"/>
      <c r="H183" s="295"/>
      <c r="I183" s="295"/>
      <c r="J183" s="295"/>
      <c r="K183" s="295"/>
      <c r="L183" s="295"/>
      <c r="M183" s="295"/>
      <c r="N183" s="295"/>
      <c r="O183" s="295"/>
      <c r="P183" s="295"/>
      <c r="Q183" s="295"/>
      <c r="R183" s="295"/>
      <c r="S183" s="295"/>
      <c r="T183" s="295"/>
      <c r="U183" s="295"/>
      <c r="V183" s="295"/>
      <c r="W183" s="295"/>
      <c r="X183" s="295"/>
      <c r="Y183" s="295"/>
      <c r="Z183" s="295"/>
    </row>
    <row r="184" spans="1:26" ht="14.25" customHeight="1" x14ac:dyDescent="0.3">
      <c r="A184" s="295"/>
      <c r="B184" s="295"/>
      <c r="C184" s="295"/>
      <c r="D184" s="295"/>
      <c r="E184" s="295"/>
      <c r="F184" s="295"/>
      <c r="G184" s="295"/>
      <c r="H184" s="295"/>
      <c r="I184" s="295"/>
      <c r="J184" s="295"/>
      <c r="K184" s="295"/>
      <c r="L184" s="295"/>
      <c r="M184" s="295"/>
      <c r="N184" s="295"/>
      <c r="O184" s="295"/>
      <c r="P184" s="295"/>
      <c r="Q184" s="295"/>
      <c r="R184" s="295"/>
      <c r="S184" s="295"/>
      <c r="T184" s="295"/>
      <c r="U184" s="295"/>
      <c r="V184" s="295"/>
      <c r="W184" s="295"/>
      <c r="X184" s="295"/>
      <c r="Y184" s="295"/>
      <c r="Z184" s="295"/>
    </row>
    <row r="185" spans="1:26" ht="14.25" customHeight="1" x14ac:dyDescent="0.3">
      <c r="A185" s="295"/>
      <c r="B185" s="295"/>
      <c r="C185" s="295"/>
      <c r="D185" s="295"/>
      <c r="E185" s="295"/>
      <c r="F185" s="295"/>
      <c r="G185" s="295"/>
      <c r="H185" s="295"/>
      <c r="I185" s="295"/>
      <c r="J185" s="295"/>
      <c r="K185" s="295"/>
      <c r="L185" s="295"/>
      <c r="M185" s="295"/>
      <c r="N185" s="295"/>
      <c r="O185" s="295"/>
      <c r="P185" s="295"/>
      <c r="Q185" s="295"/>
      <c r="R185" s="295"/>
      <c r="S185" s="295"/>
      <c r="T185" s="295"/>
      <c r="U185" s="295"/>
      <c r="V185" s="295"/>
      <c r="W185" s="295"/>
      <c r="X185" s="295"/>
      <c r="Y185" s="295"/>
      <c r="Z185" s="295"/>
    </row>
    <row r="186" spans="1:26" ht="14.25" customHeight="1" x14ac:dyDescent="0.3">
      <c r="A186" s="295"/>
      <c r="B186" s="295"/>
      <c r="C186" s="295"/>
      <c r="D186" s="295"/>
      <c r="E186" s="295"/>
      <c r="F186" s="295"/>
      <c r="G186" s="295"/>
      <c r="H186" s="295"/>
      <c r="I186" s="295"/>
      <c r="J186" s="295"/>
      <c r="K186" s="295"/>
      <c r="L186" s="295"/>
      <c r="M186" s="295"/>
      <c r="N186" s="295"/>
      <c r="O186" s="295"/>
      <c r="P186" s="295"/>
      <c r="Q186" s="295"/>
      <c r="R186" s="295"/>
      <c r="S186" s="295"/>
      <c r="T186" s="295"/>
      <c r="U186" s="295"/>
      <c r="V186" s="295"/>
      <c r="W186" s="295"/>
      <c r="X186" s="295"/>
      <c r="Y186" s="295"/>
      <c r="Z186" s="295"/>
    </row>
    <row r="187" spans="1:26" ht="14.25" customHeight="1" x14ac:dyDescent="0.3">
      <c r="A187" s="295"/>
      <c r="B187" s="295"/>
      <c r="C187" s="295"/>
      <c r="D187" s="295"/>
      <c r="E187" s="295"/>
      <c r="F187" s="295"/>
      <c r="G187" s="295"/>
      <c r="H187" s="295"/>
      <c r="I187" s="295"/>
      <c r="J187" s="295"/>
      <c r="K187" s="295"/>
      <c r="L187" s="295"/>
      <c r="M187" s="295"/>
      <c r="N187" s="295"/>
      <c r="O187" s="295"/>
      <c r="P187" s="295"/>
      <c r="Q187" s="295"/>
      <c r="R187" s="295"/>
      <c r="S187" s="295"/>
      <c r="T187" s="295"/>
      <c r="U187" s="295"/>
      <c r="V187" s="295"/>
      <c r="W187" s="295"/>
      <c r="X187" s="295"/>
      <c r="Y187" s="295"/>
      <c r="Z187" s="295"/>
    </row>
    <row r="188" spans="1:26" ht="14.25" customHeight="1" x14ac:dyDescent="0.3">
      <c r="A188" s="295"/>
      <c r="B188" s="295"/>
      <c r="C188" s="295"/>
      <c r="D188" s="295"/>
      <c r="E188" s="295"/>
      <c r="F188" s="295"/>
      <c r="G188" s="295"/>
      <c r="H188" s="295"/>
      <c r="I188" s="295"/>
      <c r="J188" s="295"/>
      <c r="K188" s="295"/>
      <c r="L188" s="295"/>
      <c r="M188" s="295"/>
      <c r="N188" s="295"/>
      <c r="O188" s="295"/>
      <c r="P188" s="295"/>
      <c r="Q188" s="295"/>
      <c r="R188" s="295"/>
      <c r="S188" s="295"/>
      <c r="T188" s="295"/>
      <c r="U188" s="295"/>
      <c r="V188" s="295"/>
      <c r="W188" s="295"/>
      <c r="X188" s="295"/>
      <c r="Y188" s="295"/>
      <c r="Z188" s="295"/>
    </row>
    <row r="189" spans="1:26" ht="14.25" customHeight="1" x14ac:dyDescent="0.3">
      <c r="A189" s="295"/>
      <c r="B189" s="295"/>
      <c r="C189" s="295"/>
      <c r="D189" s="295"/>
      <c r="E189" s="295"/>
      <c r="F189" s="295"/>
      <c r="G189" s="295"/>
      <c r="H189" s="295"/>
      <c r="I189" s="295"/>
      <c r="J189" s="295"/>
      <c r="K189" s="295"/>
      <c r="L189" s="295"/>
      <c r="M189" s="295"/>
      <c r="N189" s="295"/>
      <c r="O189" s="295"/>
      <c r="P189" s="295"/>
      <c r="Q189" s="295"/>
      <c r="R189" s="295"/>
      <c r="S189" s="295"/>
      <c r="T189" s="295"/>
      <c r="U189" s="295"/>
      <c r="V189" s="295"/>
      <c r="W189" s="295"/>
      <c r="X189" s="295"/>
      <c r="Y189" s="295"/>
      <c r="Z189" s="295"/>
    </row>
    <row r="190" spans="1:26" ht="14.25" customHeight="1" x14ac:dyDescent="0.3">
      <c r="A190" s="295"/>
      <c r="B190" s="295"/>
      <c r="C190" s="295"/>
      <c r="D190" s="295"/>
      <c r="E190" s="295"/>
      <c r="F190" s="295"/>
      <c r="G190" s="295"/>
      <c r="H190" s="295"/>
      <c r="I190" s="295"/>
      <c r="J190" s="295"/>
      <c r="K190" s="295"/>
      <c r="L190" s="295"/>
      <c r="M190" s="295"/>
      <c r="N190" s="295"/>
      <c r="O190" s="295"/>
      <c r="P190" s="295"/>
      <c r="Q190" s="295"/>
      <c r="R190" s="295"/>
      <c r="S190" s="295"/>
      <c r="T190" s="295"/>
      <c r="U190" s="295"/>
      <c r="V190" s="295"/>
      <c r="W190" s="295"/>
      <c r="X190" s="295"/>
      <c r="Y190" s="295"/>
      <c r="Z190" s="295"/>
    </row>
    <row r="191" spans="1:26" ht="14.25" customHeight="1" x14ac:dyDescent="0.3">
      <c r="A191" s="295"/>
      <c r="B191" s="295"/>
      <c r="C191" s="295"/>
      <c r="D191" s="295"/>
      <c r="E191" s="295"/>
      <c r="F191" s="295"/>
      <c r="G191" s="295"/>
      <c r="H191" s="295"/>
      <c r="I191" s="295"/>
      <c r="J191" s="295"/>
      <c r="K191" s="295"/>
      <c r="L191" s="295"/>
      <c r="M191" s="295"/>
      <c r="N191" s="295"/>
      <c r="O191" s="295"/>
      <c r="P191" s="295"/>
      <c r="Q191" s="295"/>
      <c r="R191" s="295"/>
      <c r="S191" s="295"/>
      <c r="T191" s="295"/>
      <c r="U191" s="295"/>
      <c r="V191" s="295"/>
      <c r="W191" s="295"/>
      <c r="X191" s="295"/>
      <c r="Y191" s="295"/>
      <c r="Z191" s="295"/>
    </row>
    <row r="192" spans="1:26" ht="14.25" customHeight="1" x14ac:dyDescent="0.3">
      <c r="A192" s="295"/>
      <c r="B192" s="295"/>
      <c r="C192" s="295"/>
      <c r="D192" s="295"/>
      <c r="E192" s="295"/>
      <c r="F192" s="295"/>
      <c r="G192" s="295"/>
      <c r="H192" s="295"/>
      <c r="I192" s="295"/>
      <c r="J192" s="295"/>
      <c r="K192" s="295"/>
      <c r="L192" s="295"/>
      <c r="M192" s="295"/>
      <c r="N192" s="295"/>
      <c r="O192" s="295"/>
      <c r="P192" s="295"/>
      <c r="Q192" s="295"/>
      <c r="R192" s="295"/>
      <c r="S192" s="295"/>
      <c r="T192" s="295"/>
      <c r="U192" s="295"/>
      <c r="V192" s="295"/>
      <c r="W192" s="295"/>
      <c r="X192" s="295"/>
      <c r="Y192" s="295"/>
      <c r="Z192" s="295"/>
    </row>
    <row r="193" spans="1:26" ht="14.25" customHeight="1" x14ac:dyDescent="0.3">
      <c r="A193" s="295"/>
      <c r="B193" s="295"/>
      <c r="C193" s="295"/>
      <c r="D193" s="295"/>
      <c r="E193" s="295"/>
      <c r="F193" s="295"/>
      <c r="G193" s="295"/>
      <c r="H193" s="295"/>
      <c r="I193" s="295"/>
      <c r="J193" s="295"/>
      <c r="K193" s="295"/>
      <c r="L193" s="295"/>
      <c r="M193" s="295"/>
      <c r="N193" s="295"/>
      <c r="O193" s="295"/>
      <c r="P193" s="295"/>
      <c r="Q193" s="295"/>
      <c r="R193" s="295"/>
      <c r="S193" s="295"/>
      <c r="T193" s="295"/>
      <c r="U193" s="295"/>
      <c r="V193" s="295"/>
      <c r="W193" s="295"/>
      <c r="X193" s="295"/>
      <c r="Y193" s="295"/>
      <c r="Z193" s="295"/>
    </row>
    <row r="194" spans="1:26" ht="14.25" customHeight="1" x14ac:dyDescent="0.3">
      <c r="A194" s="295"/>
      <c r="B194" s="295"/>
      <c r="C194" s="295"/>
      <c r="D194" s="295"/>
      <c r="E194" s="295"/>
      <c r="F194" s="295"/>
      <c r="G194" s="295"/>
      <c r="H194" s="295"/>
      <c r="I194" s="295"/>
      <c r="J194" s="295"/>
      <c r="K194" s="295"/>
      <c r="L194" s="295"/>
      <c r="M194" s="295"/>
      <c r="N194" s="295"/>
      <c r="O194" s="295"/>
      <c r="P194" s="295"/>
      <c r="Q194" s="295"/>
      <c r="R194" s="295"/>
      <c r="S194" s="295"/>
      <c r="T194" s="295"/>
      <c r="U194" s="295"/>
      <c r="V194" s="295"/>
      <c r="W194" s="295"/>
      <c r="X194" s="295"/>
      <c r="Y194" s="295"/>
      <c r="Z194" s="295"/>
    </row>
    <row r="195" spans="1:26" ht="14.25" customHeight="1" x14ac:dyDescent="0.3">
      <c r="A195" s="295"/>
      <c r="B195" s="295"/>
      <c r="C195" s="295"/>
      <c r="D195" s="295"/>
      <c r="E195" s="295"/>
      <c r="F195" s="295"/>
      <c r="G195" s="295"/>
      <c r="H195" s="295"/>
      <c r="I195" s="295"/>
      <c r="J195" s="295"/>
      <c r="K195" s="295"/>
      <c r="L195" s="295"/>
      <c r="M195" s="295"/>
      <c r="N195" s="295"/>
      <c r="O195" s="295"/>
      <c r="P195" s="295"/>
      <c r="Q195" s="295"/>
      <c r="R195" s="295"/>
      <c r="S195" s="295"/>
      <c r="T195" s="295"/>
      <c r="U195" s="295"/>
      <c r="V195" s="295"/>
      <c r="W195" s="295"/>
      <c r="X195" s="295"/>
      <c r="Y195" s="295"/>
      <c r="Z195" s="295"/>
    </row>
    <row r="196" spans="1:26" ht="14.25" customHeight="1" x14ac:dyDescent="0.3">
      <c r="A196" s="295"/>
      <c r="B196" s="295"/>
      <c r="C196" s="295"/>
      <c r="D196" s="295"/>
      <c r="E196" s="295"/>
      <c r="F196" s="295"/>
      <c r="G196" s="295"/>
      <c r="H196" s="295"/>
      <c r="I196" s="295"/>
      <c r="J196" s="295"/>
      <c r="K196" s="295"/>
      <c r="L196" s="295"/>
      <c r="M196" s="295"/>
      <c r="N196" s="295"/>
      <c r="O196" s="295"/>
      <c r="P196" s="295"/>
      <c r="Q196" s="295"/>
      <c r="R196" s="295"/>
      <c r="S196" s="295"/>
      <c r="T196" s="295"/>
      <c r="U196" s="295"/>
      <c r="V196" s="295"/>
      <c r="W196" s="295"/>
      <c r="X196" s="295"/>
      <c r="Y196" s="295"/>
      <c r="Z196" s="295"/>
    </row>
    <row r="197" spans="1:26" ht="14.25" customHeight="1" x14ac:dyDescent="0.3">
      <c r="A197" s="295"/>
      <c r="B197" s="295"/>
      <c r="C197" s="295"/>
      <c r="D197" s="295"/>
      <c r="E197" s="295"/>
      <c r="F197" s="295"/>
      <c r="G197" s="295"/>
      <c r="H197" s="295"/>
      <c r="I197" s="295"/>
      <c r="J197" s="295"/>
      <c r="K197" s="295"/>
      <c r="L197" s="295"/>
      <c r="M197" s="295"/>
      <c r="N197" s="295"/>
      <c r="O197" s="295"/>
      <c r="P197" s="295"/>
      <c r="Q197" s="295"/>
      <c r="R197" s="295"/>
      <c r="S197" s="295"/>
      <c r="T197" s="295"/>
      <c r="U197" s="295"/>
      <c r="V197" s="295"/>
      <c r="W197" s="295"/>
      <c r="X197" s="295"/>
      <c r="Y197" s="295"/>
      <c r="Z197" s="295"/>
    </row>
    <row r="198" spans="1:26" ht="14.25" customHeight="1" x14ac:dyDescent="0.3">
      <c r="A198" s="295"/>
      <c r="B198" s="295"/>
      <c r="C198" s="295"/>
      <c r="D198" s="295"/>
      <c r="E198" s="295"/>
      <c r="F198" s="295"/>
      <c r="G198" s="295"/>
      <c r="H198" s="295"/>
      <c r="I198" s="295"/>
      <c r="J198" s="295"/>
      <c r="K198" s="295"/>
      <c r="L198" s="295"/>
      <c r="M198" s="295"/>
      <c r="N198" s="295"/>
      <c r="O198" s="295"/>
      <c r="P198" s="295"/>
      <c r="Q198" s="295"/>
      <c r="R198" s="295"/>
      <c r="S198" s="295"/>
      <c r="T198" s="295"/>
      <c r="U198" s="295"/>
      <c r="V198" s="295"/>
      <c r="W198" s="295"/>
      <c r="X198" s="295"/>
      <c r="Y198" s="295"/>
      <c r="Z198" s="295"/>
    </row>
    <row r="199" spans="1:26" ht="14.25" customHeight="1" x14ac:dyDescent="0.3">
      <c r="A199" s="295"/>
      <c r="B199" s="295"/>
      <c r="C199" s="295"/>
      <c r="D199" s="295"/>
      <c r="E199" s="295"/>
      <c r="F199" s="295"/>
      <c r="G199" s="295"/>
      <c r="H199" s="295"/>
      <c r="I199" s="295"/>
      <c r="J199" s="295"/>
      <c r="K199" s="295"/>
      <c r="L199" s="295"/>
      <c r="M199" s="295"/>
      <c r="N199" s="295"/>
      <c r="O199" s="295"/>
      <c r="P199" s="295"/>
      <c r="Q199" s="295"/>
      <c r="R199" s="295"/>
      <c r="S199" s="295"/>
      <c r="T199" s="295"/>
      <c r="U199" s="295"/>
      <c r="V199" s="295"/>
      <c r="W199" s="295"/>
      <c r="X199" s="295"/>
      <c r="Y199" s="295"/>
      <c r="Z199" s="295"/>
    </row>
    <row r="200" spans="1:26" ht="14.25" customHeight="1" x14ac:dyDescent="0.3">
      <c r="A200" s="295"/>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95"/>
      <c r="X200" s="295"/>
      <c r="Y200" s="295"/>
      <c r="Z200" s="295"/>
    </row>
    <row r="201" spans="1:26" ht="14.25" customHeight="1" x14ac:dyDescent="0.3">
      <c r="A201" s="295"/>
      <c r="B201" s="295"/>
      <c r="C201" s="295"/>
      <c r="D201" s="295"/>
      <c r="E201" s="295"/>
      <c r="F201" s="295"/>
      <c r="G201" s="295"/>
      <c r="H201" s="295"/>
      <c r="I201" s="295"/>
      <c r="J201" s="295"/>
      <c r="K201" s="295"/>
      <c r="L201" s="295"/>
      <c r="M201" s="295"/>
      <c r="N201" s="295"/>
      <c r="O201" s="295"/>
      <c r="P201" s="295"/>
      <c r="Q201" s="295"/>
      <c r="R201" s="295"/>
      <c r="S201" s="295"/>
      <c r="T201" s="295"/>
      <c r="U201" s="295"/>
      <c r="V201" s="295"/>
      <c r="W201" s="295"/>
      <c r="X201" s="295"/>
      <c r="Y201" s="295"/>
      <c r="Z201" s="295"/>
    </row>
    <row r="202" spans="1:26" ht="14.25" customHeight="1" x14ac:dyDescent="0.3">
      <c r="A202" s="295"/>
      <c r="B202" s="295"/>
      <c r="C202" s="295"/>
      <c r="D202" s="295"/>
      <c r="E202" s="295"/>
      <c r="F202" s="295"/>
      <c r="G202" s="295"/>
      <c r="H202" s="295"/>
      <c r="I202" s="295"/>
      <c r="J202" s="295"/>
      <c r="K202" s="295"/>
      <c r="L202" s="295"/>
      <c r="M202" s="295"/>
      <c r="N202" s="295"/>
      <c r="O202" s="295"/>
      <c r="P202" s="295"/>
      <c r="Q202" s="295"/>
      <c r="R202" s="295"/>
      <c r="S202" s="295"/>
      <c r="T202" s="295"/>
      <c r="U202" s="295"/>
      <c r="V202" s="295"/>
      <c r="W202" s="295"/>
      <c r="X202" s="295"/>
      <c r="Y202" s="295"/>
      <c r="Z202" s="295"/>
    </row>
    <row r="203" spans="1:26" ht="14.25" customHeight="1" x14ac:dyDescent="0.3">
      <c r="A203" s="295"/>
      <c r="B203" s="295"/>
      <c r="C203" s="295"/>
      <c r="D203" s="295"/>
      <c r="E203" s="295"/>
      <c r="F203" s="295"/>
      <c r="G203" s="295"/>
      <c r="H203" s="295"/>
      <c r="I203" s="295"/>
      <c r="J203" s="295"/>
      <c r="K203" s="295"/>
      <c r="L203" s="295"/>
      <c r="M203" s="295"/>
      <c r="N203" s="295"/>
      <c r="O203" s="295"/>
      <c r="P203" s="295"/>
      <c r="Q203" s="295"/>
      <c r="R203" s="295"/>
      <c r="S203" s="295"/>
      <c r="T203" s="295"/>
      <c r="U203" s="295"/>
      <c r="V203" s="295"/>
      <c r="W203" s="295"/>
      <c r="X203" s="295"/>
      <c r="Y203" s="295"/>
      <c r="Z203" s="295"/>
    </row>
    <row r="204" spans="1:26" ht="14.25" customHeight="1" x14ac:dyDescent="0.3">
      <c r="A204" s="295"/>
      <c r="B204" s="295"/>
      <c r="C204" s="295"/>
      <c r="D204" s="295"/>
      <c r="E204" s="295"/>
      <c r="F204" s="295"/>
      <c r="G204" s="295"/>
      <c r="H204" s="295"/>
      <c r="I204" s="295"/>
      <c r="J204" s="295"/>
      <c r="K204" s="295"/>
      <c r="L204" s="295"/>
      <c r="M204" s="295"/>
      <c r="N204" s="295"/>
      <c r="O204" s="295"/>
      <c r="P204" s="295"/>
      <c r="Q204" s="295"/>
      <c r="R204" s="295"/>
      <c r="S204" s="295"/>
      <c r="T204" s="295"/>
      <c r="U204" s="295"/>
      <c r="V204" s="295"/>
      <c r="W204" s="295"/>
      <c r="X204" s="295"/>
      <c r="Y204" s="295"/>
      <c r="Z204" s="295"/>
    </row>
    <row r="205" spans="1:26" ht="14.25" customHeight="1" x14ac:dyDescent="0.3">
      <c r="A205" s="295"/>
      <c r="B205" s="295"/>
      <c r="C205" s="295"/>
      <c r="D205" s="295"/>
      <c r="E205" s="295"/>
      <c r="F205" s="295"/>
      <c r="G205" s="295"/>
      <c r="H205" s="295"/>
      <c r="I205" s="295"/>
      <c r="J205" s="295"/>
      <c r="K205" s="295"/>
      <c r="L205" s="295"/>
      <c r="M205" s="295"/>
      <c r="N205" s="295"/>
      <c r="O205" s="295"/>
      <c r="P205" s="295"/>
      <c r="Q205" s="295"/>
      <c r="R205" s="295"/>
      <c r="S205" s="295"/>
      <c r="T205" s="295"/>
      <c r="U205" s="295"/>
      <c r="V205" s="295"/>
      <c r="W205" s="295"/>
      <c r="X205" s="295"/>
      <c r="Y205" s="295"/>
      <c r="Z205" s="295"/>
    </row>
    <row r="206" spans="1:26" ht="14.25" customHeight="1" x14ac:dyDescent="0.3">
      <c r="A206" s="295"/>
      <c r="B206" s="295"/>
      <c r="C206" s="295"/>
      <c r="D206" s="295"/>
      <c r="E206" s="295"/>
      <c r="F206" s="295"/>
      <c r="G206" s="295"/>
      <c r="H206" s="295"/>
      <c r="I206" s="295"/>
      <c r="J206" s="295"/>
      <c r="K206" s="295"/>
      <c r="L206" s="295"/>
      <c r="M206" s="295"/>
      <c r="N206" s="295"/>
      <c r="O206" s="295"/>
      <c r="P206" s="295"/>
      <c r="Q206" s="295"/>
      <c r="R206" s="295"/>
      <c r="S206" s="295"/>
      <c r="T206" s="295"/>
      <c r="U206" s="295"/>
      <c r="V206" s="295"/>
      <c r="W206" s="295"/>
      <c r="X206" s="295"/>
      <c r="Y206" s="295"/>
      <c r="Z206" s="295"/>
    </row>
    <row r="207" spans="1:26" ht="14.25" customHeight="1" x14ac:dyDescent="0.3">
      <c r="A207" s="295"/>
      <c r="B207" s="295"/>
      <c r="C207" s="295"/>
      <c r="D207" s="295"/>
      <c r="E207" s="295"/>
      <c r="F207" s="295"/>
      <c r="G207" s="295"/>
      <c r="H207" s="295"/>
      <c r="I207" s="295"/>
      <c r="J207" s="295"/>
      <c r="K207" s="295"/>
      <c r="L207" s="295"/>
      <c r="M207" s="295"/>
      <c r="N207" s="295"/>
      <c r="O207" s="295"/>
      <c r="P207" s="295"/>
      <c r="Q207" s="295"/>
      <c r="R207" s="295"/>
      <c r="S207" s="295"/>
      <c r="T207" s="295"/>
      <c r="U207" s="295"/>
      <c r="V207" s="295"/>
      <c r="W207" s="295"/>
      <c r="X207" s="295"/>
      <c r="Y207" s="295"/>
      <c r="Z207" s="295"/>
    </row>
    <row r="208" spans="1:26" ht="14.25" customHeight="1" x14ac:dyDescent="0.3">
      <c r="A208" s="295"/>
      <c r="B208" s="295"/>
      <c r="C208" s="295"/>
      <c r="D208" s="295"/>
      <c r="E208" s="295"/>
      <c r="F208" s="295"/>
      <c r="G208" s="295"/>
      <c r="H208" s="295"/>
      <c r="I208" s="295"/>
      <c r="J208" s="295"/>
      <c r="K208" s="295"/>
      <c r="L208" s="295"/>
      <c r="M208" s="295"/>
      <c r="N208" s="295"/>
      <c r="O208" s="295"/>
      <c r="P208" s="295"/>
      <c r="Q208" s="295"/>
      <c r="R208" s="295"/>
      <c r="S208" s="295"/>
      <c r="T208" s="295"/>
      <c r="U208" s="295"/>
      <c r="V208" s="295"/>
      <c r="W208" s="295"/>
      <c r="X208" s="295"/>
      <c r="Y208" s="295"/>
      <c r="Z208" s="295"/>
    </row>
    <row r="209" spans="1:26" ht="14.25" customHeight="1" x14ac:dyDescent="0.3">
      <c r="A209" s="295"/>
      <c r="B209" s="295"/>
      <c r="C209" s="295"/>
      <c r="D209" s="295"/>
      <c r="E209" s="295"/>
      <c r="F209" s="295"/>
      <c r="G209" s="295"/>
      <c r="H209" s="295"/>
      <c r="I209" s="295"/>
      <c r="J209" s="295"/>
      <c r="K209" s="295"/>
      <c r="L209" s="295"/>
      <c r="M209" s="295"/>
      <c r="N209" s="295"/>
      <c r="O209" s="295"/>
      <c r="P209" s="295"/>
      <c r="Q209" s="295"/>
      <c r="R209" s="295"/>
      <c r="S209" s="295"/>
      <c r="T209" s="295"/>
      <c r="U209" s="295"/>
      <c r="V209" s="295"/>
      <c r="W209" s="295"/>
      <c r="X209" s="295"/>
      <c r="Y209" s="295"/>
      <c r="Z209" s="295"/>
    </row>
    <row r="210" spans="1:26" ht="14.25" customHeight="1" x14ac:dyDescent="0.3">
      <c r="A210" s="295"/>
      <c r="B210" s="295"/>
      <c r="C210" s="295"/>
      <c r="D210" s="295"/>
      <c r="E210" s="295"/>
      <c r="F210" s="295"/>
      <c r="G210" s="295"/>
      <c r="H210" s="295"/>
      <c r="I210" s="295"/>
      <c r="J210" s="295"/>
      <c r="K210" s="295"/>
      <c r="L210" s="295"/>
      <c r="M210" s="295"/>
      <c r="N210" s="295"/>
      <c r="O210" s="295"/>
      <c r="P210" s="295"/>
      <c r="Q210" s="295"/>
      <c r="R210" s="295"/>
      <c r="S210" s="295"/>
      <c r="T210" s="295"/>
      <c r="U210" s="295"/>
      <c r="V210" s="295"/>
      <c r="W210" s="295"/>
      <c r="X210" s="295"/>
      <c r="Y210" s="295"/>
      <c r="Z210" s="295"/>
    </row>
    <row r="211" spans="1:26" ht="14.25" customHeight="1" x14ac:dyDescent="0.3">
      <c r="A211" s="295"/>
      <c r="B211" s="295"/>
      <c r="C211" s="295"/>
      <c r="D211" s="295"/>
      <c r="E211" s="295"/>
      <c r="F211" s="295"/>
      <c r="G211" s="295"/>
      <c r="H211" s="295"/>
      <c r="I211" s="295"/>
      <c r="J211" s="295"/>
      <c r="K211" s="295"/>
      <c r="L211" s="295"/>
      <c r="M211" s="295"/>
      <c r="N211" s="295"/>
      <c r="O211" s="295"/>
      <c r="P211" s="295"/>
      <c r="Q211" s="295"/>
      <c r="R211" s="295"/>
      <c r="S211" s="295"/>
      <c r="T211" s="295"/>
      <c r="U211" s="295"/>
      <c r="V211" s="295"/>
      <c r="W211" s="295"/>
      <c r="X211" s="295"/>
      <c r="Y211" s="295"/>
      <c r="Z211" s="295"/>
    </row>
    <row r="212" spans="1:26" ht="14.25" customHeight="1" x14ac:dyDescent="0.3">
      <c r="A212" s="295"/>
      <c r="B212" s="295"/>
      <c r="C212" s="295"/>
      <c r="D212" s="295"/>
      <c r="E212" s="295"/>
      <c r="F212" s="295"/>
      <c r="G212" s="295"/>
      <c r="H212" s="295"/>
      <c r="I212" s="295"/>
      <c r="J212" s="295"/>
      <c r="K212" s="295"/>
      <c r="L212" s="295"/>
      <c r="M212" s="295"/>
      <c r="N212" s="295"/>
      <c r="O212" s="295"/>
      <c r="P212" s="295"/>
      <c r="Q212" s="295"/>
      <c r="R212" s="295"/>
      <c r="S212" s="295"/>
      <c r="T212" s="295"/>
      <c r="U212" s="295"/>
      <c r="V212" s="295"/>
      <c r="W212" s="295"/>
      <c r="X212" s="295"/>
      <c r="Y212" s="295"/>
      <c r="Z212" s="295"/>
    </row>
    <row r="213" spans="1:26" ht="14.25" customHeight="1" x14ac:dyDescent="0.3">
      <c r="A213" s="295"/>
      <c r="B213" s="295"/>
      <c r="C213" s="295"/>
      <c r="D213" s="295"/>
      <c r="E213" s="295"/>
      <c r="F213" s="295"/>
      <c r="G213" s="295"/>
      <c r="H213" s="295"/>
      <c r="I213" s="295"/>
      <c r="J213" s="295"/>
      <c r="K213" s="295"/>
      <c r="L213" s="295"/>
      <c r="M213" s="295"/>
      <c r="N213" s="295"/>
      <c r="O213" s="295"/>
      <c r="P213" s="295"/>
      <c r="Q213" s="295"/>
      <c r="R213" s="295"/>
      <c r="S213" s="295"/>
      <c r="T213" s="295"/>
      <c r="U213" s="295"/>
      <c r="V213" s="295"/>
      <c r="W213" s="295"/>
      <c r="X213" s="295"/>
      <c r="Y213" s="295"/>
      <c r="Z213" s="295"/>
    </row>
    <row r="214" spans="1:26" ht="14.25" customHeight="1" x14ac:dyDescent="0.3">
      <c r="A214" s="295"/>
      <c r="B214" s="295"/>
      <c r="C214" s="295"/>
      <c r="D214" s="295"/>
      <c r="E214" s="295"/>
      <c r="F214" s="295"/>
      <c r="G214" s="295"/>
      <c r="H214" s="295"/>
      <c r="I214" s="295"/>
      <c r="J214" s="295"/>
      <c r="K214" s="295"/>
      <c r="L214" s="295"/>
      <c r="M214" s="295"/>
      <c r="N214" s="295"/>
      <c r="O214" s="295"/>
      <c r="P214" s="295"/>
      <c r="Q214" s="295"/>
      <c r="R214" s="295"/>
      <c r="S214" s="295"/>
      <c r="T214" s="295"/>
      <c r="U214" s="295"/>
      <c r="V214" s="295"/>
      <c r="W214" s="295"/>
      <c r="X214" s="295"/>
      <c r="Y214" s="295"/>
      <c r="Z214" s="295"/>
    </row>
    <row r="215" spans="1:26" ht="14.25" customHeight="1" x14ac:dyDescent="0.3">
      <c r="A215" s="295"/>
      <c r="B215" s="295"/>
      <c r="C215" s="295"/>
      <c r="D215" s="295"/>
      <c r="E215" s="295"/>
      <c r="F215" s="295"/>
      <c r="G215" s="295"/>
      <c r="H215" s="295"/>
      <c r="I215" s="295"/>
      <c r="J215" s="295"/>
      <c r="K215" s="295"/>
      <c r="L215" s="295"/>
      <c r="M215" s="295"/>
      <c r="N215" s="295"/>
      <c r="O215" s="295"/>
      <c r="P215" s="295"/>
      <c r="Q215" s="295"/>
      <c r="R215" s="295"/>
      <c r="S215" s="295"/>
      <c r="T215" s="295"/>
      <c r="U215" s="295"/>
      <c r="V215" s="295"/>
      <c r="W215" s="295"/>
      <c r="X215" s="295"/>
      <c r="Y215" s="295"/>
      <c r="Z215" s="295"/>
    </row>
    <row r="216" spans="1:26" ht="14.25" customHeight="1" x14ac:dyDescent="0.3">
      <c r="A216" s="295"/>
      <c r="B216" s="295"/>
      <c r="C216" s="295"/>
      <c r="D216" s="295"/>
      <c r="E216" s="295"/>
      <c r="F216" s="295"/>
      <c r="G216" s="295"/>
      <c r="H216" s="295"/>
      <c r="I216" s="295"/>
      <c r="J216" s="295"/>
      <c r="K216" s="295"/>
      <c r="L216" s="295"/>
      <c r="M216" s="295"/>
      <c r="N216" s="295"/>
      <c r="O216" s="295"/>
      <c r="P216" s="295"/>
      <c r="Q216" s="295"/>
      <c r="R216" s="295"/>
      <c r="S216" s="295"/>
      <c r="T216" s="295"/>
      <c r="U216" s="295"/>
      <c r="V216" s="295"/>
      <c r="W216" s="295"/>
      <c r="X216" s="295"/>
      <c r="Y216" s="295"/>
      <c r="Z216" s="295"/>
    </row>
    <row r="217" spans="1:26" ht="14.25" customHeight="1" x14ac:dyDescent="0.3">
      <c r="A217" s="295"/>
      <c r="B217" s="295"/>
      <c r="C217" s="295"/>
      <c r="D217" s="295"/>
      <c r="E217" s="295"/>
      <c r="F217" s="295"/>
      <c r="G217" s="295"/>
      <c r="H217" s="295"/>
      <c r="I217" s="295"/>
      <c r="J217" s="295"/>
      <c r="K217" s="295"/>
      <c r="L217" s="295"/>
      <c r="M217" s="295"/>
      <c r="N217" s="295"/>
      <c r="O217" s="295"/>
      <c r="P217" s="295"/>
      <c r="Q217" s="295"/>
      <c r="R217" s="295"/>
      <c r="S217" s="295"/>
      <c r="T217" s="295"/>
      <c r="U217" s="295"/>
      <c r="V217" s="295"/>
      <c r="W217" s="295"/>
      <c r="X217" s="295"/>
      <c r="Y217" s="295"/>
      <c r="Z217" s="295"/>
    </row>
    <row r="218" spans="1:26" ht="14.25" customHeight="1" x14ac:dyDescent="0.3">
      <c r="A218" s="295"/>
      <c r="B218" s="295"/>
      <c r="C218" s="295"/>
      <c r="D218" s="295"/>
      <c r="E218" s="295"/>
      <c r="F218" s="295"/>
      <c r="G218" s="295"/>
      <c r="H218" s="295"/>
      <c r="I218" s="295"/>
      <c r="J218" s="295"/>
      <c r="K218" s="295"/>
      <c r="L218" s="295"/>
      <c r="M218" s="295"/>
      <c r="N218" s="295"/>
      <c r="O218" s="295"/>
      <c r="P218" s="295"/>
      <c r="Q218" s="295"/>
      <c r="R218" s="295"/>
      <c r="S218" s="295"/>
      <c r="T218" s="295"/>
      <c r="U218" s="295"/>
      <c r="V218" s="295"/>
      <c r="W218" s="295"/>
      <c r="X218" s="295"/>
      <c r="Y218" s="295"/>
      <c r="Z218" s="295"/>
    </row>
    <row r="219" spans="1:26" ht="14.25" customHeight="1" x14ac:dyDescent="0.3">
      <c r="A219" s="295"/>
      <c r="B219" s="295"/>
      <c r="C219" s="295"/>
      <c r="D219" s="295"/>
      <c r="E219" s="295"/>
      <c r="F219" s="295"/>
      <c r="G219" s="295"/>
      <c r="H219" s="295"/>
      <c r="I219" s="295"/>
      <c r="J219" s="295"/>
      <c r="K219" s="295"/>
      <c r="L219" s="295"/>
      <c r="M219" s="295"/>
      <c r="N219" s="295"/>
      <c r="O219" s="295"/>
      <c r="P219" s="295"/>
      <c r="Q219" s="295"/>
      <c r="R219" s="295"/>
      <c r="S219" s="295"/>
      <c r="T219" s="295"/>
      <c r="U219" s="295"/>
      <c r="V219" s="295"/>
      <c r="W219" s="295"/>
      <c r="X219" s="295"/>
      <c r="Y219" s="295"/>
      <c r="Z219" s="295"/>
    </row>
    <row r="220" spans="1:26" ht="14.25" customHeight="1" x14ac:dyDescent="0.3">
      <c r="A220" s="295"/>
      <c r="B220" s="295"/>
      <c r="C220" s="295"/>
      <c r="D220" s="295"/>
      <c r="E220" s="295"/>
      <c r="F220" s="295"/>
      <c r="G220" s="295"/>
      <c r="H220" s="295"/>
      <c r="I220" s="295"/>
      <c r="J220" s="295"/>
      <c r="K220" s="295"/>
      <c r="L220" s="295"/>
      <c r="M220" s="295"/>
      <c r="N220" s="295"/>
      <c r="O220" s="295"/>
      <c r="P220" s="295"/>
      <c r="Q220" s="295"/>
      <c r="R220" s="295"/>
      <c r="S220" s="295"/>
      <c r="T220" s="295"/>
      <c r="U220" s="295"/>
      <c r="V220" s="295"/>
      <c r="W220" s="295"/>
      <c r="X220" s="295"/>
      <c r="Y220" s="295"/>
      <c r="Z220" s="295"/>
    </row>
    <row r="221" spans="1:26" ht="14.25" customHeight="1" x14ac:dyDescent="0.3">
      <c r="A221" s="295"/>
      <c r="B221" s="295"/>
      <c r="C221" s="295"/>
      <c r="D221" s="295"/>
      <c r="E221" s="295"/>
      <c r="F221" s="295"/>
      <c r="G221" s="295"/>
      <c r="H221" s="295"/>
      <c r="I221" s="295"/>
      <c r="J221" s="295"/>
      <c r="K221" s="295"/>
      <c r="L221" s="295"/>
      <c r="M221" s="295"/>
      <c r="N221" s="295"/>
      <c r="O221" s="295"/>
      <c r="P221" s="295"/>
      <c r="Q221" s="295"/>
      <c r="R221" s="295"/>
      <c r="S221" s="295"/>
      <c r="T221" s="295"/>
      <c r="U221" s="295"/>
      <c r="V221" s="295"/>
      <c r="W221" s="295"/>
      <c r="X221" s="295"/>
      <c r="Y221" s="295"/>
      <c r="Z221" s="295"/>
    </row>
    <row r="222" spans="1:26" ht="14.25" customHeight="1" x14ac:dyDescent="0.3">
      <c r="A222" s="295"/>
      <c r="B222" s="295"/>
      <c r="C222" s="295"/>
      <c r="D222" s="295"/>
      <c r="E222" s="295"/>
      <c r="F222" s="295"/>
      <c r="G222" s="295"/>
      <c r="H222" s="295"/>
      <c r="I222" s="295"/>
      <c r="J222" s="295"/>
      <c r="K222" s="295"/>
      <c r="L222" s="295"/>
      <c r="M222" s="295"/>
      <c r="N222" s="295"/>
      <c r="O222" s="295"/>
      <c r="P222" s="295"/>
      <c r="Q222" s="295"/>
      <c r="R222" s="295"/>
      <c r="S222" s="295"/>
      <c r="T222" s="295"/>
      <c r="U222" s="295"/>
      <c r="V222" s="295"/>
      <c r="W222" s="295"/>
      <c r="X222" s="295"/>
      <c r="Y222" s="295"/>
      <c r="Z222" s="295"/>
    </row>
    <row r="223" spans="1:26" ht="14.25" customHeight="1" x14ac:dyDescent="0.3">
      <c r="A223" s="295"/>
      <c r="B223" s="295"/>
      <c r="C223" s="295"/>
      <c r="D223" s="295"/>
      <c r="E223" s="295"/>
      <c r="F223" s="295"/>
      <c r="G223" s="295"/>
      <c r="H223" s="295"/>
      <c r="I223" s="295"/>
      <c r="J223" s="295"/>
      <c r="K223" s="295"/>
      <c r="L223" s="295"/>
      <c r="M223" s="295"/>
      <c r="N223" s="295"/>
      <c r="O223" s="295"/>
      <c r="P223" s="295"/>
      <c r="Q223" s="295"/>
      <c r="R223" s="295"/>
      <c r="S223" s="295"/>
      <c r="T223" s="295"/>
      <c r="U223" s="295"/>
      <c r="V223" s="295"/>
      <c r="W223" s="295"/>
      <c r="X223" s="295"/>
      <c r="Y223" s="295"/>
      <c r="Z223" s="295"/>
    </row>
    <row r="224" spans="1:26" ht="14.25" customHeight="1" x14ac:dyDescent="0.3">
      <c r="A224" s="295"/>
      <c r="B224" s="295"/>
      <c r="C224" s="295"/>
      <c r="D224" s="295"/>
      <c r="E224" s="295"/>
      <c r="F224" s="295"/>
      <c r="G224" s="295"/>
      <c r="H224" s="295"/>
      <c r="I224" s="295"/>
      <c r="J224" s="295"/>
      <c r="K224" s="295"/>
      <c r="L224" s="295"/>
      <c r="M224" s="295"/>
      <c r="N224" s="295"/>
      <c r="O224" s="295"/>
      <c r="P224" s="295"/>
      <c r="Q224" s="295"/>
      <c r="R224" s="295"/>
      <c r="S224" s="295"/>
      <c r="T224" s="295"/>
      <c r="U224" s="295"/>
      <c r="V224" s="295"/>
      <c r="W224" s="295"/>
      <c r="X224" s="295"/>
      <c r="Y224" s="295"/>
      <c r="Z224" s="295"/>
    </row>
    <row r="225" spans="1:26" ht="14.25" customHeight="1" x14ac:dyDescent="0.3">
      <c r="A225" s="295"/>
      <c r="B225" s="295"/>
      <c r="C225" s="295"/>
      <c r="D225" s="295"/>
      <c r="E225" s="295"/>
      <c r="F225" s="295"/>
      <c r="G225" s="295"/>
      <c r="H225" s="295"/>
      <c r="I225" s="295"/>
      <c r="J225" s="295"/>
      <c r="K225" s="295"/>
      <c r="L225" s="295"/>
      <c r="M225" s="295"/>
      <c r="N225" s="295"/>
      <c r="O225" s="295"/>
      <c r="P225" s="295"/>
      <c r="Q225" s="295"/>
      <c r="R225" s="295"/>
      <c r="S225" s="295"/>
      <c r="T225" s="295"/>
      <c r="U225" s="295"/>
      <c r="V225" s="295"/>
      <c r="W225" s="295"/>
      <c r="X225" s="295"/>
      <c r="Y225" s="295"/>
      <c r="Z225" s="295"/>
    </row>
    <row r="226" spans="1:26" ht="14.25" customHeight="1" x14ac:dyDescent="0.3">
      <c r="A226" s="295"/>
      <c r="B226" s="295"/>
      <c r="C226" s="295"/>
      <c r="D226" s="295"/>
      <c r="E226" s="295"/>
      <c r="F226" s="295"/>
      <c r="G226" s="295"/>
      <c r="H226" s="295"/>
      <c r="I226" s="295"/>
      <c r="J226" s="295"/>
      <c r="K226" s="295"/>
      <c r="L226" s="295"/>
      <c r="M226" s="295"/>
      <c r="N226" s="295"/>
      <c r="O226" s="295"/>
      <c r="P226" s="295"/>
      <c r="Q226" s="295"/>
      <c r="R226" s="295"/>
      <c r="S226" s="295"/>
      <c r="T226" s="295"/>
      <c r="U226" s="295"/>
      <c r="V226" s="295"/>
      <c r="W226" s="295"/>
      <c r="X226" s="295"/>
      <c r="Y226" s="295"/>
      <c r="Z226" s="295"/>
    </row>
    <row r="227" spans="1:26" ht="14.25" customHeight="1" x14ac:dyDescent="0.3">
      <c r="A227" s="295"/>
      <c r="B227" s="295"/>
      <c r="C227" s="295"/>
      <c r="D227" s="295"/>
      <c r="E227" s="295"/>
      <c r="F227" s="295"/>
      <c r="G227" s="295"/>
      <c r="H227" s="295"/>
      <c r="I227" s="295"/>
      <c r="J227" s="295"/>
      <c r="K227" s="295"/>
      <c r="L227" s="295"/>
      <c r="M227" s="295"/>
      <c r="N227" s="295"/>
      <c r="O227" s="295"/>
      <c r="P227" s="295"/>
      <c r="Q227" s="295"/>
      <c r="R227" s="295"/>
      <c r="S227" s="295"/>
      <c r="T227" s="295"/>
      <c r="U227" s="295"/>
      <c r="V227" s="295"/>
      <c r="W227" s="295"/>
      <c r="X227" s="295"/>
      <c r="Y227" s="295"/>
      <c r="Z227" s="295"/>
    </row>
    <row r="228" spans="1:26" ht="14.25" customHeight="1" x14ac:dyDescent="0.3">
      <c r="A228" s="295"/>
      <c r="B228" s="295"/>
      <c r="C228" s="295"/>
      <c r="D228" s="295"/>
      <c r="E228" s="295"/>
      <c r="F228" s="295"/>
      <c r="G228" s="295"/>
      <c r="H228" s="295"/>
      <c r="I228" s="295"/>
      <c r="J228" s="295"/>
      <c r="K228" s="295"/>
      <c r="L228" s="295"/>
      <c r="M228" s="295"/>
      <c r="N228" s="295"/>
      <c r="O228" s="295"/>
      <c r="P228" s="295"/>
      <c r="Q228" s="295"/>
      <c r="R228" s="295"/>
      <c r="S228" s="295"/>
      <c r="T228" s="295"/>
      <c r="U228" s="295"/>
      <c r="V228" s="295"/>
      <c r="W228" s="295"/>
      <c r="X228" s="295"/>
      <c r="Y228" s="295"/>
      <c r="Z228" s="295"/>
    </row>
    <row r="229" spans="1:26" ht="14.25" customHeight="1" x14ac:dyDescent="0.3">
      <c r="A229" s="295"/>
      <c r="B229" s="295"/>
      <c r="C229" s="295"/>
      <c r="D229" s="295"/>
      <c r="E229" s="295"/>
      <c r="F229" s="295"/>
      <c r="G229" s="295"/>
      <c r="H229" s="295"/>
      <c r="I229" s="295"/>
      <c r="J229" s="295"/>
      <c r="K229" s="295"/>
      <c r="L229" s="295"/>
      <c r="M229" s="295"/>
      <c r="N229" s="295"/>
      <c r="O229" s="295"/>
      <c r="P229" s="295"/>
      <c r="Q229" s="295"/>
      <c r="R229" s="295"/>
      <c r="S229" s="295"/>
      <c r="T229" s="295"/>
      <c r="U229" s="295"/>
      <c r="V229" s="295"/>
      <c r="W229" s="295"/>
      <c r="X229" s="295"/>
      <c r="Y229" s="295"/>
      <c r="Z229" s="295"/>
    </row>
    <row r="230" spans="1:26" ht="14.25" customHeight="1" x14ac:dyDescent="0.3">
      <c r="A230" s="295"/>
      <c r="B230" s="295"/>
      <c r="C230" s="295"/>
      <c r="D230" s="295"/>
      <c r="E230" s="295"/>
      <c r="F230" s="295"/>
      <c r="G230" s="295"/>
      <c r="H230" s="295"/>
      <c r="I230" s="295"/>
      <c r="J230" s="295"/>
      <c r="K230" s="295"/>
      <c r="L230" s="295"/>
      <c r="M230" s="295"/>
      <c r="N230" s="295"/>
      <c r="O230" s="295"/>
      <c r="P230" s="295"/>
      <c r="Q230" s="295"/>
      <c r="R230" s="295"/>
      <c r="S230" s="295"/>
      <c r="T230" s="295"/>
      <c r="U230" s="295"/>
      <c r="V230" s="295"/>
      <c r="W230" s="295"/>
      <c r="X230" s="295"/>
      <c r="Y230" s="295"/>
      <c r="Z230" s="295"/>
    </row>
    <row r="231" spans="1:26" ht="14.25" customHeight="1" x14ac:dyDescent="0.3">
      <c r="A231" s="295"/>
      <c r="B231" s="295"/>
      <c r="C231" s="295"/>
      <c r="D231" s="295"/>
      <c r="E231" s="295"/>
      <c r="F231" s="295"/>
      <c r="G231" s="295"/>
      <c r="H231" s="295"/>
      <c r="I231" s="295"/>
      <c r="J231" s="295"/>
      <c r="K231" s="295"/>
      <c r="L231" s="295"/>
      <c r="M231" s="295"/>
      <c r="N231" s="295"/>
      <c r="O231" s="295"/>
      <c r="P231" s="295"/>
      <c r="Q231" s="295"/>
      <c r="R231" s="295"/>
      <c r="S231" s="295"/>
      <c r="T231" s="295"/>
      <c r="U231" s="295"/>
      <c r="V231" s="295"/>
      <c r="W231" s="295"/>
      <c r="X231" s="295"/>
      <c r="Y231" s="295"/>
      <c r="Z231" s="295"/>
    </row>
    <row r="232" spans="1:26" ht="14.25" customHeight="1" x14ac:dyDescent="0.3">
      <c r="A232" s="295"/>
      <c r="B232" s="295"/>
      <c r="C232" s="295"/>
      <c r="D232" s="295"/>
      <c r="E232" s="295"/>
      <c r="F232" s="295"/>
      <c r="G232" s="295"/>
      <c r="H232" s="295"/>
      <c r="I232" s="295"/>
      <c r="J232" s="295"/>
      <c r="K232" s="295"/>
      <c r="L232" s="295"/>
      <c r="M232" s="295"/>
      <c r="N232" s="295"/>
      <c r="O232" s="295"/>
      <c r="P232" s="295"/>
      <c r="Q232" s="295"/>
      <c r="R232" s="295"/>
      <c r="S232" s="295"/>
      <c r="T232" s="295"/>
      <c r="U232" s="295"/>
      <c r="V232" s="295"/>
      <c r="W232" s="295"/>
      <c r="X232" s="295"/>
      <c r="Y232" s="295"/>
      <c r="Z232" s="295"/>
    </row>
    <row r="233" spans="1:26" ht="14.25" customHeight="1" x14ac:dyDescent="0.3">
      <c r="A233" s="295"/>
      <c r="B233" s="295"/>
      <c r="C233" s="295"/>
      <c r="D233" s="295"/>
      <c r="E233" s="295"/>
      <c r="F233" s="295"/>
      <c r="G233" s="295"/>
      <c r="H233" s="295"/>
      <c r="I233" s="295"/>
      <c r="J233" s="295"/>
      <c r="K233" s="295"/>
      <c r="L233" s="295"/>
      <c r="M233" s="295"/>
      <c r="N233" s="295"/>
      <c r="O233" s="295"/>
      <c r="P233" s="295"/>
      <c r="Q233" s="295"/>
      <c r="R233" s="295"/>
      <c r="S233" s="295"/>
      <c r="T233" s="295"/>
      <c r="U233" s="295"/>
      <c r="V233" s="295"/>
      <c r="W233" s="295"/>
      <c r="X233" s="295"/>
      <c r="Y233" s="295"/>
      <c r="Z233" s="295"/>
    </row>
    <row r="234" spans="1:26" ht="14.25" customHeight="1" x14ac:dyDescent="0.3">
      <c r="A234" s="295"/>
      <c r="B234" s="295"/>
      <c r="C234" s="295"/>
      <c r="D234" s="295"/>
      <c r="E234" s="295"/>
      <c r="F234" s="295"/>
      <c r="G234" s="295"/>
      <c r="H234" s="295"/>
      <c r="I234" s="295"/>
      <c r="J234" s="295"/>
      <c r="K234" s="295"/>
      <c r="L234" s="295"/>
      <c r="M234" s="295"/>
      <c r="N234" s="295"/>
      <c r="O234" s="295"/>
      <c r="P234" s="295"/>
      <c r="Q234" s="295"/>
      <c r="R234" s="295"/>
      <c r="S234" s="295"/>
      <c r="T234" s="295"/>
      <c r="U234" s="295"/>
      <c r="V234" s="295"/>
      <c r="W234" s="295"/>
      <c r="X234" s="295"/>
      <c r="Y234" s="295"/>
      <c r="Z234" s="295"/>
    </row>
    <row r="235" spans="1:26" ht="14.25" customHeight="1" x14ac:dyDescent="0.3">
      <c r="A235" s="295"/>
      <c r="B235" s="295"/>
      <c r="C235" s="295"/>
      <c r="D235" s="295"/>
      <c r="E235" s="295"/>
      <c r="F235" s="295"/>
      <c r="G235" s="295"/>
      <c r="H235" s="295"/>
      <c r="I235" s="295"/>
      <c r="J235" s="295"/>
      <c r="K235" s="295"/>
      <c r="L235" s="295"/>
      <c r="M235" s="295"/>
      <c r="N235" s="295"/>
      <c r="O235" s="295"/>
      <c r="P235" s="295"/>
      <c r="Q235" s="295"/>
      <c r="R235" s="295"/>
      <c r="S235" s="295"/>
      <c r="T235" s="295"/>
      <c r="U235" s="295"/>
      <c r="V235" s="295"/>
      <c r="W235" s="295"/>
      <c r="X235" s="295"/>
      <c r="Y235" s="295"/>
      <c r="Z235" s="295"/>
    </row>
    <row r="236" spans="1:26" ht="14.25" customHeight="1" x14ac:dyDescent="0.3">
      <c r="A236" s="295"/>
      <c r="B236" s="295"/>
      <c r="C236" s="295"/>
      <c r="D236" s="295"/>
      <c r="E236" s="295"/>
      <c r="F236" s="295"/>
      <c r="G236" s="295"/>
      <c r="H236" s="295"/>
      <c r="I236" s="295"/>
      <c r="J236" s="295"/>
      <c r="K236" s="295"/>
      <c r="L236" s="295"/>
      <c r="M236" s="295"/>
      <c r="N236" s="295"/>
      <c r="O236" s="295"/>
      <c r="P236" s="295"/>
      <c r="Q236" s="295"/>
      <c r="R236" s="295"/>
      <c r="S236" s="295"/>
      <c r="T236" s="295"/>
      <c r="U236" s="295"/>
      <c r="V236" s="295"/>
      <c r="W236" s="295"/>
      <c r="X236" s="295"/>
      <c r="Y236" s="295"/>
      <c r="Z236" s="295"/>
    </row>
    <row r="237" spans="1:26" ht="14.25" customHeight="1" x14ac:dyDescent="0.3">
      <c r="A237" s="295"/>
      <c r="B237" s="295"/>
      <c r="C237" s="295"/>
      <c r="D237" s="295"/>
      <c r="E237" s="295"/>
      <c r="F237" s="295"/>
      <c r="G237" s="295"/>
      <c r="H237" s="295"/>
      <c r="I237" s="295"/>
      <c r="J237" s="295"/>
      <c r="K237" s="295"/>
      <c r="L237" s="295"/>
      <c r="M237" s="295"/>
      <c r="N237" s="295"/>
      <c r="O237" s="295"/>
      <c r="P237" s="295"/>
      <c r="Q237" s="295"/>
      <c r="R237" s="295"/>
      <c r="S237" s="295"/>
      <c r="T237" s="295"/>
      <c r="U237" s="295"/>
      <c r="V237" s="295"/>
      <c r="W237" s="295"/>
      <c r="X237" s="295"/>
      <c r="Y237" s="295"/>
      <c r="Z237" s="295"/>
    </row>
    <row r="238" spans="1:26" ht="14.25" customHeight="1" x14ac:dyDescent="0.3">
      <c r="A238" s="295"/>
      <c r="B238" s="295"/>
      <c r="C238" s="295"/>
      <c r="D238" s="295"/>
      <c r="E238" s="295"/>
      <c r="F238" s="295"/>
      <c r="G238" s="295"/>
      <c r="H238" s="295"/>
      <c r="I238" s="295"/>
      <c r="J238" s="295"/>
      <c r="K238" s="295"/>
      <c r="L238" s="295"/>
      <c r="M238" s="295"/>
      <c r="N238" s="295"/>
      <c r="O238" s="295"/>
      <c r="P238" s="295"/>
      <c r="Q238" s="295"/>
      <c r="R238" s="295"/>
      <c r="S238" s="295"/>
      <c r="T238" s="295"/>
      <c r="U238" s="295"/>
      <c r="V238" s="295"/>
      <c r="W238" s="295"/>
      <c r="X238" s="295"/>
      <c r="Y238" s="295"/>
      <c r="Z238" s="295"/>
    </row>
    <row r="239" spans="1:26" ht="14.25" customHeight="1" x14ac:dyDescent="0.3">
      <c r="A239" s="295"/>
      <c r="B239" s="295"/>
      <c r="C239" s="295"/>
      <c r="D239" s="295"/>
      <c r="E239" s="295"/>
      <c r="F239" s="295"/>
      <c r="G239" s="295"/>
      <c r="H239" s="295"/>
      <c r="I239" s="295"/>
      <c r="J239" s="295"/>
      <c r="K239" s="295"/>
      <c r="L239" s="295"/>
      <c r="M239" s="295"/>
      <c r="N239" s="295"/>
      <c r="O239" s="295"/>
      <c r="P239" s="295"/>
      <c r="Q239" s="295"/>
      <c r="R239" s="295"/>
      <c r="S239" s="295"/>
      <c r="T239" s="295"/>
      <c r="U239" s="295"/>
      <c r="V239" s="295"/>
      <c r="W239" s="295"/>
      <c r="X239" s="295"/>
      <c r="Y239" s="295"/>
      <c r="Z239" s="295"/>
    </row>
    <row r="240" spans="1:26" ht="14.25" customHeight="1" x14ac:dyDescent="0.3">
      <c r="A240" s="295"/>
      <c r="B240" s="295"/>
      <c r="C240" s="295"/>
      <c r="D240" s="295"/>
      <c r="E240" s="295"/>
      <c r="F240" s="295"/>
      <c r="G240" s="295"/>
      <c r="H240" s="295"/>
      <c r="I240" s="295"/>
      <c r="J240" s="295"/>
      <c r="K240" s="295"/>
      <c r="L240" s="295"/>
      <c r="M240" s="295"/>
      <c r="N240" s="295"/>
      <c r="O240" s="295"/>
      <c r="P240" s="295"/>
      <c r="Q240" s="295"/>
      <c r="R240" s="295"/>
      <c r="S240" s="295"/>
      <c r="T240" s="295"/>
      <c r="U240" s="295"/>
      <c r="V240" s="295"/>
      <c r="W240" s="295"/>
      <c r="X240" s="295"/>
      <c r="Y240" s="295"/>
      <c r="Z240" s="295"/>
    </row>
    <row r="241" spans="1:26" ht="14.25" customHeight="1" x14ac:dyDescent="0.3">
      <c r="A241" s="295"/>
      <c r="B241" s="295"/>
      <c r="C241" s="295"/>
      <c r="D241" s="295"/>
      <c r="E241" s="295"/>
      <c r="F241" s="295"/>
      <c r="G241" s="295"/>
      <c r="H241" s="295"/>
      <c r="I241" s="295"/>
      <c r="J241" s="295"/>
      <c r="K241" s="295"/>
      <c r="L241" s="295"/>
      <c r="M241" s="295"/>
      <c r="N241" s="295"/>
      <c r="O241" s="295"/>
      <c r="P241" s="295"/>
      <c r="Q241" s="295"/>
      <c r="R241" s="295"/>
      <c r="S241" s="295"/>
      <c r="T241" s="295"/>
      <c r="U241" s="295"/>
      <c r="V241" s="295"/>
      <c r="W241" s="295"/>
      <c r="X241" s="295"/>
      <c r="Y241" s="295"/>
      <c r="Z241" s="295"/>
    </row>
    <row r="242" spans="1:26" ht="14.25" customHeight="1" x14ac:dyDescent="0.3">
      <c r="A242" s="295"/>
      <c r="B242" s="295"/>
      <c r="C242" s="295"/>
      <c r="D242" s="295"/>
      <c r="E242" s="295"/>
      <c r="F242" s="295"/>
      <c r="G242" s="295"/>
      <c r="H242" s="295"/>
      <c r="I242" s="295"/>
      <c r="J242" s="295"/>
      <c r="K242" s="295"/>
      <c r="L242" s="295"/>
      <c r="M242" s="295"/>
      <c r="N242" s="295"/>
      <c r="O242" s="295"/>
      <c r="P242" s="295"/>
      <c r="Q242" s="295"/>
      <c r="R242" s="295"/>
      <c r="S242" s="295"/>
      <c r="T242" s="295"/>
      <c r="U242" s="295"/>
      <c r="V242" s="295"/>
      <c r="W242" s="295"/>
      <c r="X242" s="295"/>
      <c r="Y242" s="295"/>
      <c r="Z242" s="295"/>
    </row>
    <row r="243" spans="1:26" ht="14.25" customHeight="1" x14ac:dyDescent="0.3">
      <c r="A243" s="295"/>
      <c r="B243" s="295"/>
      <c r="C243" s="295"/>
      <c r="D243" s="295"/>
      <c r="E243" s="295"/>
      <c r="F243" s="295"/>
      <c r="G243" s="295"/>
      <c r="H243" s="295"/>
      <c r="I243" s="295"/>
      <c r="J243" s="295"/>
      <c r="K243" s="295"/>
      <c r="L243" s="295"/>
      <c r="M243" s="295"/>
      <c r="N243" s="295"/>
      <c r="O243" s="295"/>
      <c r="P243" s="295"/>
      <c r="Q243" s="295"/>
      <c r="R243" s="295"/>
      <c r="S243" s="295"/>
      <c r="T243" s="295"/>
      <c r="U243" s="295"/>
      <c r="V243" s="295"/>
      <c r="W243" s="295"/>
      <c r="X243" s="295"/>
      <c r="Y243" s="295"/>
      <c r="Z243" s="295"/>
    </row>
    <row r="244" spans="1:26" ht="14.25" customHeight="1" x14ac:dyDescent="0.3">
      <c r="A244" s="295"/>
      <c r="B244" s="295"/>
      <c r="C244" s="295"/>
      <c r="D244" s="295"/>
      <c r="E244" s="295"/>
      <c r="F244" s="295"/>
      <c r="G244" s="295"/>
      <c r="H244" s="295"/>
      <c r="I244" s="295"/>
      <c r="J244" s="295"/>
      <c r="K244" s="295"/>
      <c r="L244" s="295"/>
      <c r="M244" s="295"/>
      <c r="N244" s="295"/>
      <c r="O244" s="295"/>
      <c r="P244" s="295"/>
      <c r="Q244" s="295"/>
      <c r="R244" s="295"/>
      <c r="S244" s="295"/>
      <c r="T244" s="295"/>
      <c r="U244" s="295"/>
      <c r="V244" s="295"/>
      <c r="W244" s="295"/>
      <c r="X244" s="295"/>
      <c r="Y244" s="295"/>
      <c r="Z244" s="295"/>
    </row>
    <row r="245" spans="1:26" ht="15.75" customHeight="1" x14ac:dyDescent="0.3"/>
    <row r="246" spans="1:26" ht="15.75" customHeight="1" x14ac:dyDescent="0.3"/>
    <row r="247" spans="1:26" ht="15.75" customHeight="1" x14ac:dyDescent="0.3"/>
    <row r="248" spans="1:26" ht="15.75" customHeight="1" x14ac:dyDescent="0.3"/>
    <row r="249" spans="1:26" ht="15.75" customHeight="1" x14ac:dyDescent="0.3"/>
    <row r="250" spans="1:26" ht="15.75" customHeight="1" x14ac:dyDescent="0.3"/>
    <row r="251" spans="1:26" ht="15.75" customHeight="1" x14ac:dyDescent="0.3"/>
    <row r="252" spans="1:26" ht="15.75" customHeight="1" x14ac:dyDescent="0.3"/>
    <row r="253" spans="1:26" ht="15.75" customHeight="1" x14ac:dyDescent="0.3"/>
    <row r="254" spans="1:26" ht="15.75" customHeight="1" x14ac:dyDescent="0.3"/>
    <row r="255" spans="1:26" ht="15.75" customHeight="1" x14ac:dyDescent="0.3"/>
    <row r="256" spans="1:2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3">
    <mergeCell ref="A41:B41"/>
    <mergeCell ref="A10:A12"/>
    <mergeCell ref="A39:D39"/>
    <mergeCell ref="C17:E17"/>
    <mergeCell ref="A40:B40"/>
    <mergeCell ref="A30:E30"/>
    <mergeCell ref="B14:D14"/>
    <mergeCell ref="A17:A19"/>
    <mergeCell ref="C31:E31"/>
    <mergeCell ref="B24:B26"/>
    <mergeCell ref="B28:D28"/>
    <mergeCell ref="A24:A26"/>
    <mergeCell ref="A31:A33"/>
    <mergeCell ref="C32:E32"/>
    <mergeCell ref="B31:B33"/>
    <mergeCell ref="C11:E11"/>
    <mergeCell ref="A16:E16"/>
    <mergeCell ref="A2:E2"/>
    <mergeCell ref="B35:D35"/>
    <mergeCell ref="C18:E18"/>
    <mergeCell ref="C3:E3"/>
    <mergeCell ref="A23:E23"/>
    <mergeCell ref="B7:D7"/>
    <mergeCell ref="C24:E24"/>
    <mergeCell ref="B17:B19"/>
    <mergeCell ref="B10:B12"/>
    <mergeCell ref="A3:A5"/>
    <mergeCell ref="C4:E4"/>
    <mergeCell ref="B21:D21"/>
    <mergeCell ref="A9:E9"/>
    <mergeCell ref="C25:E25"/>
    <mergeCell ref="C10:E10"/>
    <mergeCell ref="B3:B5"/>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CC"/>
  </sheetPr>
  <dimension ref="A1:AP1000"/>
  <sheetViews>
    <sheetView showGridLines="0" topLeftCell="A69" workbookViewId="0"/>
  </sheetViews>
  <sheetFormatPr baseColWidth="10" defaultColWidth="12.6640625" defaultRowHeight="15" customHeight="1" outlineLevelRow="1" outlineLevelCol="1" x14ac:dyDescent="0.3"/>
  <cols>
    <col min="1" max="1" width="5.44140625" customWidth="1"/>
    <col min="2" max="2" width="15" customWidth="1"/>
    <col min="3" max="6" width="14" customWidth="1"/>
    <col min="7" max="8" width="12.21875" customWidth="1"/>
    <col min="9" max="9" width="11.44140625" customWidth="1"/>
    <col min="10" max="10" width="11.21875" customWidth="1"/>
    <col min="11" max="11" width="11" customWidth="1"/>
    <col min="12" max="12" width="11.33203125" customWidth="1"/>
    <col min="13" max="16" width="8.33203125" customWidth="1"/>
    <col min="17" max="32" width="11.109375" customWidth="1" outlineLevel="1"/>
    <col min="33" max="40" width="11.109375" customWidth="1"/>
    <col min="41" max="41" width="14.88671875" customWidth="1"/>
  </cols>
  <sheetData>
    <row r="1" spans="1:42" ht="14.25" hidden="1" customHeight="1" outlineLevel="1" x14ac:dyDescent="0.3">
      <c r="A1" s="324"/>
      <c r="B1" s="324"/>
      <c r="C1" s="324"/>
      <c r="D1" s="324"/>
      <c r="E1" s="324"/>
      <c r="F1" s="324"/>
      <c r="G1" s="324"/>
      <c r="H1" s="324"/>
      <c r="I1" s="324"/>
      <c r="J1" s="324"/>
      <c r="K1" s="1142">
        <v>45957</v>
      </c>
      <c r="L1" s="1103"/>
      <c r="M1" s="1142">
        <f>+K1+30</f>
        <v>45987</v>
      </c>
      <c r="N1" s="1103"/>
      <c r="O1" s="1142">
        <f>+M1+30</f>
        <v>46017</v>
      </c>
      <c r="P1" s="1103"/>
      <c r="Q1" s="1142">
        <f>+O1+30</f>
        <v>46047</v>
      </c>
      <c r="R1" s="1103"/>
      <c r="S1" s="1130">
        <f>+Q1+30</f>
        <v>46077</v>
      </c>
      <c r="T1" s="1120"/>
      <c r="U1" s="1130">
        <f>+S1+30</f>
        <v>46107</v>
      </c>
      <c r="V1" s="1120"/>
      <c r="W1" s="1130">
        <v>46142</v>
      </c>
      <c r="X1" s="1120"/>
      <c r="Y1" s="1130">
        <v>46172</v>
      </c>
      <c r="Z1" s="1120"/>
      <c r="AA1" s="1130">
        <v>46202</v>
      </c>
      <c r="AB1" s="1120"/>
      <c r="AC1" s="1130">
        <v>46232</v>
      </c>
      <c r="AD1" s="1120"/>
      <c r="AE1" s="1130">
        <v>46262</v>
      </c>
      <c r="AF1" s="1120"/>
      <c r="AG1" s="1130">
        <v>46292</v>
      </c>
      <c r="AH1" s="1120"/>
      <c r="AI1" s="1130">
        <v>46322</v>
      </c>
      <c r="AJ1" s="1120"/>
      <c r="AK1" s="1130">
        <v>46352</v>
      </c>
      <c r="AL1" s="1120"/>
      <c r="AM1" s="1130">
        <v>46382</v>
      </c>
      <c r="AN1" s="1120"/>
      <c r="AO1" s="324"/>
      <c r="AP1" s="324"/>
    </row>
    <row r="2" spans="1:42" ht="14.25" hidden="1" customHeight="1" outlineLevel="1" x14ac:dyDescent="0.3">
      <c r="A2" s="324"/>
      <c r="B2" s="324"/>
      <c r="C2" s="324"/>
      <c r="D2" s="324"/>
      <c r="E2" s="324"/>
      <c r="F2" s="1194" t="s">
        <v>2098</v>
      </c>
      <c r="G2" s="1103"/>
      <c r="H2" s="1103"/>
      <c r="I2" s="1103"/>
      <c r="J2" s="1103"/>
      <c r="K2" s="1121"/>
      <c r="L2" s="1143"/>
      <c r="M2" s="1121"/>
      <c r="N2" s="1143"/>
      <c r="O2" s="1121"/>
      <c r="P2" s="1143"/>
      <c r="Q2" s="1121"/>
      <c r="R2" s="1143"/>
      <c r="S2" s="1121"/>
      <c r="T2" s="1122"/>
      <c r="U2" s="1121"/>
      <c r="V2" s="1122"/>
      <c r="W2" s="1121"/>
      <c r="X2" s="1122"/>
      <c r="Y2" s="1121"/>
      <c r="Z2" s="1122"/>
      <c r="AA2" s="1121"/>
      <c r="AB2" s="1122"/>
      <c r="AC2" s="1121"/>
      <c r="AD2" s="1122"/>
      <c r="AE2" s="1121"/>
      <c r="AF2" s="1122"/>
      <c r="AG2" s="1121"/>
      <c r="AH2" s="1122"/>
      <c r="AI2" s="1121"/>
      <c r="AJ2" s="1122"/>
      <c r="AK2" s="1121"/>
      <c r="AL2" s="1122"/>
      <c r="AM2" s="1121"/>
      <c r="AN2" s="1122"/>
      <c r="AO2" s="324"/>
      <c r="AP2" s="324"/>
    </row>
    <row r="3" spans="1:42" ht="14.25" hidden="1" customHeight="1" outlineLevel="1" x14ac:dyDescent="0.3">
      <c r="A3" s="324"/>
      <c r="B3" s="324"/>
      <c r="C3" s="324"/>
      <c r="D3" s="324"/>
      <c r="E3" s="324"/>
      <c r="F3" s="1185" t="s">
        <v>2104</v>
      </c>
      <c r="G3" s="1088"/>
      <c r="H3" s="946" t="s">
        <v>2105</v>
      </c>
      <c r="I3" s="947">
        <v>25001</v>
      </c>
      <c r="J3" s="1196" t="s">
        <v>2091</v>
      </c>
      <c r="K3" s="946" t="s">
        <v>2105</v>
      </c>
      <c r="L3" s="947">
        <v>25001</v>
      </c>
      <c r="M3" s="946" t="s">
        <v>2105</v>
      </c>
      <c r="N3" s="947">
        <v>25001</v>
      </c>
      <c r="O3" s="946" t="s">
        <v>2105</v>
      </c>
      <c r="P3" s="947">
        <v>25001</v>
      </c>
      <c r="Q3" s="946" t="s">
        <v>2105</v>
      </c>
      <c r="R3" s="947">
        <v>25001</v>
      </c>
      <c r="S3" s="946" t="s">
        <v>2105</v>
      </c>
      <c r="T3" s="947">
        <v>25001</v>
      </c>
      <c r="U3" s="946" t="s">
        <v>2105</v>
      </c>
      <c r="V3" s="947">
        <v>25001</v>
      </c>
      <c r="W3" s="946" t="s">
        <v>2105</v>
      </c>
      <c r="X3" s="947">
        <v>25001</v>
      </c>
      <c r="Y3" s="946" t="s">
        <v>2105</v>
      </c>
      <c r="Z3" s="947">
        <v>25001</v>
      </c>
      <c r="AA3" s="946" t="s">
        <v>2105</v>
      </c>
      <c r="AB3" s="947">
        <v>25001</v>
      </c>
      <c r="AC3" s="946" t="s">
        <v>2105</v>
      </c>
      <c r="AD3" s="947">
        <v>25001</v>
      </c>
      <c r="AE3" s="946" t="s">
        <v>2105</v>
      </c>
      <c r="AF3" s="947">
        <v>25001</v>
      </c>
      <c r="AG3" s="946" t="s">
        <v>2105</v>
      </c>
      <c r="AH3" s="947">
        <v>25001</v>
      </c>
      <c r="AI3" s="946" t="s">
        <v>2105</v>
      </c>
      <c r="AJ3" s="947">
        <v>25001</v>
      </c>
      <c r="AK3" s="946" t="s">
        <v>2105</v>
      </c>
      <c r="AL3" s="947">
        <v>25001</v>
      </c>
      <c r="AM3" s="946" t="s">
        <v>2105</v>
      </c>
      <c r="AN3" s="947">
        <v>25001</v>
      </c>
      <c r="AO3" s="324"/>
      <c r="AP3" s="324"/>
    </row>
    <row r="4" spans="1:42" ht="14.25" hidden="1" customHeight="1" outlineLevel="1" x14ac:dyDescent="0.3">
      <c r="A4" s="324"/>
      <c r="B4" s="324"/>
      <c r="C4" s="324"/>
      <c r="D4" s="324"/>
      <c r="E4" s="324"/>
      <c r="F4" s="1185" t="s">
        <v>2110</v>
      </c>
      <c r="G4" s="1088"/>
      <c r="H4" s="948">
        <v>74.806451999999993</v>
      </c>
      <c r="I4" s="948">
        <v>63.909655999999998</v>
      </c>
      <c r="J4" s="1148"/>
      <c r="K4" s="949">
        <f>+H4*$K$55</f>
        <v>79.307300453580595</v>
      </c>
      <c r="L4" s="949">
        <f>+I4*$K$55</f>
        <v>67.754881494406121</v>
      </c>
      <c r="M4" s="949">
        <f>+K4</f>
        <v>79.307300453580595</v>
      </c>
      <c r="N4" s="949">
        <f>+L4</f>
        <v>67.754881494406121</v>
      </c>
      <c r="O4" s="949">
        <f>+M4</f>
        <v>79.307300453580595</v>
      </c>
      <c r="P4" s="949">
        <f>+N4</f>
        <v>67.754881494406121</v>
      </c>
      <c r="Q4" s="949">
        <f>+O4*Q55</f>
        <v>84.409075645919046</v>
      </c>
      <c r="R4" s="949">
        <f>+P4*Q55</f>
        <v>72.11349881703606</v>
      </c>
      <c r="S4" s="949">
        <f>+Q4</f>
        <v>84.409075645919046</v>
      </c>
      <c r="T4" s="949">
        <f>+R4</f>
        <v>72.11349881703606</v>
      </c>
      <c r="U4" s="949">
        <f>+S4</f>
        <v>84.409075645919046</v>
      </c>
      <c r="V4" s="949">
        <f>+T4</f>
        <v>72.11349881703606</v>
      </c>
      <c r="W4" s="949">
        <f>+U4*W55</f>
        <v>88.264745056676674</v>
      </c>
      <c r="X4" s="949">
        <f>+V4*W55</f>
        <v>75.407526258562655</v>
      </c>
      <c r="Y4" s="949">
        <f>+W4</f>
        <v>88.264745056676674</v>
      </c>
      <c r="Z4" s="949">
        <f>+X4</f>
        <v>75.407526258562655</v>
      </c>
      <c r="AA4" s="949">
        <f>+Y4</f>
        <v>88.264745056676674</v>
      </c>
      <c r="AB4" s="949">
        <f>+Z4</f>
        <v>75.407526258562655</v>
      </c>
      <c r="AC4" s="949">
        <f>+AA4*AC55</f>
        <v>92.296535180654914</v>
      </c>
      <c r="AD4" s="949">
        <f>+AB4*AC55</f>
        <v>78.852019520823603</v>
      </c>
      <c r="AE4" s="949">
        <f>+AC4</f>
        <v>92.296535180654914</v>
      </c>
      <c r="AF4" s="949">
        <f>+AD4</f>
        <v>78.852019520823603</v>
      </c>
      <c r="AG4" s="949">
        <f>+AE4</f>
        <v>92.296535180654914</v>
      </c>
      <c r="AH4" s="949">
        <f>+AF4</f>
        <v>78.852019520823603</v>
      </c>
      <c r="AI4" s="949">
        <f>+AG4*AI55</f>
        <v>96.512490925837525</v>
      </c>
      <c r="AJ4" s="949">
        <f>+AH4*AI55</f>
        <v>82.453851638003073</v>
      </c>
      <c r="AK4" s="949">
        <f>+AI4</f>
        <v>96.512490925837525</v>
      </c>
      <c r="AL4" s="949">
        <f>+AJ4</f>
        <v>82.453851638003073</v>
      </c>
      <c r="AM4" s="949">
        <f>+AK4</f>
        <v>96.512490925837525</v>
      </c>
      <c r="AN4" s="949">
        <f>+AL4</f>
        <v>82.453851638003073</v>
      </c>
      <c r="AO4" s="324"/>
      <c r="AP4" s="324"/>
    </row>
    <row r="5" spans="1:42" ht="14.25" hidden="1" customHeight="1" outlineLevel="1" x14ac:dyDescent="0.3">
      <c r="A5" s="324"/>
      <c r="B5" s="324"/>
      <c r="C5" s="324"/>
      <c r="D5" s="324"/>
      <c r="E5" s="324"/>
      <c r="F5" s="950" t="s">
        <v>2107</v>
      </c>
      <c r="G5" s="950" t="s">
        <v>2089</v>
      </c>
      <c r="H5" s="950" t="s">
        <v>2108</v>
      </c>
      <c r="I5" s="951" t="s">
        <v>2108</v>
      </c>
      <c r="J5" s="1121"/>
      <c r="K5" s="952">
        <v>1.05</v>
      </c>
      <c r="L5" s="953" t="s">
        <v>2111</v>
      </c>
      <c r="M5" s="952">
        <v>1.1000000000000001</v>
      </c>
      <c r="N5" s="953" t="s">
        <v>2111</v>
      </c>
      <c r="O5" s="952">
        <v>1.2</v>
      </c>
      <c r="P5" s="953" t="s">
        <v>2111</v>
      </c>
      <c r="Q5" s="952">
        <v>1.2</v>
      </c>
      <c r="R5" s="953" t="s">
        <v>2111</v>
      </c>
      <c r="S5" s="952">
        <v>1.1000000000000001</v>
      </c>
      <c r="T5" s="953" t="s">
        <v>2111</v>
      </c>
      <c r="U5" s="952">
        <v>1</v>
      </c>
      <c r="V5" s="953" t="s">
        <v>2111</v>
      </c>
      <c r="W5" s="952">
        <v>1</v>
      </c>
      <c r="X5" s="953" t="s">
        <v>2111</v>
      </c>
      <c r="Y5" s="952">
        <v>1</v>
      </c>
      <c r="Z5" s="953" t="s">
        <v>2111</v>
      </c>
      <c r="AA5" s="952">
        <v>1</v>
      </c>
      <c r="AB5" s="953" t="s">
        <v>2111</v>
      </c>
      <c r="AC5" s="952">
        <v>1</v>
      </c>
      <c r="AD5" s="953" t="s">
        <v>2111</v>
      </c>
      <c r="AE5" s="952">
        <v>1</v>
      </c>
      <c r="AF5" s="953" t="s">
        <v>2111</v>
      </c>
      <c r="AG5" s="952">
        <v>1</v>
      </c>
      <c r="AH5" s="953" t="s">
        <v>2111</v>
      </c>
      <c r="AI5" s="952">
        <v>1.05</v>
      </c>
      <c r="AJ5" s="953" t="s">
        <v>2111</v>
      </c>
      <c r="AK5" s="952">
        <v>1.1000000000000001</v>
      </c>
      <c r="AL5" s="953" t="s">
        <v>2111</v>
      </c>
      <c r="AM5" s="952">
        <v>1.2</v>
      </c>
      <c r="AN5" s="953" t="s">
        <v>2111</v>
      </c>
      <c r="AO5" s="324"/>
      <c r="AP5" s="324"/>
    </row>
    <row r="6" spans="1:42" ht="14.25" hidden="1" customHeight="1" outlineLevel="1" x14ac:dyDescent="0.3">
      <c r="A6" s="324"/>
      <c r="B6" s="324"/>
      <c r="C6" s="324"/>
      <c r="D6" s="324"/>
      <c r="E6" s="324"/>
      <c r="F6" s="954">
        <v>5010</v>
      </c>
      <c r="G6" s="955" t="s">
        <v>2112</v>
      </c>
      <c r="H6" s="956">
        <v>25000</v>
      </c>
      <c r="I6" s="956">
        <v>20579</v>
      </c>
      <c r="J6" s="957">
        <f>(H6*H4)+I6*I4</f>
        <v>3185358.1108240001</v>
      </c>
      <c r="K6" s="958">
        <f>+H6*$K$4</f>
        <v>1982682.511339515</v>
      </c>
      <c r="L6" s="959">
        <f>(((H6+I6)*$K$5)-H6)*$L$4</f>
        <v>1548737.6934550607</v>
      </c>
      <c r="M6" s="958">
        <f>+H6*$M$4</f>
        <v>1982682.511339515</v>
      </c>
      <c r="N6" s="959">
        <f>(((H6+I6)*$M$5)-H6)*$N$4</f>
        <v>1703147.6806367373</v>
      </c>
      <c r="O6" s="958">
        <f>+H6*$O$4</f>
        <v>1982682.511339515</v>
      </c>
      <c r="P6" s="959">
        <f>(((H6+I6)*$O$5)-H6)*$P$4</f>
        <v>2011967.6550000906</v>
      </c>
      <c r="Q6" s="958">
        <f>+H6*$Q$4</f>
        <v>2110226.8911479763</v>
      </c>
      <c r="R6" s="959">
        <f>(((H6+I6)*$Q$5)-H6)*$R$4</f>
        <v>2141395.9246721221</v>
      </c>
      <c r="S6" s="958">
        <f>+H6*$S$4</f>
        <v>2110226.8911479763</v>
      </c>
      <c r="T6" s="959">
        <f>(((H6+I6)*$S$5)-H6)*$T$4</f>
        <v>1812709.8084139538</v>
      </c>
      <c r="U6" s="958">
        <f>+$H$6*$U$4</f>
        <v>2110226.8911479763</v>
      </c>
      <c r="V6" s="959">
        <f>+$I$6*V4</f>
        <v>1484023.6921557852</v>
      </c>
      <c r="W6" s="958">
        <f>+$H$6*W4</f>
        <v>2206618.626416917</v>
      </c>
      <c r="X6" s="959">
        <f>+$I$6*X4</f>
        <v>1551811.4828749609</v>
      </c>
      <c r="Y6" s="958">
        <f>+$H$6*Y4</f>
        <v>2206618.626416917</v>
      </c>
      <c r="Z6" s="959">
        <f>+$I$6*Z4</f>
        <v>1551811.4828749609</v>
      </c>
      <c r="AA6" s="958">
        <f>+$H$6*AA4</f>
        <v>2206618.626416917</v>
      </c>
      <c r="AB6" s="959">
        <f>+$I$6*AB4</f>
        <v>1551811.4828749609</v>
      </c>
      <c r="AC6" s="958">
        <f>+$H$6*AC4</f>
        <v>2307413.3795163729</v>
      </c>
      <c r="AD6" s="959">
        <f>+$I$6*AD4</f>
        <v>1622695.709719029</v>
      </c>
      <c r="AE6" s="958">
        <f>+$H$6*AE4</f>
        <v>2307413.3795163729</v>
      </c>
      <c r="AF6" s="959">
        <f>+$I$6*AF4</f>
        <v>1622695.709719029</v>
      </c>
      <c r="AG6" s="958">
        <f>+$H$6*AG4</f>
        <v>2307413.3795163729</v>
      </c>
      <c r="AH6" s="959">
        <f>+$I$6*AH4</f>
        <v>1622695.709719029</v>
      </c>
      <c r="AI6" s="958">
        <f>+H6*$AI$4</f>
        <v>2412812.2731459383</v>
      </c>
      <c r="AJ6" s="959">
        <f>(((H6+I6)*$AI$5)-H6)*$AJ$4</f>
        <v>1884726.0180488927</v>
      </c>
      <c r="AK6" s="958">
        <f>+H6*$AK$4</f>
        <v>2412812.2731459383</v>
      </c>
      <c r="AL6" s="959">
        <f>(((H6+I6)*$AK$5)-H6)*$AL$4</f>
        <v>2072634.2232393196</v>
      </c>
      <c r="AM6" s="958">
        <f>+H6*$AM$4</f>
        <v>2412812.2731459383</v>
      </c>
      <c r="AN6" s="959">
        <f>(((H6+I6)*$AM$5)-H6)*$AN$4</f>
        <v>2448450.6336201732</v>
      </c>
      <c r="AO6" s="324"/>
      <c r="AP6" s="324"/>
    </row>
    <row r="7" spans="1:42" ht="14.25" hidden="1" customHeight="1" outlineLevel="1" x14ac:dyDescent="0.3">
      <c r="A7" s="324"/>
      <c r="B7" s="324"/>
      <c r="C7" s="324"/>
      <c r="D7" s="324"/>
      <c r="E7" s="324"/>
      <c r="F7" s="954">
        <v>5020</v>
      </c>
      <c r="G7" s="955" t="s">
        <v>2113</v>
      </c>
      <c r="H7" s="956">
        <v>21072</v>
      </c>
      <c r="I7" s="956">
        <v>0</v>
      </c>
      <c r="J7" s="960">
        <f>(H7*H4)+I7*I4</f>
        <v>1576321.5565439998</v>
      </c>
      <c r="K7" s="961">
        <f>+H7*$K$5*$K$4</f>
        <v>1754721.6069157431</v>
      </c>
      <c r="L7" s="962"/>
      <c r="M7" s="961">
        <f>+H7*$M$5*$M$4</f>
        <v>1838279.7786736353</v>
      </c>
      <c r="N7" s="962"/>
      <c r="O7" s="961">
        <f>+H7*$O$5*$O$4</f>
        <v>2005396.1221894203</v>
      </c>
      <c r="P7" s="962"/>
      <c r="Q7" s="961">
        <f>+H7*$Q$5*$Q$4</f>
        <v>2134401.650412967</v>
      </c>
      <c r="R7" s="962"/>
      <c r="S7" s="961">
        <f>+H7*$S$5*$S$4</f>
        <v>1956534.8462118867</v>
      </c>
      <c r="T7" s="962"/>
      <c r="U7" s="961">
        <f>+$H$7*U4</f>
        <v>1778668.042010806</v>
      </c>
      <c r="V7" s="962"/>
      <c r="W7" s="961">
        <f>+$H$7*W4</f>
        <v>1859914.7078342908</v>
      </c>
      <c r="X7" s="962"/>
      <c r="Y7" s="961">
        <f>+$H$7*Y4</f>
        <v>1859914.7078342908</v>
      </c>
      <c r="Z7" s="962"/>
      <c r="AA7" s="961">
        <f>+$H$7*AA4</f>
        <v>1859914.7078342908</v>
      </c>
      <c r="AB7" s="962"/>
      <c r="AC7" s="961">
        <f>+$H$7*AC4</f>
        <v>1944872.5893267603</v>
      </c>
      <c r="AD7" s="962"/>
      <c r="AE7" s="961">
        <f>+$H$7*AE4</f>
        <v>1944872.5893267603</v>
      </c>
      <c r="AF7" s="962"/>
      <c r="AG7" s="961">
        <f>+$H$7*AG4</f>
        <v>1944872.5893267603</v>
      </c>
      <c r="AH7" s="962"/>
      <c r="AI7" s="961">
        <f>+H7*$AI$5*$AI$4</f>
        <v>2135396.7692287108</v>
      </c>
      <c r="AJ7" s="962"/>
      <c r="AK7" s="961">
        <f>+H7*$AK$5*$AK$4</f>
        <v>2237082.3296681731</v>
      </c>
      <c r="AL7" s="962"/>
      <c r="AM7" s="961">
        <f>+H7*$AM$5*$AM$4</f>
        <v>2440453.4505470977</v>
      </c>
      <c r="AN7" s="962"/>
      <c r="AO7" s="324"/>
      <c r="AP7" s="324"/>
    </row>
    <row r="8" spans="1:42" ht="14.25" hidden="1" customHeight="1" outlineLevel="1" x14ac:dyDescent="0.3">
      <c r="A8" s="324"/>
      <c r="B8" s="324"/>
      <c r="C8" s="324"/>
      <c r="D8" s="324"/>
      <c r="E8" s="324"/>
      <c r="F8" s="954">
        <v>5022</v>
      </c>
      <c r="G8" s="955" t="s">
        <v>2114</v>
      </c>
      <c r="H8" s="956">
        <v>1567</v>
      </c>
      <c r="I8" s="956">
        <v>0</v>
      </c>
      <c r="J8" s="960">
        <f>(H8*H4)+I8*I4</f>
        <v>117221.71028399999</v>
      </c>
      <c r="K8" s="961">
        <f>+H8*$K$5*$K$4</f>
        <v>130488.26680129884</v>
      </c>
      <c r="L8" s="962"/>
      <c r="M8" s="961">
        <f>+H8*$M$5*$M$4</f>
        <v>136701.99379183687</v>
      </c>
      <c r="N8" s="962"/>
      <c r="O8" s="961">
        <f>+H8*$O$5*$O$4</f>
        <v>149129.44777291294</v>
      </c>
      <c r="P8" s="962"/>
      <c r="Q8" s="961">
        <f>+H8*$Q$5*$Q$4</f>
        <v>158722.82584458616</v>
      </c>
      <c r="R8" s="962"/>
      <c r="S8" s="961">
        <f>+H8*$S$5*$S$4</f>
        <v>145495.92369087067</v>
      </c>
      <c r="T8" s="962"/>
      <c r="U8" s="961">
        <f>+$H$8*U4</f>
        <v>132269.02153715515</v>
      </c>
      <c r="V8" s="962"/>
      <c r="W8" s="961">
        <f>+$H$8*W4</f>
        <v>138310.85550381234</v>
      </c>
      <c r="X8" s="962"/>
      <c r="Y8" s="961">
        <f>+$H$8*Y4</f>
        <v>138310.85550381234</v>
      </c>
      <c r="Z8" s="962"/>
      <c r="AA8" s="961">
        <f>+$H$8*AA4</f>
        <v>138310.85550381234</v>
      </c>
      <c r="AB8" s="962"/>
      <c r="AC8" s="961">
        <f>+$H$8*AC4</f>
        <v>144628.67062808626</v>
      </c>
      <c r="AD8" s="962"/>
      <c r="AE8" s="961">
        <f>+$H$8*AE4</f>
        <v>144628.67062808626</v>
      </c>
      <c r="AF8" s="962"/>
      <c r="AG8" s="961">
        <f>+$H$8*AG4</f>
        <v>144628.67062808626</v>
      </c>
      <c r="AH8" s="962"/>
      <c r="AI8" s="961">
        <f>+H8*$AI$5*$AI$4</f>
        <v>158796.82694482678</v>
      </c>
      <c r="AJ8" s="962"/>
      <c r="AK8" s="961">
        <f>+H8*$AK$5*$AK$4</f>
        <v>166358.58060886615</v>
      </c>
      <c r="AL8" s="962"/>
      <c r="AM8" s="961">
        <f>+H8*$AM$5*$AM$4</f>
        <v>181482.08793694488</v>
      </c>
      <c r="AN8" s="962"/>
      <c r="AO8" s="324"/>
      <c r="AP8" s="324"/>
    </row>
    <row r="9" spans="1:42" ht="14.25" hidden="1" customHeight="1" outlineLevel="1" x14ac:dyDescent="0.3">
      <c r="A9" s="324"/>
      <c r="B9" s="324"/>
      <c r="C9" s="324"/>
      <c r="D9" s="324"/>
      <c r="E9" s="324"/>
      <c r="F9" s="954">
        <v>5050</v>
      </c>
      <c r="G9" s="955" t="s">
        <v>2115</v>
      </c>
      <c r="H9" s="956">
        <v>25000</v>
      </c>
      <c r="I9" s="956">
        <v>5390</v>
      </c>
      <c r="J9" s="960">
        <f>(H9*H4)+I9*I4</f>
        <v>2214634.3458399996</v>
      </c>
      <c r="K9" s="961">
        <f>+H9*$K$4</f>
        <v>1982682.511339515</v>
      </c>
      <c r="L9" s="962">
        <f>(((H9+I9)*$K$5)-H9)*$L$4</f>
        <v>468152.35368559911</v>
      </c>
      <c r="M9" s="961">
        <f>+H9*$M$4</f>
        <v>1982682.511339515</v>
      </c>
      <c r="N9" s="962">
        <f>(((H9+I9)*$M$5)-H9)*$N$4</f>
        <v>571105.89611634915</v>
      </c>
      <c r="O9" s="961">
        <f>+H9*$O$4</f>
        <v>1982682.511339515</v>
      </c>
      <c r="P9" s="962">
        <f>(((H9+I9)*$O$5)-H9)*$P$4</f>
        <v>777012.98097784934</v>
      </c>
      <c r="Q9" s="961">
        <f>+H9*$Q$4</f>
        <v>2110226.8911479763</v>
      </c>
      <c r="R9" s="962">
        <f>(((H9+I9)*$Q$5)-H9)*$R$4</f>
        <v>826997.60443376959</v>
      </c>
      <c r="S9" s="961">
        <f>+H9*$S$4</f>
        <v>2110226.8911479763</v>
      </c>
      <c r="T9" s="962">
        <f>(((H9+I9)*$S$5)-H9)*$T$4</f>
        <v>607844.68152879691</v>
      </c>
      <c r="U9" s="961">
        <f>+$H$9*U4</f>
        <v>2110226.8911479763</v>
      </c>
      <c r="V9" s="962">
        <f>+$I$9*V4</f>
        <v>388691.75862382434</v>
      </c>
      <c r="W9" s="961">
        <f>+$H$9*W4</f>
        <v>2206618.626416917</v>
      </c>
      <c r="X9" s="962">
        <f>+$I$9*X4</f>
        <v>406446.56653365272</v>
      </c>
      <c r="Y9" s="961">
        <f>+$H$9*Y4</f>
        <v>2206618.626416917</v>
      </c>
      <c r="Z9" s="962">
        <f>+$I$9*Z4</f>
        <v>406446.56653365272</v>
      </c>
      <c r="AA9" s="961">
        <f>+$H$9*AA4</f>
        <v>2206618.626416917</v>
      </c>
      <c r="AB9" s="962">
        <f>+$I$9*AB4</f>
        <v>406446.56653365272</v>
      </c>
      <c r="AC9" s="961">
        <f>+$H$9*AC4</f>
        <v>2307413.3795163729</v>
      </c>
      <c r="AD9" s="962">
        <f>+$I$9*AD4</f>
        <v>425012.38521723921</v>
      </c>
      <c r="AE9" s="961">
        <f>+$H$9*AE4</f>
        <v>2307413.3795163729</v>
      </c>
      <c r="AF9" s="962">
        <f>+$I$9*AF4</f>
        <v>425012.38521723921</v>
      </c>
      <c r="AG9" s="961">
        <f>+$H$9*AG4</f>
        <v>2307413.3795163729</v>
      </c>
      <c r="AH9" s="962">
        <f>+$I$9*AH4</f>
        <v>425012.38521723921</v>
      </c>
      <c r="AI9" s="961">
        <f>+H9*$AI$4</f>
        <v>2412812.2731459383</v>
      </c>
      <c r="AJ9" s="962">
        <f>(((H9+I9)*$AI$5)-H9)*$AJ$4</f>
        <v>569714.88789278222</v>
      </c>
      <c r="AK9" s="961">
        <f>+H9*$AK$4</f>
        <v>2412812.2731459383</v>
      </c>
      <c r="AL9" s="962">
        <f>(((H9+I9)*$AK$5)-H9)*$AL$4</f>
        <v>695003.51545672794</v>
      </c>
      <c r="AM9" s="961">
        <f>+H9*$AM$4</f>
        <v>2412812.2731459383</v>
      </c>
      <c r="AN9" s="962">
        <f>(((H9+I9)*$AM$5)-H9)*$AN$4</f>
        <v>945580.77058461925</v>
      </c>
      <c r="AO9" s="324"/>
      <c r="AP9" s="324"/>
    </row>
    <row r="10" spans="1:42" ht="14.25" hidden="1" customHeight="1" outlineLevel="1" x14ac:dyDescent="0.3">
      <c r="A10" s="324"/>
      <c r="B10" s="324"/>
      <c r="C10" s="324"/>
      <c r="D10" s="324"/>
      <c r="E10" s="324"/>
      <c r="F10" s="954">
        <v>5060</v>
      </c>
      <c r="G10" s="955" t="s">
        <v>2116</v>
      </c>
      <c r="H10" s="956">
        <v>7028</v>
      </c>
      <c r="I10" s="956">
        <v>0</v>
      </c>
      <c r="J10" s="960">
        <f>(H10*H4)+I10*I4</f>
        <v>525739.74465599994</v>
      </c>
      <c r="K10" s="961">
        <f t="shared" ref="K10:K19" si="0">+H10*$K$5*$K$4</f>
        <v>585240.29296715267</v>
      </c>
      <c r="L10" s="962"/>
      <c r="M10" s="961">
        <f t="shared" ref="M10:M19" si="1">+H10*$M$5*$M$4</f>
        <v>613108.87834654085</v>
      </c>
      <c r="N10" s="962"/>
      <c r="O10" s="961">
        <f t="shared" ref="O10:O19" si="2">+H10*$O$5*$O$4</f>
        <v>668846.04910531733</v>
      </c>
      <c r="P10" s="962"/>
      <c r="Q10" s="961">
        <f t="shared" ref="Q10:Q19" si="3">+H10*$Q$5*$Q$4</f>
        <v>711872.38036742294</v>
      </c>
      <c r="R10" s="962"/>
      <c r="S10" s="961">
        <f t="shared" ref="S10:S19" si="4">+H10*$S$5*$S$4</f>
        <v>652549.68200347095</v>
      </c>
      <c r="T10" s="962"/>
      <c r="U10" s="961">
        <f>+$H$10*U4</f>
        <v>593226.98363951908</v>
      </c>
      <c r="V10" s="962"/>
      <c r="W10" s="961">
        <f>+$H$10*W4</f>
        <v>620324.62825832365</v>
      </c>
      <c r="X10" s="962"/>
      <c r="Y10" s="961">
        <f>+$H$10*Y4</f>
        <v>620324.62825832365</v>
      </c>
      <c r="Z10" s="962"/>
      <c r="AA10" s="961">
        <f>+$H$10*AA4</f>
        <v>620324.62825832365</v>
      </c>
      <c r="AB10" s="962"/>
      <c r="AC10" s="961">
        <f>+$H$10*AC4</f>
        <v>648660.04924964276</v>
      </c>
      <c r="AD10" s="962"/>
      <c r="AE10" s="961">
        <f>+$H$10*AE4</f>
        <v>648660.04924964276</v>
      </c>
      <c r="AF10" s="962"/>
      <c r="AG10" s="961">
        <f>+$H$10*AG4</f>
        <v>648660.04924964276</v>
      </c>
      <c r="AH10" s="962"/>
      <c r="AI10" s="961">
        <f t="shared" ref="AI10:AI19" si="5">+H10*$AI$5*$AI$4</f>
        <v>712204.27553812554</v>
      </c>
      <c r="AJ10" s="962"/>
      <c r="AK10" s="961">
        <f t="shared" ref="AK10:AK19" si="6">+H10*$AK$5*$AK$4</f>
        <v>746118.76484946476</v>
      </c>
      <c r="AL10" s="962"/>
      <c r="AM10" s="961">
        <f t="shared" ref="AM10:AM19" si="7">+H10*$AM$5*$AM$4</f>
        <v>813947.74347214343</v>
      </c>
      <c r="AN10" s="962"/>
      <c r="AO10" s="324"/>
      <c r="AP10" s="324"/>
    </row>
    <row r="11" spans="1:42" ht="14.25" hidden="1" customHeight="1" outlineLevel="1" x14ac:dyDescent="0.3">
      <c r="A11" s="324"/>
      <c r="B11" s="324"/>
      <c r="C11" s="324"/>
      <c r="D11" s="324"/>
      <c r="E11" s="324"/>
      <c r="F11" s="954">
        <v>5090</v>
      </c>
      <c r="G11" s="955" t="s">
        <v>2117</v>
      </c>
      <c r="H11" s="956">
        <v>5783</v>
      </c>
      <c r="I11" s="956">
        <v>0</v>
      </c>
      <c r="J11" s="960">
        <f>(H11*H4)+I11*I4</f>
        <v>432605.71191599994</v>
      </c>
      <c r="K11" s="961">
        <f t="shared" si="0"/>
        <v>481565.82444920944</v>
      </c>
      <c r="L11" s="962"/>
      <c r="M11" s="961">
        <f t="shared" si="1"/>
        <v>504497.53037536226</v>
      </c>
      <c r="N11" s="962"/>
      <c r="O11" s="961">
        <f t="shared" si="2"/>
        <v>550360.9422276679</v>
      </c>
      <c r="P11" s="962"/>
      <c r="Q11" s="961">
        <f t="shared" si="3"/>
        <v>585765.22135241982</v>
      </c>
      <c r="R11" s="962"/>
      <c r="S11" s="961">
        <f t="shared" si="4"/>
        <v>536951.45290638483</v>
      </c>
      <c r="T11" s="962"/>
      <c r="U11" s="961">
        <f>+$H$11*U4</f>
        <v>488137.68446034985</v>
      </c>
      <c r="V11" s="962"/>
      <c r="W11" s="961">
        <f>+$H$11*W4</f>
        <v>510435.02066276118</v>
      </c>
      <c r="X11" s="962"/>
      <c r="Y11" s="961">
        <f>+$H$11*Y4</f>
        <v>510435.02066276118</v>
      </c>
      <c r="Z11" s="962"/>
      <c r="AA11" s="961">
        <f>+$H$11*AA4</f>
        <v>510435.02066276118</v>
      </c>
      <c r="AB11" s="962"/>
      <c r="AC11" s="961">
        <f>+$H$11*AC4</f>
        <v>533750.86294972734</v>
      </c>
      <c r="AD11" s="962"/>
      <c r="AE11" s="961">
        <f>+$H$11*AE4</f>
        <v>533750.86294972734</v>
      </c>
      <c r="AF11" s="962"/>
      <c r="AG11" s="961">
        <f>+$H$11*AG4</f>
        <v>533750.86294972734</v>
      </c>
      <c r="AH11" s="962"/>
      <c r="AI11" s="961">
        <f t="shared" si="5"/>
        <v>586038.32177532441</v>
      </c>
      <c r="AJ11" s="962"/>
      <c r="AK11" s="961">
        <f t="shared" si="6"/>
        <v>613944.90852653026</v>
      </c>
      <c r="AL11" s="962"/>
      <c r="AM11" s="961">
        <f t="shared" si="7"/>
        <v>669758.08202894207</v>
      </c>
      <c r="AN11" s="962"/>
      <c r="AO11" s="324"/>
      <c r="AP11" s="324"/>
    </row>
    <row r="12" spans="1:42" ht="14.25" hidden="1" customHeight="1" outlineLevel="1" x14ac:dyDescent="0.3">
      <c r="A12" s="324"/>
      <c r="B12" s="324"/>
      <c r="C12" s="324"/>
      <c r="D12" s="324"/>
      <c r="E12" s="324"/>
      <c r="F12" s="954">
        <v>5100</v>
      </c>
      <c r="G12" s="955" t="s">
        <v>2118</v>
      </c>
      <c r="H12" s="956">
        <v>3162</v>
      </c>
      <c r="I12" s="956">
        <v>0</v>
      </c>
      <c r="J12" s="960">
        <f>(H12*H4)+I12*I4</f>
        <v>236538.00122399998</v>
      </c>
      <c r="K12" s="961">
        <f t="shared" si="0"/>
        <v>263308.16823593294</v>
      </c>
      <c r="L12" s="962"/>
      <c r="M12" s="961">
        <f t="shared" si="1"/>
        <v>275846.65243764402</v>
      </c>
      <c r="N12" s="962"/>
      <c r="O12" s="961">
        <f t="shared" si="2"/>
        <v>300923.62084106618</v>
      </c>
      <c r="P12" s="962"/>
      <c r="Q12" s="961">
        <f t="shared" si="3"/>
        <v>320281.79663087521</v>
      </c>
      <c r="R12" s="962"/>
      <c r="S12" s="961">
        <f t="shared" si="4"/>
        <v>293591.64691163565</v>
      </c>
      <c r="T12" s="962"/>
      <c r="U12" s="961">
        <f>+$H$12*U4</f>
        <v>266901.49719239603</v>
      </c>
      <c r="V12" s="962"/>
      <c r="W12" s="961">
        <f>+$H$12*W4</f>
        <v>279093.12386921165</v>
      </c>
      <c r="X12" s="962"/>
      <c r="Y12" s="961">
        <f>+$H$12*Y4</f>
        <v>279093.12386921165</v>
      </c>
      <c r="Z12" s="962"/>
      <c r="AA12" s="961">
        <f>+$H$12*AA4</f>
        <v>279093.12386921165</v>
      </c>
      <c r="AB12" s="962"/>
      <c r="AC12" s="961">
        <f>+$H$12*AC4</f>
        <v>291841.64424123085</v>
      </c>
      <c r="AD12" s="962"/>
      <c r="AE12" s="961">
        <f>+$H$12*AE4</f>
        <v>291841.64424123085</v>
      </c>
      <c r="AF12" s="962"/>
      <c r="AG12" s="961">
        <f>+$H$12*AG4</f>
        <v>291841.64424123085</v>
      </c>
      <c r="AH12" s="962"/>
      <c r="AI12" s="961">
        <f t="shared" si="5"/>
        <v>320431.12112287321</v>
      </c>
      <c r="AJ12" s="962"/>
      <c r="AK12" s="961">
        <f t="shared" si="6"/>
        <v>335689.74593824812</v>
      </c>
      <c r="AL12" s="962"/>
      <c r="AM12" s="961">
        <f t="shared" si="7"/>
        <v>366206.99556899787</v>
      </c>
      <c r="AN12" s="962"/>
      <c r="AO12" s="324"/>
      <c r="AP12" s="324"/>
    </row>
    <row r="13" spans="1:42" ht="14.25" hidden="1" customHeight="1" outlineLevel="1" x14ac:dyDescent="0.3">
      <c r="A13" s="324"/>
      <c r="B13" s="324"/>
      <c r="C13" s="324"/>
      <c r="D13" s="324"/>
      <c r="E13" s="324"/>
      <c r="F13" s="954">
        <v>5110</v>
      </c>
      <c r="G13" s="955" t="s">
        <v>2119</v>
      </c>
      <c r="H13" s="956">
        <v>21131</v>
      </c>
      <c r="I13" s="956">
        <v>0</v>
      </c>
      <c r="J13" s="960">
        <f>(H13*H4)+I13*I4</f>
        <v>1580735.1372119999</v>
      </c>
      <c r="K13" s="961">
        <f t="shared" si="0"/>
        <v>1759634.694178842</v>
      </c>
      <c r="L13" s="962"/>
      <c r="M13" s="961">
        <f t="shared" si="1"/>
        <v>1843426.8224730729</v>
      </c>
      <c r="N13" s="962"/>
      <c r="O13" s="961">
        <f t="shared" si="2"/>
        <v>2011011.079061534</v>
      </c>
      <c r="P13" s="962"/>
      <c r="Q13" s="961">
        <f t="shared" si="3"/>
        <v>2140377.8129686983</v>
      </c>
      <c r="R13" s="962"/>
      <c r="S13" s="961">
        <f t="shared" si="4"/>
        <v>1962012.995221307</v>
      </c>
      <c r="T13" s="962"/>
      <c r="U13" s="961">
        <f>+$H$13*U4</f>
        <v>1783648.1774739153</v>
      </c>
      <c r="V13" s="962"/>
      <c r="W13" s="961">
        <f>+$H$13*W4</f>
        <v>1865122.3277926347</v>
      </c>
      <c r="X13" s="962"/>
      <c r="Y13" s="961">
        <f>+$H$13*Y4</f>
        <v>1865122.3277926347</v>
      </c>
      <c r="Z13" s="962"/>
      <c r="AA13" s="961">
        <f>+$H$13*AA4</f>
        <v>1865122.3277926347</v>
      </c>
      <c r="AB13" s="962"/>
      <c r="AC13" s="961">
        <f>+$H$13*AC4</f>
        <v>1950318.084902419</v>
      </c>
      <c r="AD13" s="962"/>
      <c r="AE13" s="961">
        <f>+$H$13*AE4</f>
        <v>1950318.084902419</v>
      </c>
      <c r="AF13" s="962"/>
      <c r="AG13" s="961">
        <f>+$H$13*AG4</f>
        <v>1950318.084902419</v>
      </c>
      <c r="AH13" s="962"/>
      <c r="AI13" s="961">
        <f t="shared" si="5"/>
        <v>2141375.7180415662</v>
      </c>
      <c r="AJ13" s="962"/>
      <c r="AK13" s="961">
        <f t="shared" si="6"/>
        <v>2243345.99032926</v>
      </c>
      <c r="AL13" s="962"/>
      <c r="AM13" s="961">
        <f t="shared" si="7"/>
        <v>2447286.5349046472</v>
      </c>
      <c r="AN13" s="962"/>
      <c r="AO13" s="324"/>
      <c r="AP13" s="324"/>
    </row>
    <row r="14" spans="1:42" ht="14.25" hidden="1" customHeight="1" outlineLevel="1" x14ac:dyDescent="0.3">
      <c r="A14" s="324"/>
      <c r="B14" s="324"/>
      <c r="C14" s="324"/>
      <c r="D14" s="324"/>
      <c r="E14" s="324"/>
      <c r="F14" s="954">
        <v>5130</v>
      </c>
      <c r="G14" s="955" t="s">
        <v>2120</v>
      </c>
      <c r="H14" s="956">
        <v>8617</v>
      </c>
      <c r="I14" s="956">
        <v>0</v>
      </c>
      <c r="J14" s="960">
        <f>(H14*H4)+I14*I4</f>
        <v>644607.19688399998</v>
      </c>
      <c r="K14" s="961">
        <f t="shared" si="0"/>
        <v>717560.55840892927</v>
      </c>
      <c r="L14" s="962"/>
      <c r="M14" s="961">
        <f t="shared" si="1"/>
        <v>751730.10880935448</v>
      </c>
      <c r="N14" s="962"/>
      <c r="O14" s="961">
        <f t="shared" si="2"/>
        <v>820069.20961020479</v>
      </c>
      <c r="P14" s="962"/>
      <c r="Q14" s="961">
        <f t="shared" si="3"/>
        <v>872823.60580906132</v>
      </c>
      <c r="R14" s="962"/>
      <c r="S14" s="961">
        <f t="shared" si="4"/>
        <v>800088.30532497296</v>
      </c>
      <c r="T14" s="962"/>
      <c r="U14" s="961">
        <f>+$H$14*U4</f>
        <v>727353.00484088447</v>
      </c>
      <c r="V14" s="962"/>
      <c r="W14" s="961">
        <f>+$H$14*W4</f>
        <v>760577.30815338285</v>
      </c>
      <c r="X14" s="962"/>
      <c r="Y14" s="961">
        <f>+$H$14*Y4</f>
        <v>760577.30815338285</v>
      </c>
      <c r="Z14" s="962"/>
      <c r="AA14" s="961">
        <f>+$H$14*AA4</f>
        <v>760577.30815338285</v>
      </c>
      <c r="AB14" s="962"/>
      <c r="AC14" s="961">
        <f>+$H$14*AC4</f>
        <v>795319.24365170335</v>
      </c>
      <c r="AD14" s="962"/>
      <c r="AE14" s="961">
        <f>+$H$14*AE4</f>
        <v>795319.24365170335</v>
      </c>
      <c r="AF14" s="962"/>
      <c r="AG14" s="961">
        <f>+$H$14*AG4</f>
        <v>795319.24365170335</v>
      </c>
      <c r="AH14" s="962"/>
      <c r="AI14" s="961">
        <f t="shared" si="5"/>
        <v>873230.54102333914</v>
      </c>
      <c r="AJ14" s="962"/>
      <c r="AK14" s="961">
        <f t="shared" si="6"/>
        <v>914812.94773873617</v>
      </c>
      <c r="AL14" s="962"/>
      <c r="AM14" s="961">
        <f t="shared" si="7"/>
        <v>997977.76116953033</v>
      </c>
      <c r="AN14" s="962"/>
      <c r="AO14" s="324"/>
      <c r="AP14" s="324"/>
    </row>
    <row r="15" spans="1:42" ht="14.25" hidden="1" customHeight="1" outlineLevel="1" x14ac:dyDescent="0.3">
      <c r="A15" s="324"/>
      <c r="B15" s="324"/>
      <c r="C15" s="324"/>
      <c r="D15" s="324"/>
      <c r="E15" s="324"/>
      <c r="F15" s="954">
        <v>5140</v>
      </c>
      <c r="G15" s="955" t="s">
        <v>2121</v>
      </c>
      <c r="H15" s="956">
        <v>15</v>
      </c>
      <c r="I15" s="956">
        <v>0</v>
      </c>
      <c r="J15" s="960">
        <f>(H15*H4)+I15*I4</f>
        <v>1122.0967799999999</v>
      </c>
      <c r="K15" s="961">
        <f t="shared" si="0"/>
        <v>1249.0899821438943</v>
      </c>
      <c r="L15" s="962"/>
      <c r="M15" s="961">
        <f t="shared" si="1"/>
        <v>1308.5704574840797</v>
      </c>
      <c r="N15" s="962"/>
      <c r="O15" s="961">
        <f t="shared" si="2"/>
        <v>1427.5314081644508</v>
      </c>
      <c r="P15" s="962"/>
      <c r="Q15" s="961">
        <f t="shared" si="3"/>
        <v>1519.3633616265429</v>
      </c>
      <c r="R15" s="962"/>
      <c r="S15" s="961">
        <f t="shared" si="4"/>
        <v>1392.7497481576643</v>
      </c>
      <c r="T15" s="962"/>
      <c r="U15" s="961">
        <f>+$H$15*U4</f>
        <v>1266.1361346887857</v>
      </c>
      <c r="V15" s="962"/>
      <c r="W15" s="961">
        <f>+$H$15*W4</f>
        <v>1323.9711758501501</v>
      </c>
      <c r="X15" s="962"/>
      <c r="Y15" s="961">
        <f>+$H$15*Y4</f>
        <v>1323.9711758501501</v>
      </c>
      <c r="Z15" s="962"/>
      <c r="AA15" s="961">
        <f>+$H$15*AA4</f>
        <v>1323.9711758501501</v>
      </c>
      <c r="AB15" s="962"/>
      <c r="AC15" s="961">
        <f>+$H$15*AC4</f>
        <v>1384.4480277098237</v>
      </c>
      <c r="AD15" s="962"/>
      <c r="AE15" s="961">
        <f>+$H$15*AE4</f>
        <v>1384.4480277098237</v>
      </c>
      <c r="AF15" s="962"/>
      <c r="AG15" s="961">
        <f>+$H$15*AG4</f>
        <v>1384.4480277098237</v>
      </c>
      <c r="AH15" s="962"/>
      <c r="AI15" s="961">
        <f t="shared" si="5"/>
        <v>1520.071732081941</v>
      </c>
      <c r="AJ15" s="962"/>
      <c r="AK15" s="961">
        <f t="shared" si="6"/>
        <v>1592.4561002763191</v>
      </c>
      <c r="AL15" s="962"/>
      <c r="AM15" s="961">
        <f t="shared" si="7"/>
        <v>1737.2248366650754</v>
      </c>
      <c r="AN15" s="962"/>
      <c r="AO15" s="324"/>
      <c r="AP15" s="324"/>
    </row>
    <row r="16" spans="1:42" ht="14.25" hidden="1" customHeight="1" outlineLevel="1" x14ac:dyDescent="0.3">
      <c r="A16" s="324"/>
      <c r="B16" s="324"/>
      <c r="C16" s="324"/>
      <c r="D16" s="324"/>
      <c r="E16" s="324"/>
      <c r="F16" s="954">
        <v>5150</v>
      </c>
      <c r="G16" s="955" t="s">
        <v>2122</v>
      </c>
      <c r="H16" s="956">
        <v>707</v>
      </c>
      <c r="I16" s="956">
        <v>0</v>
      </c>
      <c r="J16" s="960">
        <f>(H16*H4)+I16*I4</f>
        <v>52888.161563999995</v>
      </c>
      <c r="K16" s="961">
        <f t="shared" si="0"/>
        <v>58873.774491715558</v>
      </c>
      <c r="L16" s="962"/>
      <c r="M16" s="961">
        <f t="shared" si="1"/>
        <v>61677.287562749632</v>
      </c>
      <c r="N16" s="962"/>
      <c r="O16" s="961">
        <f t="shared" si="2"/>
        <v>67284.313704817774</v>
      </c>
      <c r="P16" s="962"/>
      <c r="Q16" s="961">
        <f t="shared" si="3"/>
        <v>71612.659777997716</v>
      </c>
      <c r="R16" s="962"/>
      <c r="S16" s="961">
        <f t="shared" si="4"/>
        <v>65644.938129831251</v>
      </c>
      <c r="T16" s="962"/>
      <c r="U16" s="961">
        <f>+$H$16*U4</f>
        <v>59677.216481664764</v>
      </c>
      <c r="V16" s="962"/>
      <c r="W16" s="961">
        <f>+$H$16*W4</f>
        <v>62403.174755070409</v>
      </c>
      <c r="X16" s="962"/>
      <c r="Y16" s="961">
        <f>+$H$16*Y4</f>
        <v>62403.174755070409</v>
      </c>
      <c r="Z16" s="962"/>
      <c r="AA16" s="961">
        <f>+$H$16*AA4</f>
        <v>62403.174755070409</v>
      </c>
      <c r="AB16" s="962"/>
      <c r="AC16" s="961">
        <f>+$H$16*AC4</f>
        <v>65253.650372723023</v>
      </c>
      <c r="AD16" s="962"/>
      <c r="AE16" s="961">
        <f>+$H$16*AE4</f>
        <v>65253.650372723023</v>
      </c>
      <c r="AF16" s="962"/>
      <c r="AG16" s="961">
        <f>+$H$16*AG4</f>
        <v>65253.650372723023</v>
      </c>
      <c r="AH16" s="962"/>
      <c r="AI16" s="961">
        <f t="shared" si="5"/>
        <v>71646.047638795484</v>
      </c>
      <c r="AJ16" s="962"/>
      <c r="AK16" s="961">
        <f t="shared" si="6"/>
        <v>75057.764193023846</v>
      </c>
      <c r="AL16" s="962"/>
      <c r="AM16" s="961">
        <f t="shared" si="7"/>
        <v>81881.197301480555</v>
      </c>
      <c r="AN16" s="962"/>
      <c r="AO16" s="324"/>
      <c r="AP16" s="324"/>
    </row>
    <row r="17" spans="1:42" ht="14.25" hidden="1" customHeight="1" outlineLevel="1" x14ac:dyDescent="0.3">
      <c r="A17" s="324"/>
      <c r="B17" s="324"/>
      <c r="C17" s="324"/>
      <c r="D17" s="324"/>
      <c r="E17" s="324"/>
      <c r="F17" s="954">
        <v>5160</v>
      </c>
      <c r="G17" s="955" t="s">
        <v>2123</v>
      </c>
      <c r="H17" s="956">
        <v>1122</v>
      </c>
      <c r="I17" s="956">
        <v>0</v>
      </c>
      <c r="J17" s="960">
        <f>(H17*H4)+I17*I4</f>
        <v>83932.839143999998</v>
      </c>
      <c r="K17" s="961">
        <f t="shared" si="0"/>
        <v>93431.930664363303</v>
      </c>
      <c r="L17" s="962"/>
      <c r="M17" s="961">
        <f t="shared" si="1"/>
        <v>97881.070219809175</v>
      </c>
      <c r="N17" s="962"/>
      <c r="O17" s="961">
        <f t="shared" si="2"/>
        <v>106779.3493307009</v>
      </c>
      <c r="P17" s="962"/>
      <c r="Q17" s="961">
        <f t="shared" si="3"/>
        <v>113648.37944966539</v>
      </c>
      <c r="R17" s="962"/>
      <c r="S17" s="961">
        <f t="shared" si="4"/>
        <v>104177.68116219329</v>
      </c>
      <c r="T17" s="962"/>
      <c r="U17" s="961">
        <f>+$H$17*U4</f>
        <v>94706.982874721172</v>
      </c>
      <c r="V17" s="962"/>
      <c r="W17" s="961">
        <f>+$H$17*W4</f>
        <v>99033.04395359123</v>
      </c>
      <c r="X17" s="962"/>
      <c r="Y17" s="961">
        <f>+$H$17*Y4</f>
        <v>99033.04395359123</v>
      </c>
      <c r="Z17" s="962"/>
      <c r="AA17" s="961">
        <f>+$H$17*AA4</f>
        <v>99033.04395359123</v>
      </c>
      <c r="AB17" s="962"/>
      <c r="AC17" s="961">
        <f>+$H$17*AC4</f>
        <v>103556.71247269481</v>
      </c>
      <c r="AD17" s="962"/>
      <c r="AE17" s="961">
        <f>+$H$17*AE4</f>
        <v>103556.71247269481</v>
      </c>
      <c r="AF17" s="962"/>
      <c r="AG17" s="961">
        <f>+$H$17*AG4</f>
        <v>103556.71247269481</v>
      </c>
      <c r="AH17" s="962"/>
      <c r="AI17" s="961">
        <f t="shared" si="5"/>
        <v>113701.36555972921</v>
      </c>
      <c r="AJ17" s="962"/>
      <c r="AK17" s="961">
        <f t="shared" si="6"/>
        <v>119115.71630066868</v>
      </c>
      <c r="AL17" s="962"/>
      <c r="AM17" s="961">
        <f t="shared" si="7"/>
        <v>129944.41778254764</v>
      </c>
      <c r="AN17" s="962"/>
      <c r="AO17" s="324"/>
      <c r="AP17" s="324"/>
    </row>
    <row r="18" spans="1:42" ht="14.25" hidden="1" customHeight="1" outlineLevel="1" x14ac:dyDescent="0.3">
      <c r="A18" s="324"/>
      <c r="B18" s="324"/>
      <c r="C18" s="324"/>
      <c r="D18" s="324"/>
      <c r="E18" s="324"/>
      <c r="F18" s="954">
        <v>5170</v>
      </c>
      <c r="G18" s="963" t="s">
        <v>2124</v>
      </c>
      <c r="H18" s="956">
        <v>376</v>
      </c>
      <c r="I18" s="956">
        <v>0</v>
      </c>
      <c r="J18" s="960">
        <f>(H18*H4)+I18*I4</f>
        <v>28127.225951999997</v>
      </c>
      <c r="K18" s="961">
        <f t="shared" si="0"/>
        <v>31310.52221907362</v>
      </c>
      <c r="L18" s="962"/>
      <c r="M18" s="961">
        <f t="shared" si="1"/>
        <v>32801.499467600937</v>
      </c>
      <c r="N18" s="962"/>
      <c r="O18" s="961">
        <f t="shared" si="2"/>
        <v>35783.453964655564</v>
      </c>
      <c r="P18" s="962"/>
      <c r="Q18" s="961">
        <f t="shared" si="3"/>
        <v>38085.374931438673</v>
      </c>
      <c r="R18" s="962"/>
      <c r="S18" s="961">
        <f t="shared" si="4"/>
        <v>34911.593687152119</v>
      </c>
      <c r="T18" s="962"/>
      <c r="U18" s="961">
        <f>+$H$18*U4</f>
        <v>31737.812442865561</v>
      </c>
      <c r="V18" s="962"/>
      <c r="W18" s="961">
        <f>+$H$18*W4</f>
        <v>33187.544141310427</v>
      </c>
      <c r="X18" s="962"/>
      <c r="Y18" s="961">
        <f>+$H$18*Y4</f>
        <v>33187.544141310427</v>
      </c>
      <c r="Z18" s="962"/>
      <c r="AA18" s="961">
        <f>+$H$18*AA4</f>
        <v>33187.544141310427</v>
      </c>
      <c r="AB18" s="962"/>
      <c r="AC18" s="961">
        <f>+$H$18*AC4</f>
        <v>34703.497227926251</v>
      </c>
      <c r="AD18" s="962"/>
      <c r="AE18" s="961">
        <f>+$H$18*AE4</f>
        <v>34703.497227926251</v>
      </c>
      <c r="AF18" s="962"/>
      <c r="AG18" s="961">
        <f>+$H$18*AG4</f>
        <v>34703.497227926251</v>
      </c>
      <c r="AH18" s="962"/>
      <c r="AI18" s="961">
        <f t="shared" si="5"/>
        <v>38103.131417520657</v>
      </c>
      <c r="AJ18" s="962"/>
      <c r="AK18" s="961">
        <f t="shared" si="6"/>
        <v>39917.566246926406</v>
      </c>
      <c r="AL18" s="962"/>
      <c r="AM18" s="961">
        <f t="shared" si="7"/>
        <v>43546.43590573789</v>
      </c>
      <c r="AN18" s="962"/>
      <c r="AO18" s="324"/>
      <c r="AP18" s="324"/>
    </row>
    <row r="19" spans="1:42" ht="14.25" hidden="1" customHeight="1" outlineLevel="1" x14ac:dyDescent="0.3">
      <c r="A19" s="324"/>
      <c r="B19" s="324"/>
      <c r="C19" s="324"/>
      <c r="D19" s="324"/>
      <c r="E19" s="324"/>
      <c r="F19" s="954">
        <v>5190</v>
      </c>
      <c r="G19" s="963" t="s">
        <v>2125</v>
      </c>
      <c r="H19" s="956">
        <v>3</v>
      </c>
      <c r="I19" s="956">
        <v>0</v>
      </c>
      <c r="J19" s="960">
        <f>(H19*H4)+I19*I4</f>
        <v>224.41935599999999</v>
      </c>
      <c r="K19" s="964">
        <f t="shared" si="0"/>
        <v>249.81799642877891</v>
      </c>
      <c r="L19" s="965"/>
      <c r="M19" s="964">
        <f t="shared" si="1"/>
        <v>261.71409149681597</v>
      </c>
      <c r="N19" s="965"/>
      <c r="O19" s="964">
        <f t="shared" si="2"/>
        <v>285.50628163289014</v>
      </c>
      <c r="P19" s="965"/>
      <c r="Q19" s="964">
        <f t="shared" si="3"/>
        <v>303.87267232530854</v>
      </c>
      <c r="R19" s="965"/>
      <c r="S19" s="964">
        <f t="shared" si="4"/>
        <v>278.54994963153285</v>
      </c>
      <c r="T19" s="965"/>
      <c r="U19" s="964">
        <f>+$H$19*U4</f>
        <v>253.22722693775714</v>
      </c>
      <c r="V19" s="965"/>
      <c r="W19" s="964">
        <f>+$H$19*W4</f>
        <v>264.79423517002999</v>
      </c>
      <c r="X19" s="965"/>
      <c r="Y19" s="964">
        <f>+$H$19*Y4</f>
        <v>264.79423517002999</v>
      </c>
      <c r="Z19" s="965"/>
      <c r="AA19" s="964">
        <f>+$H$19*AA4</f>
        <v>264.79423517002999</v>
      </c>
      <c r="AB19" s="965"/>
      <c r="AC19" s="964">
        <f>+$H$19*AC4</f>
        <v>276.88960554196473</v>
      </c>
      <c r="AD19" s="965"/>
      <c r="AE19" s="964">
        <f>+$H$19*AE4</f>
        <v>276.88960554196473</v>
      </c>
      <c r="AF19" s="965"/>
      <c r="AG19" s="964">
        <f>+$H$19*AG4</f>
        <v>276.88960554196473</v>
      </c>
      <c r="AH19" s="965"/>
      <c r="AI19" s="964">
        <f t="shared" si="5"/>
        <v>304.01434641638826</v>
      </c>
      <c r="AJ19" s="965"/>
      <c r="AK19" s="964">
        <f t="shared" si="6"/>
        <v>318.49122005526385</v>
      </c>
      <c r="AL19" s="965"/>
      <c r="AM19" s="964">
        <f t="shared" si="7"/>
        <v>347.44496733301503</v>
      </c>
      <c r="AN19" s="965"/>
      <c r="AO19" s="324"/>
      <c r="AP19" s="324"/>
    </row>
    <row r="20" spans="1:42" ht="14.25" hidden="1" customHeight="1" outlineLevel="1" x14ac:dyDescent="0.3">
      <c r="A20" s="324"/>
      <c r="B20" s="324"/>
      <c r="C20" s="324"/>
      <c r="D20" s="324"/>
      <c r="E20" s="324"/>
      <c r="F20" s="1191" t="s">
        <v>2091</v>
      </c>
      <c r="G20" s="1192"/>
      <c r="H20" s="1192"/>
      <c r="I20" s="1120"/>
      <c r="J20" s="966">
        <f>SUM(J6:J19)</f>
        <v>10680056.258180002</v>
      </c>
      <c r="K20" s="324"/>
      <c r="L20" s="966">
        <f>SUM(K6:L19)</f>
        <v>11859889.617130522</v>
      </c>
      <c r="M20" s="324"/>
      <c r="N20" s="966">
        <f>SUM(M6:N19)</f>
        <v>12397140.506138703</v>
      </c>
      <c r="O20" s="324"/>
      <c r="P20" s="966">
        <f>SUM(O6:P19)</f>
        <v>13471642.284155065</v>
      </c>
      <c r="Q20" s="324"/>
      <c r="R20" s="966">
        <f>SUM(Q6:R19)</f>
        <v>14338262.254980925</v>
      </c>
      <c r="S20" s="324"/>
      <c r="T20" s="966">
        <f>SUM(S6:T19)</f>
        <v>13194638.637186199</v>
      </c>
      <c r="U20" s="324"/>
      <c r="V20" s="966">
        <f>SUM(U6:V19)</f>
        <v>12051015.019391466</v>
      </c>
      <c r="W20" s="324"/>
      <c r="X20" s="966">
        <f>SUM(W6:X19)</f>
        <v>12601485.802577859</v>
      </c>
      <c r="Y20" s="324"/>
      <c r="Z20" s="966">
        <f>SUM(Y6:Z19)</f>
        <v>12601485.802577859</v>
      </c>
      <c r="AA20" s="324"/>
      <c r="AB20" s="966">
        <f>SUM(AA6:AB19)</f>
        <v>12601485.802577859</v>
      </c>
      <c r="AC20" s="324"/>
      <c r="AD20" s="966">
        <f>SUM(AC6:AD19)</f>
        <v>13177101.196625181</v>
      </c>
      <c r="AE20" s="324"/>
      <c r="AF20" s="966">
        <f>SUM(AE6:AF19)</f>
        <v>13177101.196625181</v>
      </c>
      <c r="AG20" s="324"/>
      <c r="AH20" s="966">
        <f>SUM(AG6:AH19)</f>
        <v>13177101.196625181</v>
      </c>
      <c r="AI20" s="324"/>
      <c r="AJ20" s="966">
        <f>SUM(AI6:AJ19)</f>
        <v>14432813.656602861</v>
      </c>
      <c r="AK20" s="324"/>
      <c r="AL20" s="966">
        <f>SUM(AK6:AL19)</f>
        <v>15086617.546708157</v>
      </c>
      <c r="AM20" s="324"/>
      <c r="AN20" s="966">
        <f>SUM(AM6:AN19)</f>
        <v>16394225.326918736</v>
      </c>
      <c r="AO20" s="324"/>
      <c r="AP20" s="324"/>
    </row>
    <row r="21" spans="1:42" ht="14.25" hidden="1" customHeight="1" outlineLevel="1" x14ac:dyDescent="0.3">
      <c r="A21" s="324"/>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row>
    <row r="22" spans="1:42" ht="14.25" hidden="1" customHeight="1" outlineLevel="1" x14ac:dyDescent="0.3">
      <c r="A22" s="1194" t="s">
        <v>2126</v>
      </c>
      <c r="B22" s="1103"/>
      <c r="C22" s="1103"/>
      <c r="D22" s="1103"/>
      <c r="E22" s="1103"/>
      <c r="F22" s="1103"/>
      <c r="G22" s="1103"/>
      <c r="H22" s="1103"/>
      <c r="I22" s="1103"/>
      <c r="J22" s="1103"/>
      <c r="K22" s="1130">
        <f>+K1</f>
        <v>45957</v>
      </c>
      <c r="L22" s="1088"/>
      <c r="M22" s="1130">
        <f>+M1</f>
        <v>45987</v>
      </c>
      <c r="N22" s="1088"/>
      <c r="O22" s="1130">
        <f>+O1</f>
        <v>46017</v>
      </c>
      <c r="P22" s="1088"/>
      <c r="Q22" s="1130">
        <f>+Q1</f>
        <v>46047</v>
      </c>
      <c r="R22" s="1088"/>
      <c r="S22" s="1130">
        <f>+S1</f>
        <v>46077</v>
      </c>
      <c r="T22" s="1088"/>
      <c r="U22" s="1130">
        <f>+U1</f>
        <v>46107</v>
      </c>
      <c r="V22" s="1088"/>
      <c r="W22" s="1130">
        <f>+W1</f>
        <v>46142</v>
      </c>
      <c r="X22" s="1088"/>
      <c r="Y22" s="1130">
        <f>+Y1</f>
        <v>46172</v>
      </c>
      <c r="Z22" s="1088"/>
      <c r="AA22" s="1130">
        <f>+AA1</f>
        <v>46202</v>
      </c>
      <c r="AB22" s="1088"/>
      <c r="AC22" s="1130">
        <f>+AC1</f>
        <v>46232</v>
      </c>
      <c r="AD22" s="1088"/>
      <c r="AE22" s="1130">
        <f>+AE1</f>
        <v>46262</v>
      </c>
      <c r="AF22" s="1088"/>
      <c r="AG22" s="1130">
        <f>+AG1</f>
        <v>46292</v>
      </c>
      <c r="AH22" s="1088"/>
      <c r="AI22" s="1130">
        <f>+AI1</f>
        <v>46322</v>
      </c>
      <c r="AJ22" s="1088"/>
      <c r="AK22" s="1130">
        <f>+AK1</f>
        <v>46352</v>
      </c>
      <c r="AL22" s="1088"/>
      <c r="AM22" s="1130">
        <f>+AM1</f>
        <v>46382</v>
      </c>
      <c r="AN22" s="1088"/>
      <c r="AO22" s="324"/>
      <c r="AP22" s="324"/>
    </row>
    <row r="23" spans="1:42" ht="14.25" hidden="1" customHeight="1" outlineLevel="1" x14ac:dyDescent="0.3">
      <c r="A23" s="1185" t="s">
        <v>2104</v>
      </c>
      <c r="B23" s="1088"/>
      <c r="C23" s="946" t="s">
        <v>2127</v>
      </c>
      <c r="D23" s="947" t="s">
        <v>2128</v>
      </c>
      <c r="E23" s="947" t="s">
        <v>2129</v>
      </c>
      <c r="F23" s="947" t="s">
        <v>2130</v>
      </c>
      <c r="G23" s="947" t="s">
        <v>2131</v>
      </c>
      <c r="H23" s="947" t="s">
        <v>2132</v>
      </c>
      <c r="I23" s="947" t="s">
        <v>2133</v>
      </c>
      <c r="J23" s="1196" t="s">
        <v>2091</v>
      </c>
      <c r="K23" s="967" t="s">
        <v>2134</v>
      </c>
      <c r="L23" s="967" t="s">
        <v>2135</v>
      </c>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row>
    <row r="24" spans="1:42" ht="14.25" hidden="1" customHeight="1" outlineLevel="1" x14ac:dyDescent="0.3">
      <c r="A24" s="1185" t="s">
        <v>2110</v>
      </c>
      <c r="B24" s="1088"/>
      <c r="C24" s="948">
        <v>47.086348000000001</v>
      </c>
      <c r="D24" s="948">
        <v>40.487324000000001</v>
      </c>
      <c r="E24" s="948">
        <v>40.024972000000012</v>
      </c>
      <c r="F24" s="948">
        <v>39.552112000000001</v>
      </c>
      <c r="G24" s="948">
        <v>38.606392</v>
      </c>
      <c r="H24" s="948">
        <v>38.144039999999997</v>
      </c>
      <c r="I24" s="948">
        <v>37.67118</v>
      </c>
      <c r="J24" s="1148"/>
      <c r="K24" s="968">
        <f>+C24*$K$55</f>
        <v>49.919372570936183</v>
      </c>
      <c r="L24" s="968">
        <f>+E24*$K$55</f>
        <v>42.433137719860738</v>
      </c>
      <c r="M24" s="968">
        <f t="shared" ref="M24:P25" si="8">+K24</f>
        <v>49.919372570936183</v>
      </c>
      <c r="N24" s="968">
        <f t="shared" si="8"/>
        <v>42.433137719860738</v>
      </c>
      <c r="O24" s="968">
        <f t="shared" si="8"/>
        <v>49.919372570936183</v>
      </c>
      <c r="P24" s="968">
        <f t="shared" si="8"/>
        <v>42.433137719860738</v>
      </c>
      <c r="Q24" s="968">
        <f>+O24*$Q$55</f>
        <v>53.130645872926436</v>
      </c>
      <c r="R24" s="968">
        <f>+P24*$Q$55</f>
        <v>45.162827522869193</v>
      </c>
      <c r="S24" s="968">
        <f t="shared" ref="S24:V25" si="9">+Q24</f>
        <v>53.130645872926436</v>
      </c>
      <c r="T24" s="968">
        <f t="shared" si="9"/>
        <v>45.162827522869193</v>
      </c>
      <c r="U24" s="968">
        <f t="shared" si="9"/>
        <v>53.130645872926436</v>
      </c>
      <c r="V24" s="968">
        <f t="shared" si="9"/>
        <v>45.162827522869193</v>
      </c>
      <c r="W24" s="968">
        <f>+U24*$W$55</f>
        <v>55.557567439102151</v>
      </c>
      <c r="X24" s="968">
        <f>+V24*$W$55</f>
        <v>47.225792094519115</v>
      </c>
      <c r="Y24" s="968">
        <f t="shared" ref="Y24:AB25" si="10">+W24</f>
        <v>55.557567439102151</v>
      </c>
      <c r="Z24" s="968">
        <f t="shared" si="10"/>
        <v>47.225792094519115</v>
      </c>
      <c r="AA24" s="968">
        <f t="shared" si="10"/>
        <v>55.557567439102151</v>
      </c>
      <c r="AB24" s="968">
        <f t="shared" si="10"/>
        <v>47.225792094519115</v>
      </c>
      <c r="AC24" s="968">
        <f>+AA24*$AC$55</f>
        <v>58.09534683867323</v>
      </c>
      <c r="AD24" s="968">
        <f>+AB24*$AC$55</f>
        <v>49.382989535484576</v>
      </c>
      <c r="AE24" s="968">
        <f t="shared" ref="AE24:AH25" si="11">+AC24</f>
        <v>58.09534683867323</v>
      </c>
      <c r="AF24" s="968">
        <f t="shared" si="11"/>
        <v>49.382989535484576</v>
      </c>
      <c r="AG24" s="968">
        <f t="shared" si="11"/>
        <v>58.09534683867323</v>
      </c>
      <c r="AH24" s="968">
        <f t="shared" si="11"/>
        <v>49.382989535484576</v>
      </c>
      <c r="AI24" s="968">
        <f>+AG24*$AI$55</f>
        <v>60.749047877325189</v>
      </c>
      <c r="AJ24" s="968">
        <f>+AH24*$AI$55</f>
        <v>51.638724250107494</v>
      </c>
      <c r="AK24" s="968">
        <f t="shared" ref="AK24:AN25" si="12">+AI24</f>
        <v>60.749047877325189</v>
      </c>
      <c r="AL24" s="968">
        <f t="shared" si="12"/>
        <v>51.638724250107494</v>
      </c>
      <c r="AM24" s="968">
        <f t="shared" si="12"/>
        <v>60.749047877325189</v>
      </c>
      <c r="AN24" s="968">
        <f t="shared" si="12"/>
        <v>51.638724250107494</v>
      </c>
      <c r="AO24" s="324"/>
      <c r="AP24" s="324"/>
    </row>
    <row r="25" spans="1:42" ht="14.25" hidden="1" customHeight="1" outlineLevel="1" x14ac:dyDescent="0.3">
      <c r="A25" s="950" t="s">
        <v>2107</v>
      </c>
      <c r="B25" s="950" t="s">
        <v>2089</v>
      </c>
      <c r="C25" s="950" t="s">
        <v>2108</v>
      </c>
      <c r="D25" s="951" t="s">
        <v>2108</v>
      </c>
      <c r="E25" s="951" t="s">
        <v>2108</v>
      </c>
      <c r="F25" s="951" t="s">
        <v>2108</v>
      </c>
      <c r="G25" s="951" t="s">
        <v>2108</v>
      </c>
      <c r="H25" s="951" t="s">
        <v>2108</v>
      </c>
      <c r="I25" s="951" t="s">
        <v>2108</v>
      </c>
      <c r="J25" s="1121"/>
      <c r="K25" s="968">
        <f>+D24*$K$55</f>
        <v>42.923307858919237</v>
      </c>
      <c r="L25" s="968">
        <f>+F24*$K$55</f>
        <v>41.931827350369069</v>
      </c>
      <c r="M25" s="968">
        <f t="shared" si="8"/>
        <v>42.923307858919237</v>
      </c>
      <c r="N25" s="968">
        <f t="shared" si="8"/>
        <v>41.931827350369069</v>
      </c>
      <c r="O25" s="968">
        <f t="shared" si="8"/>
        <v>42.923307858919237</v>
      </c>
      <c r="P25" s="968">
        <f t="shared" si="8"/>
        <v>41.931827350369069</v>
      </c>
      <c r="Q25" s="968">
        <f>+O25*$Q$55</f>
        <v>45.684529914837213</v>
      </c>
      <c r="R25" s="968">
        <f>+P25*$Q$55</f>
        <v>44.629268258356419</v>
      </c>
      <c r="S25" s="968">
        <f t="shared" si="9"/>
        <v>45.684529914837213</v>
      </c>
      <c r="T25" s="968">
        <f t="shared" si="9"/>
        <v>44.629268258356419</v>
      </c>
      <c r="U25" s="968">
        <f t="shared" si="9"/>
        <v>45.684529914837213</v>
      </c>
      <c r="V25" s="968">
        <f t="shared" si="9"/>
        <v>44.629268258356419</v>
      </c>
      <c r="W25" s="968">
        <f>+U25*$W$55</f>
        <v>47.771325003985851</v>
      </c>
      <c r="X25" s="968">
        <f>+V25*$W$55</f>
        <v>46.6678607098372</v>
      </c>
      <c r="Y25" s="968">
        <f t="shared" si="10"/>
        <v>47.771325003985851</v>
      </c>
      <c r="Z25" s="968">
        <f t="shared" si="10"/>
        <v>46.6678607098372</v>
      </c>
      <c r="AA25" s="968">
        <f t="shared" si="10"/>
        <v>47.771325003985851</v>
      </c>
      <c r="AB25" s="968">
        <f t="shared" si="10"/>
        <v>46.6678607098372</v>
      </c>
      <c r="AC25" s="968">
        <f>+AA25*$AC$55</f>
        <v>49.953441501764772</v>
      </c>
      <c r="AD25" s="968">
        <f>+AB25*$AC$55</f>
        <v>48.799572751788894</v>
      </c>
      <c r="AE25" s="968">
        <f t="shared" si="11"/>
        <v>49.953441501764772</v>
      </c>
      <c r="AF25" s="968">
        <f t="shared" si="11"/>
        <v>48.799572751788894</v>
      </c>
      <c r="AG25" s="968">
        <f t="shared" si="11"/>
        <v>49.953441501764772</v>
      </c>
      <c r="AH25" s="968">
        <f t="shared" si="11"/>
        <v>48.799572751788894</v>
      </c>
      <c r="AI25" s="968">
        <f>+AG25*$AI$55</f>
        <v>52.235233535222925</v>
      </c>
      <c r="AJ25" s="968">
        <f>+AH25*$AI$55</f>
        <v>51.028657935784871</v>
      </c>
      <c r="AK25" s="968">
        <f t="shared" si="12"/>
        <v>52.235233535222925</v>
      </c>
      <c r="AL25" s="968">
        <f t="shared" si="12"/>
        <v>51.028657935784871</v>
      </c>
      <c r="AM25" s="968">
        <f t="shared" si="12"/>
        <v>52.235233535222925</v>
      </c>
      <c r="AN25" s="968">
        <f t="shared" si="12"/>
        <v>51.028657935784871</v>
      </c>
      <c r="AO25" s="324"/>
      <c r="AP25" s="324"/>
    </row>
    <row r="26" spans="1:42" ht="14.25" hidden="1" customHeight="1" outlineLevel="1" x14ac:dyDescent="0.3">
      <c r="A26" s="954">
        <v>5010</v>
      </c>
      <c r="B26" s="955" t="s">
        <v>2112</v>
      </c>
      <c r="C26" s="956">
        <v>45491</v>
      </c>
      <c r="D26" s="956">
        <v>0</v>
      </c>
      <c r="E26" s="956">
        <v>0</v>
      </c>
      <c r="F26" s="956">
        <v>0</v>
      </c>
      <c r="G26" s="956">
        <v>0</v>
      </c>
      <c r="H26" s="956">
        <v>0</v>
      </c>
      <c r="I26" s="956">
        <v>0</v>
      </c>
      <c r="J26" s="957">
        <f>(C26*C24)+D26*D24</f>
        <v>2142005.056868</v>
      </c>
      <c r="K26" s="969">
        <f>+$C$26*K5*K24</f>
        <v>2384426.286505681</v>
      </c>
      <c r="L26" s="970"/>
      <c r="M26" s="969">
        <f>+$C$26*M5*M24</f>
        <v>2497970.395386904</v>
      </c>
      <c r="N26" s="971"/>
      <c r="O26" s="969">
        <f>+$C$26*O5*O24</f>
        <v>2725058.6131493491</v>
      </c>
      <c r="P26" s="971"/>
      <c r="Q26" s="969">
        <f>+$C$26*Q5*Q24</f>
        <v>2900359.4536863556</v>
      </c>
      <c r="R26" s="970"/>
      <c r="S26" s="969">
        <f>+$C$26*S5*S24</f>
        <v>2658662.8325458267</v>
      </c>
      <c r="T26" s="971"/>
      <c r="U26" s="969">
        <f>+$C$26*U5*U24</f>
        <v>2416966.2114052963</v>
      </c>
      <c r="V26" s="971"/>
      <c r="W26" s="969">
        <f>+$C$26*W5*W24</f>
        <v>2527369.3003721959</v>
      </c>
      <c r="X26" s="971"/>
      <c r="Y26" s="969">
        <f>+$C$26*Y5*Y24</f>
        <v>2527369.3003721959</v>
      </c>
      <c r="Z26" s="971"/>
      <c r="AA26" s="969">
        <f>+$C$26*AA5*AA24</f>
        <v>2527369.3003721959</v>
      </c>
      <c r="AB26" s="971"/>
      <c r="AC26" s="969">
        <f>+$C$26*AC5*AC24</f>
        <v>2642815.4230380841</v>
      </c>
      <c r="AD26" s="971"/>
      <c r="AE26" s="969">
        <f>+$C$26*AE5*AE24</f>
        <v>2642815.4230380841</v>
      </c>
      <c r="AF26" s="970"/>
      <c r="AG26" s="969">
        <f>+$C$26*AG5*AG24</f>
        <v>2642815.4230380841</v>
      </c>
      <c r="AH26" s="971"/>
      <c r="AI26" s="969">
        <f>+$C$26*AI5*AI24</f>
        <v>2901711.6838367702</v>
      </c>
      <c r="AJ26" s="971"/>
      <c r="AK26" s="969">
        <f>+$C$26*AK5*AK24</f>
        <v>3039888.4306861404</v>
      </c>
      <c r="AL26" s="971"/>
      <c r="AM26" s="969">
        <f>+$C$26*AM5*AM24</f>
        <v>3316241.9243848799</v>
      </c>
      <c r="AN26" s="971"/>
      <c r="AO26" s="324"/>
      <c r="AP26" s="324"/>
    </row>
    <row r="27" spans="1:42" ht="14.25" hidden="1" customHeight="1" outlineLevel="1" x14ac:dyDescent="0.3">
      <c r="A27" s="954">
        <v>5020</v>
      </c>
      <c r="B27" s="955" t="s">
        <v>2113</v>
      </c>
      <c r="C27" s="956">
        <v>29657</v>
      </c>
      <c r="D27" s="956">
        <v>0</v>
      </c>
      <c r="E27" s="956">
        <v>0</v>
      </c>
      <c r="F27" s="956">
        <v>0</v>
      </c>
      <c r="G27" s="956">
        <v>0</v>
      </c>
      <c r="H27" s="956">
        <v>0</v>
      </c>
      <c r="I27" s="956">
        <v>0</v>
      </c>
      <c r="J27" s="960">
        <f>(C27*C24)+D27*D24</f>
        <v>1396439.8226360001</v>
      </c>
      <c r="K27" s="972">
        <f>+$C$27*K5*K24</f>
        <v>1554481.7739530671</v>
      </c>
      <c r="L27" s="324"/>
      <c r="M27" s="972">
        <f>+$C$27*M5*M24</f>
        <v>1628504.7155698801</v>
      </c>
      <c r="N27" s="973"/>
      <c r="O27" s="972">
        <f>+$C$27*O5*O24</f>
        <v>1776550.5988035053</v>
      </c>
      <c r="P27" s="973"/>
      <c r="Q27" s="972">
        <f>+$C$27*Q5*Q24</f>
        <v>1890834.6775840553</v>
      </c>
      <c r="R27" s="324"/>
      <c r="S27" s="972">
        <f>+$C$27*S5*S24</f>
        <v>1733265.1211187176</v>
      </c>
      <c r="T27" s="973"/>
      <c r="U27" s="972">
        <f>+$C$27*U5*U24</f>
        <v>1575695.5646533794</v>
      </c>
      <c r="V27" s="973"/>
      <c r="W27" s="972">
        <f>+$C$27*W5*W24</f>
        <v>1647670.7775414526</v>
      </c>
      <c r="X27" s="973"/>
      <c r="Y27" s="972">
        <f>+$C$27*Y5*Y24</f>
        <v>1647670.7775414526</v>
      </c>
      <c r="Z27" s="973"/>
      <c r="AA27" s="972">
        <f>+$C$27*AA5*AA24</f>
        <v>1647670.7775414526</v>
      </c>
      <c r="AB27" s="973"/>
      <c r="AC27" s="972">
        <f>+$C$27*AC5*AC24</f>
        <v>1722933.701194532</v>
      </c>
      <c r="AD27" s="973"/>
      <c r="AE27" s="972">
        <f>+$C$27*AE5*AE24</f>
        <v>1722933.701194532</v>
      </c>
      <c r="AF27" s="324"/>
      <c r="AG27" s="972">
        <f>+$C$27*AG5*AG24</f>
        <v>1722933.701194532</v>
      </c>
      <c r="AH27" s="973"/>
      <c r="AI27" s="972">
        <f>+$C$27*AI5*AI24</f>
        <v>1891716.2385427249</v>
      </c>
      <c r="AJ27" s="973"/>
      <c r="AK27" s="972">
        <f>+$C$27*AK5*AK24</f>
        <v>1981797.9641876167</v>
      </c>
      <c r="AL27" s="973"/>
      <c r="AM27" s="972">
        <f>+$C$27*AM5*AM24</f>
        <v>2161961.4154773997</v>
      </c>
      <c r="AN27" s="973"/>
      <c r="AO27" s="324"/>
      <c r="AP27" s="324"/>
    </row>
    <row r="28" spans="1:42" ht="14.25" hidden="1" customHeight="1" outlineLevel="1" x14ac:dyDescent="0.3">
      <c r="A28" s="954">
        <v>5022</v>
      </c>
      <c r="B28" s="955" t="s">
        <v>2114</v>
      </c>
      <c r="C28" s="956">
        <v>23283</v>
      </c>
      <c r="D28" s="956">
        <v>0</v>
      </c>
      <c r="E28" s="956">
        <v>0</v>
      </c>
      <c r="F28" s="956">
        <v>0</v>
      </c>
      <c r="G28" s="956">
        <v>0</v>
      </c>
      <c r="H28" s="956">
        <v>0</v>
      </c>
      <c r="I28" s="956">
        <v>0</v>
      </c>
      <c r="J28" s="960">
        <f>(C28*C24)+D28*D24</f>
        <v>1096311.4404840001</v>
      </c>
      <c r="K28" s="972">
        <f>+$C$28*K5*K24</f>
        <v>1220386.3891475627</v>
      </c>
      <c r="L28" s="324"/>
      <c r="M28" s="972">
        <f>+$C$28*M5*M24</f>
        <v>1278500.0267260179</v>
      </c>
      <c r="N28" s="973"/>
      <c r="O28" s="972">
        <f>+$C$28*O5*O24</f>
        <v>1394727.3018829285</v>
      </c>
      <c r="P28" s="973"/>
      <c r="Q28" s="972">
        <f>+$C$28*Q5*Q24</f>
        <v>1484448.9934312154</v>
      </c>
      <c r="R28" s="324"/>
      <c r="S28" s="972">
        <f>+$C$28*S5*S24</f>
        <v>1360744.910645281</v>
      </c>
      <c r="T28" s="973"/>
      <c r="U28" s="972">
        <f>+$C$28*U5*U24</f>
        <v>1237040.8278593463</v>
      </c>
      <c r="V28" s="973"/>
      <c r="W28" s="972">
        <f>+$C$28*W5*W24</f>
        <v>1293546.8426846154</v>
      </c>
      <c r="X28" s="973"/>
      <c r="Y28" s="972">
        <f>+$C$28*Y5*Y24</f>
        <v>1293546.8426846154</v>
      </c>
      <c r="Z28" s="973"/>
      <c r="AA28" s="972">
        <f>+$C$28*AA5*AA24</f>
        <v>1293546.8426846154</v>
      </c>
      <c r="AB28" s="973"/>
      <c r="AC28" s="972">
        <f>+$C$28*AC5*AC24</f>
        <v>1352633.9604448287</v>
      </c>
      <c r="AD28" s="973"/>
      <c r="AE28" s="972">
        <f>+$C$28*AE5*AE24</f>
        <v>1352633.9604448287</v>
      </c>
      <c r="AF28" s="324"/>
      <c r="AG28" s="972">
        <f>+$C$28*AG5*AG24</f>
        <v>1352633.9604448287</v>
      </c>
      <c r="AH28" s="973"/>
      <c r="AI28" s="972">
        <f>+$C$28*AI5*AI24</f>
        <v>1485141.0858141505</v>
      </c>
      <c r="AJ28" s="973"/>
      <c r="AK28" s="972">
        <f>+$C$28*AK5*AK24</f>
        <v>1555862.0899005388</v>
      </c>
      <c r="AL28" s="973"/>
      <c r="AM28" s="972">
        <f>+$C$28*AM5*AM24</f>
        <v>1697304.0980733149</v>
      </c>
      <c r="AN28" s="973"/>
      <c r="AO28" s="324"/>
      <c r="AP28" s="324"/>
    </row>
    <row r="29" spans="1:42" ht="14.25" hidden="1" customHeight="1" outlineLevel="1" x14ac:dyDescent="0.3">
      <c r="A29" s="954">
        <v>5050</v>
      </c>
      <c r="B29" s="955" t="s">
        <v>2115</v>
      </c>
      <c r="C29" s="956">
        <v>50000</v>
      </c>
      <c r="D29" s="956">
        <v>50000</v>
      </c>
      <c r="E29" s="956">
        <v>100000</v>
      </c>
      <c r="F29" s="956">
        <v>31576</v>
      </c>
      <c r="G29" s="956">
        <v>0</v>
      </c>
      <c r="H29" s="956">
        <v>0</v>
      </c>
      <c r="I29" s="956">
        <v>0</v>
      </c>
      <c r="J29" s="960">
        <f>(C29*C24)+D29*D24+E29*E24+F29*F24+G29*G24+H29*H24+I29*I24</f>
        <v>9630078.2885120008</v>
      </c>
      <c r="K29" s="974">
        <f>(+$C$29*K24)+($D$29*K25)+($E$29*L24)+($F$29*K5*L25)</f>
        <v>10275689.142914863</v>
      </c>
      <c r="L29" s="975"/>
      <c r="M29" s="974">
        <f>(+$C$29*M24)+($D$29*M25)+($E$29*N24)+($F$29*M5*N25)</f>
        <v>10341891.111935627</v>
      </c>
      <c r="N29" s="976"/>
      <c r="O29" s="974">
        <f>(+$C$29*O24)+($D$29*O25)+($E$29*P24)+($F$29*O5*P25)</f>
        <v>10474295.049977152</v>
      </c>
      <c r="P29" s="973"/>
      <c r="Q29" s="974">
        <f>(+$C$29*Q24)+($D$29*Q25)+($E$29*R24)+($F$29*Q5*R25)</f>
        <v>11148098.071106136</v>
      </c>
      <c r="R29" s="324"/>
      <c r="S29" s="974">
        <f>(+$C$29*S24)+($D$29*S25)+($E$29*T24)+($F$29*S5*T25)</f>
        <v>11007176.69365355</v>
      </c>
      <c r="T29" s="973"/>
      <c r="U29" s="974">
        <f>(+$C$29*U24)+($D$29*U25)+($E$29*V24)+($F$29*U5*V25)</f>
        <v>10866255.316200964</v>
      </c>
      <c r="V29" s="973"/>
      <c r="W29" s="974">
        <f>(+$C$29*W24)+($D$29*W25)+($E$29*X24)+($F$29*W5*X25)</f>
        <v>11362608.20138013</v>
      </c>
      <c r="X29" s="973"/>
      <c r="Y29" s="974">
        <f>(+$C$29*Y24)+($D$29*Y25)+($E$29*Z24)+($F$29*Y5*Z25)</f>
        <v>11362608.20138013</v>
      </c>
      <c r="Z29" s="973"/>
      <c r="AA29" s="974">
        <f>(+$C$29*AA24)+($D$29*AA25)+($E$29*AB24)+($F$29*AA5*AB25)</f>
        <v>11362608.20138013</v>
      </c>
      <c r="AB29" s="973"/>
      <c r="AC29" s="974">
        <f>(+$C$29*AC24)+($D$29*AC25)+($E$29*AD24)+($F$29*AC5*AD25)</f>
        <v>11881633.679780845</v>
      </c>
      <c r="AD29" s="973"/>
      <c r="AE29" s="974">
        <f>(+$C$29*AE24)+($D$29*AE25)+($E$29*AF24)+($F$29*AE5*AF25)</f>
        <v>11881633.679780845</v>
      </c>
      <c r="AF29" s="324"/>
      <c r="AG29" s="974">
        <f>(+$C$29*AG24)+($D$29*AG25)+($E$29*AH24)+($F$29*AG5*AH25)</f>
        <v>11881633.679780845</v>
      </c>
      <c r="AH29" s="973"/>
      <c r="AI29" s="974">
        <f>(+$C$29*AI24)+($D$29*AI25)+($E$29*AJ24)+($F$29*AI5*AJ25)</f>
        <v>12504931.443767514</v>
      </c>
      <c r="AJ29" s="973"/>
      <c r="AK29" s="974">
        <f>(+$C$29*AK24)+($D$29*AK25)+($E$29*AL24)+($F$29*AK5*AL25)</f>
        <v>12585495.488916531</v>
      </c>
      <c r="AL29" s="973"/>
      <c r="AM29" s="974">
        <f>(+$C$29*AM24)+($D$29*AM25)+($E$29*AN24)+($F$29*AM5*AN25)</f>
        <v>12746623.579214565</v>
      </c>
      <c r="AN29" s="973"/>
      <c r="AO29" s="324"/>
      <c r="AP29" s="324"/>
    </row>
    <row r="30" spans="1:42" ht="14.25" hidden="1" customHeight="1" outlineLevel="1" x14ac:dyDescent="0.3">
      <c r="A30" s="954">
        <v>5060</v>
      </c>
      <c r="B30" s="955" t="s">
        <v>2116</v>
      </c>
      <c r="C30" s="956">
        <v>19169</v>
      </c>
      <c r="D30" s="956">
        <v>0</v>
      </c>
      <c r="E30" s="956">
        <v>0</v>
      </c>
      <c r="F30" s="956">
        <v>0</v>
      </c>
      <c r="G30" s="956">
        <v>0</v>
      </c>
      <c r="H30" s="956">
        <v>0</v>
      </c>
      <c r="I30" s="956">
        <v>0</v>
      </c>
      <c r="J30" s="960">
        <f>(C30*C24)+D30*D24</f>
        <v>902598.20481200004</v>
      </c>
      <c r="K30" s="972">
        <f>+$C$30*K5*K24</f>
        <v>1004749.6754528895</v>
      </c>
      <c r="L30" s="324"/>
      <c r="M30" s="972">
        <f>+$C$30*M5*M24</f>
        <v>1052594.8980935034</v>
      </c>
      <c r="N30" s="973"/>
      <c r="O30" s="972">
        <f>+$C$30*O5*O24</f>
        <v>1148285.3433747308</v>
      </c>
      <c r="P30" s="973"/>
      <c r="Q30" s="972">
        <f>+$C$30*Q5*Q24</f>
        <v>1222153.6208857521</v>
      </c>
      <c r="R30" s="324"/>
      <c r="S30" s="972">
        <f>+$C$30*S5*S24</f>
        <v>1120307.4858119397</v>
      </c>
      <c r="T30" s="973"/>
      <c r="U30" s="972">
        <f>+$C$30*U5*U24</f>
        <v>1018461.3507381269</v>
      </c>
      <c r="V30" s="973"/>
      <c r="W30" s="972">
        <f>+$C$30*W5*W24</f>
        <v>1064983.0102401492</v>
      </c>
      <c r="X30" s="973"/>
      <c r="Y30" s="972">
        <f>+$C$30*Y5*Y24</f>
        <v>1064983.0102401492</v>
      </c>
      <c r="Z30" s="973"/>
      <c r="AA30" s="972">
        <f>+$C$30*AA5*AA24</f>
        <v>1064983.0102401492</v>
      </c>
      <c r="AB30" s="973"/>
      <c r="AC30" s="972">
        <f>+$C$30*AC5*AC24</f>
        <v>1113629.7035505271</v>
      </c>
      <c r="AD30" s="973"/>
      <c r="AE30" s="972">
        <f>+$C$30*AE5*AE24</f>
        <v>1113629.7035505271</v>
      </c>
      <c r="AF30" s="324"/>
      <c r="AG30" s="972">
        <f>+$C$30*AG5*AG24</f>
        <v>1113629.7035505271</v>
      </c>
      <c r="AH30" s="973"/>
      <c r="AI30" s="972">
        <f>+$C$30*AI5*AI24</f>
        <v>1222723.4236984688</v>
      </c>
      <c r="AJ30" s="973"/>
      <c r="AK30" s="972">
        <f>+$C$30*AK5*AK24</f>
        <v>1280948.3486364912</v>
      </c>
      <c r="AL30" s="973"/>
      <c r="AM30" s="972">
        <f>+$C$30*AM5*AM24</f>
        <v>1397398.1985125358</v>
      </c>
      <c r="AN30" s="973"/>
      <c r="AO30" s="324"/>
      <c r="AP30" s="324"/>
    </row>
    <row r="31" spans="1:42" ht="14.25" hidden="1" customHeight="1" outlineLevel="1" x14ac:dyDescent="0.3">
      <c r="A31" s="954">
        <v>5090</v>
      </c>
      <c r="B31" s="955" t="s">
        <v>2117</v>
      </c>
      <c r="C31" s="956">
        <v>8328</v>
      </c>
      <c r="D31" s="956">
        <v>0</v>
      </c>
      <c r="E31" s="956">
        <v>0</v>
      </c>
      <c r="F31" s="956">
        <v>0</v>
      </c>
      <c r="G31" s="956">
        <v>0</v>
      </c>
      <c r="H31" s="956">
        <v>0</v>
      </c>
      <c r="I31" s="956">
        <v>0</v>
      </c>
      <c r="J31" s="960">
        <f>(C31*C24)+D31*D24</f>
        <v>392135.10614400002</v>
      </c>
      <c r="K31" s="972">
        <f>+$C$31*K5*K24</f>
        <v>436514.96150929434</v>
      </c>
      <c r="L31" s="324"/>
      <c r="M31" s="972">
        <f>+$C$31*M5*M24</f>
        <v>457301.38824783225</v>
      </c>
      <c r="N31" s="973"/>
      <c r="O31" s="972">
        <f>+$C$31*O5*O24</f>
        <v>498874.24172490783</v>
      </c>
      <c r="P31" s="973"/>
      <c r="Q31" s="972">
        <f>+$C$31*Q5*Q24</f>
        <v>530966.42259567766</v>
      </c>
      <c r="R31" s="324"/>
      <c r="S31" s="972">
        <f>+$C$31*S5*S24</f>
        <v>486719.22071270458</v>
      </c>
      <c r="T31" s="973"/>
      <c r="U31" s="972">
        <f>+$C$31*U5*U24</f>
        <v>442472.01882973139</v>
      </c>
      <c r="V31" s="973"/>
      <c r="W31" s="972">
        <f>+$C$31*W5*W24</f>
        <v>462683.42163284268</v>
      </c>
      <c r="X31" s="973"/>
      <c r="Y31" s="972">
        <f>+$C$31*Y5*Y24</f>
        <v>462683.42163284268</v>
      </c>
      <c r="Z31" s="973"/>
      <c r="AA31" s="972">
        <f>+$C$31*AA5*AA24</f>
        <v>462683.42163284268</v>
      </c>
      <c r="AB31" s="973"/>
      <c r="AC31" s="972">
        <f>+$C$31*AC5*AC24</f>
        <v>483818.04847247066</v>
      </c>
      <c r="AD31" s="973"/>
      <c r="AE31" s="972">
        <f>+$C$31*AE5*AE24</f>
        <v>483818.04847247066</v>
      </c>
      <c r="AF31" s="324"/>
      <c r="AG31" s="972">
        <f>+$C$31*AG5*AG24</f>
        <v>483818.04847247066</v>
      </c>
      <c r="AH31" s="973"/>
      <c r="AI31" s="972">
        <f>+$C$31*AI5*AI24</f>
        <v>531213.97425848234</v>
      </c>
      <c r="AJ31" s="973"/>
      <c r="AK31" s="972">
        <f>+$C$31*AK5*AK24</f>
        <v>556509.87779460067</v>
      </c>
      <c r="AL31" s="973"/>
      <c r="AM31" s="972">
        <f>+$C$31*AM5*AM24</f>
        <v>607101.68486683699</v>
      </c>
      <c r="AN31" s="973"/>
      <c r="AO31" s="324"/>
      <c r="AP31" s="324"/>
    </row>
    <row r="32" spans="1:42" ht="14.25" hidden="1" customHeight="1" outlineLevel="1" x14ac:dyDescent="0.3">
      <c r="A32" s="954">
        <v>5100</v>
      </c>
      <c r="B32" s="955" t="s">
        <v>2118</v>
      </c>
      <c r="C32" s="956">
        <v>253</v>
      </c>
      <c r="D32" s="956">
        <v>0</v>
      </c>
      <c r="E32" s="956">
        <v>0</v>
      </c>
      <c r="F32" s="956">
        <v>0</v>
      </c>
      <c r="G32" s="956">
        <v>0</v>
      </c>
      <c r="H32" s="956">
        <v>0</v>
      </c>
      <c r="I32" s="956">
        <v>0</v>
      </c>
      <c r="J32" s="960">
        <f>(C32*C24)+D32*D24</f>
        <v>11912.846044</v>
      </c>
      <c r="K32" s="972">
        <f>+$C$32*K5*K24</f>
        <v>13261.0813234692</v>
      </c>
      <c r="L32" s="324"/>
      <c r="M32" s="972">
        <f>+$C$32*M5*M24</f>
        <v>13892.561386491539</v>
      </c>
      <c r="N32" s="973"/>
      <c r="O32" s="972">
        <f>+$C$32*O5*O24</f>
        <v>15155.521512536223</v>
      </c>
      <c r="P32" s="973"/>
      <c r="Q32" s="972">
        <f>+$C$32*Q5*Q24</f>
        <v>16130.464087020464</v>
      </c>
      <c r="R32" s="324"/>
      <c r="S32" s="972">
        <f>+$C$32*S5*S24</f>
        <v>14786.258746435427</v>
      </c>
      <c r="T32" s="973"/>
      <c r="U32" s="972">
        <f>+$C$32*U5*U24</f>
        <v>13442.053405850389</v>
      </c>
      <c r="V32" s="973"/>
      <c r="W32" s="972">
        <f>+$C$32*W5*W24</f>
        <v>14056.064562092844</v>
      </c>
      <c r="X32" s="973"/>
      <c r="Y32" s="972">
        <f>+$C$32*Y5*Y24</f>
        <v>14056.064562092844</v>
      </c>
      <c r="Z32" s="973"/>
      <c r="AA32" s="972">
        <f>+$C$32*AA5*AA24</f>
        <v>14056.064562092844</v>
      </c>
      <c r="AB32" s="973"/>
      <c r="AC32" s="972">
        <f>+$C$32*AC5*AC24</f>
        <v>14698.122750184328</v>
      </c>
      <c r="AD32" s="973"/>
      <c r="AE32" s="972">
        <f>+$C$32*AE5*AE24</f>
        <v>14698.122750184328</v>
      </c>
      <c r="AF32" s="324"/>
      <c r="AG32" s="972">
        <f>+$C$32*AG5*AG24</f>
        <v>14698.122750184328</v>
      </c>
      <c r="AH32" s="973"/>
      <c r="AI32" s="972">
        <f>+$C$32*AI5*AI24</f>
        <v>16137.984568611439</v>
      </c>
      <c r="AJ32" s="973"/>
      <c r="AK32" s="972">
        <f>+$C$32*AK5*AK24</f>
        <v>16906.460024259603</v>
      </c>
      <c r="AL32" s="973"/>
      <c r="AM32" s="972">
        <f>+$C$32*AM5*AM24</f>
        <v>18443.410935555927</v>
      </c>
      <c r="AN32" s="973"/>
      <c r="AO32" s="324"/>
      <c r="AP32" s="324"/>
    </row>
    <row r="33" spans="1:42" ht="14.25" hidden="1" customHeight="1" outlineLevel="1" x14ac:dyDescent="0.3">
      <c r="A33" s="954">
        <v>5110</v>
      </c>
      <c r="B33" s="955" t="s">
        <v>2119</v>
      </c>
      <c r="C33" s="977">
        <v>3166</v>
      </c>
      <c r="D33" s="956">
        <v>0</v>
      </c>
      <c r="E33" s="956">
        <v>0</v>
      </c>
      <c r="F33" s="956">
        <v>0</v>
      </c>
      <c r="G33" s="956">
        <v>0</v>
      </c>
      <c r="H33" s="956">
        <v>0</v>
      </c>
      <c r="I33" s="956">
        <v>0</v>
      </c>
      <c r="J33" s="960">
        <f>(C33*C24)+D33*D24</f>
        <v>149075.37776800001</v>
      </c>
      <c r="K33" s="972">
        <f>+$C$33*K5*K24</f>
        <v>165946.97023756316</v>
      </c>
      <c r="L33" s="324"/>
      <c r="M33" s="972">
        <f>+$C$33*M5*M24</f>
        <v>173849.20691554237</v>
      </c>
      <c r="N33" s="973"/>
      <c r="O33" s="972">
        <f>+$C$33*O5*O24</f>
        <v>189653.68027150075</v>
      </c>
      <c r="P33" s="973"/>
      <c r="Q33" s="972">
        <f>+$C$33*Q5*Q24</f>
        <v>201853.94980042209</v>
      </c>
      <c r="R33" s="324"/>
      <c r="S33" s="972">
        <f>+$C$33*S5*S24</f>
        <v>185032.78731705362</v>
      </c>
      <c r="T33" s="973"/>
      <c r="U33" s="972">
        <f>+$C$33*U5*U24</f>
        <v>168211.62483368508</v>
      </c>
      <c r="V33" s="973"/>
      <c r="W33" s="972">
        <f>+$C$33*W5*W24</f>
        <v>175895.25851219741</v>
      </c>
      <c r="X33" s="973"/>
      <c r="Y33" s="972">
        <f>+$C$33*Y5*Y24</f>
        <v>175895.25851219741</v>
      </c>
      <c r="Z33" s="973"/>
      <c r="AA33" s="972">
        <f>+$C$33*AA5*AA24</f>
        <v>175895.25851219741</v>
      </c>
      <c r="AB33" s="973"/>
      <c r="AC33" s="972">
        <f>+$C$33*AC5*AC24</f>
        <v>183929.86809123945</v>
      </c>
      <c r="AD33" s="973"/>
      <c r="AE33" s="972">
        <f>+$C$33*AE5*AE24</f>
        <v>183929.86809123945</v>
      </c>
      <c r="AF33" s="324"/>
      <c r="AG33" s="972">
        <f>+$C$33*AG5*AG24</f>
        <v>183929.86809123945</v>
      </c>
      <c r="AH33" s="973"/>
      <c r="AI33" s="972">
        <f>+$C$33*AI5*AI24</f>
        <v>201948.05985859214</v>
      </c>
      <c r="AJ33" s="973"/>
      <c r="AK33" s="972">
        <f>+$C$33*AK5*AK24</f>
        <v>211564.63413757272</v>
      </c>
      <c r="AL33" s="973"/>
      <c r="AM33" s="972">
        <f>+$C$33*AM5*AM24</f>
        <v>230797.78269553385</v>
      </c>
      <c r="AN33" s="973"/>
      <c r="AO33" s="324"/>
      <c r="AP33" s="324"/>
    </row>
    <row r="34" spans="1:42" ht="14.25" hidden="1" customHeight="1" outlineLevel="1" x14ac:dyDescent="0.3">
      <c r="A34" s="954">
        <v>5130</v>
      </c>
      <c r="B34" s="955" t="s">
        <v>2120</v>
      </c>
      <c r="C34" s="956">
        <v>0</v>
      </c>
      <c r="D34" s="956">
        <v>0</v>
      </c>
      <c r="E34" s="956">
        <v>0</v>
      </c>
      <c r="F34" s="956">
        <v>0</v>
      </c>
      <c r="G34" s="956">
        <v>0</v>
      </c>
      <c r="H34" s="956">
        <v>0</v>
      </c>
      <c r="I34" s="956">
        <v>0</v>
      </c>
      <c r="J34" s="960">
        <f>(C34*C24)+D34*D24</f>
        <v>0</v>
      </c>
      <c r="K34" s="972"/>
      <c r="L34" s="324"/>
      <c r="M34" s="972"/>
      <c r="N34" s="973"/>
      <c r="O34" s="972"/>
      <c r="P34" s="973"/>
      <c r="Q34" s="972"/>
      <c r="R34" s="324"/>
      <c r="S34" s="972"/>
      <c r="T34" s="973"/>
      <c r="U34" s="972"/>
      <c r="V34" s="973"/>
      <c r="W34" s="972"/>
      <c r="X34" s="973"/>
      <c r="Y34" s="972"/>
      <c r="Z34" s="973"/>
      <c r="AA34" s="972"/>
      <c r="AB34" s="973"/>
      <c r="AC34" s="972"/>
      <c r="AD34" s="973"/>
      <c r="AE34" s="972"/>
      <c r="AF34" s="324"/>
      <c r="AG34" s="972"/>
      <c r="AH34" s="973"/>
      <c r="AI34" s="972"/>
      <c r="AJ34" s="973"/>
      <c r="AK34" s="972"/>
      <c r="AL34" s="973"/>
      <c r="AM34" s="972"/>
      <c r="AN34" s="973"/>
      <c r="AO34" s="324"/>
      <c r="AP34" s="324"/>
    </row>
    <row r="35" spans="1:42" ht="14.25" hidden="1" customHeight="1" outlineLevel="1" x14ac:dyDescent="0.3">
      <c r="A35" s="954">
        <v>5140</v>
      </c>
      <c r="B35" s="955" t="s">
        <v>2121</v>
      </c>
      <c r="C35" s="956">
        <v>17680</v>
      </c>
      <c r="D35" s="956">
        <v>0</v>
      </c>
      <c r="E35" s="956">
        <v>0</v>
      </c>
      <c r="F35" s="956">
        <v>0</v>
      </c>
      <c r="G35" s="956">
        <v>0</v>
      </c>
      <c r="H35" s="956">
        <v>0</v>
      </c>
      <c r="I35" s="956">
        <v>0</v>
      </c>
      <c r="J35" s="960">
        <f>(C35*C24)+D35*D24</f>
        <v>832486.63263999997</v>
      </c>
      <c r="K35" s="972">
        <f>+$C$35*K5*K24</f>
        <v>926703.23240685929</v>
      </c>
      <c r="L35" s="324"/>
      <c r="M35" s="972">
        <f>+$C$35*M5*M24</f>
        <v>970831.95775956684</v>
      </c>
      <c r="N35" s="973"/>
      <c r="O35" s="972">
        <f>+$C$35*O5*O24</f>
        <v>1059089.4084649819</v>
      </c>
      <c r="P35" s="973"/>
      <c r="Q35" s="972">
        <f>+$C$35*Q5*Q24</f>
        <v>1127219.7828400072</v>
      </c>
      <c r="R35" s="324"/>
      <c r="S35" s="972">
        <f>+$C$35*S5*S24</f>
        <v>1033284.8009366733</v>
      </c>
      <c r="T35" s="973"/>
      <c r="U35" s="972">
        <f>+$C$35*U5*U24</f>
        <v>939349.81903333939</v>
      </c>
      <c r="V35" s="973"/>
      <c r="W35" s="972">
        <f>+$C$35*W5*W24</f>
        <v>982257.79232332599</v>
      </c>
      <c r="X35" s="973"/>
      <c r="Y35" s="972">
        <f>+$C$35*Y5*Y24</f>
        <v>982257.79232332599</v>
      </c>
      <c r="Z35" s="973"/>
      <c r="AA35" s="972">
        <f>+$C$35*AA5*AA24</f>
        <v>982257.79232332599</v>
      </c>
      <c r="AB35" s="973"/>
      <c r="AC35" s="972">
        <f>+$C$35*AC5*AC24</f>
        <v>1027125.7321077427</v>
      </c>
      <c r="AD35" s="973"/>
      <c r="AE35" s="972">
        <f>+$C$35*AE5*AE24</f>
        <v>1027125.7321077427</v>
      </c>
      <c r="AF35" s="324"/>
      <c r="AG35" s="972">
        <f>+$C$35*AG5*AG24</f>
        <v>1027125.7321077427</v>
      </c>
      <c r="AH35" s="973"/>
      <c r="AI35" s="972">
        <f>+$C$35*AI5*AI24</f>
        <v>1127745.3247946647</v>
      </c>
      <c r="AJ35" s="973"/>
      <c r="AK35" s="972">
        <f>+$C$35*AK5*AK24</f>
        <v>1181447.4831182202</v>
      </c>
      <c r="AL35" s="973"/>
      <c r="AM35" s="972">
        <f>+$C$35*AM5*AM24</f>
        <v>1288851.7997653312</v>
      </c>
      <c r="AN35" s="973"/>
      <c r="AO35" s="324"/>
      <c r="AP35" s="324"/>
    </row>
    <row r="36" spans="1:42" ht="14.25" hidden="1" customHeight="1" outlineLevel="1" x14ac:dyDescent="0.3">
      <c r="A36" s="954">
        <v>5150</v>
      </c>
      <c r="B36" s="963" t="s">
        <v>2122</v>
      </c>
      <c r="C36" s="956">
        <v>897</v>
      </c>
      <c r="D36" s="956">
        <v>0</v>
      </c>
      <c r="E36" s="956">
        <v>0</v>
      </c>
      <c r="F36" s="956">
        <v>0</v>
      </c>
      <c r="G36" s="956">
        <v>0</v>
      </c>
      <c r="H36" s="956">
        <v>0</v>
      </c>
      <c r="I36" s="956">
        <v>0</v>
      </c>
      <c r="J36" s="960">
        <f>(C36*C24)+D36*D24</f>
        <v>42236.454156</v>
      </c>
      <c r="K36" s="972">
        <f>+$C$36*K5*K24</f>
        <v>47016.561055936247</v>
      </c>
      <c r="L36" s="324"/>
      <c r="M36" s="972">
        <f>+$C$36*M5*M24</f>
        <v>49255.444915742737</v>
      </c>
      <c r="N36" s="973"/>
      <c r="O36" s="972">
        <f>+$C$36*O5*O24</f>
        <v>53733.212635355703</v>
      </c>
      <c r="P36" s="973"/>
      <c r="Q36" s="972">
        <f>+$C$36*Q5*Q24</f>
        <v>57189.827217618011</v>
      </c>
      <c r="R36" s="324"/>
      <c r="S36" s="972">
        <f>+$C$36*S5*S24</f>
        <v>52424.008282816518</v>
      </c>
      <c r="T36" s="973"/>
      <c r="U36" s="972">
        <f>+$C$36*U5*U24</f>
        <v>47658.18934801501</v>
      </c>
      <c r="V36" s="973"/>
      <c r="W36" s="972">
        <f>+$C$36*W5*W24</f>
        <v>49835.137992874632</v>
      </c>
      <c r="X36" s="973"/>
      <c r="Y36" s="972">
        <f>+$C$36*Y5*Y24</f>
        <v>49835.137992874632</v>
      </c>
      <c r="Z36" s="973"/>
      <c r="AA36" s="972">
        <f>+$C$36*AA5*AA24</f>
        <v>49835.137992874632</v>
      </c>
      <c r="AB36" s="973"/>
      <c r="AC36" s="972">
        <f>+$C$36*AC5*AC24</f>
        <v>52111.526114289889</v>
      </c>
      <c r="AD36" s="973"/>
      <c r="AE36" s="972">
        <f>+$C$36*AE5*AE24</f>
        <v>52111.526114289889</v>
      </c>
      <c r="AF36" s="324"/>
      <c r="AG36" s="972">
        <f>+$C$36*AG5*AG24</f>
        <v>52111.526114289889</v>
      </c>
      <c r="AH36" s="973"/>
      <c r="AI36" s="972">
        <f>+$C$36*AI5*AI24</f>
        <v>57216.490743258728</v>
      </c>
      <c r="AJ36" s="973"/>
      <c r="AK36" s="972">
        <f>+$C$36*AK5*AK24</f>
        <v>59941.085540556764</v>
      </c>
      <c r="AL36" s="973"/>
      <c r="AM36" s="972">
        <f>+$C$36*AM5*AM24</f>
        <v>65390.275135152828</v>
      </c>
      <c r="AN36" s="973"/>
      <c r="AO36" s="324"/>
      <c r="AP36" s="324"/>
    </row>
    <row r="37" spans="1:42" ht="14.25" hidden="1" customHeight="1" outlineLevel="1" x14ac:dyDescent="0.3">
      <c r="A37" s="954">
        <v>5160</v>
      </c>
      <c r="B37" s="963" t="s">
        <v>2123</v>
      </c>
      <c r="C37" s="956">
        <v>3405</v>
      </c>
      <c r="D37" s="956">
        <v>0</v>
      </c>
      <c r="E37" s="956">
        <v>0</v>
      </c>
      <c r="F37" s="956">
        <v>0</v>
      </c>
      <c r="G37" s="956">
        <v>0</v>
      </c>
      <c r="H37" s="956">
        <v>0</v>
      </c>
      <c r="I37" s="956">
        <v>0</v>
      </c>
      <c r="J37" s="960">
        <f>(C37*C24)+D37*D24</f>
        <v>160329.01493999999</v>
      </c>
      <c r="K37" s="972">
        <f>+$C$37*K5*K24</f>
        <v>178474.23678423959</v>
      </c>
      <c r="L37" s="324"/>
      <c r="M37" s="972">
        <f>+$C$37*M5*M24</f>
        <v>186973.0099644415</v>
      </c>
      <c r="N37" s="973"/>
      <c r="O37" s="972">
        <f>+$C$37*O5*O24</f>
        <v>203970.55632484524</v>
      </c>
      <c r="P37" s="973"/>
      <c r="Q37" s="972">
        <f>+$C$37*Q5*Q24</f>
        <v>217091.81903677742</v>
      </c>
      <c r="R37" s="324"/>
      <c r="S37" s="972">
        <f>+$C$37*S5*S24</f>
        <v>199000.834117046</v>
      </c>
      <c r="T37" s="973"/>
      <c r="U37" s="972">
        <f>+$C$37*U5*U24</f>
        <v>180909.84919731453</v>
      </c>
      <c r="V37" s="973"/>
      <c r="W37" s="972">
        <f>+$C$37*W5*W24</f>
        <v>189173.51713014283</v>
      </c>
      <c r="X37" s="973"/>
      <c r="Y37" s="972">
        <f>+$C$37*Y5*Y24</f>
        <v>189173.51713014283</v>
      </c>
      <c r="Z37" s="973"/>
      <c r="AA37" s="972">
        <f>+$C$37*AA5*AA24</f>
        <v>189173.51713014283</v>
      </c>
      <c r="AB37" s="973"/>
      <c r="AC37" s="972">
        <f>+$C$37*AC5*AC24</f>
        <v>197814.65598568236</v>
      </c>
      <c r="AD37" s="973"/>
      <c r="AE37" s="972">
        <f>+$C$37*AE5*AE24</f>
        <v>197814.65598568236</v>
      </c>
      <c r="AF37" s="324"/>
      <c r="AG37" s="972">
        <f>+$C$37*AG5*AG24</f>
        <v>197814.65598568236</v>
      </c>
      <c r="AH37" s="973"/>
      <c r="AI37" s="972">
        <f>+$C$37*AI5*AI24</f>
        <v>217193.03342340689</v>
      </c>
      <c r="AJ37" s="973"/>
      <c r="AK37" s="972">
        <f>+$C$37*AK5*AK24</f>
        <v>227535.55882452152</v>
      </c>
      <c r="AL37" s="973"/>
      <c r="AM37" s="972">
        <f>+$C$37*AM5*AM24</f>
        <v>248220.60962675072</v>
      </c>
      <c r="AN37" s="973"/>
      <c r="AO37" s="324"/>
      <c r="AP37" s="324"/>
    </row>
    <row r="38" spans="1:42" ht="14.25" hidden="1" customHeight="1" outlineLevel="1" x14ac:dyDescent="0.3">
      <c r="A38" s="954">
        <v>5170</v>
      </c>
      <c r="B38" s="963" t="s">
        <v>2124</v>
      </c>
      <c r="C38" s="956">
        <v>547</v>
      </c>
      <c r="D38" s="956">
        <v>0</v>
      </c>
      <c r="E38" s="956">
        <v>0</v>
      </c>
      <c r="F38" s="956">
        <v>0</v>
      </c>
      <c r="G38" s="956">
        <v>0</v>
      </c>
      <c r="H38" s="956">
        <v>0</v>
      </c>
      <c r="I38" s="956">
        <v>0</v>
      </c>
      <c r="J38" s="960">
        <f>(C38*C24)+D38*D24</f>
        <v>25756.232356</v>
      </c>
      <c r="K38" s="972">
        <f>+$C$38*K5*K24</f>
        <v>28671.191636117197</v>
      </c>
      <c r="L38" s="324"/>
      <c r="M38" s="972">
        <f>+$C$38*M5*M24</f>
        <v>30036.486475932303</v>
      </c>
      <c r="N38" s="973"/>
      <c r="O38" s="972">
        <f>+$C$38*O5*O24</f>
        <v>32767.07615556251</v>
      </c>
      <c r="P38" s="973"/>
      <c r="Q38" s="972">
        <f>+$C$38*Q5*Q24</f>
        <v>34874.955950988915</v>
      </c>
      <c r="R38" s="324"/>
      <c r="S38" s="972">
        <f>+$C$38*S5*S24</f>
        <v>31968.709621739839</v>
      </c>
      <c r="T38" s="973"/>
      <c r="U38" s="972">
        <f>+$C$38*U5*U24</f>
        <v>29062.46329249076</v>
      </c>
      <c r="V38" s="973"/>
      <c r="W38" s="972">
        <f>+$C$38*W5*W24</f>
        <v>30389.989389188875</v>
      </c>
      <c r="X38" s="973"/>
      <c r="Y38" s="972">
        <f>+$C$38*Y5*Y24</f>
        <v>30389.989389188875</v>
      </c>
      <c r="Z38" s="973"/>
      <c r="AA38" s="972">
        <f>+$C$38*AA5*AA24</f>
        <v>30389.989389188875</v>
      </c>
      <c r="AB38" s="973"/>
      <c r="AC38" s="972">
        <f>+$C$38*AC5*AC24</f>
        <v>31778.154720754257</v>
      </c>
      <c r="AD38" s="973"/>
      <c r="AE38" s="972">
        <f>+$C$38*AE5*AE24</f>
        <v>31778.154720754257</v>
      </c>
      <c r="AF38" s="324"/>
      <c r="AG38" s="972">
        <f>+$C$38*AG5*AG24</f>
        <v>31778.154720754257</v>
      </c>
      <c r="AH38" s="973"/>
      <c r="AI38" s="972">
        <f>+$C$38*AI5*AI24</f>
        <v>34891.215648341728</v>
      </c>
      <c r="AJ38" s="973"/>
      <c r="AK38" s="972">
        <f>+$C$38*AK5*AK24</f>
        <v>36552.702107786572</v>
      </c>
      <c r="AL38" s="973"/>
      <c r="AM38" s="972">
        <f>+$C$38*AM5*AM24</f>
        <v>39875.675026676254</v>
      </c>
      <c r="AN38" s="973"/>
      <c r="AO38" s="324"/>
      <c r="AP38" s="324"/>
    </row>
    <row r="39" spans="1:42" ht="14.25" hidden="1" customHeight="1" outlineLevel="1" x14ac:dyDescent="0.3">
      <c r="A39" s="954">
        <v>5190</v>
      </c>
      <c r="B39" s="978" t="s">
        <v>2125</v>
      </c>
      <c r="C39" s="979">
        <v>0</v>
      </c>
      <c r="D39" s="980">
        <v>0</v>
      </c>
      <c r="E39" s="980">
        <v>0</v>
      </c>
      <c r="F39" s="980">
        <v>0</v>
      </c>
      <c r="G39" s="956">
        <v>0</v>
      </c>
      <c r="H39" s="956">
        <v>0</v>
      </c>
      <c r="I39" s="956">
        <v>0</v>
      </c>
      <c r="J39" s="960">
        <f>(C39*C24)+D39*D24</f>
        <v>0</v>
      </c>
      <c r="K39" s="981"/>
      <c r="L39" s="982"/>
      <c r="M39" s="983"/>
      <c r="N39" s="984"/>
      <c r="O39" s="983"/>
      <c r="P39" s="984"/>
      <c r="Q39" s="983"/>
      <c r="R39" s="982"/>
      <c r="S39" s="983"/>
      <c r="T39" s="984"/>
      <c r="U39" s="983"/>
      <c r="V39" s="984"/>
      <c r="W39" s="983"/>
      <c r="X39" s="984"/>
      <c r="Y39" s="983"/>
      <c r="Z39" s="984"/>
      <c r="AA39" s="983"/>
      <c r="AB39" s="984"/>
      <c r="AC39" s="983"/>
      <c r="AD39" s="984"/>
      <c r="AE39" s="983"/>
      <c r="AF39" s="982"/>
      <c r="AG39" s="983"/>
      <c r="AH39" s="984"/>
      <c r="AI39" s="983"/>
      <c r="AJ39" s="984"/>
      <c r="AK39" s="983"/>
      <c r="AL39" s="984"/>
      <c r="AM39" s="983"/>
      <c r="AN39" s="984"/>
      <c r="AO39" s="324"/>
      <c r="AP39" s="324"/>
    </row>
    <row r="40" spans="1:42" ht="14.25" hidden="1" customHeight="1" outlineLevel="1" x14ac:dyDescent="0.3">
      <c r="A40" s="324"/>
      <c r="B40" s="970"/>
      <c r="C40" s="985">
        <f>SUM(C26:I39)</f>
        <v>383452</v>
      </c>
      <c r="D40" s="985">
        <f>+C40*1.05</f>
        <v>402624.60000000003</v>
      </c>
      <c r="E40" s="985">
        <f>+C40*1.1</f>
        <v>421797.2</v>
      </c>
      <c r="F40" s="985">
        <f>+C40*1.2</f>
        <v>460142.39999999997</v>
      </c>
      <c r="G40" s="986"/>
      <c r="H40" s="986"/>
      <c r="I40" s="987" t="s">
        <v>2091</v>
      </c>
      <c r="J40" s="988">
        <f>SUM(J26:J39)</f>
        <v>16781364.477359999</v>
      </c>
      <c r="K40" s="324"/>
      <c r="L40" s="966">
        <f>SUM(K26:L39)</f>
        <v>18236321.502927545</v>
      </c>
      <c r="M40" s="324"/>
      <c r="N40" s="966">
        <f>SUM(M26:N39)</f>
        <v>18681601.203377482</v>
      </c>
      <c r="O40" s="324"/>
      <c r="P40" s="966">
        <f>SUM(O26:P39)</f>
        <v>19572160.604277357</v>
      </c>
      <c r="Q40" s="324"/>
      <c r="R40" s="966">
        <f>SUM(Q26:R39)</f>
        <v>20831222.038222026</v>
      </c>
      <c r="S40" s="324"/>
      <c r="T40" s="966">
        <f>SUM(S26:T39)</f>
        <v>19883373.663509782</v>
      </c>
      <c r="U40" s="324"/>
      <c r="V40" s="966">
        <f>SUM(U26:V39)</f>
        <v>18935525.288797542</v>
      </c>
      <c r="W40" s="324"/>
      <c r="X40" s="966">
        <f>SUM(W26:X39)</f>
        <v>19800469.313761208</v>
      </c>
      <c r="Y40" s="324"/>
      <c r="Z40" s="966">
        <f>SUM(Y26:Z39)</f>
        <v>19800469.313761208</v>
      </c>
      <c r="AA40" s="324"/>
      <c r="AB40" s="966">
        <f>SUM(AA26:AB39)</f>
        <v>19800469.313761208</v>
      </c>
      <c r="AC40" s="324"/>
      <c r="AD40" s="966">
        <f>SUM(AC26:AD39)</f>
        <v>20704922.576251186</v>
      </c>
      <c r="AE40" s="324"/>
      <c r="AF40" s="966">
        <f>SUM(AE26:AF39)</f>
        <v>20704922.576251186</v>
      </c>
      <c r="AG40" s="324"/>
      <c r="AH40" s="966">
        <f>SUM(AG26:AH39)</f>
        <v>20704922.576251186</v>
      </c>
      <c r="AI40" s="324"/>
      <c r="AJ40" s="966">
        <f>SUM(AI26:AJ39)</f>
        <v>22192569.958954982</v>
      </c>
      <c r="AK40" s="324"/>
      <c r="AL40" s="966">
        <f>SUM(AK26:AL39)</f>
        <v>22734450.123874832</v>
      </c>
      <c r="AM40" s="324"/>
      <c r="AN40" s="966">
        <f>SUM(AM26:AN39)</f>
        <v>23818210.453714535</v>
      </c>
      <c r="AO40" s="324"/>
      <c r="AP40" s="324"/>
    </row>
    <row r="41" spans="1:42" ht="14.25" hidden="1" customHeight="1" outlineLevel="1" x14ac:dyDescent="0.3">
      <c r="A41" s="324"/>
      <c r="B41" s="324"/>
      <c r="C41" s="986"/>
      <c r="D41" s="986"/>
      <c r="E41" s="986"/>
      <c r="F41" s="989">
        <f>+F40-C40</f>
        <v>76690.399999999965</v>
      </c>
      <c r="G41" s="986"/>
      <c r="H41" s="986"/>
      <c r="I41" s="990"/>
      <c r="J41" s="991"/>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row>
    <row r="42" spans="1:42" ht="14.25" hidden="1" customHeight="1" outlineLevel="1" x14ac:dyDescent="0.3">
      <c r="A42" s="1193" t="s">
        <v>2136</v>
      </c>
      <c r="B42" s="1143"/>
      <c r="C42" s="1143"/>
      <c r="D42" s="1143"/>
      <c r="E42" s="1143"/>
      <c r="F42" s="1143"/>
      <c r="G42" s="1143"/>
      <c r="H42" s="1143"/>
      <c r="I42" s="1143"/>
      <c r="J42" s="1143"/>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row>
    <row r="43" spans="1:42" ht="14.25" hidden="1" customHeight="1" outlineLevel="1" x14ac:dyDescent="0.3">
      <c r="A43" s="1184" t="s">
        <v>1902</v>
      </c>
      <c r="B43" s="1184" t="s">
        <v>2137</v>
      </c>
      <c r="C43" s="1184" t="s">
        <v>2138</v>
      </c>
      <c r="D43" s="1188" t="s">
        <v>2139</v>
      </c>
      <c r="E43" s="1188" t="s">
        <v>237</v>
      </c>
      <c r="F43" s="992" t="s">
        <v>2140</v>
      </c>
      <c r="G43" s="1188" t="s">
        <v>2141</v>
      </c>
      <c r="H43" s="992" t="s">
        <v>2142</v>
      </c>
      <c r="I43" s="1188" t="s">
        <v>2143</v>
      </c>
      <c r="J43" s="1188" t="s">
        <v>2077</v>
      </c>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row>
    <row r="44" spans="1:42" ht="14.25" hidden="1" customHeight="1" outlineLevel="1" x14ac:dyDescent="0.3">
      <c r="A44" s="1106"/>
      <c r="B44" s="1106"/>
      <c r="C44" s="1106"/>
      <c r="D44" s="1106"/>
      <c r="E44" s="1106"/>
      <c r="F44" s="993"/>
      <c r="G44" s="1106"/>
      <c r="H44" s="993"/>
      <c r="I44" s="1106"/>
      <c r="J44" s="1106"/>
      <c r="K44" s="1142">
        <f>+K1</f>
        <v>45957</v>
      </c>
      <c r="L44" s="1103"/>
      <c r="M44" s="1142">
        <f>+M1</f>
        <v>45987</v>
      </c>
      <c r="N44" s="1103"/>
      <c r="O44" s="1142">
        <f>+O1</f>
        <v>46017</v>
      </c>
      <c r="P44" s="1103"/>
      <c r="Q44" s="1142">
        <f>+Q1</f>
        <v>46047</v>
      </c>
      <c r="R44" s="1103"/>
      <c r="S44" s="1142">
        <f>+S1</f>
        <v>46077</v>
      </c>
      <c r="T44" s="1103"/>
      <c r="U44" s="1142">
        <f>+U1</f>
        <v>46107</v>
      </c>
      <c r="V44" s="1103"/>
      <c r="W44" s="1142">
        <f>+W1</f>
        <v>46142</v>
      </c>
      <c r="X44" s="1103"/>
      <c r="Y44" s="1142">
        <f>+Y1</f>
        <v>46172</v>
      </c>
      <c r="Z44" s="1103"/>
      <c r="AA44" s="1142">
        <f>+AA1</f>
        <v>46202</v>
      </c>
      <c r="AB44" s="1103"/>
      <c r="AC44" s="1142">
        <f>+AC1</f>
        <v>46232</v>
      </c>
      <c r="AD44" s="1103"/>
      <c r="AE44" s="1142">
        <f>+AE1</f>
        <v>46262</v>
      </c>
      <c r="AF44" s="1103"/>
      <c r="AG44" s="1142">
        <f>+AG1</f>
        <v>46292</v>
      </c>
      <c r="AH44" s="1103"/>
      <c r="AI44" s="1142">
        <f>+AI1</f>
        <v>46322</v>
      </c>
      <c r="AJ44" s="1103"/>
      <c r="AK44" s="1142">
        <f>+AK1</f>
        <v>46352</v>
      </c>
      <c r="AL44" s="1103"/>
      <c r="AM44" s="1142">
        <f>+AM1</f>
        <v>46382</v>
      </c>
      <c r="AN44" s="1103"/>
      <c r="AO44" s="324"/>
      <c r="AP44" s="324"/>
    </row>
    <row r="45" spans="1:42" ht="14.25" hidden="1" customHeight="1" outlineLevel="1" x14ac:dyDescent="0.3">
      <c r="A45" s="1107"/>
      <c r="B45" s="1107"/>
      <c r="C45" s="1107"/>
      <c r="D45" s="1107"/>
      <c r="E45" s="1107"/>
      <c r="F45" s="994"/>
      <c r="G45" s="1107"/>
      <c r="H45" s="994"/>
      <c r="I45" s="1107"/>
      <c r="J45" s="1107"/>
      <c r="K45" s="1121"/>
      <c r="L45" s="1143"/>
      <c r="M45" s="1121"/>
      <c r="N45" s="1143"/>
      <c r="O45" s="1121"/>
      <c r="P45" s="1143"/>
      <c r="Q45" s="1121"/>
      <c r="R45" s="1143"/>
      <c r="S45" s="1121"/>
      <c r="T45" s="1143"/>
      <c r="U45" s="1121"/>
      <c r="V45" s="1143"/>
      <c r="W45" s="1121"/>
      <c r="X45" s="1143"/>
      <c r="Y45" s="1121"/>
      <c r="Z45" s="1143"/>
      <c r="AA45" s="1121"/>
      <c r="AB45" s="1143"/>
      <c r="AC45" s="1121"/>
      <c r="AD45" s="1143"/>
      <c r="AE45" s="1121"/>
      <c r="AF45" s="1143"/>
      <c r="AG45" s="1121"/>
      <c r="AH45" s="1143"/>
      <c r="AI45" s="1121"/>
      <c r="AJ45" s="1143"/>
      <c r="AK45" s="1121"/>
      <c r="AL45" s="1143"/>
      <c r="AM45" s="1121"/>
      <c r="AN45" s="1143"/>
      <c r="AO45" s="324"/>
      <c r="AP45" s="324"/>
    </row>
    <row r="46" spans="1:42" ht="14.25" hidden="1" customHeight="1" outlineLevel="1" x14ac:dyDescent="0.3">
      <c r="A46" s="995">
        <v>5004</v>
      </c>
      <c r="B46" s="996" t="s">
        <v>2144</v>
      </c>
      <c r="C46" s="996" t="s">
        <v>2145</v>
      </c>
      <c r="D46" s="997">
        <v>2000</v>
      </c>
      <c r="E46" s="998">
        <v>426321.497088</v>
      </c>
      <c r="F46" s="997">
        <v>309</v>
      </c>
      <c r="G46" s="997">
        <v>134</v>
      </c>
      <c r="H46" s="999">
        <v>0</v>
      </c>
      <c r="I46" s="1000">
        <v>0</v>
      </c>
      <c r="J46" s="1197">
        <f>SUM(E46:E51)</f>
        <v>2557928.9825280001</v>
      </c>
      <c r="K46" s="1186">
        <f>+J46*K55</f>
        <v>2711830.8238475183</v>
      </c>
      <c r="L46" s="1120"/>
      <c r="M46" s="1186">
        <f>+K46</f>
        <v>2711830.8238475183</v>
      </c>
      <c r="N46" s="1120"/>
      <c r="O46" s="1186">
        <f>+M46</f>
        <v>2711830.8238475183</v>
      </c>
      <c r="P46" s="1120"/>
      <c r="Q46" s="1186">
        <f>+O46*Q55</f>
        <v>2886280.7312809695</v>
      </c>
      <c r="R46" s="1120"/>
      <c r="S46" s="1186">
        <f>+Q46</f>
        <v>2886280.7312809695</v>
      </c>
      <c r="T46" s="1120"/>
      <c r="U46" s="1186">
        <f>+S46</f>
        <v>2886280.7312809695</v>
      </c>
      <c r="V46" s="1120"/>
      <c r="W46" s="1186">
        <f>+U46*W55</f>
        <v>3018121.3448796947</v>
      </c>
      <c r="X46" s="1120"/>
      <c r="Y46" s="1186">
        <f>+W46</f>
        <v>3018121.3448796947</v>
      </c>
      <c r="Z46" s="1120"/>
      <c r="AA46" s="1186">
        <f>+Y46</f>
        <v>3018121.3448796947</v>
      </c>
      <c r="AB46" s="1120"/>
      <c r="AC46" s="1186">
        <f>+AA46*AC55</f>
        <v>3155984.2234666124</v>
      </c>
      <c r="AD46" s="1120"/>
      <c r="AE46" s="1186">
        <f>+AC46</f>
        <v>3155984.2234666124</v>
      </c>
      <c r="AF46" s="1120"/>
      <c r="AG46" s="1186">
        <f>+AE46</f>
        <v>3155984.2234666124</v>
      </c>
      <c r="AH46" s="1120"/>
      <c r="AI46" s="1186">
        <f>+AG46*AI55</f>
        <v>3300144.454320203</v>
      </c>
      <c r="AJ46" s="1120"/>
      <c r="AK46" s="1186">
        <f>+AI46</f>
        <v>3300144.454320203</v>
      </c>
      <c r="AL46" s="1120"/>
      <c r="AM46" s="1186">
        <f>+AK46</f>
        <v>3300144.454320203</v>
      </c>
      <c r="AN46" s="1120"/>
      <c r="AO46" s="324"/>
      <c r="AP46" s="324"/>
    </row>
    <row r="47" spans="1:42" ht="14.25" hidden="1" customHeight="1" outlineLevel="1" x14ac:dyDescent="0.3">
      <c r="A47" s="995">
        <v>5011</v>
      </c>
      <c r="B47" s="996" t="s">
        <v>2146</v>
      </c>
      <c r="C47" s="996" t="s">
        <v>2147</v>
      </c>
      <c r="D47" s="997">
        <v>2000</v>
      </c>
      <c r="E47" s="998">
        <v>426321.497088</v>
      </c>
      <c r="F47" s="997">
        <v>572</v>
      </c>
      <c r="G47" s="997">
        <v>376</v>
      </c>
      <c r="H47" s="999">
        <v>0</v>
      </c>
      <c r="I47" s="1001"/>
      <c r="J47" s="1106"/>
      <c r="K47" s="1148"/>
      <c r="L47" s="1104"/>
      <c r="M47" s="1148"/>
      <c r="N47" s="1104"/>
      <c r="O47" s="1148"/>
      <c r="P47" s="1104"/>
      <c r="Q47" s="1148"/>
      <c r="R47" s="1104"/>
      <c r="S47" s="1148"/>
      <c r="T47" s="1104"/>
      <c r="U47" s="1148"/>
      <c r="V47" s="1104"/>
      <c r="W47" s="1148"/>
      <c r="X47" s="1104"/>
      <c r="Y47" s="1148"/>
      <c r="Z47" s="1104"/>
      <c r="AA47" s="1148"/>
      <c r="AB47" s="1104"/>
      <c r="AC47" s="1148"/>
      <c r="AD47" s="1104"/>
      <c r="AE47" s="1148"/>
      <c r="AF47" s="1104"/>
      <c r="AG47" s="1148"/>
      <c r="AH47" s="1104"/>
      <c r="AI47" s="1148"/>
      <c r="AJ47" s="1104"/>
      <c r="AK47" s="1148"/>
      <c r="AL47" s="1104"/>
      <c r="AM47" s="1148"/>
      <c r="AN47" s="1104"/>
      <c r="AO47" s="324"/>
      <c r="AP47" s="324"/>
    </row>
    <row r="48" spans="1:42" ht="14.25" hidden="1" customHeight="1" outlineLevel="1" x14ac:dyDescent="0.3">
      <c r="A48" s="995">
        <v>5014</v>
      </c>
      <c r="B48" s="996" t="s">
        <v>2148</v>
      </c>
      <c r="C48" s="996" t="s">
        <v>2148</v>
      </c>
      <c r="D48" s="997">
        <v>2000</v>
      </c>
      <c r="E48" s="998">
        <v>426321.497088</v>
      </c>
      <c r="F48" s="997">
        <v>4523</v>
      </c>
      <c r="G48" s="997">
        <v>3284</v>
      </c>
      <c r="H48" s="999">
        <v>0</v>
      </c>
      <c r="I48" s="1001"/>
      <c r="J48" s="1106"/>
      <c r="K48" s="1148"/>
      <c r="L48" s="1104"/>
      <c r="M48" s="1148"/>
      <c r="N48" s="1104"/>
      <c r="O48" s="1148"/>
      <c r="P48" s="1104"/>
      <c r="Q48" s="1148"/>
      <c r="R48" s="1104"/>
      <c r="S48" s="1148"/>
      <c r="T48" s="1104"/>
      <c r="U48" s="1148"/>
      <c r="V48" s="1104"/>
      <c r="W48" s="1148"/>
      <c r="X48" s="1104"/>
      <c r="Y48" s="1148"/>
      <c r="Z48" s="1104"/>
      <c r="AA48" s="1148"/>
      <c r="AB48" s="1104"/>
      <c r="AC48" s="1148"/>
      <c r="AD48" s="1104"/>
      <c r="AE48" s="1148"/>
      <c r="AF48" s="1104"/>
      <c r="AG48" s="1148"/>
      <c r="AH48" s="1104"/>
      <c r="AI48" s="1148"/>
      <c r="AJ48" s="1104"/>
      <c r="AK48" s="1148"/>
      <c r="AL48" s="1104"/>
      <c r="AM48" s="1148"/>
      <c r="AN48" s="1104"/>
      <c r="AO48" s="324"/>
      <c r="AP48" s="324"/>
    </row>
    <row r="49" spans="1:42" ht="14.25" hidden="1" customHeight="1" outlineLevel="1" x14ac:dyDescent="0.3">
      <c r="A49" s="995">
        <v>5023</v>
      </c>
      <c r="B49" s="996" t="s">
        <v>2149</v>
      </c>
      <c r="C49" s="996" t="s">
        <v>2150</v>
      </c>
      <c r="D49" s="997">
        <v>2000</v>
      </c>
      <c r="E49" s="998">
        <v>426321.497088</v>
      </c>
      <c r="F49" s="997">
        <v>3372</v>
      </c>
      <c r="G49" s="997">
        <v>1286</v>
      </c>
      <c r="H49" s="999">
        <v>0</v>
      </c>
      <c r="I49" s="1001"/>
      <c r="J49" s="1106"/>
      <c r="K49" s="1148"/>
      <c r="L49" s="1104"/>
      <c r="M49" s="1148"/>
      <c r="N49" s="1104"/>
      <c r="O49" s="1148"/>
      <c r="P49" s="1104"/>
      <c r="Q49" s="1148"/>
      <c r="R49" s="1104"/>
      <c r="S49" s="1148"/>
      <c r="T49" s="1104"/>
      <c r="U49" s="1148"/>
      <c r="V49" s="1104"/>
      <c r="W49" s="1148"/>
      <c r="X49" s="1104"/>
      <c r="Y49" s="1148"/>
      <c r="Z49" s="1104"/>
      <c r="AA49" s="1148"/>
      <c r="AB49" s="1104"/>
      <c r="AC49" s="1148"/>
      <c r="AD49" s="1104"/>
      <c r="AE49" s="1148"/>
      <c r="AF49" s="1104"/>
      <c r="AG49" s="1148"/>
      <c r="AH49" s="1104"/>
      <c r="AI49" s="1148"/>
      <c r="AJ49" s="1104"/>
      <c r="AK49" s="1148"/>
      <c r="AL49" s="1104"/>
      <c r="AM49" s="1148"/>
      <c r="AN49" s="1104"/>
      <c r="AO49" s="324"/>
      <c r="AP49" s="324"/>
    </row>
    <row r="50" spans="1:42" ht="14.25" hidden="1" customHeight="1" outlineLevel="1" x14ac:dyDescent="0.3">
      <c r="A50" s="995">
        <v>5024</v>
      </c>
      <c r="B50" s="963" t="s">
        <v>2151</v>
      </c>
      <c r="C50" s="963" t="s">
        <v>2152</v>
      </c>
      <c r="D50" s="997">
        <v>2000</v>
      </c>
      <c r="E50" s="998">
        <v>426321.497088</v>
      </c>
      <c r="F50" s="1002">
        <v>973</v>
      </c>
      <c r="G50" s="1002">
        <v>320</v>
      </c>
      <c r="H50" s="999">
        <v>0</v>
      </c>
      <c r="I50" s="1001"/>
      <c r="J50" s="1106"/>
      <c r="K50" s="1148"/>
      <c r="L50" s="1104"/>
      <c r="M50" s="1148"/>
      <c r="N50" s="1104"/>
      <c r="O50" s="1148"/>
      <c r="P50" s="1104"/>
      <c r="Q50" s="1148"/>
      <c r="R50" s="1104"/>
      <c r="S50" s="1148"/>
      <c r="T50" s="1104"/>
      <c r="U50" s="1148"/>
      <c r="V50" s="1104"/>
      <c r="W50" s="1148"/>
      <c r="X50" s="1104"/>
      <c r="Y50" s="1148"/>
      <c r="Z50" s="1104"/>
      <c r="AA50" s="1148"/>
      <c r="AB50" s="1104"/>
      <c r="AC50" s="1148"/>
      <c r="AD50" s="1104"/>
      <c r="AE50" s="1148"/>
      <c r="AF50" s="1104"/>
      <c r="AG50" s="1148"/>
      <c r="AH50" s="1104"/>
      <c r="AI50" s="1148"/>
      <c r="AJ50" s="1104"/>
      <c r="AK50" s="1148"/>
      <c r="AL50" s="1104"/>
      <c r="AM50" s="1148"/>
      <c r="AN50" s="1104"/>
      <c r="AO50" s="324"/>
      <c r="AP50" s="324"/>
    </row>
    <row r="51" spans="1:42" ht="14.25" hidden="1" customHeight="1" outlineLevel="1" x14ac:dyDescent="0.3">
      <c r="A51" s="995">
        <v>5027</v>
      </c>
      <c r="B51" s="996" t="s">
        <v>2153</v>
      </c>
      <c r="C51" s="963" t="s">
        <v>2154</v>
      </c>
      <c r="D51" s="997">
        <v>2000</v>
      </c>
      <c r="E51" s="998">
        <v>426321.497088</v>
      </c>
      <c r="F51" s="1002">
        <v>29</v>
      </c>
      <c r="G51" s="1002">
        <v>9</v>
      </c>
      <c r="H51" s="999">
        <v>0</v>
      </c>
      <c r="I51" s="1003"/>
      <c r="J51" s="1107"/>
      <c r="K51" s="1121"/>
      <c r="L51" s="1122"/>
      <c r="M51" s="1121"/>
      <c r="N51" s="1122"/>
      <c r="O51" s="1121"/>
      <c r="P51" s="1122"/>
      <c r="Q51" s="1121"/>
      <c r="R51" s="1122"/>
      <c r="S51" s="1121"/>
      <c r="T51" s="1122"/>
      <c r="U51" s="1121"/>
      <c r="V51" s="1122"/>
      <c r="W51" s="1121"/>
      <c r="X51" s="1122"/>
      <c r="Y51" s="1121"/>
      <c r="Z51" s="1122"/>
      <c r="AA51" s="1121"/>
      <c r="AB51" s="1122"/>
      <c r="AC51" s="1121"/>
      <c r="AD51" s="1122"/>
      <c r="AE51" s="1121"/>
      <c r="AF51" s="1122"/>
      <c r="AG51" s="1121"/>
      <c r="AH51" s="1122"/>
      <c r="AI51" s="1121"/>
      <c r="AJ51" s="1122"/>
      <c r="AK51" s="1121"/>
      <c r="AL51" s="1122"/>
      <c r="AM51" s="1121"/>
      <c r="AN51" s="1122"/>
      <c r="AO51" s="324"/>
      <c r="AP51" s="324"/>
    </row>
    <row r="52" spans="1:42" ht="14.25" hidden="1" customHeight="1" outlineLevel="1" x14ac:dyDescent="0.3">
      <c r="A52" s="324"/>
      <c r="B52" s="324"/>
      <c r="C52" s="324"/>
      <c r="D52" s="324"/>
      <c r="E52" s="324"/>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4"/>
      <c r="AO52" s="324"/>
      <c r="AP52" s="324"/>
    </row>
    <row r="53" spans="1:42" ht="14.25" hidden="1" customHeight="1" outlineLevel="1" x14ac:dyDescent="0.3">
      <c r="A53" s="1199" t="s">
        <v>2155</v>
      </c>
      <c r="B53" s="1087"/>
      <c r="C53" s="1087"/>
      <c r="D53" s="1087"/>
      <c r="E53" s="1087"/>
      <c r="F53" s="1087"/>
      <c r="G53" s="1087"/>
      <c r="H53" s="1087"/>
      <c r="I53" s="1088"/>
      <c r="J53" s="988">
        <f>+J46+J40+J20</f>
        <v>30019349.718068004</v>
      </c>
      <c r="K53" s="324"/>
      <c r="L53" s="1004">
        <f>+K46+L40+L20</f>
        <v>32808041.943905585</v>
      </c>
      <c r="M53" s="324"/>
      <c r="N53" s="1004">
        <f>+M46+N40+N20</f>
        <v>33790572.5333637</v>
      </c>
      <c r="O53" s="324"/>
      <c r="P53" s="1004">
        <f>+O46+P40+P20</f>
        <v>35755633.712279938</v>
      </c>
      <c r="Q53" s="324"/>
      <c r="R53" s="1004">
        <f>+Q46+R40+R20</f>
        <v>38055765.024483919</v>
      </c>
      <c r="S53" s="324"/>
      <c r="T53" s="1004">
        <f>+S46+T40+T20</f>
        <v>35964293.031976953</v>
      </c>
      <c r="U53" s="324"/>
      <c r="V53" s="1004">
        <f>+U46+V40+V20</f>
        <v>33872821.039469972</v>
      </c>
      <c r="W53" s="324"/>
      <c r="X53" s="1004">
        <f>+W46+X40+X20</f>
        <v>35420076.461218759</v>
      </c>
      <c r="Y53" s="324"/>
      <c r="Z53" s="1004">
        <f>+Y46+Z40+Z20</f>
        <v>35420076.461218759</v>
      </c>
      <c r="AA53" s="324"/>
      <c r="AB53" s="1004">
        <f>+AA46+AB40+AB20</f>
        <v>35420076.461218759</v>
      </c>
      <c r="AC53" s="324"/>
      <c r="AD53" s="1004">
        <f>+AC46+AD40+AD20</f>
        <v>37038007.996342979</v>
      </c>
      <c r="AE53" s="324"/>
      <c r="AF53" s="1004">
        <f>+AE46+AF40+AF20</f>
        <v>37038007.996342979</v>
      </c>
      <c r="AG53" s="324"/>
      <c r="AH53" s="1004">
        <f>+AG46+AH40+AH20</f>
        <v>37038007.996342979</v>
      </c>
      <c r="AI53" s="324"/>
      <c r="AJ53" s="1004">
        <f>+AI46+AJ40+AJ20</f>
        <v>39925528.069878049</v>
      </c>
      <c r="AK53" s="324"/>
      <c r="AL53" s="1004">
        <f>+AK46+AL40+AL20</f>
        <v>41121212.124903195</v>
      </c>
      <c r="AM53" s="324"/>
      <c r="AN53" s="1004">
        <f>+AM46+AN40+AN20</f>
        <v>43512580.234953478</v>
      </c>
      <c r="AO53" s="972">
        <f>SUM(Q53:AN53)</f>
        <v>449826452.89835078</v>
      </c>
      <c r="AP53" s="324"/>
    </row>
    <row r="54" spans="1:42" ht="14.25" hidden="1" customHeight="1" outlineLevel="1" x14ac:dyDescent="0.3">
      <c r="A54" s="324"/>
      <c r="B54" s="324"/>
      <c r="C54" s="324"/>
      <c r="D54" s="324"/>
      <c r="E54" s="324"/>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c r="AG54" s="324"/>
      <c r="AH54" s="324"/>
      <c r="AI54" s="324"/>
      <c r="AJ54" s="324"/>
      <c r="AK54" s="324"/>
      <c r="AL54" s="324"/>
      <c r="AM54" s="324"/>
      <c r="AN54" s="324"/>
      <c r="AO54" s="324"/>
      <c r="AP54" s="324"/>
    </row>
    <row r="55" spans="1:42" ht="14.25" hidden="1" customHeight="1" outlineLevel="1" x14ac:dyDescent="0.3">
      <c r="A55" s="324"/>
      <c r="B55" s="324"/>
      <c r="C55" s="324"/>
      <c r="D55" s="324"/>
      <c r="E55" s="324"/>
      <c r="F55" s="324"/>
      <c r="G55" s="324"/>
      <c r="H55" s="1005">
        <v>45863</v>
      </c>
      <c r="I55" s="1005" t="s">
        <v>2097</v>
      </c>
      <c r="J55" s="1005">
        <v>45925</v>
      </c>
      <c r="K55" s="1006">
        <f>1*(1+H56)*(1+I56)*(1+J56)</f>
        <v>1.0601665809999998</v>
      </c>
      <c r="L55" s="324"/>
      <c r="M55" s="616"/>
      <c r="N55" s="324"/>
      <c r="O55" s="616"/>
      <c r="P55" s="324"/>
      <c r="Q55" s="583">
        <f>1*(1+K56)*(1+M56)*(1+O56)</f>
        <v>1.0643291999999998</v>
      </c>
      <c r="R55" s="324"/>
      <c r="S55" s="616"/>
      <c r="T55" s="324"/>
      <c r="U55" s="616"/>
      <c r="V55" s="324"/>
      <c r="W55" s="583">
        <f>1*(1+Q56)*(1+S56)*(1+U56)</f>
        <v>1.0456783749999996</v>
      </c>
      <c r="X55" s="324"/>
      <c r="Y55" s="616"/>
      <c r="Z55" s="324"/>
      <c r="AA55" s="616"/>
      <c r="AB55" s="324"/>
      <c r="AC55" s="583">
        <f>1*(1+W56)*(1+Y56)*(1+AA56)</f>
        <v>1.0456783749999996</v>
      </c>
      <c r="AD55" s="324"/>
      <c r="AE55" s="616"/>
      <c r="AF55" s="324"/>
      <c r="AG55" s="616"/>
      <c r="AH55" s="324"/>
      <c r="AI55" s="583">
        <f>1*(1+AC56)*(1+AE56)*(1+AG56)</f>
        <v>1.0456783749999996</v>
      </c>
      <c r="AJ55" s="324"/>
      <c r="AK55" s="616"/>
      <c r="AL55" s="324"/>
      <c r="AM55" s="616"/>
      <c r="AN55" s="324"/>
      <c r="AO55" s="324"/>
      <c r="AP55" s="324"/>
    </row>
    <row r="56" spans="1:42" ht="14.25" hidden="1" customHeight="1" outlineLevel="1" x14ac:dyDescent="0.3">
      <c r="A56" s="324"/>
      <c r="B56" s="324"/>
      <c r="C56" s="324"/>
      <c r="D56" s="324"/>
      <c r="E56" s="1189" t="s">
        <v>1894</v>
      </c>
      <c r="F56" s="1087"/>
      <c r="G56" s="1088"/>
      <c r="H56" s="414">
        <v>1.9E-2</v>
      </c>
      <c r="I56" s="414">
        <v>1.9E-2</v>
      </c>
      <c r="J56" s="414">
        <v>2.1000000000000001E-2</v>
      </c>
      <c r="K56" s="414">
        <v>2.3E-2</v>
      </c>
      <c r="L56" s="324"/>
      <c r="M56" s="414">
        <v>0.02</v>
      </c>
      <c r="N56" s="324"/>
      <c r="O56" s="414">
        <v>0.02</v>
      </c>
      <c r="P56" s="324"/>
      <c r="Q56" s="414">
        <v>1.4999999999999999E-2</v>
      </c>
      <c r="R56" s="324"/>
      <c r="S56" s="414">
        <f>+Q56</f>
        <v>1.4999999999999999E-2</v>
      </c>
      <c r="T56" s="324"/>
      <c r="U56" s="414">
        <f>+S56</f>
        <v>1.4999999999999999E-2</v>
      </c>
      <c r="V56" s="324"/>
      <c r="W56" s="414">
        <f>+U56</f>
        <v>1.4999999999999999E-2</v>
      </c>
      <c r="X56" s="324"/>
      <c r="Y56" s="414">
        <f>+W56</f>
        <v>1.4999999999999999E-2</v>
      </c>
      <c r="Z56" s="324"/>
      <c r="AA56" s="414">
        <f>+Y56</f>
        <v>1.4999999999999999E-2</v>
      </c>
      <c r="AB56" s="324"/>
      <c r="AC56" s="414">
        <f>+AA56</f>
        <v>1.4999999999999999E-2</v>
      </c>
      <c r="AD56" s="324"/>
      <c r="AE56" s="414">
        <f>+AC56</f>
        <v>1.4999999999999999E-2</v>
      </c>
      <c r="AF56" s="324"/>
      <c r="AG56" s="414">
        <f>+AE56</f>
        <v>1.4999999999999999E-2</v>
      </c>
      <c r="AH56" s="324"/>
      <c r="AI56" s="414">
        <f>+AG56</f>
        <v>1.4999999999999999E-2</v>
      </c>
      <c r="AJ56" s="324"/>
      <c r="AK56" s="414">
        <f>+AI56</f>
        <v>1.4999999999999999E-2</v>
      </c>
      <c r="AL56" s="324"/>
      <c r="AM56" s="414">
        <f>+AK56</f>
        <v>1.4999999999999999E-2</v>
      </c>
      <c r="AN56" s="324"/>
      <c r="AO56" s="324"/>
      <c r="AP56" s="324"/>
    </row>
    <row r="57" spans="1:42" ht="14.25" hidden="1" customHeight="1" outlineLevel="1" x14ac:dyDescent="0.3">
      <c r="A57" s="324"/>
      <c r="B57" s="324"/>
      <c r="C57" s="324"/>
      <c r="D57" s="324"/>
      <c r="E57" s="324"/>
      <c r="F57" s="324"/>
      <c r="G57" s="324"/>
      <c r="H57" s="324"/>
      <c r="I57" s="324"/>
      <c r="J57" s="324"/>
      <c r="K57" s="324"/>
      <c r="L57" s="324"/>
      <c r="M57" s="324"/>
      <c r="N57" s="324"/>
      <c r="O57" s="324"/>
      <c r="P57" s="324"/>
      <c r="Q57" s="324"/>
      <c r="R57" s="324"/>
      <c r="S57" s="324"/>
      <c r="T57" s="324"/>
      <c r="U57" s="324"/>
      <c r="V57" s="324"/>
      <c r="W57" s="324"/>
      <c r="X57" s="324"/>
      <c r="Y57" s="324"/>
      <c r="Z57" s="324"/>
      <c r="AA57" s="324"/>
      <c r="AB57" s="324"/>
      <c r="AC57" s="324"/>
      <c r="AD57" s="324"/>
      <c r="AE57" s="324"/>
      <c r="AF57" s="324"/>
      <c r="AG57" s="324"/>
      <c r="AH57" s="324"/>
      <c r="AI57" s="324"/>
      <c r="AJ57" s="324"/>
      <c r="AK57" s="324"/>
      <c r="AL57" s="324"/>
      <c r="AM57" s="324"/>
      <c r="AN57" s="324"/>
      <c r="AO57" s="324"/>
      <c r="AP57" s="324"/>
    </row>
    <row r="58" spans="1:42" ht="14.25" hidden="1" customHeight="1" outlineLevel="1" x14ac:dyDescent="0.3">
      <c r="A58" s="324"/>
      <c r="B58" s="324"/>
      <c r="C58" s="324"/>
      <c r="D58" s="324"/>
      <c r="E58" s="324"/>
      <c r="F58" s="324" t="s">
        <v>2156</v>
      </c>
      <c r="G58" s="324"/>
      <c r="H58" s="324"/>
      <c r="I58" s="324"/>
      <c r="J58" s="324"/>
      <c r="K58" s="324"/>
      <c r="L58" s="324"/>
      <c r="M58" s="324"/>
      <c r="N58" s="324"/>
      <c r="O58" s="324"/>
      <c r="P58" s="324"/>
      <c r="Q58" s="324"/>
      <c r="R58" s="324"/>
      <c r="S58" s="324"/>
      <c r="T58" s="324"/>
      <c r="U58" s="324"/>
      <c r="V58" s="324"/>
      <c r="W58" s="324"/>
      <c r="X58" s="324"/>
      <c r="Y58" s="324"/>
      <c r="Z58" s="324"/>
      <c r="AA58" s="324"/>
      <c r="AB58" s="324"/>
      <c r="AC58" s="324"/>
      <c r="AD58" s="324"/>
      <c r="AE58" s="324"/>
      <c r="AF58" s="324"/>
      <c r="AG58" s="324"/>
      <c r="AH58" s="324"/>
      <c r="AI58" s="324"/>
      <c r="AJ58" s="324"/>
      <c r="AK58" s="324"/>
      <c r="AL58" s="324"/>
      <c r="AM58" s="324"/>
      <c r="AN58" s="324"/>
      <c r="AO58" s="324"/>
      <c r="AP58" s="324"/>
    </row>
    <row r="59" spans="1:42" ht="14.25" hidden="1" customHeight="1" outlineLevel="1" x14ac:dyDescent="0.3">
      <c r="A59" s="324"/>
      <c r="B59" s="324"/>
      <c r="C59" s="324"/>
      <c r="D59" s="324"/>
      <c r="E59" s="324"/>
      <c r="F59" s="324" t="s">
        <v>2157</v>
      </c>
      <c r="G59" s="324"/>
      <c r="H59" s="324"/>
      <c r="I59" s="324"/>
      <c r="J59" s="1007" t="s">
        <v>2158</v>
      </c>
      <c r="K59" s="324"/>
      <c r="L59" s="324"/>
      <c r="M59" s="324"/>
      <c r="N59" s="324"/>
      <c r="O59" s="324"/>
      <c r="P59" s="324"/>
      <c r="Q59" s="1007" t="s">
        <v>2159</v>
      </c>
      <c r="R59" s="324"/>
      <c r="S59" s="324"/>
      <c r="T59" s="324"/>
      <c r="U59" s="324"/>
      <c r="V59" s="324"/>
      <c r="W59" s="324"/>
      <c r="X59" s="324"/>
      <c r="Y59" s="324"/>
      <c r="Z59" s="324"/>
      <c r="AA59" s="324"/>
      <c r="AB59" s="324"/>
      <c r="AC59" s="324"/>
      <c r="AD59" s="324"/>
      <c r="AE59" s="324"/>
      <c r="AF59" s="324"/>
      <c r="AG59" s="324"/>
      <c r="AH59" s="324"/>
      <c r="AI59" s="324"/>
      <c r="AJ59" s="324"/>
      <c r="AK59" s="324"/>
      <c r="AL59" s="324"/>
      <c r="AM59" s="324"/>
      <c r="AN59" s="324"/>
      <c r="AO59" s="324"/>
      <c r="AP59" s="324"/>
    </row>
    <row r="60" spans="1:42" ht="14.25" hidden="1" customHeight="1" outlineLevel="1" x14ac:dyDescent="0.3">
      <c r="A60" s="324"/>
      <c r="B60" s="324"/>
      <c r="C60" s="324">
        <v>1.9</v>
      </c>
      <c r="D60" s="324">
        <v>2.1</v>
      </c>
      <c r="E60" s="324">
        <v>2.2000000000000002</v>
      </c>
      <c r="F60" s="324">
        <v>6.12</v>
      </c>
      <c r="G60" s="324"/>
      <c r="H60" s="324"/>
      <c r="I60" s="324"/>
      <c r="J60" s="1008">
        <f>+J53/530000</f>
        <v>56.640282486920761</v>
      </c>
      <c r="K60" s="324" t="s">
        <v>2160</v>
      </c>
      <c r="L60" s="324"/>
      <c r="M60" s="324"/>
      <c r="N60" s="324"/>
      <c r="O60" s="324"/>
      <c r="P60" s="324"/>
      <c r="Q60" s="324">
        <v>82</v>
      </c>
      <c r="R60" s="324" t="s">
        <v>2161</v>
      </c>
      <c r="S60" s="324"/>
      <c r="T60" s="324"/>
      <c r="U60" s="324"/>
      <c r="V60" s="324"/>
      <c r="W60" s="324"/>
      <c r="X60" s="324"/>
      <c r="Y60" s="324"/>
      <c r="Z60" s="324"/>
      <c r="AA60" s="324"/>
      <c r="AB60" s="324"/>
      <c r="AC60" s="324"/>
      <c r="AD60" s="324"/>
      <c r="AE60" s="324"/>
      <c r="AF60" s="324"/>
      <c r="AG60" s="324"/>
      <c r="AH60" s="324"/>
      <c r="AI60" s="324"/>
      <c r="AJ60" s="324"/>
      <c r="AK60" s="324"/>
      <c r="AL60" s="324"/>
      <c r="AM60" s="324"/>
      <c r="AN60" s="324"/>
      <c r="AO60" s="324"/>
      <c r="AP60" s="324"/>
    </row>
    <row r="61" spans="1:42" ht="14.25" hidden="1" customHeight="1" outlineLevel="1" x14ac:dyDescent="0.3">
      <c r="A61" s="324"/>
      <c r="B61" s="324"/>
      <c r="C61" s="1009" t="s">
        <v>2162</v>
      </c>
      <c r="D61" s="1009" t="s">
        <v>2163</v>
      </c>
      <c r="E61" s="1009" t="s">
        <v>261</v>
      </c>
      <c r="F61" s="324"/>
      <c r="G61" s="324"/>
      <c r="H61" s="324"/>
      <c r="I61" s="324"/>
      <c r="J61" s="1008">
        <v>74</v>
      </c>
      <c r="K61" s="324" t="s">
        <v>2161</v>
      </c>
      <c r="L61" s="324" t="s">
        <v>2164</v>
      </c>
      <c r="M61" s="324"/>
      <c r="N61" s="324"/>
      <c r="O61" s="324"/>
      <c r="P61" s="324"/>
      <c r="Q61" s="324">
        <v>112</v>
      </c>
      <c r="R61" s="324" t="s">
        <v>1701</v>
      </c>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row>
    <row r="62" spans="1:42" ht="14.25" hidden="1" customHeight="1" outlineLevel="1" x14ac:dyDescent="0.3">
      <c r="A62" s="324"/>
      <c r="B62" s="324"/>
      <c r="C62" s="324"/>
      <c r="D62" s="324"/>
      <c r="E62" s="324"/>
      <c r="F62" s="324"/>
      <c r="G62" s="324"/>
      <c r="H62" s="324"/>
      <c r="I62" s="324"/>
      <c r="J62" s="1008">
        <f>+J61*1.2</f>
        <v>88.8</v>
      </c>
      <c r="K62" s="324" t="s">
        <v>2165</v>
      </c>
      <c r="L62" s="324" t="s">
        <v>2166</v>
      </c>
      <c r="M62" s="324"/>
      <c r="N62" s="324"/>
      <c r="O62" s="324"/>
      <c r="P62" s="324"/>
      <c r="Q62" s="324">
        <v>115</v>
      </c>
      <c r="R62" s="324" t="s">
        <v>2167</v>
      </c>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row>
    <row r="63" spans="1:42" ht="14.25" hidden="1" customHeight="1" outlineLevel="1" x14ac:dyDescent="0.3">
      <c r="A63" s="324"/>
      <c r="B63" s="324"/>
      <c r="C63" s="1009"/>
      <c r="D63" s="324"/>
      <c r="E63" s="324"/>
      <c r="F63" s="324"/>
      <c r="G63" s="324"/>
      <c r="H63" s="324"/>
      <c r="I63" s="324"/>
      <c r="J63" s="1008">
        <f>+J62*1.2</f>
        <v>106.55999999999999</v>
      </c>
      <c r="K63" s="324" t="s">
        <v>2168</v>
      </c>
      <c r="L63" s="324" t="s">
        <v>2169</v>
      </c>
      <c r="M63" s="324"/>
      <c r="N63" s="324"/>
      <c r="O63" s="324"/>
      <c r="P63" s="324"/>
      <c r="Q63" s="1009" t="s">
        <v>2170</v>
      </c>
      <c r="R63" s="324" t="s">
        <v>2165</v>
      </c>
      <c r="S63" s="324"/>
      <c r="T63" s="324"/>
      <c r="U63" s="324"/>
      <c r="V63" s="324"/>
      <c r="W63" s="324"/>
      <c r="X63" s="324"/>
      <c r="Y63" s="324"/>
      <c r="Z63" s="324"/>
      <c r="AA63" s="324"/>
      <c r="AB63" s="324"/>
      <c r="AC63" s="324"/>
      <c r="AD63" s="324"/>
      <c r="AE63" s="324"/>
      <c r="AF63" s="324"/>
      <c r="AG63" s="324"/>
      <c r="AH63" s="324"/>
      <c r="AI63" s="324"/>
      <c r="AJ63" s="324"/>
      <c r="AK63" s="324"/>
      <c r="AL63" s="324"/>
      <c r="AM63" s="324"/>
      <c r="AN63" s="324"/>
      <c r="AO63" s="324"/>
      <c r="AP63" s="324"/>
    </row>
    <row r="64" spans="1:42" ht="14.25" hidden="1" customHeight="1" outlineLevel="1" x14ac:dyDescent="0.3">
      <c r="A64" s="324"/>
      <c r="B64" s="324"/>
      <c r="C64" s="324"/>
      <c r="D64" s="324"/>
      <c r="E64" s="324"/>
      <c r="F64" s="324"/>
      <c r="G64" s="324"/>
      <c r="H64" s="324"/>
      <c r="I64" s="324"/>
      <c r="J64" s="1008">
        <f>+J63*1.1</f>
        <v>117.21599999999999</v>
      </c>
      <c r="K64" s="324" t="s">
        <v>2171</v>
      </c>
      <c r="L64" s="324" t="s">
        <v>2172</v>
      </c>
      <c r="M64" s="324"/>
      <c r="N64" s="324"/>
      <c r="O64" s="324"/>
      <c r="P64" s="324"/>
      <c r="Q64" s="324">
        <v>137</v>
      </c>
      <c r="R64" s="324" t="s">
        <v>2173</v>
      </c>
      <c r="S64" s="1010" t="s">
        <v>2174</v>
      </c>
      <c r="T64" s="324"/>
      <c r="U64" s="324"/>
      <c r="V64" s="324"/>
      <c r="W64" s="324"/>
      <c r="X64" s="324"/>
      <c r="Y64" s="324"/>
      <c r="Z64" s="324"/>
      <c r="AA64" s="324"/>
      <c r="AB64" s="324"/>
      <c r="AC64" s="324"/>
      <c r="AD64" s="324"/>
      <c r="AE64" s="324"/>
      <c r="AF64" s="324"/>
      <c r="AG64" s="324"/>
      <c r="AH64" s="324"/>
      <c r="AI64" s="324"/>
      <c r="AJ64" s="324"/>
      <c r="AK64" s="324"/>
      <c r="AL64" s="324"/>
      <c r="AM64" s="324"/>
      <c r="AN64" s="324"/>
      <c r="AO64" s="324"/>
      <c r="AP64" s="324"/>
    </row>
    <row r="65" spans="1:42" ht="14.25" hidden="1" customHeight="1" outlineLevel="1" x14ac:dyDescent="0.3">
      <c r="A65" s="324"/>
      <c r="B65" s="324"/>
      <c r="C65" s="967" t="s">
        <v>261</v>
      </c>
      <c r="D65" s="967" t="s">
        <v>262</v>
      </c>
      <c r="E65" s="967" t="s">
        <v>263</v>
      </c>
      <c r="F65" s="967" t="s">
        <v>2175</v>
      </c>
      <c r="G65" s="967" t="s">
        <v>2176</v>
      </c>
      <c r="H65" s="967" t="s">
        <v>2177</v>
      </c>
      <c r="I65" s="324"/>
      <c r="J65" s="324"/>
      <c r="K65" s="324"/>
      <c r="L65" s="324"/>
      <c r="M65" s="324"/>
      <c r="N65" s="324"/>
      <c r="O65" s="324"/>
      <c r="P65" s="324"/>
      <c r="Q65" s="1009" t="s">
        <v>2178</v>
      </c>
      <c r="R65" s="324" t="s">
        <v>2168</v>
      </c>
      <c r="S65" s="324"/>
      <c r="T65" s="324"/>
      <c r="U65" s="324"/>
      <c r="V65" s="324"/>
      <c r="W65" s="324"/>
      <c r="X65" s="324"/>
      <c r="Y65" s="324"/>
      <c r="Z65" s="324"/>
      <c r="AA65" s="324"/>
      <c r="AB65" s="324"/>
      <c r="AC65" s="324"/>
      <c r="AD65" s="324"/>
      <c r="AE65" s="324"/>
      <c r="AF65" s="324"/>
      <c r="AG65" s="324"/>
      <c r="AH65" s="324"/>
      <c r="AI65" s="324"/>
      <c r="AJ65" s="324"/>
      <c r="AK65" s="324"/>
      <c r="AL65" s="324"/>
      <c r="AM65" s="324"/>
      <c r="AN65" s="324"/>
      <c r="AO65" s="324"/>
      <c r="AP65" s="324"/>
    </row>
    <row r="66" spans="1:42" ht="14.25" hidden="1" customHeight="1" outlineLevel="1" x14ac:dyDescent="0.3">
      <c r="A66" s="324"/>
      <c r="B66" s="324"/>
      <c r="C66" s="603" t="s">
        <v>2179</v>
      </c>
      <c r="D66" s="1011">
        <v>0.1</v>
      </c>
      <c r="E66" s="1011">
        <v>0.2</v>
      </c>
      <c r="F66" s="1012" t="s">
        <v>2180</v>
      </c>
      <c r="G66" s="603" t="s">
        <v>2181</v>
      </c>
      <c r="H66" s="603" t="s">
        <v>2182</v>
      </c>
      <c r="I66" s="324"/>
      <c r="J66" s="324"/>
      <c r="K66" s="324"/>
      <c r="L66" s="324"/>
      <c r="M66" s="324"/>
      <c r="N66" s="324"/>
      <c r="O66" s="324"/>
      <c r="P66" s="324"/>
      <c r="Q66" s="1009" t="s">
        <v>2178</v>
      </c>
      <c r="R66" s="324" t="s">
        <v>2171</v>
      </c>
      <c r="S66" s="324" t="s">
        <v>2183</v>
      </c>
      <c r="T66" s="324"/>
      <c r="U66" s="324"/>
      <c r="V66" s="324"/>
      <c r="W66" s="324"/>
      <c r="X66" s="324"/>
      <c r="Y66" s="324"/>
      <c r="Z66" s="324"/>
      <c r="AA66" s="324"/>
      <c r="AB66" s="324"/>
      <c r="AC66" s="324"/>
      <c r="AD66" s="324"/>
      <c r="AE66" s="324"/>
      <c r="AF66" s="324"/>
      <c r="AG66" s="324"/>
      <c r="AH66" s="324"/>
      <c r="AI66" s="324"/>
      <c r="AJ66" s="324"/>
      <c r="AK66" s="324"/>
      <c r="AL66" s="324"/>
      <c r="AM66" s="324"/>
      <c r="AN66" s="324"/>
      <c r="AO66" s="324"/>
      <c r="AP66" s="324"/>
    </row>
    <row r="67" spans="1:42" ht="14.25" hidden="1" customHeight="1" outlineLevel="1" x14ac:dyDescent="0.3">
      <c r="A67" s="324"/>
      <c r="B67" s="324"/>
      <c r="C67" s="324"/>
      <c r="D67" s="324"/>
      <c r="E67" s="324"/>
      <c r="F67" s="324"/>
      <c r="G67" s="324"/>
      <c r="H67" s="324"/>
      <c r="I67" s="324"/>
      <c r="J67" s="324"/>
      <c r="K67" s="324"/>
      <c r="L67" s="324"/>
      <c r="M67" s="324"/>
      <c r="N67" s="324"/>
      <c r="O67" s="324"/>
      <c r="P67" s="324"/>
      <c r="Q67" s="324"/>
      <c r="R67" s="324"/>
      <c r="S67" s="324"/>
      <c r="T67" s="324"/>
      <c r="U67" s="324"/>
      <c r="V67" s="324"/>
      <c r="W67" s="324"/>
      <c r="X67" s="324"/>
      <c r="Y67" s="324"/>
      <c r="Z67" s="324"/>
      <c r="AA67" s="324"/>
      <c r="AB67" s="324"/>
      <c r="AC67" s="324"/>
      <c r="AD67" s="324"/>
      <c r="AE67" s="324"/>
      <c r="AF67" s="324"/>
      <c r="AG67" s="324"/>
      <c r="AH67" s="324"/>
      <c r="AI67" s="324"/>
      <c r="AJ67" s="324"/>
      <c r="AK67" s="324"/>
      <c r="AL67" s="324"/>
      <c r="AM67" s="324"/>
      <c r="AN67" s="324"/>
      <c r="AO67" s="324"/>
      <c r="AP67" s="324"/>
    </row>
    <row r="68" spans="1:42" ht="14.25" hidden="1" customHeight="1" outlineLevel="1" x14ac:dyDescent="0.3">
      <c r="A68" s="324"/>
      <c r="B68" s="324"/>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c r="AA68" s="324"/>
      <c r="AB68" s="324"/>
      <c r="AC68" s="324"/>
      <c r="AD68" s="324"/>
      <c r="AE68" s="324"/>
      <c r="AF68" s="324"/>
      <c r="AG68" s="324"/>
      <c r="AH68" s="324"/>
      <c r="AI68" s="324"/>
      <c r="AJ68" s="324"/>
      <c r="AK68" s="324"/>
      <c r="AL68" s="324"/>
      <c r="AM68" s="324"/>
      <c r="AN68" s="324"/>
      <c r="AO68" s="324"/>
      <c r="AP68" s="324"/>
    </row>
    <row r="69" spans="1:42" ht="14.25" customHeight="1" collapsed="1" x14ac:dyDescent="0.3">
      <c r="A69" s="324"/>
      <c r="B69" s="324"/>
      <c r="C69" s="324"/>
      <c r="D69" s="324"/>
      <c r="E69" s="324"/>
      <c r="F69" s="324"/>
      <c r="G69" s="324"/>
      <c r="H69" s="324"/>
      <c r="I69" s="324"/>
      <c r="J69" s="324"/>
      <c r="K69" s="324"/>
      <c r="L69" s="324"/>
      <c r="M69" s="324"/>
      <c r="N69" s="324"/>
      <c r="O69" s="324"/>
      <c r="P69" s="324"/>
      <c r="Q69" s="324"/>
      <c r="R69" s="324"/>
      <c r="S69" s="324"/>
      <c r="T69" s="324"/>
      <c r="U69" s="324"/>
      <c r="V69" s="324"/>
      <c r="W69" s="324"/>
      <c r="X69" s="324"/>
      <c r="Y69" s="324"/>
      <c r="Z69" s="324"/>
      <c r="AA69" s="324"/>
      <c r="AB69" s="324"/>
      <c r="AC69" s="324"/>
      <c r="AD69" s="324"/>
      <c r="AE69" s="324"/>
      <c r="AF69" s="324"/>
      <c r="AG69" s="324"/>
      <c r="AH69" s="324"/>
      <c r="AI69" s="324"/>
      <c r="AJ69" s="324"/>
      <c r="AK69" s="324"/>
      <c r="AL69" s="324"/>
      <c r="AM69" s="324"/>
      <c r="AN69" s="324"/>
      <c r="AO69" s="324"/>
      <c r="AP69" s="324"/>
    </row>
    <row r="70" spans="1:42" ht="14.25" customHeight="1" x14ac:dyDescent="0.3">
      <c r="A70" s="324"/>
      <c r="B70" s="324"/>
      <c r="C70" s="324"/>
      <c r="D70" s="324"/>
      <c r="E70" s="324"/>
      <c r="F70" s="324"/>
      <c r="G70" s="324"/>
      <c r="H70" s="324"/>
      <c r="I70" s="324" t="s">
        <v>2184</v>
      </c>
      <c r="J70" s="324"/>
      <c r="K70" s="324"/>
      <c r="L70" s="324"/>
      <c r="M70" s="324"/>
      <c r="N70" s="324"/>
      <c r="O70" s="324"/>
      <c r="P70" s="324"/>
      <c r="Q70" s="324"/>
      <c r="R70" s="324"/>
      <c r="S70" s="324"/>
      <c r="T70" s="324"/>
      <c r="U70" s="324"/>
      <c r="V70" s="324"/>
      <c r="W70" s="1013">
        <f>+W55</f>
        <v>1.0456783749999996</v>
      </c>
      <c r="X70" s="318"/>
      <c r="Y70" s="318"/>
      <c r="Z70" s="318"/>
      <c r="AA70" s="318"/>
      <c r="AB70" s="318"/>
      <c r="AC70" s="1013">
        <f>+AC55</f>
        <v>1.0456783749999996</v>
      </c>
      <c r="AD70" s="318"/>
      <c r="AE70" s="318"/>
      <c r="AF70" s="318"/>
      <c r="AG70" s="318"/>
      <c r="AH70" s="318"/>
      <c r="AI70" s="1013">
        <f>+AI55</f>
        <v>1.0456783749999996</v>
      </c>
      <c r="AJ70" s="324"/>
      <c r="AK70" s="324"/>
      <c r="AL70" s="324"/>
      <c r="AM70" s="324"/>
      <c r="AN70" s="324"/>
      <c r="AO70" s="324" t="str">
        <f>+I70</f>
        <v>ajuste en precio por ipc acumulado</v>
      </c>
      <c r="AP70" s="324"/>
    </row>
    <row r="71" spans="1:42" ht="14.25" customHeight="1" x14ac:dyDescent="0.3">
      <c r="A71" s="324"/>
      <c r="B71" s="324"/>
      <c r="C71" s="324"/>
      <c r="D71" s="324"/>
      <c r="E71" s="324"/>
      <c r="F71" s="324"/>
      <c r="G71" s="324"/>
      <c r="H71" s="324"/>
      <c r="I71" s="324" t="s">
        <v>2185</v>
      </c>
      <c r="J71" s="324"/>
      <c r="K71" s="324"/>
      <c r="L71" s="324"/>
      <c r="M71" s="324"/>
      <c r="N71" s="324"/>
      <c r="O71" s="324"/>
      <c r="P71" s="324"/>
      <c r="Q71" s="324"/>
      <c r="R71" s="324"/>
      <c r="S71" s="324"/>
      <c r="T71" s="324"/>
      <c r="U71" s="324"/>
      <c r="V71" s="324"/>
      <c r="W71" s="324"/>
      <c r="X71" s="1014">
        <v>1.1499999999999999</v>
      </c>
      <c r="Y71" s="324"/>
      <c r="Z71" s="324"/>
      <c r="AA71" s="324"/>
      <c r="AB71" s="324"/>
      <c r="AC71" s="324"/>
      <c r="AD71" s="1014">
        <v>1.1100000000000001</v>
      </c>
      <c r="AE71" s="324"/>
      <c r="AF71" s="324"/>
      <c r="AG71" s="324"/>
      <c r="AH71" s="324"/>
      <c r="AI71" s="324"/>
      <c r="AJ71" s="1014">
        <v>1.06</v>
      </c>
      <c r="AK71" s="324"/>
      <c r="AL71" s="324"/>
      <c r="AM71" s="324"/>
      <c r="AN71" s="324"/>
      <c r="AO71" s="324" t="str">
        <f>+I71</f>
        <v>ajuste en precio (segun negociación)</v>
      </c>
      <c r="AP71" s="324"/>
    </row>
    <row r="72" spans="1:42" ht="14.25" customHeight="1" x14ac:dyDescent="0.3">
      <c r="A72" s="318"/>
      <c r="B72" s="318"/>
      <c r="C72" s="318"/>
      <c r="D72" s="318"/>
      <c r="E72" s="318"/>
      <c r="F72" s="318"/>
      <c r="G72" s="318"/>
      <c r="H72" s="318"/>
      <c r="I72" s="1015" t="s">
        <v>2186</v>
      </c>
      <c r="J72" s="1016"/>
      <c r="K72" s="318"/>
      <c r="L72" s="318"/>
      <c r="M72" s="318"/>
      <c r="N72" s="318"/>
      <c r="O72" s="318"/>
      <c r="P72" s="318"/>
      <c r="Q72" s="1017">
        <f>+Q5</f>
        <v>1.2</v>
      </c>
      <c r="R72" s="318"/>
      <c r="S72" s="1014">
        <v>1.1000000000000001</v>
      </c>
      <c r="T72" s="318"/>
      <c r="U72" s="1014">
        <v>1</v>
      </c>
      <c r="V72" s="318"/>
      <c r="W72" s="1014">
        <v>1</v>
      </c>
      <c r="X72" s="318"/>
      <c r="Y72" s="1014">
        <v>1</v>
      </c>
      <c r="Z72" s="318"/>
      <c r="AA72" s="1014">
        <v>1</v>
      </c>
      <c r="AB72" s="318"/>
      <c r="AC72" s="1014">
        <v>1</v>
      </c>
      <c r="AD72" s="318"/>
      <c r="AE72" s="1014">
        <v>1</v>
      </c>
      <c r="AF72" s="318"/>
      <c r="AG72" s="1014">
        <v>1</v>
      </c>
      <c r="AH72" s="318"/>
      <c r="AI72" s="1014">
        <v>1.05</v>
      </c>
      <c r="AJ72" s="318"/>
      <c r="AK72" s="1014">
        <v>1.1000000000000001</v>
      </c>
      <c r="AL72" s="318"/>
      <c r="AM72" s="1014">
        <v>1.2</v>
      </c>
      <c r="AN72" s="318"/>
      <c r="AO72" s="324" t="str">
        <f>+I72</f>
        <v>ajuste en trx con base sept</v>
      </c>
      <c r="AP72" s="318"/>
    </row>
    <row r="73" spans="1:42" ht="14.25" customHeight="1" x14ac:dyDescent="0.3">
      <c r="A73" s="324"/>
      <c r="B73" s="324"/>
      <c r="C73" s="324"/>
      <c r="D73" s="324"/>
      <c r="E73" s="324"/>
      <c r="F73" s="1200" t="s">
        <v>2187</v>
      </c>
      <c r="G73" s="1103"/>
      <c r="H73" s="1104"/>
      <c r="I73" s="1187" t="s">
        <v>2188</v>
      </c>
      <c r="J73" s="1120"/>
      <c r="K73" s="1130">
        <v>45957</v>
      </c>
      <c r="L73" s="1120"/>
      <c r="M73" s="1130">
        <v>45987</v>
      </c>
      <c r="N73" s="1120"/>
      <c r="O73" s="1130">
        <v>46017</v>
      </c>
      <c r="P73" s="1120"/>
      <c r="Q73" s="1130">
        <v>46047</v>
      </c>
      <c r="R73" s="1120"/>
      <c r="S73" s="1130">
        <v>46077</v>
      </c>
      <c r="T73" s="1120"/>
      <c r="U73" s="1130">
        <v>46107</v>
      </c>
      <c r="V73" s="1120"/>
      <c r="W73" s="1198">
        <v>46142</v>
      </c>
      <c r="X73" s="1104"/>
      <c r="Y73" s="1130">
        <v>46172</v>
      </c>
      <c r="Z73" s="1120"/>
      <c r="AA73" s="1130">
        <v>46202</v>
      </c>
      <c r="AB73" s="1120"/>
      <c r="AC73" s="1198">
        <v>46232</v>
      </c>
      <c r="AD73" s="1104"/>
      <c r="AE73" s="1130">
        <v>46262</v>
      </c>
      <c r="AF73" s="1120"/>
      <c r="AG73" s="1130">
        <v>46292</v>
      </c>
      <c r="AH73" s="1120"/>
      <c r="AI73" s="1198">
        <v>46322</v>
      </c>
      <c r="AJ73" s="1104"/>
      <c r="AK73" s="1130">
        <v>46352</v>
      </c>
      <c r="AL73" s="1120"/>
      <c r="AM73" s="1130">
        <v>46382</v>
      </c>
      <c r="AN73" s="1120"/>
      <c r="AO73" s="324"/>
      <c r="AP73" s="324"/>
    </row>
    <row r="74" spans="1:42" ht="14.25" customHeight="1" x14ac:dyDescent="0.3">
      <c r="A74" s="324"/>
      <c r="B74" s="324"/>
      <c r="C74" s="324"/>
      <c r="D74" s="324"/>
      <c r="E74" s="324"/>
      <c r="F74" s="1103"/>
      <c r="G74" s="1103"/>
      <c r="H74" s="1104"/>
      <c r="I74" s="1121"/>
      <c r="J74" s="1122"/>
      <c r="K74" s="1121"/>
      <c r="L74" s="1122"/>
      <c r="M74" s="1121"/>
      <c r="N74" s="1122"/>
      <c r="O74" s="1121"/>
      <c r="P74" s="1122"/>
      <c r="Q74" s="1121"/>
      <c r="R74" s="1122"/>
      <c r="S74" s="1121"/>
      <c r="T74" s="1122"/>
      <c r="U74" s="1121"/>
      <c r="V74" s="1122"/>
      <c r="W74" s="1121"/>
      <c r="X74" s="1122"/>
      <c r="Y74" s="1121"/>
      <c r="Z74" s="1122"/>
      <c r="AA74" s="1121"/>
      <c r="AB74" s="1122"/>
      <c r="AC74" s="1121"/>
      <c r="AD74" s="1122"/>
      <c r="AE74" s="1121"/>
      <c r="AF74" s="1122"/>
      <c r="AG74" s="1121"/>
      <c r="AH74" s="1122"/>
      <c r="AI74" s="1121"/>
      <c r="AJ74" s="1122"/>
      <c r="AK74" s="1121"/>
      <c r="AL74" s="1122"/>
      <c r="AM74" s="1121"/>
      <c r="AN74" s="1122"/>
      <c r="AO74" s="324"/>
      <c r="AP74" s="324"/>
    </row>
    <row r="75" spans="1:42" ht="14.25" customHeight="1" x14ac:dyDescent="0.3">
      <c r="A75" s="324"/>
      <c r="B75" s="324"/>
      <c r="C75" s="324"/>
      <c r="D75" s="324"/>
      <c r="E75" s="324"/>
      <c r="F75" s="1009" t="s">
        <v>2189</v>
      </c>
      <c r="G75" s="324" t="s">
        <v>2190</v>
      </c>
      <c r="H75" s="324"/>
      <c r="I75" s="1002" t="s">
        <v>2191</v>
      </c>
      <c r="J75" s="1002" t="s">
        <v>2192</v>
      </c>
      <c r="K75" s="324"/>
      <c r="L75" s="324"/>
      <c r="M75" s="324"/>
      <c r="N75" s="324"/>
      <c r="O75" s="324"/>
      <c r="P75" s="324"/>
      <c r="Q75" s="1018" t="s">
        <v>2191</v>
      </c>
      <c r="R75" s="1018" t="s">
        <v>2192</v>
      </c>
      <c r="S75" s="1018" t="s">
        <v>2191</v>
      </c>
      <c r="T75" s="1018" t="s">
        <v>2192</v>
      </c>
      <c r="U75" s="1018" t="s">
        <v>2191</v>
      </c>
      <c r="V75" s="1018" t="s">
        <v>2192</v>
      </c>
      <c r="W75" s="1018" t="s">
        <v>2191</v>
      </c>
      <c r="X75" s="1018" t="s">
        <v>2192</v>
      </c>
      <c r="Y75" s="1018" t="s">
        <v>2191</v>
      </c>
      <c r="Z75" s="1018" t="s">
        <v>2192</v>
      </c>
      <c r="AA75" s="1018" t="s">
        <v>2191</v>
      </c>
      <c r="AB75" s="1018" t="s">
        <v>2192</v>
      </c>
      <c r="AC75" s="1018" t="s">
        <v>2191</v>
      </c>
      <c r="AD75" s="1018" t="s">
        <v>2192</v>
      </c>
      <c r="AE75" s="1018" t="s">
        <v>2191</v>
      </c>
      <c r="AF75" s="1018" t="s">
        <v>2192</v>
      </c>
      <c r="AG75" s="1018" t="s">
        <v>2191</v>
      </c>
      <c r="AH75" s="1018" t="s">
        <v>2192</v>
      </c>
      <c r="AI75" s="1018" t="s">
        <v>2191</v>
      </c>
      <c r="AJ75" s="1018" t="s">
        <v>2192</v>
      </c>
      <c r="AK75" s="1018" t="s">
        <v>2191</v>
      </c>
      <c r="AL75" s="1018" t="s">
        <v>2192</v>
      </c>
      <c r="AM75" s="1018" t="s">
        <v>2191</v>
      </c>
      <c r="AN75" s="1018" t="s">
        <v>2192</v>
      </c>
      <c r="AO75" s="324"/>
      <c r="AP75" s="324"/>
    </row>
    <row r="76" spans="1:42" ht="14.25" customHeight="1" x14ac:dyDescent="0.3">
      <c r="A76" s="324"/>
      <c r="B76" s="324"/>
      <c r="C76" s="324"/>
      <c r="D76" s="324"/>
      <c r="E76" s="324"/>
      <c r="F76" s="324" t="s">
        <v>2193</v>
      </c>
      <c r="G76" s="324"/>
      <c r="H76" s="324"/>
      <c r="I76" s="1019">
        <f>(SUM(C26:H39)+SUM(H6:I19)+SUM(F46:F51))*K76</f>
        <v>485803.8</v>
      </c>
      <c r="J76" s="324"/>
      <c r="K76" s="1020">
        <v>0.9</v>
      </c>
      <c r="L76" s="324"/>
      <c r="M76" s="324"/>
      <c r="N76" s="324"/>
      <c r="O76" s="324"/>
      <c r="P76" s="324"/>
      <c r="Q76" s="997">
        <f>+$I$76*Q72</f>
        <v>582964.55999999994</v>
      </c>
      <c r="R76" s="1021">
        <v>74</v>
      </c>
      <c r="S76" s="997">
        <f>+$I$76*S72</f>
        <v>534384.18000000005</v>
      </c>
      <c r="T76" s="1021">
        <f>+R76</f>
        <v>74</v>
      </c>
      <c r="U76" s="997">
        <f>+$I$76*U72</f>
        <v>485803.8</v>
      </c>
      <c r="V76" s="1021">
        <f>+T76</f>
        <v>74</v>
      </c>
      <c r="W76" s="997">
        <f>+$I$76*W72</f>
        <v>485803.8</v>
      </c>
      <c r="X76" s="1021">
        <f>+V76*X71*W70</f>
        <v>88.987229712499953</v>
      </c>
      <c r="Y76" s="997">
        <f>+$I$76*Y72</f>
        <v>485803.8</v>
      </c>
      <c r="Z76" s="1021">
        <f>+X76</f>
        <v>88.987229712499953</v>
      </c>
      <c r="AA76" s="997">
        <f>+$I$76*AA72</f>
        <v>485803.8</v>
      </c>
      <c r="AB76" s="1021">
        <f>+Z76</f>
        <v>88.987229712499953</v>
      </c>
      <c r="AC76" s="997">
        <f>+$I$76*AC72</f>
        <v>485803.8</v>
      </c>
      <c r="AD76" s="968">
        <f>+AB76*AD71*AC70</f>
        <v>103.28774415528569</v>
      </c>
      <c r="AE76" s="997">
        <f>+$I$76*AE72</f>
        <v>485803.8</v>
      </c>
      <c r="AF76" s="1021">
        <f>+AD76</f>
        <v>103.28774415528569</v>
      </c>
      <c r="AG76" s="997">
        <f>+$I$76*AG72</f>
        <v>485803.8</v>
      </c>
      <c r="AH76" s="1021">
        <f>+AF76</f>
        <v>103.28774415528569</v>
      </c>
      <c r="AI76" s="997">
        <f>+$I$76*AI72</f>
        <v>510093.99</v>
      </c>
      <c r="AJ76" s="968">
        <f>+AH76*AJ71*AI70</f>
        <v>114.48610609365775</v>
      </c>
      <c r="AK76" s="997">
        <f>+$I$76*AK72</f>
        <v>534384.18000000005</v>
      </c>
      <c r="AL76" s="1021">
        <f>+AJ76</f>
        <v>114.48610609365775</v>
      </c>
      <c r="AM76" s="997">
        <f>+$I$76*AM72</f>
        <v>582964.55999999994</v>
      </c>
      <c r="AN76" s="968">
        <f>+AL76</f>
        <v>114.48610609365775</v>
      </c>
      <c r="AO76" s="319" t="s">
        <v>2194</v>
      </c>
      <c r="AP76" s="324"/>
    </row>
    <row r="77" spans="1:42" ht="14.25" customHeight="1" x14ac:dyDescent="0.3">
      <c r="A77" s="318"/>
      <c r="B77" s="318"/>
      <c r="C77" s="318"/>
      <c r="D77" s="318"/>
      <c r="E77" s="318"/>
      <c r="F77" s="318"/>
      <c r="G77" s="318"/>
      <c r="H77" s="318"/>
      <c r="I77" s="318"/>
      <c r="J77" s="318"/>
      <c r="K77" s="318"/>
      <c r="L77" s="318"/>
      <c r="M77" s="318"/>
      <c r="N77" s="318"/>
      <c r="O77" s="318"/>
      <c r="P77" s="319" t="s">
        <v>2195</v>
      </c>
      <c r="Q77" s="1190">
        <f>+Q76*R76</f>
        <v>43139377.439999998</v>
      </c>
      <c r="R77" s="1088"/>
      <c r="S77" s="1190">
        <f>+S76*T76</f>
        <v>39544429.32</v>
      </c>
      <c r="T77" s="1088"/>
      <c r="U77" s="1190">
        <f>+U76*V76</f>
        <v>35949481.199999996</v>
      </c>
      <c r="V77" s="1088"/>
      <c r="W77" s="1190">
        <f>+W76*X76</f>
        <v>43230334.345805384</v>
      </c>
      <c r="X77" s="1088"/>
      <c r="Y77" s="1190">
        <f>+Y76*Z76</f>
        <v>43230334.345805384</v>
      </c>
      <c r="Z77" s="1088"/>
      <c r="AA77" s="1190">
        <f>+AA76*AB76</f>
        <v>43230334.345805384</v>
      </c>
      <c r="AB77" s="1088"/>
      <c r="AC77" s="1190">
        <f>+AC76*AD76</f>
        <v>50177578.604065582</v>
      </c>
      <c r="AD77" s="1088"/>
      <c r="AE77" s="1190">
        <f>+AE76*AF76</f>
        <v>50177578.604065582</v>
      </c>
      <c r="AF77" s="1088"/>
      <c r="AG77" s="1190">
        <f>+AG76*AH76</f>
        <v>50177578.604065582</v>
      </c>
      <c r="AH77" s="1088"/>
      <c r="AI77" s="1190">
        <f>+AI76*AJ76</f>
        <v>58398674.656877197</v>
      </c>
      <c r="AJ77" s="1088"/>
      <c r="AK77" s="1190">
        <f>+AK76*AL76</f>
        <v>61179563.926252306</v>
      </c>
      <c r="AL77" s="1088"/>
      <c r="AM77" s="1190">
        <f>+AM76*AN76</f>
        <v>66741342.465002507</v>
      </c>
      <c r="AN77" s="1088"/>
      <c r="AO77" s="1022">
        <f>SUM(Q77:AN77)</f>
        <v>585176607.85774493</v>
      </c>
      <c r="AP77" s="318">
        <f>+G74</f>
        <v>0</v>
      </c>
    </row>
    <row r="78" spans="1:42" ht="14.25" customHeight="1" x14ac:dyDescent="0.3">
      <c r="A78" s="324"/>
      <c r="B78" s="324"/>
      <c r="C78" s="324"/>
      <c r="D78" s="324"/>
      <c r="E78" s="324"/>
      <c r="F78" s="324"/>
      <c r="G78" s="324"/>
      <c r="H78" s="324"/>
      <c r="I78" s="324"/>
      <c r="J78" s="324"/>
      <c r="K78" s="324"/>
      <c r="L78" s="324"/>
      <c r="M78" s="324"/>
      <c r="N78" s="324"/>
      <c r="O78" s="324"/>
      <c r="P78" s="324"/>
      <c r="Q78" s="324"/>
      <c r="R78" s="324"/>
      <c r="S78" s="324"/>
      <c r="T78" s="324"/>
      <c r="U78" s="324"/>
      <c r="V78" s="324"/>
      <c r="W78" s="324"/>
      <c r="X78" s="324"/>
      <c r="Y78" s="324"/>
      <c r="Z78" s="324"/>
      <c r="AA78" s="324"/>
      <c r="AB78" s="324"/>
      <c r="AC78" s="324"/>
      <c r="AD78" s="324"/>
      <c r="AE78" s="324"/>
      <c r="AF78" s="324"/>
      <c r="AG78" s="324"/>
      <c r="AH78" s="324"/>
      <c r="AI78" s="324"/>
      <c r="AJ78" s="324"/>
      <c r="AK78" s="324"/>
      <c r="AL78" s="324"/>
      <c r="AM78" s="324"/>
      <c r="AN78" s="324"/>
      <c r="AO78" s="324"/>
      <c r="AP78" s="324"/>
    </row>
    <row r="79" spans="1:42" ht="14.25" customHeight="1" x14ac:dyDescent="0.3">
      <c r="A79" s="324"/>
      <c r="B79" s="324"/>
      <c r="C79" s="324"/>
      <c r="D79" s="324"/>
      <c r="E79" s="324"/>
      <c r="F79" s="1195" t="s">
        <v>2196</v>
      </c>
      <c r="G79" s="1103"/>
      <c r="H79" s="1103"/>
      <c r="I79" s="324"/>
      <c r="J79" s="324"/>
      <c r="K79" s="324"/>
      <c r="L79" s="324"/>
      <c r="M79" s="324"/>
      <c r="N79" s="324"/>
      <c r="O79" s="324"/>
      <c r="P79" s="324"/>
      <c r="Q79" s="1002" t="s">
        <v>2191</v>
      </c>
      <c r="R79" s="1002" t="s">
        <v>2192</v>
      </c>
      <c r="S79" s="1002" t="s">
        <v>2191</v>
      </c>
      <c r="T79" s="1002" t="s">
        <v>2192</v>
      </c>
      <c r="U79" s="1002" t="s">
        <v>2191</v>
      </c>
      <c r="V79" s="1002" t="s">
        <v>2192</v>
      </c>
      <c r="W79" s="1002" t="s">
        <v>2191</v>
      </c>
      <c r="X79" s="1002" t="s">
        <v>2192</v>
      </c>
      <c r="Y79" s="1002" t="s">
        <v>2191</v>
      </c>
      <c r="Z79" s="1002" t="s">
        <v>2192</v>
      </c>
      <c r="AA79" s="1002" t="s">
        <v>2191</v>
      </c>
      <c r="AB79" s="1002" t="s">
        <v>2192</v>
      </c>
      <c r="AC79" s="1002" t="s">
        <v>2191</v>
      </c>
      <c r="AD79" s="1002" t="s">
        <v>2192</v>
      </c>
      <c r="AE79" s="1002" t="s">
        <v>2191</v>
      </c>
      <c r="AF79" s="1002" t="s">
        <v>2192</v>
      </c>
      <c r="AG79" s="1002" t="s">
        <v>2191</v>
      </c>
      <c r="AH79" s="1002" t="s">
        <v>2192</v>
      </c>
      <c r="AI79" s="1002" t="s">
        <v>2191</v>
      </c>
      <c r="AJ79" s="1002" t="s">
        <v>2192</v>
      </c>
      <c r="AK79" s="1002" t="s">
        <v>2191</v>
      </c>
      <c r="AL79" s="1002" t="s">
        <v>2192</v>
      </c>
      <c r="AM79" s="1002" t="s">
        <v>2191</v>
      </c>
      <c r="AN79" s="1002" t="s">
        <v>2192</v>
      </c>
      <c r="AO79" s="324"/>
      <c r="AP79" s="324"/>
    </row>
    <row r="80" spans="1:42" ht="14.25" customHeight="1" x14ac:dyDescent="0.3">
      <c r="A80" s="324"/>
      <c r="B80" s="324"/>
      <c r="C80" s="324"/>
      <c r="D80" s="324"/>
      <c r="E80" s="324"/>
      <c r="F80" s="324"/>
      <c r="G80" s="318"/>
      <c r="H80" s="324"/>
      <c r="I80" s="324" t="s">
        <v>2197</v>
      </c>
      <c r="J80" s="324"/>
      <c r="K80" s="324"/>
      <c r="L80" s="324"/>
      <c r="M80" s="324"/>
      <c r="N80" s="324"/>
      <c r="O80" s="324"/>
      <c r="P80" s="324"/>
      <c r="Q80" s="1023">
        <v>3300</v>
      </c>
      <c r="R80" s="1021">
        <f>+R85</f>
        <v>82</v>
      </c>
      <c r="S80" s="1023">
        <f>+Q80</f>
        <v>3300</v>
      </c>
      <c r="T80" s="1021">
        <f>+T85</f>
        <v>112</v>
      </c>
      <c r="U80" s="1023">
        <f>+S80</f>
        <v>3300</v>
      </c>
      <c r="V80" s="1021">
        <f>+V85</f>
        <v>115</v>
      </c>
      <c r="W80" s="1023">
        <f>+U80</f>
        <v>3300</v>
      </c>
      <c r="X80" s="1021">
        <f>+X85</f>
        <v>132</v>
      </c>
      <c r="Y80" s="1023">
        <f>+W80</f>
        <v>3300</v>
      </c>
      <c r="Z80" s="1021">
        <f>+Z85</f>
        <v>143</v>
      </c>
      <c r="AA80" s="1023">
        <f>+Y80</f>
        <v>3300</v>
      </c>
      <c r="AB80" s="1021">
        <f>+Z80</f>
        <v>143</v>
      </c>
      <c r="AC80" s="1023">
        <f>+AA80</f>
        <v>3300</v>
      </c>
      <c r="AD80" s="1021">
        <f>+AD85</f>
        <v>150</v>
      </c>
      <c r="AE80" s="1023">
        <f>+AC80</f>
        <v>3300</v>
      </c>
      <c r="AF80" s="1021">
        <f>+AF85</f>
        <v>150</v>
      </c>
      <c r="AG80" s="1023">
        <f>+AE80</f>
        <v>3300</v>
      </c>
      <c r="AH80" s="1021">
        <f>+AH85</f>
        <v>150</v>
      </c>
      <c r="AI80" s="1023">
        <f>+AG80</f>
        <v>3300</v>
      </c>
      <c r="AJ80" s="1021">
        <f>+AJ85</f>
        <v>157</v>
      </c>
      <c r="AK80" s="1023">
        <f>+AI80</f>
        <v>3300</v>
      </c>
      <c r="AL80" s="1021">
        <f>+AL85</f>
        <v>157</v>
      </c>
      <c r="AM80" s="1023">
        <f>+AK80</f>
        <v>3300</v>
      </c>
      <c r="AN80" s="1021">
        <f>+AN85</f>
        <v>157</v>
      </c>
      <c r="AO80" s="319" t="s">
        <v>2198</v>
      </c>
      <c r="AP80" s="1024">
        <f>+AM80+AK80+AI80+AG80+AE80+AC80+AA80+Y80+W80+U80+S80+Q80</f>
        <v>39600</v>
      </c>
    </row>
    <row r="81" spans="1:42" ht="14.25" customHeight="1" x14ac:dyDescent="0.3">
      <c r="A81" s="318"/>
      <c r="B81" s="318"/>
      <c r="C81" s="318"/>
      <c r="D81" s="318"/>
      <c r="E81" s="318"/>
      <c r="F81" s="318"/>
      <c r="G81" s="318"/>
      <c r="H81" s="318"/>
      <c r="I81" s="318" t="s">
        <v>2199</v>
      </c>
      <c r="J81" s="318"/>
      <c r="K81" s="318"/>
      <c r="L81" s="318"/>
      <c r="M81" s="318"/>
      <c r="N81" s="318"/>
      <c r="O81" s="318"/>
      <c r="P81" s="319" t="s">
        <v>2200</v>
      </c>
      <c r="Q81" s="1190">
        <f>+Q80*R80</f>
        <v>270600</v>
      </c>
      <c r="R81" s="1088"/>
      <c r="S81" s="1190">
        <f>+S80*T80</f>
        <v>369600</v>
      </c>
      <c r="T81" s="1088"/>
      <c r="U81" s="1190">
        <f>+U80*V80</f>
        <v>379500</v>
      </c>
      <c r="V81" s="1088"/>
      <c r="W81" s="1190">
        <f>+W80*X80</f>
        <v>435600</v>
      </c>
      <c r="X81" s="1088"/>
      <c r="Y81" s="1190">
        <f>+Y80*Z80</f>
        <v>471900</v>
      </c>
      <c r="Z81" s="1088"/>
      <c r="AA81" s="1190">
        <f>+AA80*AB80</f>
        <v>471900</v>
      </c>
      <c r="AB81" s="1088"/>
      <c r="AC81" s="1190">
        <f>+AC80*AD80</f>
        <v>495000</v>
      </c>
      <c r="AD81" s="1088"/>
      <c r="AE81" s="1190">
        <f>+AE80*AF80</f>
        <v>495000</v>
      </c>
      <c r="AF81" s="1088"/>
      <c r="AG81" s="1190">
        <f>+AG80*AH80</f>
        <v>495000</v>
      </c>
      <c r="AH81" s="1088"/>
      <c r="AI81" s="1190">
        <f>+AI80*AJ80</f>
        <v>518100</v>
      </c>
      <c r="AJ81" s="1088"/>
      <c r="AK81" s="1190">
        <f>+AK80*AL80</f>
        <v>518100</v>
      </c>
      <c r="AL81" s="1088"/>
      <c r="AM81" s="1190">
        <f>+AM80*AN80</f>
        <v>518100</v>
      </c>
      <c r="AN81" s="1088"/>
      <c r="AO81" s="1022">
        <f>SUM(Q81:AN81)</f>
        <v>5438400</v>
      </c>
      <c r="AP81" s="318">
        <f>+G79</f>
        <v>0</v>
      </c>
    </row>
    <row r="82" spans="1:42" ht="14.25" customHeight="1" x14ac:dyDescent="0.3">
      <c r="A82" s="324"/>
      <c r="B82" s="324"/>
      <c r="C82" s="324"/>
      <c r="D82" s="324"/>
      <c r="E82" s="324"/>
      <c r="F82" s="324"/>
      <c r="G82" s="324"/>
      <c r="H82" s="324"/>
      <c r="I82" s="324"/>
      <c r="J82" s="324"/>
      <c r="K82" s="324"/>
      <c r="L82" s="324"/>
      <c r="M82" s="324"/>
      <c r="N82" s="324"/>
      <c r="O82" s="324"/>
      <c r="P82" s="324"/>
      <c r="Q82" s="324"/>
      <c r="R82" s="324"/>
      <c r="S82" s="324"/>
      <c r="T82" s="324"/>
      <c r="U82" s="324"/>
      <c r="V82" s="324"/>
      <c r="W82" s="324"/>
      <c r="X82" s="324"/>
      <c r="Y82" s="324"/>
      <c r="Z82" s="324"/>
      <c r="AA82" s="324"/>
      <c r="AB82" s="324"/>
      <c r="AC82" s="324"/>
      <c r="AD82" s="324"/>
      <c r="AE82" s="324"/>
      <c r="AF82" s="324"/>
      <c r="AG82" s="324"/>
      <c r="AH82" s="324"/>
      <c r="AI82" s="324"/>
      <c r="AJ82" s="324"/>
      <c r="AK82" s="324"/>
      <c r="AL82" s="324"/>
      <c r="AM82" s="324"/>
      <c r="AN82" s="324"/>
      <c r="AO82" s="324"/>
      <c r="AP82" s="324"/>
    </row>
    <row r="83" spans="1:42" ht="14.25" customHeight="1" x14ac:dyDescent="0.3">
      <c r="A83" s="324"/>
      <c r="B83" s="324"/>
      <c r="C83" s="324"/>
      <c r="D83" s="324"/>
      <c r="E83" s="324"/>
      <c r="F83" s="324"/>
      <c r="G83" s="324"/>
      <c r="H83" s="324"/>
      <c r="I83" s="324"/>
      <c r="J83" s="324"/>
      <c r="K83" s="324"/>
      <c r="L83" s="324"/>
      <c r="M83" s="324"/>
      <c r="N83" s="324"/>
      <c r="O83" s="324"/>
      <c r="P83" s="1016" t="s">
        <v>2201</v>
      </c>
      <c r="Q83" s="1009" t="s">
        <v>2202</v>
      </c>
      <c r="R83" s="1025">
        <v>137</v>
      </c>
      <c r="S83" s="324"/>
      <c r="T83" s="1025">
        <v>137</v>
      </c>
      <c r="U83" s="324"/>
      <c r="V83" s="1025">
        <v>137</v>
      </c>
      <c r="W83" s="324"/>
      <c r="X83" s="1025">
        <f>137*W70</f>
        <v>143.25793737499995</v>
      </c>
      <c r="Y83" s="324"/>
      <c r="Z83" s="1025">
        <f>+Z85</f>
        <v>143</v>
      </c>
      <c r="AA83" s="324"/>
      <c r="AB83" s="1025">
        <f>+AB85</f>
        <v>143</v>
      </c>
      <c r="AC83" s="324"/>
      <c r="AD83" s="1025">
        <f>+AD85</f>
        <v>150</v>
      </c>
      <c r="AE83" s="1025"/>
      <c r="AF83" s="1025">
        <f>+AF85</f>
        <v>150</v>
      </c>
      <c r="AG83" s="1025"/>
      <c r="AH83" s="1025">
        <f>+AH85</f>
        <v>150</v>
      </c>
      <c r="AI83" s="1025"/>
      <c r="AJ83" s="1025">
        <f>+AH83*AI70</f>
        <v>156.85175624999994</v>
      </c>
      <c r="AK83" s="1025"/>
      <c r="AL83" s="1025">
        <f>+AJ83</f>
        <v>156.85175624999994</v>
      </c>
      <c r="AM83" s="1025"/>
      <c r="AN83" s="1025">
        <f>+AL83</f>
        <v>156.85175624999994</v>
      </c>
      <c r="AO83" s="324"/>
      <c r="AP83" s="324"/>
    </row>
    <row r="84" spans="1:42" ht="14.25" customHeight="1" x14ac:dyDescent="0.3">
      <c r="A84" s="324"/>
      <c r="B84" s="324"/>
      <c r="C84" s="324"/>
      <c r="D84" s="324"/>
      <c r="E84" s="324"/>
      <c r="F84" s="324"/>
      <c r="G84" s="324"/>
      <c r="H84" s="324"/>
      <c r="I84" s="324"/>
      <c r="J84" s="324"/>
      <c r="K84" s="324"/>
      <c r="L84" s="324"/>
      <c r="M84" s="324"/>
      <c r="N84" s="324"/>
      <c r="O84" s="324"/>
      <c r="P84" s="324"/>
      <c r="Q84" s="1009" t="s">
        <v>2203</v>
      </c>
      <c r="R84" s="1026">
        <f>(+R83-R85)/R83</f>
        <v>0.40145985401459855</v>
      </c>
      <c r="S84" s="1026"/>
      <c r="T84" s="1026">
        <f>(+T83-T85)/T83</f>
        <v>0.18248175182481752</v>
      </c>
      <c r="U84" s="1026"/>
      <c r="V84" s="1026">
        <f>(+V83-V85)/V83</f>
        <v>0.16058394160583941</v>
      </c>
      <c r="W84" s="1026"/>
      <c r="X84" s="1026">
        <f>(+X83-X85)/X83</f>
        <v>7.8585086322515943E-2</v>
      </c>
      <c r="Y84" s="324"/>
      <c r="Z84" s="324">
        <v>0</v>
      </c>
      <c r="AA84" s="324"/>
      <c r="AB84" s="324">
        <v>0</v>
      </c>
      <c r="AC84" s="324"/>
      <c r="AD84" s="324">
        <v>0</v>
      </c>
      <c r="AE84" s="324"/>
      <c r="AF84" s="324">
        <v>0</v>
      </c>
      <c r="AG84" s="324"/>
      <c r="AH84" s="324">
        <v>0</v>
      </c>
      <c r="AI84" s="324"/>
      <c r="AJ84" s="324">
        <v>0</v>
      </c>
      <c r="AK84" s="324"/>
      <c r="AL84" s="324">
        <v>0</v>
      </c>
      <c r="AM84" s="324"/>
      <c r="AN84" s="324">
        <v>0</v>
      </c>
      <c r="AO84" s="324"/>
      <c r="AP84" s="324"/>
    </row>
    <row r="85" spans="1:42" ht="14.25" customHeight="1" x14ac:dyDescent="0.3">
      <c r="A85" s="324"/>
      <c r="B85" s="324"/>
      <c r="C85" s="324"/>
      <c r="D85" s="324"/>
      <c r="E85" s="324"/>
      <c r="F85" s="324"/>
      <c r="G85" s="324"/>
      <c r="H85" s="324"/>
      <c r="I85" s="324"/>
      <c r="J85" s="324"/>
      <c r="K85" s="324"/>
      <c r="L85" s="324"/>
      <c r="M85" s="324"/>
      <c r="N85" s="324"/>
      <c r="O85" s="324"/>
      <c r="P85" s="1027"/>
      <c r="Q85" s="1028" t="s">
        <v>2204</v>
      </c>
      <c r="R85" s="1029">
        <v>82</v>
      </c>
      <c r="S85" s="963"/>
      <c r="T85" s="1029">
        <v>112</v>
      </c>
      <c r="U85" s="963"/>
      <c r="V85" s="1029">
        <v>115</v>
      </c>
      <c r="W85" s="963"/>
      <c r="X85" s="1029">
        <v>132</v>
      </c>
      <c r="Y85" s="963"/>
      <c r="Z85" s="1029">
        <v>143</v>
      </c>
      <c r="AA85" s="963"/>
      <c r="AB85" s="1029">
        <f>+Z85</f>
        <v>143</v>
      </c>
      <c r="AC85" s="963"/>
      <c r="AD85" s="1029">
        <v>150</v>
      </c>
      <c r="AE85" s="963"/>
      <c r="AF85" s="1029">
        <f>+AD85</f>
        <v>150</v>
      </c>
      <c r="AG85" s="963"/>
      <c r="AH85" s="1029">
        <f>+AF85</f>
        <v>150</v>
      </c>
      <c r="AI85" s="963"/>
      <c r="AJ85" s="1029">
        <v>157</v>
      </c>
      <c r="AK85" s="963"/>
      <c r="AL85" s="1029">
        <f>+AJ85</f>
        <v>157</v>
      </c>
      <c r="AM85" s="963"/>
      <c r="AN85" s="1029">
        <f>+AL85</f>
        <v>157</v>
      </c>
      <c r="AO85" s="324"/>
      <c r="AP85" s="324"/>
    </row>
    <row r="86" spans="1:42" ht="14.25" customHeight="1" x14ac:dyDescent="0.3">
      <c r="A86" s="324"/>
      <c r="B86" s="324"/>
      <c r="C86" s="324"/>
      <c r="D86" s="324"/>
      <c r="E86" s="324"/>
      <c r="F86" s="324"/>
      <c r="G86" s="324"/>
      <c r="H86" s="324"/>
      <c r="I86" s="324"/>
      <c r="J86" s="324"/>
      <c r="K86" s="324"/>
      <c r="L86" s="324"/>
      <c r="M86" s="324"/>
      <c r="N86" s="324"/>
      <c r="O86" s="324"/>
      <c r="P86" s="324"/>
      <c r="Q86" s="324"/>
      <c r="R86" s="324"/>
      <c r="S86" s="324"/>
      <c r="T86" s="324"/>
      <c r="U86" s="324"/>
      <c r="V86" s="324"/>
      <c r="W86" s="324"/>
      <c r="X86" s="324"/>
      <c r="Y86" s="324"/>
      <c r="Z86" s="324"/>
      <c r="AA86" s="324"/>
      <c r="AB86" s="324"/>
      <c r="AC86" s="324"/>
      <c r="AD86" s="324"/>
      <c r="AE86" s="324"/>
      <c r="AF86" s="324"/>
      <c r="AG86" s="324"/>
      <c r="AH86" s="324"/>
      <c r="AI86" s="324"/>
      <c r="AJ86" s="324"/>
      <c r="AK86" s="324"/>
      <c r="AL86" s="324"/>
      <c r="AM86" s="324"/>
      <c r="AN86" s="324"/>
      <c r="AO86" s="324"/>
      <c r="AP86" s="324"/>
    </row>
    <row r="87" spans="1:42" ht="14.25" customHeight="1" x14ac:dyDescent="0.3">
      <c r="A87" s="324"/>
      <c r="B87" s="324"/>
      <c r="C87" s="324"/>
      <c r="D87" s="324"/>
      <c r="E87" s="324"/>
      <c r="F87" s="324"/>
      <c r="G87" s="324"/>
      <c r="H87" s="324"/>
      <c r="I87" s="324"/>
      <c r="J87" s="324"/>
      <c r="K87" s="324"/>
      <c r="L87" s="324"/>
      <c r="M87" s="324"/>
      <c r="N87" s="324"/>
      <c r="O87" s="324"/>
      <c r="P87" s="324"/>
      <c r="Q87" s="324"/>
      <c r="R87" s="324"/>
      <c r="S87" s="324"/>
      <c r="T87" s="324"/>
      <c r="U87" s="324"/>
      <c r="V87" s="324"/>
      <c r="W87" s="324"/>
      <c r="X87" s="324"/>
      <c r="Y87" s="324"/>
      <c r="Z87" s="324"/>
      <c r="AA87" s="324"/>
      <c r="AB87" s="324"/>
      <c r="AC87" s="324"/>
      <c r="AD87" s="324"/>
      <c r="AE87" s="324"/>
      <c r="AF87" s="324"/>
      <c r="AG87" s="324"/>
      <c r="AH87" s="324"/>
      <c r="AI87" s="324"/>
      <c r="AJ87" s="324"/>
      <c r="AK87" s="324"/>
      <c r="AL87" s="324"/>
      <c r="AM87" s="324"/>
      <c r="AN87" s="324"/>
      <c r="AO87" s="324"/>
      <c r="AP87" s="324"/>
    </row>
    <row r="88" spans="1:42" ht="14.25" customHeight="1" x14ac:dyDescent="0.3">
      <c r="A88" s="324"/>
      <c r="B88" s="324"/>
      <c r="C88" s="324"/>
      <c r="D88" s="324"/>
      <c r="E88" s="324"/>
      <c r="F88" s="324"/>
      <c r="G88" s="324"/>
      <c r="H88" s="324"/>
      <c r="I88" s="324"/>
      <c r="J88" s="324"/>
      <c r="K88" s="324"/>
      <c r="L88" s="324"/>
      <c r="M88" s="324"/>
      <c r="N88" s="324"/>
      <c r="O88" s="324"/>
      <c r="P88" s="324"/>
      <c r="Q88" s="324"/>
      <c r="R88" s="324"/>
      <c r="S88" s="324"/>
      <c r="T88" s="324"/>
      <c r="U88" s="324"/>
      <c r="V88" s="324"/>
      <c r="W88" s="324"/>
      <c r="X88" s="324"/>
      <c r="Y88" s="324"/>
      <c r="Z88" s="324"/>
      <c r="AA88" s="324"/>
      <c r="AB88" s="324"/>
      <c r="AC88" s="324"/>
      <c r="AD88" s="324"/>
      <c r="AE88" s="324"/>
      <c r="AF88" s="324"/>
      <c r="AG88" s="324"/>
      <c r="AH88" s="324"/>
      <c r="AI88" s="324"/>
      <c r="AJ88" s="324"/>
      <c r="AK88" s="324"/>
      <c r="AL88" s="324"/>
      <c r="AM88" s="324"/>
      <c r="AN88" s="324"/>
      <c r="AO88" s="324"/>
      <c r="AP88" s="324"/>
    </row>
    <row r="89" spans="1:42" ht="14.25" customHeight="1" x14ac:dyDescent="0.3">
      <c r="A89" s="324"/>
      <c r="B89" s="324"/>
      <c r="C89" s="324"/>
      <c r="D89" s="324"/>
      <c r="E89" s="324"/>
      <c r="F89" s="324"/>
      <c r="G89" s="324"/>
      <c r="H89" s="324"/>
      <c r="I89" s="324"/>
      <c r="J89" s="324"/>
      <c r="K89" s="324"/>
      <c r="L89" s="324"/>
      <c r="M89" s="324"/>
      <c r="N89" s="324"/>
      <c r="O89" s="324"/>
      <c r="P89" s="324"/>
      <c r="Q89" s="324"/>
      <c r="R89" s="324"/>
      <c r="S89" s="324"/>
      <c r="T89" s="324"/>
      <c r="U89" s="324"/>
      <c r="V89" s="324"/>
      <c r="W89" s="324"/>
      <c r="X89" s="324"/>
      <c r="Y89" s="324"/>
      <c r="Z89" s="324"/>
      <c r="AA89" s="324"/>
      <c r="AB89" s="324"/>
      <c r="AC89" s="324"/>
      <c r="AD89" s="324"/>
      <c r="AE89" s="324"/>
      <c r="AF89" s="324"/>
      <c r="AG89" s="324"/>
      <c r="AH89" s="324"/>
      <c r="AI89" s="324"/>
      <c r="AJ89" s="324"/>
      <c r="AK89" s="324"/>
      <c r="AL89" s="324"/>
      <c r="AM89" s="324"/>
      <c r="AN89" s="324"/>
      <c r="AO89" s="324"/>
      <c r="AP89" s="324"/>
    </row>
    <row r="90" spans="1:42" ht="14.25" customHeight="1" x14ac:dyDescent="0.3">
      <c r="A90" s="324"/>
      <c r="B90" s="324"/>
      <c r="C90" s="324"/>
      <c r="D90" s="324"/>
      <c r="E90" s="324"/>
      <c r="F90" s="324"/>
      <c r="G90" s="324"/>
      <c r="H90" s="324"/>
      <c r="I90" s="324"/>
      <c r="J90" s="324"/>
      <c r="K90" s="324"/>
      <c r="L90" s="324"/>
      <c r="M90" s="324"/>
      <c r="N90" s="324"/>
      <c r="O90" s="324"/>
      <c r="P90" s="324"/>
      <c r="Q90" s="324"/>
      <c r="R90" s="324"/>
      <c r="S90" s="324"/>
      <c r="T90" s="324"/>
      <c r="U90" s="324"/>
      <c r="V90" s="324"/>
      <c r="W90" s="324"/>
      <c r="X90" s="324"/>
      <c r="Y90" s="324"/>
      <c r="Z90" s="324"/>
      <c r="AA90" s="324"/>
      <c r="AB90" s="324"/>
      <c r="AC90" s="324"/>
      <c r="AD90" s="324"/>
      <c r="AE90" s="324"/>
      <c r="AF90" s="324"/>
      <c r="AG90" s="324"/>
      <c r="AH90" s="324"/>
      <c r="AI90" s="324"/>
      <c r="AJ90" s="324"/>
      <c r="AK90" s="324"/>
      <c r="AL90" s="324"/>
      <c r="AM90" s="324"/>
      <c r="AN90" s="324"/>
      <c r="AO90" s="324"/>
      <c r="AP90" s="324"/>
    </row>
    <row r="91" spans="1:42" ht="14.25" customHeight="1" x14ac:dyDescent="0.3">
      <c r="A91" s="324"/>
      <c r="B91" s="324"/>
      <c r="C91" s="324"/>
      <c r="D91" s="324"/>
      <c r="E91" s="324"/>
      <c r="F91" s="324"/>
      <c r="G91" s="324"/>
      <c r="H91" s="324"/>
      <c r="I91" s="324"/>
      <c r="J91" s="324"/>
      <c r="K91" s="324"/>
      <c r="L91" s="324"/>
      <c r="M91" s="324"/>
      <c r="N91" s="324"/>
      <c r="O91" s="324"/>
      <c r="P91" s="324"/>
      <c r="Q91" s="324"/>
      <c r="R91" s="324"/>
      <c r="S91" s="324"/>
      <c r="T91" s="324"/>
      <c r="U91" s="324"/>
      <c r="V91" s="324"/>
      <c r="W91" s="324"/>
      <c r="X91" s="324"/>
      <c r="Y91" s="324"/>
      <c r="Z91" s="324"/>
      <c r="AA91" s="324"/>
      <c r="AB91" s="324"/>
      <c r="AC91" s="324"/>
      <c r="AD91" s="324"/>
      <c r="AE91" s="324"/>
      <c r="AF91" s="324"/>
      <c r="AG91" s="324"/>
      <c r="AH91" s="324"/>
      <c r="AI91" s="324"/>
      <c r="AJ91" s="324"/>
      <c r="AK91" s="324"/>
      <c r="AL91" s="324"/>
      <c r="AM91" s="324"/>
      <c r="AN91" s="324"/>
      <c r="AO91" s="324"/>
      <c r="AP91" s="324"/>
    </row>
    <row r="92" spans="1:42" ht="14.25" customHeight="1" x14ac:dyDescent="0.3">
      <c r="A92" s="324"/>
      <c r="B92" s="324"/>
      <c r="C92" s="324"/>
      <c r="D92" s="324"/>
      <c r="E92" s="324"/>
      <c r="F92" s="324"/>
      <c r="G92" s="324"/>
      <c r="H92" s="324"/>
      <c r="I92" s="324"/>
      <c r="J92" s="324"/>
      <c r="K92" s="324"/>
      <c r="L92" s="324"/>
      <c r="M92" s="324"/>
      <c r="N92" s="324"/>
      <c r="O92" s="324"/>
      <c r="P92" s="324"/>
      <c r="Q92" s="324"/>
      <c r="R92" s="324"/>
      <c r="S92" s="324"/>
      <c r="T92" s="324"/>
      <c r="U92" s="324"/>
      <c r="V92" s="324"/>
      <c r="W92" s="324"/>
      <c r="X92" s="324"/>
      <c r="Y92" s="324"/>
      <c r="Z92" s="324"/>
      <c r="AA92" s="324"/>
      <c r="AB92" s="324"/>
      <c r="AC92" s="324"/>
      <c r="AD92" s="324"/>
      <c r="AE92" s="324"/>
      <c r="AF92" s="324"/>
      <c r="AG92" s="324"/>
      <c r="AH92" s="324"/>
      <c r="AI92" s="324"/>
      <c r="AJ92" s="324"/>
      <c r="AK92" s="324"/>
      <c r="AL92" s="324"/>
      <c r="AM92" s="324"/>
      <c r="AN92" s="324"/>
      <c r="AO92" s="324"/>
      <c r="AP92" s="324"/>
    </row>
    <row r="93" spans="1:42" ht="14.25" customHeight="1" x14ac:dyDescent="0.3">
      <c r="A93" s="324"/>
      <c r="B93" s="324"/>
      <c r="C93" s="324"/>
      <c r="D93" s="324"/>
      <c r="E93" s="324"/>
      <c r="F93" s="324"/>
      <c r="G93" s="324"/>
      <c r="H93" s="324"/>
      <c r="I93" s="324"/>
      <c r="J93" s="324"/>
      <c r="K93" s="324"/>
      <c r="L93" s="324"/>
      <c r="M93" s="324"/>
      <c r="N93" s="324"/>
      <c r="O93" s="324"/>
      <c r="P93" s="324"/>
      <c r="Q93" s="324"/>
      <c r="R93" s="324"/>
      <c r="S93" s="324"/>
      <c r="T93" s="324"/>
      <c r="U93" s="324"/>
      <c r="V93" s="324"/>
      <c r="W93" s="324"/>
      <c r="X93" s="324"/>
      <c r="Y93" s="324"/>
      <c r="Z93" s="324"/>
      <c r="AA93" s="324"/>
      <c r="AB93" s="324"/>
      <c r="AC93" s="324"/>
      <c r="AD93" s="324"/>
      <c r="AE93" s="324"/>
      <c r="AF93" s="324"/>
      <c r="AG93" s="324"/>
      <c r="AH93" s="324"/>
      <c r="AI93" s="324"/>
      <c r="AJ93" s="324"/>
      <c r="AK93" s="324"/>
      <c r="AL93" s="324"/>
      <c r="AM93" s="324"/>
      <c r="AN93" s="324"/>
      <c r="AO93" s="324"/>
      <c r="AP93" s="324"/>
    </row>
    <row r="94" spans="1:42" ht="14.25" customHeight="1" x14ac:dyDescent="0.3">
      <c r="A94" s="324"/>
      <c r="B94" s="324"/>
      <c r="C94" s="324"/>
      <c r="D94" s="324"/>
      <c r="E94" s="324"/>
      <c r="F94" s="324"/>
      <c r="G94" s="324"/>
      <c r="H94" s="324"/>
      <c r="I94" s="324"/>
      <c r="J94" s="324"/>
      <c r="K94" s="324"/>
      <c r="L94" s="324"/>
      <c r="M94" s="324"/>
      <c r="N94" s="324"/>
      <c r="O94" s="324"/>
      <c r="P94" s="324"/>
      <c r="Q94" s="324"/>
      <c r="R94" s="324"/>
      <c r="S94" s="324"/>
      <c r="T94" s="324"/>
      <c r="U94" s="324"/>
      <c r="V94" s="324"/>
      <c r="W94" s="324"/>
      <c r="X94" s="324"/>
      <c r="Y94" s="324"/>
      <c r="Z94" s="324"/>
      <c r="AA94" s="324"/>
      <c r="AB94" s="324"/>
      <c r="AC94" s="324"/>
      <c r="AD94" s="324"/>
      <c r="AE94" s="324"/>
      <c r="AF94" s="324"/>
      <c r="AG94" s="324"/>
      <c r="AH94" s="324"/>
      <c r="AI94" s="324"/>
      <c r="AJ94" s="324"/>
      <c r="AK94" s="324"/>
      <c r="AL94" s="324"/>
      <c r="AM94" s="324"/>
      <c r="AN94" s="324"/>
      <c r="AO94" s="324"/>
      <c r="AP94" s="324"/>
    </row>
    <row r="95" spans="1:42" ht="14.25" customHeight="1" x14ac:dyDescent="0.3">
      <c r="A95" s="324"/>
      <c r="B95" s="324"/>
      <c r="C95" s="324"/>
      <c r="D95" s="324"/>
      <c r="E95" s="324"/>
      <c r="F95" s="324"/>
      <c r="G95" s="324"/>
      <c r="H95" s="324"/>
      <c r="I95" s="324"/>
      <c r="J95" s="324"/>
      <c r="K95" s="324"/>
      <c r="L95" s="324"/>
      <c r="M95" s="324"/>
      <c r="N95" s="324"/>
      <c r="O95" s="324"/>
      <c r="P95" s="324"/>
      <c r="Q95" s="324"/>
      <c r="R95" s="324"/>
      <c r="S95" s="324"/>
      <c r="T95" s="324"/>
      <c r="U95" s="324"/>
      <c r="V95" s="324"/>
      <c r="W95" s="324"/>
      <c r="X95" s="324"/>
      <c r="Y95" s="324"/>
      <c r="Z95" s="324"/>
      <c r="AA95" s="324"/>
      <c r="AB95" s="324"/>
      <c r="AC95" s="324"/>
      <c r="AD95" s="324"/>
      <c r="AE95" s="324"/>
      <c r="AF95" s="324"/>
      <c r="AG95" s="324"/>
      <c r="AH95" s="324"/>
      <c r="AI95" s="324"/>
      <c r="AJ95" s="324"/>
      <c r="AK95" s="324"/>
      <c r="AL95" s="324"/>
      <c r="AM95" s="324"/>
      <c r="AN95" s="324"/>
      <c r="AO95" s="324"/>
      <c r="AP95" s="324"/>
    </row>
    <row r="96" spans="1:42" ht="14.25" customHeight="1" x14ac:dyDescent="0.3">
      <c r="A96" s="324"/>
      <c r="B96" s="324"/>
      <c r="C96" s="324"/>
      <c r="D96" s="324"/>
      <c r="E96" s="324"/>
      <c r="F96" s="324"/>
      <c r="G96" s="324"/>
      <c r="H96" s="324"/>
      <c r="I96" s="324"/>
      <c r="J96" s="324"/>
      <c r="K96" s="324"/>
      <c r="L96" s="324"/>
      <c r="M96" s="324"/>
      <c r="N96" s="324"/>
      <c r="O96" s="324"/>
      <c r="P96" s="324"/>
      <c r="Q96" s="324"/>
      <c r="R96" s="324"/>
      <c r="S96" s="324"/>
      <c r="T96" s="324"/>
      <c r="U96" s="324"/>
      <c r="V96" s="324"/>
      <c r="W96" s="324"/>
      <c r="X96" s="324"/>
      <c r="Y96" s="324"/>
      <c r="Z96" s="324"/>
      <c r="AA96" s="324"/>
      <c r="AB96" s="324"/>
      <c r="AC96" s="324"/>
      <c r="AD96" s="324"/>
      <c r="AE96" s="324"/>
      <c r="AF96" s="324"/>
      <c r="AG96" s="324"/>
      <c r="AH96" s="324"/>
      <c r="AI96" s="324"/>
      <c r="AJ96" s="324"/>
      <c r="AK96" s="324"/>
      <c r="AL96" s="324"/>
      <c r="AM96" s="324"/>
      <c r="AN96" s="324"/>
      <c r="AO96" s="324"/>
      <c r="AP96" s="324"/>
    </row>
    <row r="97" spans="1:42" ht="14.25" customHeight="1" x14ac:dyDescent="0.3">
      <c r="A97" s="324"/>
      <c r="B97" s="324"/>
      <c r="C97" s="324"/>
      <c r="D97" s="324"/>
      <c r="E97" s="324"/>
      <c r="F97" s="324"/>
      <c r="G97" s="324"/>
      <c r="H97" s="324"/>
      <c r="I97" s="324"/>
      <c r="J97" s="324"/>
      <c r="K97" s="324"/>
      <c r="L97" s="324"/>
      <c r="M97" s="324"/>
      <c r="N97" s="324"/>
      <c r="O97" s="324"/>
      <c r="P97" s="324"/>
      <c r="Q97" s="324"/>
      <c r="R97" s="324"/>
      <c r="S97" s="324"/>
      <c r="T97" s="324"/>
      <c r="U97" s="324"/>
      <c r="V97" s="324"/>
      <c r="W97" s="324"/>
      <c r="X97" s="324"/>
      <c r="Y97" s="324"/>
      <c r="Z97" s="324"/>
      <c r="AA97" s="324"/>
      <c r="AB97" s="324"/>
      <c r="AC97" s="324"/>
      <c r="AD97" s="324"/>
      <c r="AE97" s="324"/>
      <c r="AF97" s="324"/>
      <c r="AG97" s="324"/>
      <c r="AH97" s="324"/>
      <c r="AI97" s="324"/>
      <c r="AJ97" s="324"/>
      <c r="AK97" s="324"/>
      <c r="AL97" s="324"/>
      <c r="AM97" s="324"/>
      <c r="AN97" s="324"/>
      <c r="AO97" s="324"/>
      <c r="AP97" s="324"/>
    </row>
    <row r="98" spans="1:42" ht="14.25" customHeight="1" x14ac:dyDescent="0.3">
      <c r="A98" s="324"/>
      <c r="B98" s="324"/>
      <c r="C98" s="324"/>
      <c r="D98" s="324"/>
      <c r="E98" s="324"/>
      <c r="F98" s="324"/>
      <c r="G98" s="324"/>
      <c r="H98" s="324"/>
      <c r="I98" s="324"/>
      <c r="J98" s="324"/>
      <c r="K98" s="324"/>
      <c r="L98" s="324"/>
      <c r="M98" s="324"/>
      <c r="N98" s="324"/>
      <c r="O98" s="324"/>
      <c r="P98" s="324"/>
      <c r="Q98" s="324"/>
      <c r="R98" s="324"/>
      <c r="S98" s="324"/>
      <c r="T98" s="324"/>
      <c r="U98" s="324"/>
      <c r="V98" s="324"/>
      <c r="W98" s="324"/>
      <c r="X98" s="324"/>
      <c r="Y98" s="324"/>
      <c r="Z98" s="324"/>
      <c r="AA98" s="324"/>
      <c r="AB98" s="324"/>
      <c r="AC98" s="324"/>
      <c r="AD98" s="324"/>
      <c r="AE98" s="324"/>
      <c r="AF98" s="324"/>
      <c r="AG98" s="324"/>
      <c r="AH98" s="324"/>
      <c r="AI98" s="324"/>
      <c r="AJ98" s="324"/>
      <c r="AK98" s="324"/>
      <c r="AL98" s="324"/>
      <c r="AM98" s="324"/>
      <c r="AN98" s="324"/>
      <c r="AO98" s="324"/>
      <c r="AP98" s="324"/>
    </row>
    <row r="99" spans="1:42" ht="14.25" customHeight="1" x14ac:dyDescent="0.3">
      <c r="A99" s="324"/>
      <c r="B99" s="324"/>
      <c r="C99" s="324"/>
      <c r="D99" s="324"/>
      <c r="E99" s="324"/>
      <c r="F99" s="324"/>
      <c r="G99" s="324"/>
      <c r="H99" s="324"/>
      <c r="I99" s="324"/>
      <c r="J99" s="324"/>
      <c r="K99" s="324"/>
      <c r="L99" s="324"/>
      <c r="M99" s="324"/>
      <c r="N99" s="324"/>
      <c r="O99" s="324"/>
      <c r="P99" s="324"/>
      <c r="Q99" s="324"/>
      <c r="R99" s="324"/>
      <c r="S99" s="324"/>
      <c r="T99" s="324"/>
      <c r="U99" s="324"/>
      <c r="V99" s="324"/>
      <c r="W99" s="324"/>
      <c r="X99" s="324"/>
      <c r="Y99" s="324"/>
      <c r="Z99" s="324"/>
      <c r="AA99" s="324"/>
      <c r="AB99" s="324"/>
      <c r="AC99" s="324"/>
      <c r="AD99" s="324"/>
      <c r="AE99" s="324"/>
      <c r="AF99" s="324"/>
      <c r="AG99" s="324"/>
      <c r="AH99" s="324"/>
      <c r="AI99" s="324"/>
      <c r="AJ99" s="324"/>
      <c r="AK99" s="324"/>
      <c r="AL99" s="324"/>
      <c r="AM99" s="324"/>
      <c r="AN99" s="324"/>
      <c r="AO99" s="324"/>
      <c r="AP99" s="324"/>
    </row>
    <row r="100" spans="1:42" ht="14.25" customHeight="1" x14ac:dyDescent="0.3">
      <c r="A100" s="324"/>
      <c r="B100" s="324"/>
      <c r="C100" s="324"/>
      <c r="D100" s="324"/>
      <c r="E100" s="324"/>
      <c r="F100" s="324"/>
      <c r="G100" s="324"/>
      <c r="H100" s="324"/>
      <c r="I100" s="324"/>
      <c r="J100" s="324"/>
      <c r="K100" s="324"/>
      <c r="L100" s="324"/>
      <c r="M100" s="324"/>
      <c r="N100" s="324"/>
      <c r="O100" s="324"/>
      <c r="P100" s="324"/>
      <c r="Q100" s="324"/>
      <c r="R100" s="324"/>
      <c r="S100" s="324"/>
      <c r="T100" s="324"/>
      <c r="U100" s="324"/>
      <c r="V100" s="324"/>
      <c r="W100" s="324"/>
      <c r="X100" s="324"/>
      <c r="Y100" s="324"/>
      <c r="Z100" s="324"/>
      <c r="AA100" s="324"/>
      <c r="AB100" s="324"/>
      <c r="AC100" s="324"/>
      <c r="AD100" s="324"/>
      <c r="AE100" s="324"/>
      <c r="AF100" s="324"/>
      <c r="AG100" s="324"/>
      <c r="AH100" s="324"/>
      <c r="AI100" s="324"/>
      <c r="AJ100" s="324"/>
      <c r="AK100" s="324"/>
      <c r="AL100" s="324"/>
      <c r="AM100" s="324"/>
      <c r="AN100" s="324"/>
      <c r="AO100" s="324"/>
      <c r="AP100" s="324"/>
    </row>
    <row r="101" spans="1:42" ht="14.25" customHeight="1" x14ac:dyDescent="0.3">
      <c r="A101" s="324"/>
      <c r="B101" s="324"/>
      <c r="C101" s="324"/>
      <c r="D101" s="324"/>
      <c r="E101" s="324"/>
      <c r="F101" s="324"/>
      <c r="G101" s="324"/>
      <c r="H101" s="324"/>
      <c r="I101" s="324"/>
      <c r="J101" s="324"/>
      <c r="K101" s="324"/>
      <c r="L101" s="324"/>
      <c r="M101" s="324"/>
      <c r="N101" s="324"/>
      <c r="O101" s="324"/>
      <c r="P101" s="324"/>
      <c r="Q101" s="324"/>
      <c r="R101" s="324"/>
      <c r="S101" s="324"/>
      <c r="T101" s="324"/>
      <c r="U101" s="324"/>
      <c r="V101" s="324"/>
      <c r="W101" s="324"/>
      <c r="X101" s="324"/>
      <c r="Y101" s="324"/>
      <c r="Z101" s="324"/>
      <c r="AA101" s="324"/>
      <c r="AB101" s="324"/>
      <c r="AC101" s="324"/>
      <c r="AD101" s="324"/>
      <c r="AE101" s="324"/>
      <c r="AF101" s="324"/>
      <c r="AG101" s="324"/>
      <c r="AH101" s="324"/>
      <c r="AI101" s="324"/>
      <c r="AJ101" s="324"/>
      <c r="AK101" s="324"/>
      <c r="AL101" s="324"/>
      <c r="AM101" s="324"/>
      <c r="AN101" s="324"/>
      <c r="AO101" s="324"/>
      <c r="AP101" s="324"/>
    </row>
    <row r="102" spans="1:42" ht="14.25" customHeight="1" x14ac:dyDescent="0.3">
      <c r="A102" s="324"/>
      <c r="B102" s="324"/>
      <c r="C102" s="324"/>
      <c r="D102" s="324"/>
      <c r="E102" s="324"/>
      <c r="F102" s="324"/>
      <c r="G102" s="324"/>
      <c r="H102" s="324"/>
      <c r="I102" s="324"/>
      <c r="J102" s="324"/>
      <c r="K102" s="324"/>
      <c r="L102" s="324"/>
      <c r="M102" s="324"/>
      <c r="N102" s="324"/>
      <c r="O102" s="324"/>
      <c r="P102" s="324"/>
      <c r="Q102" s="324"/>
      <c r="R102" s="324"/>
      <c r="S102" s="324"/>
      <c r="T102" s="324"/>
      <c r="U102" s="324"/>
      <c r="V102" s="324"/>
      <c r="W102" s="324"/>
      <c r="X102" s="324"/>
      <c r="Y102" s="324"/>
      <c r="Z102" s="324"/>
      <c r="AA102" s="324"/>
      <c r="AB102" s="324"/>
      <c r="AC102" s="324"/>
      <c r="AD102" s="324"/>
      <c r="AE102" s="324"/>
      <c r="AF102" s="324"/>
      <c r="AG102" s="324"/>
      <c r="AH102" s="324"/>
      <c r="AI102" s="324"/>
      <c r="AJ102" s="324"/>
      <c r="AK102" s="324"/>
      <c r="AL102" s="324"/>
      <c r="AM102" s="324"/>
      <c r="AN102" s="324"/>
      <c r="AO102" s="324"/>
      <c r="AP102" s="324"/>
    </row>
    <row r="103" spans="1:42" ht="14.25" customHeight="1" x14ac:dyDescent="0.3">
      <c r="A103" s="324"/>
      <c r="B103" s="324"/>
      <c r="C103" s="324"/>
      <c r="D103" s="324"/>
      <c r="E103" s="324"/>
      <c r="F103" s="324"/>
      <c r="G103" s="324"/>
      <c r="H103" s="324"/>
      <c r="I103" s="324"/>
      <c r="J103" s="324"/>
      <c r="K103" s="324"/>
      <c r="L103" s="324"/>
      <c r="M103" s="324"/>
      <c r="N103" s="324"/>
      <c r="O103" s="324"/>
      <c r="P103" s="324"/>
      <c r="Q103" s="324"/>
      <c r="R103" s="324"/>
      <c r="S103" s="324"/>
      <c r="T103" s="324"/>
      <c r="U103" s="324"/>
      <c r="V103" s="324"/>
      <c r="W103" s="324"/>
      <c r="X103" s="324"/>
      <c r="Y103" s="324"/>
      <c r="Z103" s="324"/>
      <c r="AA103" s="324"/>
      <c r="AB103" s="324"/>
      <c r="AC103" s="324"/>
      <c r="AD103" s="324"/>
      <c r="AE103" s="324"/>
      <c r="AF103" s="324"/>
      <c r="AG103" s="324"/>
      <c r="AH103" s="324"/>
      <c r="AI103" s="324"/>
      <c r="AJ103" s="324"/>
      <c r="AK103" s="324"/>
      <c r="AL103" s="324"/>
      <c r="AM103" s="324"/>
      <c r="AN103" s="324"/>
      <c r="AO103" s="324"/>
      <c r="AP103" s="324"/>
    </row>
    <row r="104" spans="1:42" ht="14.25" customHeight="1" x14ac:dyDescent="0.3">
      <c r="A104" s="324"/>
      <c r="B104" s="324"/>
      <c r="C104" s="324"/>
      <c r="D104" s="324"/>
      <c r="E104" s="324"/>
      <c r="F104" s="324"/>
      <c r="G104" s="324"/>
      <c r="H104" s="324"/>
      <c r="I104" s="324"/>
      <c r="J104" s="324"/>
      <c r="K104" s="324"/>
      <c r="L104" s="324"/>
      <c r="M104" s="324"/>
      <c r="N104" s="324"/>
      <c r="O104" s="324"/>
      <c r="P104" s="324"/>
      <c r="Q104" s="324"/>
      <c r="R104" s="324"/>
      <c r="S104" s="324"/>
      <c r="T104" s="324"/>
      <c r="U104" s="324"/>
      <c r="V104" s="324"/>
      <c r="W104" s="324"/>
      <c r="X104" s="324"/>
      <c r="Y104" s="324"/>
      <c r="Z104" s="324"/>
      <c r="AA104" s="324"/>
      <c r="AB104" s="324"/>
      <c r="AC104" s="324"/>
      <c r="AD104" s="324"/>
      <c r="AE104" s="324"/>
      <c r="AF104" s="324"/>
      <c r="AG104" s="324"/>
      <c r="AH104" s="324"/>
      <c r="AI104" s="324"/>
      <c r="AJ104" s="324"/>
      <c r="AK104" s="324"/>
      <c r="AL104" s="324"/>
      <c r="AM104" s="324"/>
      <c r="AN104" s="324"/>
      <c r="AO104" s="324"/>
      <c r="AP104" s="324"/>
    </row>
    <row r="105" spans="1:42" ht="14.25" customHeight="1" x14ac:dyDescent="0.3">
      <c r="A105" s="324"/>
      <c r="B105" s="324"/>
      <c r="C105" s="324"/>
      <c r="D105" s="324"/>
      <c r="E105" s="324"/>
      <c r="F105" s="324"/>
      <c r="G105" s="324"/>
      <c r="H105" s="324"/>
      <c r="I105" s="324"/>
      <c r="J105" s="324"/>
      <c r="K105" s="324"/>
      <c r="L105" s="324"/>
      <c r="M105" s="324"/>
      <c r="N105" s="324"/>
      <c r="O105" s="324"/>
      <c r="P105" s="324"/>
      <c r="Q105" s="324"/>
      <c r="R105" s="324"/>
      <c r="S105" s="324"/>
      <c r="T105" s="324"/>
      <c r="U105" s="324"/>
      <c r="V105" s="324"/>
      <c r="W105" s="324"/>
      <c r="X105" s="324"/>
      <c r="Y105" s="324"/>
      <c r="Z105" s="324"/>
      <c r="AA105" s="324"/>
      <c r="AB105" s="324"/>
      <c r="AC105" s="324"/>
      <c r="AD105" s="324"/>
      <c r="AE105" s="324"/>
      <c r="AF105" s="324"/>
      <c r="AG105" s="324"/>
      <c r="AH105" s="324"/>
      <c r="AI105" s="324"/>
      <c r="AJ105" s="324"/>
      <c r="AK105" s="324"/>
      <c r="AL105" s="324"/>
      <c r="AM105" s="324"/>
      <c r="AN105" s="324"/>
      <c r="AO105" s="324"/>
      <c r="AP105" s="324"/>
    </row>
    <row r="106" spans="1:42" ht="14.25" customHeight="1" x14ac:dyDescent="0.3">
      <c r="A106" s="324"/>
      <c r="B106" s="324"/>
      <c r="C106" s="324"/>
      <c r="D106" s="324"/>
      <c r="E106" s="324"/>
      <c r="F106" s="324"/>
      <c r="G106" s="324"/>
      <c r="H106" s="324"/>
      <c r="I106" s="324"/>
      <c r="J106" s="324"/>
      <c r="K106" s="324"/>
      <c r="L106" s="324"/>
      <c r="M106" s="324"/>
      <c r="N106" s="324"/>
      <c r="O106" s="324"/>
      <c r="P106" s="324"/>
      <c r="Q106" s="324"/>
      <c r="R106" s="324"/>
      <c r="S106" s="324"/>
      <c r="T106" s="324"/>
      <c r="U106" s="324"/>
      <c r="V106" s="324"/>
      <c r="W106" s="324"/>
      <c r="X106" s="324"/>
      <c r="Y106" s="324"/>
      <c r="Z106" s="324"/>
      <c r="AA106" s="324"/>
      <c r="AB106" s="324"/>
      <c r="AC106" s="324"/>
      <c r="AD106" s="324"/>
      <c r="AE106" s="324"/>
      <c r="AF106" s="324"/>
      <c r="AG106" s="324"/>
      <c r="AH106" s="324"/>
      <c r="AI106" s="324"/>
      <c r="AJ106" s="324"/>
      <c r="AK106" s="324"/>
      <c r="AL106" s="324"/>
      <c r="AM106" s="324"/>
      <c r="AN106" s="324"/>
      <c r="AO106" s="324"/>
      <c r="AP106" s="324"/>
    </row>
    <row r="107" spans="1:42" ht="14.25" customHeight="1" x14ac:dyDescent="0.3">
      <c r="A107" s="324"/>
      <c r="B107" s="324"/>
      <c r="C107" s="324"/>
      <c r="D107" s="324"/>
      <c r="E107" s="324"/>
      <c r="F107" s="324"/>
      <c r="G107" s="324"/>
      <c r="H107" s="324"/>
      <c r="I107" s="324"/>
      <c r="J107" s="324"/>
      <c r="K107" s="324"/>
      <c r="L107" s="324"/>
      <c r="M107" s="324"/>
      <c r="N107" s="324"/>
      <c r="O107" s="324"/>
      <c r="P107" s="324"/>
      <c r="Q107" s="324"/>
      <c r="R107" s="324"/>
      <c r="S107" s="324"/>
      <c r="T107" s="324"/>
      <c r="U107" s="324"/>
      <c r="V107" s="324"/>
      <c r="W107" s="324"/>
      <c r="X107" s="324"/>
      <c r="Y107" s="324"/>
      <c r="Z107" s="324"/>
      <c r="AA107" s="324"/>
      <c r="AB107" s="324"/>
      <c r="AC107" s="324"/>
      <c r="AD107" s="324"/>
      <c r="AE107" s="324"/>
      <c r="AF107" s="324"/>
      <c r="AG107" s="324"/>
      <c r="AH107" s="324"/>
      <c r="AI107" s="324"/>
      <c r="AJ107" s="324"/>
      <c r="AK107" s="324"/>
      <c r="AL107" s="324"/>
      <c r="AM107" s="324"/>
      <c r="AN107" s="324"/>
      <c r="AO107" s="324"/>
      <c r="AP107" s="324"/>
    </row>
    <row r="108" spans="1:42" ht="14.25" customHeight="1" x14ac:dyDescent="0.3">
      <c r="A108" s="324"/>
      <c r="B108" s="324"/>
      <c r="C108" s="324"/>
      <c r="D108" s="324"/>
      <c r="E108" s="324"/>
      <c r="F108" s="324"/>
      <c r="G108" s="324"/>
      <c r="H108" s="324"/>
      <c r="I108" s="324"/>
      <c r="J108" s="324"/>
      <c r="K108" s="324"/>
      <c r="L108" s="324"/>
      <c r="M108" s="324"/>
      <c r="N108" s="324"/>
      <c r="O108" s="324"/>
      <c r="P108" s="324"/>
      <c r="Q108" s="324"/>
      <c r="R108" s="324"/>
      <c r="S108" s="324"/>
      <c r="T108" s="324"/>
      <c r="U108" s="324"/>
      <c r="V108" s="324"/>
      <c r="W108" s="324"/>
      <c r="X108" s="324"/>
      <c r="Y108" s="324"/>
      <c r="Z108" s="324"/>
      <c r="AA108" s="324"/>
      <c r="AB108" s="324"/>
      <c r="AC108" s="324"/>
      <c r="AD108" s="324"/>
      <c r="AE108" s="324"/>
      <c r="AF108" s="324"/>
      <c r="AG108" s="324"/>
      <c r="AH108" s="324"/>
      <c r="AI108" s="324"/>
      <c r="AJ108" s="324"/>
      <c r="AK108" s="324"/>
      <c r="AL108" s="324"/>
      <c r="AM108" s="324"/>
      <c r="AN108" s="324"/>
      <c r="AO108" s="324"/>
      <c r="AP108" s="324"/>
    </row>
    <row r="109" spans="1:42" ht="14.25" customHeight="1" x14ac:dyDescent="0.3">
      <c r="A109" s="324"/>
      <c r="B109" s="324"/>
      <c r="C109" s="324"/>
      <c r="D109" s="324"/>
      <c r="E109" s="324"/>
      <c r="F109" s="324"/>
      <c r="G109" s="324"/>
      <c r="H109" s="324"/>
      <c r="I109" s="324"/>
      <c r="J109" s="324"/>
      <c r="K109" s="324"/>
      <c r="L109" s="324"/>
      <c r="M109" s="324"/>
      <c r="N109" s="324"/>
      <c r="O109" s="324"/>
      <c r="P109" s="324"/>
      <c r="Q109" s="324"/>
      <c r="R109" s="324"/>
      <c r="S109" s="324"/>
      <c r="T109" s="324"/>
      <c r="U109" s="324"/>
      <c r="V109" s="324"/>
      <c r="W109" s="324"/>
      <c r="X109" s="324"/>
      <c r="Y109" s="324"/>
      <c r="Z109" s="324"/>
      <c r="AA109" s="324"/>
      <c r="AB109" s="324"/>
      <c r="AC109" s="324"/>
      <c r="AD109" s="324"/>
      <c r="AE109" s="324"/>
      <c r="AF109" s="324"/>
      <c r="AG109" s="324"/>
      <c r="AH109" s="324"/>
      <c r="AI109" s="324"/>
      <c r="AJ109" s="324"/>
      <c r="AK109" s="324"/>
      <c r="AL109" s="324"/>
      <c r="AM109" s="324"/>
      <c r="AN109" s="324"/>
      <c r="AO109" s="324"/>
      <c r="AP109" s="324"/>
    </row>
    <row r="110" spans="1:42" ht="14.25" customHeight="1" x14ac:dyDescent="0.3">
      <c r="A110" s="324"/>
      <c r="B110" s="324"/>
      <c r="C110" s="324"/>
      <c r="D110" s="324"/>
      <c r="E110" s="324"/>
      <c r="F110" s="324"/>
      <c r="G110" s="324"/>
      <c r="H110" s="324"/>
      <c r="I110" s="324"/>
      <c r="J110" s="324"/>
      <c r="K110" s="324"/>
      <c r="L110" s="324"/>
      <c r="M110" s="324"/>
      <c r="N110" s="324"/>
      <c r="O110" s="324"/>
      <c r="P110" s="324"/>
      <c r="Q110" s="324"/>
      <c r="R110" s="324"/>
      <c r="S110" s="324"/>
      <c r="T110" s="324"/>
      <c r="U110" s="324"/>
      <c r="V110" s="324"/>
      <c r="W110" s="324"/>
      <c r="X110" s="324"/>
      <c r="Y110" s="324"/>
      <c r="Z110" s="324"/>
      <c r="AA110" s="324"/>
      <c r="AB110" s="324"/>
      <c r="AC110" s="324"/>
      <c r="AD110" s="324"/>
      <c r="AE110" s="324"/>
      <c r="AF110" s="324"/>
      <c r="AG110" s="324"/>
      <c r="AH110" s="324"/>
      <c r="AI110" s="324"/>
      <c r="AJ110" s="324"/>
      <c r="AK110" s="324"/>
      <c r="AL110" s="324"/>
      <c r="AM110" s="324"/>
      <c r="AN110" s="324"/>
      <c r="AO110" s="324"/>
      <c r="AP110" s="324"/>
    </row>
    <row r="111" spans="1:42" ht="14.25" customHeight="1" x14ac:dyDescent="0.3">
      <c r="A111" s="324"/>
      <c r="B111" s="324"/>
      <c r="C111" s="324"/>
      <c r="D111" s="324"/>
      <c r="E111" s="324"/>
      <c r="F111" s="324"/>
      <c r="G111" s="324"/>
      <c r="H111" s="324"/>
      <c r="I111" s="324"/>
      <c r="J111" s="324"/>
      <c r="K111" s="324"/>
      <c r="L111" s="324"/>
      <c r="M111" s="324"/>
      <c r="N111" s="324"/>
      <c r="O111" s="324"/>
      <c r="P111" s="324"/>
      <c r="Q111" s="324"/>
      <c r="R111" s="324"/>
      <c r="S111" s="324"/>
      <c r="T111" s="324"/>
      <c r="U111" s="324"/>
      <c r="V111" s="324"/>
      <c r="W111" s="324"/>
      <c r="X111" s="324"/>
      <c r="Y111" s="324"/>
      <c r="Z111" s="324"/>
      <c r="AA111" s="324"/>
      <c r="AB111" s="324"/>
      <c r="AC111" s="324"/>
      <c r="AD111" s="324"/>
      <c r="AE111" s="324"/>
      <c r="AF111" s="324"/>
      <c r="AG111" s="324"/>
      <c r="AH111" s="324"/>
      <c r="AI111" s="324"/>
      <c r="AJ111" s="324"/>
      <c r="AK111" s="324"/>
      <c r="AL111" s="324"/>
      <c r="AM111" s="324"/>
      <c r="AN111" s="324"/>
      <c r="AO111" s="324"/>
      <c r="AP111" s="324"/>
    </row>
    <row r="112" spans="1:42" ht="14.25" customHeight="1" x14ac:dyDescent="0.3">
      <c r="A112" s="324"/>
      <c r="B112" s="324"/>
      <c r="C112" s="324"/>
      <c r="D112" s="324"/>
      <c r="E112" s="324"/>
      <c r="F112" s="324"/>
      <c r="G112" s="324"/>
      <c r="H112" s="324"/>
      <c r="I112" s="324"/>
      <c r="J112" s="324"/>
      <c r="K112" s="324"/>
      <c r="L112" s="324"/>
      <c r="M112" s="324"/>
      <c r="N112" s="324"/>
      <c r="O112" s="324"/>
      <c r="P112" s="324"/>
      <c r="Q112" s="324"/>
      <c r="R112" s="324"/>
      <c r="S112" s="324"/>
      <c r="T112" s="324"/>
      <c r="U112" s="324"/>
      <c r="V112" s="324"/>
      <c r="W112" s="324"/>
      <c r="X112" s="324"/>
      <c r="Y112" s="324"/>
      <c r="Z112" s="324"/>
      <c r="AA112" s="324"/>
      <c r="AB112" s="324"/>
      <c r="AC112" s="324"/>
      <c r="AD112" s="324"/>
      <c r="AE112" s="324"/>
      <c r="AF112" s="324"/>
      <c r="AG112" s="324"/>
      <c r="AH112" s="324"/>
      <c r="AI112" s="324"/>
      <c r="AJ112" s="324"/>
      <c r="AK112" s="324"/>
      <c r="AL112" s="324"/>
      <c r="AM112" s="324"/>
      <c r="AN112" s="324"/>
      <c r="AO112" s="324"/>
      <c r="AP112" s="324"/>
    </row>
    <row r="113" spans="1:42" ht="14.25" customHeight="1" x14ac:dyDescent="0.3">
      <c r="A113" s="324"/>
      <c r="B113" s="324"/>
      <c r="C113" s="324"/>
      <c r="D113" s="324"/>
      <c r="E113" s="324"/>
      <c r="F113" s="324"/>
      <c r="G113" s="324"/>
      <c r="H113" s="324"/>
      <c r="I113" s="324"/>
      <c r="J113" s="324"/>
      <c r="K113" s="324"/>
      <c r="L113" s="324"/>
      <c r="M113" s="324"/>
      <c r="N113" s="324"/>
      <c r="O113" s="324"/>
      <c r="P113" s="324"/>
      <c r="Q113" s="324"/>
      <c r="R113" s="324"/>
      <c r="S113" s="324"/>
      <c r="T113" s="324"/>
      <c r="U113" s="324"/>
      <c r="V113" s="324"/>
      <c r="W113" s="324"/>
      <c r="X113" s="324"/>
      <c r="Y113" s="324"/>
      <c r="Z113" s="324"/>
      <c r="AA113" s="324"/>
      <c r="AB113" s="324"/>
      <c r="AC113" s="324"/>
      <c r="AD113" s="324"/>
      <c r="AE113" s="324"/>
      <c r="AF113" s="324"/>
      <c r="AG113" s="324"/>
      <c r="AH113" s="324"/>
      <c r="AI113" s="324"/>
      <c r="AJ113" s="324"/>
      <c r="AK113" s="324"/>
      <c r="AL113" s="324"/>
      <c r="AM113" s="324"/>
      <c r="AN113" s="324"/>
      <c r="AO113" s="324"/>
      <c r="AP113" s="324"/>
    </row>
    <row r="114" spans="1:42" ht="14.25" customHeight="1" x14ac:dyDescent="0.3">
      <c r="A114" s="324"/>
      <c r="B114" s="324"/>
      <c r="C114" s="324"/>
      <c r="D114" s="324"/>
      <c r="E114" s="324"/>
      <c r="F114" s="324"/>
      <c r="G114" s="324"/>
      <c r="H114" s="324"/>
      <c r="I114" s="324"/>
      <c r="J114" s="324"/>
      <c r="K114" s="324"/>
      <c r="L114" s="324"/>
      <c r="M114" s="324"/>
      <c r="N114" s="324"/>
      <c r="O114" s="324"/>
      <c r="P114" s="324"/>
      <c r="Q114" s="324"/>
      <c r="R114" s="324"/>
      <c r="S114" s="324"/>
      <c r="T114" s="324"/>
      <c r="U114" s="324"/>
      <c r="V114" s="324"/>
      <c r="W114" s="324"/>
      <c r="X114" s="324"/>
      <c r="Y114" s="324"/>
      <c r="Z114" s="324"/>
      <c r="AA114" s="324"/>
      <c r="AB114" s="324"/>
      <c r="AC114" s="324"/>
      <c r="AD114" s="324"/>
      <c r="AE114" s="324"/>
      <c r="AF114" s="324"/>
      <c r="AG114" s="324"/>
      <c r="AH114" s="324"/>
      <c r="AI114" s="324"/>
      <c r="AJ114" s="324"/>
      <c r="AK114" s="324"/>
      <c r="AL114" s="324"/>
      <c r="AM114" s="324"/>
      <c r="AN114" s="324"/>
      <c r="AO114" s="324"/>
      <c r="AP114" s="324"/>
    </row>
    <row r="115" spans="1:42" ht="14.25" customHeight="1" x14ac:dyDescent="0.3">
      <c r="A115" s="324"/>
      <c r="B115" s="324"/>
      <c r="C115" s="324"/>
      <c r="D115" s="324"/>
      <c r="E115" s="324"/>
      <c r="F115" s="324"/>
      <c r="G115" s="324"/>
      <c r="H115" s="324"/>
      <c r="I115" s="324"/>
      <c r="J115" s="324"/>
      <c r="K115" s="324"/>
      <c r="L115" s="324"/>
      <c r="M115" s="324"/>
      <c r="N115" s="324"/>
      <c r="O115" s="324"/>
      <c r="P115" s="324"/>
      <c r="Q115" s="324"/>
      <c r="R115" s="324"/>
      <c r="S115" s="324"/>
      <c r="T115" s="324"/>
      <c r="U115" s="324"/>
      <c r="V115" s="324"/>
      <c r="W115" s="324"/>
      <c r="X115" s="324"/>
      <c r="Y115" s="324"/>
      <c r="Z115" s="324"/>
      <c r="AA115" s="324"/>
      <c r="AB115" s="324"/>
      <c r="AC115" s="324"/>
      <c r="AD115" s="324"/>
      <c r="AE115" s="324"/>
      <c r="AF115" s="324"/>
      <c r="AG115" s="324"/>
      <c r="AH115" s="324"/>
      <c r="AI115" s="324"/>
      <c r="AJ115" s="324"/>
      <c r="AK115" s="324"/>
      <c r="AL115" s="324"/>
      <c r="AM115" s="324"/>
      <c r="AN115" s="324"/>
      <c r="AO115" s="324"/>
      <c r="AP115" s="324"/>
    </row>
    <row r="116" spans="1:42" ht="14.25" customHeight="1" x14ac:dyDescent="0.3">
      <c r="A116" s="324"/>
      <c r="B116" s="324"/>
      <c r="C116" s="324"/>
      <c r="D116" s="324"/>
      <c r="E116" s="324"/>
      <c r="F116" s="324"/>
      <c r="G116" s="324"/>
      <c r="H116" s="324"/>
      <c r="I116" s="324"/>
      <c r="J116" s="324"/>
      <c r="K116" s="324"/>
      <c r="L116" s="324"/>
      <c r="M116" s="324"/>
      <c r="N116" s="324"/>
      <c r="O116" s="324"/>
      <c r="P116" s="324"/>
      <c r="Q116" s="324"/>
      <c r="R116" s="324"/>
      <c r="S116" s="324"/>
      <c r="T116" s="324"/>
      <c r="U116" s="324"/>
      <c r="V116" s="324"/>
      <c r="W116" s="324"/>
      <c r="X116" s="324"/>
      <c r="Y116" s="324"/>
      <c r="Z116" s="324"/>
      <c r="AA116" s="324"/>
      <c r="AB116" s="324"/>
      <c r="AC116" s="324"/>
      <c r="AD116" s="324"/>
      <c r="AE116" s="324"/>
      <c r="AF116" s="324"/>
      <c r="AG116" s="324"/>
      <c r="AH116" s="324"/>
      <c r="AI116" s="324"/>
      <c r="AJ116" s="324"/>
      <c r="AK116" s="324"/>
      <c r="AL116" s="324"/>
      <c r="AM116" s="324"/>
      <c r="AN116" s="324"/>
      <c r="AO116" s="324"/>
      <c r="AP116" s="324"/>
    </row>
    <row r="117" spans="1:42" ht="14.25" customHeight="1" x14ac:dyDescent="0.3">
      <c r="A117" s="324"/>
      <c r="B117" s="324"/>
      <c r="C117" s="324"/>
      <c r="D117" s="324"/>
      <c r="E117" s="324"/>
      <c r="F117" s="324"/>
      <c r="G117" s="324"/>
      <c r="H117" s="324"/>
      <c r="I117" s="324"/>
      <c r="J117" s="324"/>
      <c r="K117" s="324"/>
      <c r="L117" s="324"/>
      <c r="M117" s="324"/>
      <c r="N117" s="324"/>
      <c r="O117" s="324"/>
      <c r="P117" s="324"/>
      <c r="Q117" s="324"/>
      <c r="R117" s="324"/>
      <c r="S117" s="324"/>
      <c r="T117" s="324"/>
      <c r="U117" s="324"/>
      <c r="V117" s="324"/>
      <c r="W117" s="324"/>
      <c r="X117" s="324"/>
      <c r="Y117" s="324"/>
      <c r="Z117" s="324"/>
      <c r="AA117" s="324"/>
      <c r="AB117" s="324"/>
      <c r="AC117" s="324"/>
      <c r="AD117" s="324"/>
      <c r="AE117" s="324"/>
      <c r="AF117" s="324"/>
      <c r="AG117" s="324"/>
      <c r="AH117" s="324"/>
      <c r="AI117" s="324"/>
      <c r="AJ117" s="324"/>
      <c r="AK117" s="324"/>
      <c r="AL117" s="324"/>
      <c r="AM117" s="324"/>
      <c r="AN117" s="324"/>
      <c r="AO117" s="324"/>
      <c r="AP117" s="324"/>
    </row>
    <row r="118" spans="1:42" ht="14.25" customHeight="1" x14ac:dyDescent="0.3">
      <c r="A118" s="324"/>
      <c r="B118" s="324"/>
      <c r="C118" s="324"/>
      <c r="D118" s="324"/>
      <c r="E118" s="324"/>
      <c r="F118" s="324"/>
      <c r="G118" s="324"/>
      <c r="H118" s="324"/>
      <c r="I118" s="324"/>
      <c r="J118" s="324"/>
      <c r="K118" s="324"/>
      <c r="L118" s="324"/>
      <c r="M118" s="324"/>
      <c r="N118" s="324"/>
      <c r="O118" s="324"/>
      <c r="P118" s="324"/>
      <c r="Q118" s="324"/>
      <c r="R118" s="324"/>
      <c r="S118" s="324"/>
      <c r="T118" s="324"/>
      <c r="U118" s="324"/>
      <c r="V118" s="324"/>
      <c r="W118" s="324"/>
      <c r="X118" s="324"/>
      <c r="Y118" s="324"/>
      <c r="Z118" s="324"/>
      <c r="AA118" s="324"/>
      <c r="AB118" s="324"/>
      <c r="AC118" s="324"/>
      <c r="AD118" s="324"/>
      <c r="AE118" s="324"/>
      <c r="AF118" s="324"/>
      <c r="AG118" s="324"/>
      <c r="AH118" s="324"/>
      <c r="AI118" s="324"/>
      <c r="AJ118" s="324"/>
      <c r="AK118" s="324"/>
      <c r="AL118" s="324"/>
      <c r="AM118" s="324"/>
      <c r="AN118" s="324"/>
      <c r="AO118" s="324"/>
      <c r="AP118" s="324"/>
    </row>
    <row r="119" spans="1:42" ht="14.25" customHeight="1" x14ac:dyDescent="0.3">
      <c r="A119" s="324"/>
      <c r="B119" s="324"/>
      <c r="C119" s="324"/>
      <c r="D119" s="324"/>
      <c r="E119" s="324"/>
      <c r="F119" s="324"/>
      <c r="G119" s="324"/>
      <c r="H119" s="324"/>
      <c r="I119" s="324"/>
      <c r="J119" s="324"/>
      <c r="K119" s="324"/>
      <c r="L119" s="324"/>
      <c r="M119" s="324"/>
      <c r="N119" s="324"/>
      <c r="O119" s="324"/>
      <c r="P119" s="324"/>
      <c r="Q119" s="324"/>
      <c r="R119" s="324"/>
      <c r="S119" s="324"/>
      <c r="T119" s="324"/>
      <c r="U119" s="324"/>
      <c r="V119" s="324"/>
      <c r="W119" s="324"/>
      <c r="X119" s="324"/>
      <c r="Y119" s="324"/>
      <c r="Z119" s="324"/>
      <c r="AA119" s="324"/>
      <c r="AB119" s="324"/>
      <c r="AC119" s="324"/>
      <c r="AD119" s="324"/>
      <c r="AE119" s="324"/>
      <c r="AF119" s="324"/>
      <c r="AG119" s="324"/>
      <c r="AH119" s="324"/>
      <c r="AI119" s="324"/>
      <c r="AJ119" s="324"/>
      <c r="AK119" s="324"/>
      <c r="AL119" s="324"/>
      <c r="AM119" s="324"/>
      <c r="AN119" s="324"/>
      <c r="AO119" s="324"/>
      <c r="AP119" s="324"/>
    </row>
    <row r="120" spans="1:42" ht="14.25" customHeight="1" x14ac:dyDescent="0.3">
      <c r="A120" s="324"/>
      <c r="B120" s="324"/>
      <c r="C120" s="324"/>
      <c r="D120" s="324"/>
      <c r="E120" s="324"/>
      <c r="F120" s="324"/>
      <c r="G120" s="324"/>
      <c r="H120" s="324"/>
      <c r="I120" s="324"/>
      <c r="J120" s="324"/>
      <c r="K120" s="324"/>
      <c r="L120" s="324"/>
      <c r="M120" s="324"/>
      <c r="N120" s="324"/>
      <c r="O120" s="324"/>
      <c r="P120" s="324"/>
      <c r="Q120" s="324"/>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324"/>
      <c r="AN120" s="324"/>
      <c r="AO120" s="324"/>
      <c r="AP120" s="324"/>
    </row>
    <row r="121" spans="1:42" ht="14.25" customHeight="1" x14ac:dyDescent="0.3">
      <c r="A121" s="324"/>
      <c r="B121" s="324"/>
      <c r="C121" s="324"/>
      <c r="D121" s="324"/>
      <c r="E121" s="324"/>
      <c r="F121" s="324"/>
      <c r="G121" s="324"/>
      <c r="H121" s="324"/>
      <c r="I121" s="324"/>
      <c r="J121" s="324"/>
      <c r="K121" s="324"/>
      <c r="L121" s="324"/>
      <c r="M121" s="324"/>
      <c r="N121" s="324"/>
      <c r="O121" s="324"/>
      <c r="P121" s="324"/>
      <c r="Q121" s="324"/>
      <c r="R121" s="324"/>
      <c r="S121" s="324"/>
      <c r="T121" s="324"/>
      <c r="U121" s="324"/>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row>
    <row r="122" spans="1:42" ht="14.25" customHeight="1" x14ac:dyDescent="0.3">
      <c r="A122" s="324"/>
      <c r="B122" s="324"/>
      <c r="C122" s="324"/>
      <c r="D122" s="324"/>
      <c r="E122" s="324"/>
      <c r="F122" s="324"/>
      <c r="G122" s="324"/>
      <c r="H122" s="324"/>
      <c r="I122" s="324"/>
      <c r="J122" s="324"/>
      <c r="K122" s="324"/>
      <c r="L122" s="324"/>
      <c r="M122" s="324"/>
      <c r="N122" s="324"/>
      <c r="O122" s="324"/>
      <c r="P122" s="324"/>
      <c r="Q122" s="324"/>
      <c r="R122" s="324"/>
      <c r="S122" s="324"/>
      <c r="T122" s="324"/>
      <c r="U122" s="324"/>
      <c r="V122" s="324"/>
      <c r="W122" s="324"/>
      <c r="X122" s="324"/>
      <c r="Y122" s="324"/>
      <c r="Z122" s="324"/>
      <c r="AA122" s="324"/>
      <c r="AB122" s="324"/>
      <c r="AC122" s="324"/>
      <c r="AD122" s="324"/>
      <c r="AE122" s="324"/>
      <c r="AF122" s="324"/>
      <c r="AG122" s="324"/>
      <c r="AH122" s="324"/>
      <c r="AI122" s="324"/>
      <c r="AJ122" s="324"/>
      <c r="AK122" s="324"/>
      <c r="AL122" s="324"/>
      <c r="AM122" s="324"/>
      <c r="AN122" s="324"/>
      <c r="AO122" s="324"/>
      <c r="AP122" s="324"/>
    </row>
    <row r="123" spans="1:42" ht="14.25" customHeight="1" x14ac:dyDescent="0.3">
      <c r="A123" s="324"/>
      <c r="B123" s="324"/>
      <c r="C123" s="324"/>
      <c r="D123" s="324"/>
      <c r="E123" s="324"/>
      <c r="F123" s="324"/>
      <c r="G123" s="324"/>
      <c r="H123" s="324"/>
      <c r="I123" s="324"/>
      <c r="J123" s="324"/>
      <c r="K123" s="324"/>
      <c r="L123" s="324"/>
      <c r="M123" s="324"/>
      <c r="N123" s="324"/>
      <c r="O123" s="324"/>
      <c r="P123" s="324"/>
      <c r="Q123" s="324"/>
      <c r="R123" s="324"/>
      <c r="S123" s="324"/>
      <c r="T123" s="324"/>
      <c r="U123" s="324"/>
      <c r="V123" s="324"/>
      <c r="W123" s="324"/>
      <c r="X123" s="324"/>
      <c r="Y123" s="324"/>
      <c r="Z123" s="324"/>
      <c r="AA123" s="324"/>
      <c r="AB123" s="324"/>
      <c r="AC123" s="324"/>
      <c r="AD123" s="324"/>
      <c r="AE123" s="324"/>
      <c r="AF123" s="324"/>
      <c r="AG123" s="324"/>
      <c r="AH123" s="324"/>
      <c r="AI123" s="324"/>
      <c r="AJ123" s="324"/>
      <c r="AK123" s="324"/>
      <c r="AL123" s="324"/>
      <c r="AM123" s="324"/>
      <c r="AN123" s="324"/>
      <c r="AO123" s="324"/>
      <c r="AP123" s="324"/>
    </row>
    <row r="124" spans="1:42" ht="14.25" customHeight="1" x14ac:dyDescent="0.3">
      <c r="A124" s="324"/>
      <c r="B124" s="324"/>
      <c r="C124" s="324"/>
      <c r="D124" s="324"/>
      <c r="E124" s="324"/>
      <c r="F124" s="324"/>
      <c r="G124" s="324"/>
      <c r="H124" s="324"/>
      <c r="I124" s="324"/>
      <c r="J124" s="324"/>
      <c r="K124" s="324"/>
      <c r="L124" s="324"/>
      <c r="M124" s="324"/>
      <c r="N124" s="324"/>
      <c r="O124" s="324"/>
      <c r="P124" s="324"/>
      <c r="Q124" s="324"/>
      <c r="R124" s="324"/>
      <c r="S124" s="324"/>
      <c r="T124" s="324"/>
      <c r="U124" s="324"/>
      <c r="V124" s="324"/>
      <c r="W124" s="324"/>
      <c r="X124" s="324"/>
      <c r="Y124" s="324"/>
      <c r="Z124" s="324"/>
      <c r="AA124" s="324"/>
      <c r="AB124" s="324"/>
      <c r="AC124" s="324"/>
      <c r="AD124" s="324"/>
      <c r="AE124" s="324"/>
      <c r="AF124" s="324"/>
      <c r="AG124" s="324"/>
      <c r="AH124" s="324"/>
      <c r="AI124" s="324"/>
      <c r="AJ124" s="324"/>
      <c r="AK124" s="324"/>
      <c r="AL124" s="324"/>
      <c r="AM124" s="324"/>
      <c r="AN124" s="324"/>
      <c r="AO124" s="324"/>
      <c r="AP124" s="324"/>
    </row>
    <row r="125" spans="1:42" ht="14.25" customHeight="1" x14ac:dyDescent="0.3">
      <c r="A125" s="324"/>
      <c r="B125" s="324"/>
      <c r="C125" s="324"/>
      <c r="D125" s="324"/>
      <c r="E125" s="324"/>
      <c r="F125" s="324"/>
      <c r="G125" s="324"/>
      <c r="H125" s="324"/>
      <c r="I125" s="324"/>
      <c r="J125" s="324"/>
      <c r="K125" s="324"/>
      <c r="L125" s="324"/>
      <c r="M125" s="324"/>
      <c r="N125" s="324"/>
      <c r="O125" s="324"/>
      <c r="P125" s="324"/>
      <c r="Q125" s="324"/>
      <c r="R125" s="324"/>
      <c r="S125" s="324"/>
      <c r="T125" s="324"/>
      <c r="U125" s="324"/>
      <c r="V125" s="324"/>
      <c r="W125" s="324"/>
      <c r="X125" s="324"/>
      <c r="Y125" s="324"/>
      <c r="Z125" s="324"/>
      <c r="AA125" s="324"/>
      <c r="AB125" s="324"/>
      <c r="AC125" s="324"/>
      <c r="AD125" s="324"/>
      <c r="AE125" s="324"/>
      <c r="AF125" s="324"/>
      <c r="AG125" s="324"/>
      <c r="AH125" s="324"/>
      <c r="AI125" s="324"/>
      <c r="AJ125" s="324"/>
      <c r="AK125" s="324"/>
      <c r="AL125" s="324"/>
      <c r="AM125" s="324"/>
      <c r="AN125" s="324"/>
      <c r="AO125" s="324"/>
      <c r="AP125" s="324"/>
    </row>
    <row r="126" spans="1:42" ht="14.25" customHeight="1" x14ac:dyDescent="0.3">
      <c r="A126" s="324"/>
      <c r="B126" s="324"/>
      <c r="C126" s="324"/>
      <c r="D126" s="324"/>
      <c r="E126" s="324"/>
      <c r="F126" s="324"/>
      <c r="G126" s="324"/>
      <c r="H126" s="324"/>
      <c r="I126" s="324"/>
      <c r="J126" s="324"/>
      <c r="K126" s="324"/>
      <c r="L126" s="324"/>
      <c r="M126" s="324"/>
      <c r="N126" s="324"/>
      <c r="O126" s="324"/>
      <c r="P126" s="324"/>
      <c r="Q126" s="324"/>
      <c r="R126" s="324"/>
      <c r="S126" s="324"/>
      <c r="T126" s="324"/>
      <c r="U126" s="324"/>
      <c r="V126" s="324"/>
      <c r="W126" s="324"/>
      <c r="X126" s="324"/>
      <c r="Y126" s="324"/>
      <c r="Z126" s="324"/>
      <c r="AA126" s="324"/>
      <c r="AB126" s="324"/>
      <c r="AC126" s="324"/>
      <c r="AD126" s="324"/>
      <c r="AE126" s="324"/>
      <c r="AF126" s="324"/>
      <c r="AG126" s="324"/>
      <c r="AH126" s="324"/>
      <c r="AI126" s="324"/>
      <c r="AJ126" s="324"/>
      <c r="AK126" s="324"/>
      <c r="AL126" s="324"/>
      <c r="AM126" s="324"/>
      <c r="AN126" s="324"/>
      <c r="AO126" s="324"/>
      <c r="AP126" s="324"/>
    </row>
    <row r="127" spans="1:42" ht="14.25" customHeight="1" x14ac:dyDescent="0.3">
      <c r="A127" s="324"/>
      <c r="B127" s="324"/>
      <c r="C127" s="324"/>
      <c r="D127" s="324"/>
      <c r="E127" s="324"/>
      <c r="F127" s="324"/>
      <c r="G127" s="324"/>
      <c r="H127" s="324"/>
      <c r="I127" s="324"/>
      <c r="J127" s="324"/>
      <c r="K127" s="324"/>
      <c r="L127" s="324"/>
      <c r="M127" s="324"/>
      <c r="N127" s="324"/>
      <c r="O127" s="324"/>
      <c r="P127" s="324"/>
      <c r="Q127" s="324"/>
      <c r="R127" s="324"/>
      <c r="S127" s="324"/>
      <c r="T127" s="324"/>
      <c r="U127" s="324"/>
      <c r="V127" s="324"/>
      <c r="W127" s="324"/>
      <c r="X127" s="324"/>
      <c r="Y127" s="324"/>
      <c r="Z127" s="324"/>
      <c r="AA127" s="324"/>
      <c r="AB127" s="324"/>
      <c r="AC127" s="324"/>
      <c r="AD127" s="324"/>
      <c r="AE127" s="324"/>
      <c r="AF127" s="324"/>
      <c r="AG127" s="324"/>
      <c r="AH127" s="324"/>
      <c r="AI127" s="324"/>
      <c r="AJ127" s="324"/>
      <c r="AK127" s="324"/>
      <c r="AL127" s="324"/>
      <c r="AM127" s="324"/>
      <c r="AN127" s="324"/>
      <c r="AO127" s="324"/>
      <c r="AP127" s="324"/>
    </row>
    <row r="128" spans="1:42" ht="14.25" customHeight="1" x14ac:dyDescent="0.3">
      <c r="A128" s="324"/>
      <c r="B128" s="324"/>
      <c r="C128" s="324"/>
      <c r="D128" s="324"/>
      <c r="E128" s="324"/>
      <c r="F128" s="324"/>
      <c r="G128" s="324"/>
      <c r="H128" s="324"/>
      <c r="I128" s="324"/>
      <c r="J128" s="324"/>
      <c r="K128" s="324"/>
      <c r="L128" s="324"/>
      <c r="M128" s="324"/>
      <c r="N128" s="324"/>
      <c r="O128" s="324"/>
      <c r="P128" s="324"/>
      <c r="Q128" s="324"/>
      <c r="R128" s="324"/>
      <c r="S128" s="324"/>
      <c r="T128" s="324"/>
      <c r="U128" s="324"/>
      <c r="V128" s="324"/>
      <c r="W128" s="324"/>
      <c r="X128" s="324"/>
      <c r="Y128" s="324"/>
      <c r="Z128" s="324"/>
      <c r="AA128" s="324"/>
      <c r="AB128" s="324"/>
      <c r="AC128" s="324"/>
      <c r="AD128" s="324"/>
      <c r="AE128" s="324"/>
      <c r="AF128" s="324"/>
      <c r="AG128" s="324"/>
      <c r="AH128" s="324"/>
      <c r="AI128" s="324"/>
      <c r="AJ128" s="324"/>
      <c r="AK128" s="324"/>
      <c r="AL128" s="324"/>
      <c r="AM128" s="324"/>
      <c r="AN128" s="324"/>
      <c r="AO128" s="324"/>
      <c r="AP128" s="324"/>
    </row>
    <row r="129" spans="1:42" ht="14.25" customHeight="1" x14ac:dyDescent="0.3">
      <c r="A129" s="324"/>
      <c r="B129" s="324"/>
      <c r="C129" s="324"/>
      <c r="D129" s="324"/>
      <c r="E129" s="324"/>
      <c r="F129" s="324"/>
      <c r="G129" s="324"/>
      <c r="H129" s="324"/>
      <c r="I129" s="324"/>
      <c r="J129" s="324"/>
      <c r="K129" s="324"/>
      <c r="L129" s="324"/>
      <c r="M129" s="324"/>
      <c r="N129" s="324"/>
      <c r="O129" s="324"/>
      <c r="P129" s="324"/>
      <c r="Q129" s="324"/>
      <c r="R129" s="324"/>
      <c r="S129" s="324"/>
      <c r="T129" s="324"/>
      <c r="U129" s="324"/>
      <c r="V129" s="324"/>
      <c r="W129" s="324"/>
      <c r="X129" s="324"/>
      <c r="Y129" s="324"/>
      <c r="Z129" s="324"/>
      <c r="AA129" s="324"/>
      <c r="AB129" s="324"/>
      <c r="AC129" s="324"/>
      <c r="AD129" s="324"/>
      <c r="AE129" s="324"/>
      <c r="AF129" s="324"/>
      <c r="AG129" s="324"/>
      <c r="AH129" s="324"/>
      <c r="AI129" s="324"/>
      <c r="AJ129" s="324"/>
      <c r="AK129" s="324"/>
      <c r="AL129" s="324"/>
      <c r="AM129" s="324"/>
      <c r="AN129" s="324"/>
      <c r="AO129" s="324"/>
      <c r="AP129" s="324"/>
    </row>
    <row r="130" spans="1:42" ht="14.25" customHeight="1" x14ac:dyDescent="0.3">
      <c r="A130" s="324"/>
      <c r="B130" s="324"/>
      <c r="C130" s="324"/>
      <c r="D130" s="324"/>
      <c r="E130" s="324"/>
      <c r="F130" s="324"/>
      <c r="G130" s="324"/>
      <c r="H130" s="324"/>
      <c r="I130" s="324"/>
      <c r="J130" s="324"/>
      <c r="K130" s="324"/>
      <c r="L130" s="324"/>
      <c r="M130" s="324"/>
      <c r="N130" s="324"/>
      <c r="O130" s="324"/>
      <c r="P130" s="324"/>
      <c r="Q130" s="324"/>
      <c r="R130" s="324"/>
      <c r="S130" s="324"/>
      <c r="T130" s="324"/>
      <c r="U130" s="324"/>
      <c r="V130" s="324"/>
      <c r="W130" s="324"/>
      <c r="X130" s="324"/>
      <c r="Y130" s="324"/>
      <c r="Z130" s="324"/>
      <c r="AA130" s="324"/>
      <c r="AB130" s="324"/>
      <c r="AC130" s="324"/>
      <c r="AD130" s="324"/>
      <c r="AE130" s="324"/>
      <c r="AF130" s="324"/>
      <c r="AG130" s="324"/>
      <c r="AH130" s="324"/>
      <c r="AI130" s="324"/>
      <c r="AJ130" s="324"/>
      <c r="AK130" s="324"/>
      <c r="AL130" s="324"/>
      <c r="AM130" s="324"/>
      <c r="AN130" s="324"/>
      <c r="AO130" s="324"/>
      <c r="AP130" s="324"/>
    </row>
    <row r="131" spans="1:42" ht="14.25" customHeight="1" x14ac:dyDescent="0.3">
      <c r="A131" s="324"/>
      <c r="B131" s="324"/>
      <c r="C131" s="324"/>
      <c r="D131" s="324"/>
      <c r="E131" s="324"/>
      <c r="F131" s="324"/>
      <c r="G131" s="324"/>
      <c r="H131" s="324"/>
      <c r="I131" s="324"/>
      <c r="J131" s="324"/>
      <c r="K131" s="324"/>
      <c r="L131" s="324"/>
      <c r="M131" s="324"/>
      <c r="N131" s="324"/>
      <c r="O131" s="324"/>
      <c r="P131" s="324"/>
      <c r="Q131" s="324"/>
      <c r="R131" s="324"/>
      <c r="S131" s="324"/>
      <c r="T131" s="324"/>
      <c r="U131" s="324"/>
      <c r="V131" s="324"/>
      <c r="W131" s="324"/>
      <c r="X131" s="324"/>
      <c r="Y131" s="324"/>
      <c r="Z131" s="324"/>
      <c r="AA131" s="324"/>
      <c r="AB131" s="324"/>
      <c r="AC131" s="324"/>
      <c r="AD131" s="324"/>
      <c r="AE131" s="324"/>
      <c r="AF131" s="324"/>
      <c r="AG131" s="324"/>
      <c r="AH131" s="324"/>
      <c r="AI131" s="324"/>
      <c r="AJ131" s="324"/>
      <c r="AK131" s="324"/>
      <c r="AL131" s="324"/>
      <c r="AM131" s="324"/>
      <c r="AN131" s="324"/>
      <c r="AO131" s="324"/>
      <c r="AP131" s="324"/>
    </row>
    <row r="132" spans="1:42" ht="14.25" customHeight="1" x14ac:dyDescent="0.3">
      <c r="A132" s="324"/>
      <c r="B132" s="324"/>
      <c r="C132" s="324"/>
      <c r="D132" s="324"/>
      <c r="E132" s="324"/>
      <c r="F132" s="324"/>
      <c r="G132" s="324"/>
      <c r="H132" s="324"/>
      <c r="I132" s="324"/>
      <c r="J132" s="324"/>
      <c r="K132" s="324"/>
      <c r="L132" s="324"/>
      <c r="M132" s="324"/>
      <c r="N132" s="324"/>
      <c r="O132" s="324"/>
      <c r="P132" s="324"/>
      <c r="Q132" s="324"/>
      <c r="R132" s="324"/>
      <c r="S132" s="324"/>
      <c r="T132" s="324"/>
      <c r="U132" s="324"/>
      <c r="V132" s="324"/>
      <c r="W132" s="324"/>
      <c r="X132" s="324"/>
      <c r="Y132" s="324"/>
      <c r="Z132" s="324"/>
      <c r="AA132" s="324"/>
      <c r="AB132" s="324"/>
      <c r="AC132" s="324"/>
      <c r="AD132" s="324"/>
      <c r="AE132" s="324"/>
      <c r="AF132" s="324"/>
      <c r="AG132" s="324"/>
      <c r="AH132" s="324"/>
      <c r="AI132" s="324"/>
      <c r="AJ132" s="324"/>
      <c r="AK132" s="324"/>
      <c r="AL132" s="324"/>
      <c r="AM132" s="324"/>
      <c r="AN132" s="324"/>
      <c r="AO132" s="324"/>
      <c r="AP132" s="324"/>
    </row>
    <row r="133" spans="1:42" ht="14.25" customHeight="1" x14ac:dyDescent="0.3">
      <c r="A133" s="324"/>
      <c r="B133" s="324"/>
      <c r="C133" s="324"/>
      <c r="D133" s="324"/>
      <c r="E133" s="324"/>
      <c r="F133" s="324"/>
      <c r="G133" s="324"/>
      <c r="H133" s="324"/>
      <c r="I133" s="324"/>
      <c r="J133" s="324"/>
      <c r="K133" s="324"/>
      <c r="L133" s="324"/>
      <c r="M133" s="324"/>
      <c r="N133" s="324"/>
      <c r="O133" s="324"/>
      <c r="P133" s="324"/>
      <c r="Q133" s="324"/>
      <c r="R133" s="324"/>
      <c r="S133" s="324"/>
      <c r="T133" s="324"/>
      <c r="U133" s="324"/>
      <c r="V133" s="324"/>
      <c r="W133" s="324"/>
      <c r="X133" s="324"/>
      <c r="Y133" s="324"/>
      <c r="Z133" s="324"/>
      <c r="AA133" s="324"/>
      <c r="AB133" s="324"/>
      <c r="AC133" s="324"/>
      <c r="AD133" s="324"/>
      <c r="AE133" s="324"/>
      <c r="AF133" s="324"/>
      <c r="AG133" s="324"/>
      <c r="AH133" s="324"/>
      <c r="AI133" s="324"/>
      <c r="AJ133" s="324"/>
      <c r="AK133" s="324"/>
      <c r="AL133" s="324"/>
      <c r="AM133" s="324"/>
      <c r="AN133" s="324"/>
      <c r="AO133" s="324"/>
      <c r="AP133" s="324"/>
    </row>
    <row r="134" spans="1:42" ht="14.25" customHeight="1" x14ac:dyDescent="0.3">
      <c r="A134" s="324"/>
      <c r="B134" s="324"/>
      <c r="C134" s="324"/>
      <c r="D134" s="324"/>
      <c r="E134" s="324"/>
      <c r="F134" s="324"/>
      <c r="G134" s="324"/>
      <c r="H134" s="324"/>
      <c r="I134" s="324"/>
      <c r="J134" s="324"/>
      <c r="K134" s="324"/>
      <c r="L134" s="324"/>
      <c r="M134" s="324"/>
      <c r="N134" s="324"/>
      <c r="O134" s="324"/>
      <c r="P134" s="324"/>
      <c r="Q134" s="324"/>
      <c r="R134" s="324"/>
      <c r="S134" s="324"/>
      <c r="T134" s="324"/>
      <c r="U134" s="324"/>
      <c r="V134" s="324"/>
      <c r="W134" s="324"/>
      <c r="X134" s="324"/>
      <c r="Y134" s="324"/>
      <c r="Z134" s="324"/>
      <c r="AA134" s="324"/>
      <c r="AB134" s="324"/>
      <c r="AC134" s="324"/>
      <c r="AD134" s="324"/>
      <c r="AE134" s="324"/>
      <c r="AF134" s="324"/>
      <c r="AG134" s="324"/>
      <c r="AH134" s="324"/>
      <c r="AI134" s="324"/>
      <c r="AJ134" s="324"/>
      <c r="AK134" s="324"/>
      <c r="AL134" s="324"/>
      <c r="AM134" s="324"/>
      <c r="AN134" s="324"/>
      <c r="AO134" s="324"/>
      <c r="AP134" s="324"/>
    </row>
    <row r="135" spans="1:42" ht="14.25" customHeight="1" x14ac:dyDescent="0.3">
      <c r="A135" s="324"/>
      <c r="B135" s="324"/>
      <c r="C135" s="324"/>
      <c r="D135" s="324"/>
      <c r="E135" s="324"/>
      <c r="F135" s="324"/>
      <c r="G135" s="324"/>
      <c r="H135" s="324"/>
      <c r="I135" s="324"/>
      <c r="J135" s="324"/>
      <c r="K135" s="324"/>
      <c r="L135" s="324"/>
      <c r="M135" s="324"/>
      <c r="N135" s="324"/>
      <c r="O135" s="324"/>
      <c r="P135" s="324"/>
      <c r="Q135" s="324"/>
      <c r="R135" s="324"/>
      <c r="S135" s="324"/>
      <c r="T135" s="324"/>
      <c r="U135" s="324"/>
      <c r="V135" s="324"/>
      <c r="W135" s="324"/>
      <c r="X135" s="324"/>
      <c r="Y135" s="324"/>
      <c r="Z135" s="324"/>
      <c r="AA135" s="324"/>
      <c r="AB135" s="324"/>
      <c r="AC135" s="324"/>
      <c r="AD135" s="324"/>
      <c r="AE135" s="324"/>
      <c r="AF135" s="324"/>
      <c r="AG135" s="324"/>
      <c r="AH135" s="324"/>
      <c r="AI135" s="324"/>
      <c r="AJ135" s="324"/>
      <c r="AK135" s="324"/>
      <c r="AL135" s="324"/>
      <c r="AM135" s="324"/>
      <c r="AN135" s="324"/>
      <c r="AO135" s="324"/>
      <c r="AP135" s="324"/>
    </row>
    <row r="136" spans="1:42" ht="14.25" customHeight="1" x14ac:dyDescent="0.3">
      <c r="A136" s="324"/>
      <c r="B136" s="324"/>
      <c r="C136" s="324"/>
      <c r="D136" s="324"/>
      <c r="E136" s="324"/>
      <c r="F136" s="324"/>
      <c r="G136" s="324"/>
      <c r="H136" s="324"/>
      <c r="I136" s="324"/>
      <c r="J136" s="324"/>
      <c r="K136" s="324"/>
      <c r="L136" s="324"/>
      <c r="M136" s="324"/>
      <c r="N136" s="324"/>
      <c r="O136" s="324"/>
      <c r="P136" s="324"/>
      <c r="Q136" s="324"/>
      <c r="R136" s="324"/>
      <c r="S136" s="324"/>
      <c r="T136" s="324"/>
      <c r="U136" s="324"/>
      <c r="V136" s="324"/>
      <c r="W136" s="324"/>
      <c r="X136" s="324"/>
      <c r="Y136" s="324"/>
      <c r="Z136" s="324"/>
      <c r="AA136" s="324"/>
      <c r="AB136" s="324"/>
      <c r="AC136" s="324"/>
      <c r="AD136" s="324"/>
      <c r="AE136" s="324"/>
      <c r="AF136" s="324"/>
      <c r="AG136" s="324"/>
      <c r="AH136" s="324"/>
      <c r="AI136" s="324"/>
      <c r="AJ136" s="324"/>
      <c r="AK136" s="324"/>
      <c r="AL136" s="324"/>
      <c r="AM136" s="324"/>
      <c r="AN136" s="324"/>
      <c r="AO136" s="324"/>
      <c r="AP136" s="324"/>
    </row>
    <row r="137" spans="1:42" ht="14.25" customHeight="1" x14ac:dyDescent="0.3">
      <c r="A137" s="324"/>
      <c r="B137" s="324"/>
      <c r="C137" s="324"/>
      <c r="D137" s="324"/>
      <c r="E137" s="324"/>
      <c r="F137" s="324"/>
      <c r="G137" s="324"/>
      <c r="H137" s="324"/>
      <c r="I137" s="324"/>
      <c r="J137" s="324"/>
      <c r="K137" s="324"/>
      <c r="L137" s="324"/>
      <c r="M137" s="324"/>
      <c r="N137" s="324"/>
      <c r="O137" s="324"/>
      <c r="P137" s="324"/>
      <c r="Q137" s="324"/>
      <c r="R137" s="324"/>
      <c r="S137" s="324"/>
      <c r="T137" s="324"/>
      <c r="U137" s="324"/>
      <c r="V137" s="324"/>
      <c r="W137" s="324"/>
      <c r="X137" s="324"/>
      <c r="Y137" s="324"/>
      <c r="Z137" s="324"/>
      <c r="AA137" s="324"/>
      <c r="AB137" s="324"/>
      <c r="AC137" s="324"/>
      <c r="AD137" s="324"/>
      <c r="AE137" s="324"/>
      <c r="AF137" s="324"/>
      <c r="AG137" s="324"/>
      <c r="AH137" s="324"/>
      <c r="AI137" s="324"/>
      <c r="AJ137" s="324"/>
      <c r="AK137" s="324"/>
      <c r="AL137" s="324"/>
      <c r="AM137" s="324"/>
      <c r="AN137" s="324"/>
      <c r="AO137" s="324"/>
      <c r="AP137" s="324"/>
    </row>
    <row r="138" spans="1:42" ht="14.25" customHeight="1" x14ac:dyDescent="0.3">
      <c r="A138" s="324"/>
      <c r="B138" s="324"/>
      <c r="C138" s="324"/>
      <c r="D138" s="324"/>
      <c r="E138" s="324"/>
      <c r="F138" s="324"/>
      <c r="G138" s="324"/>
      <c r="H138" s="324"/>
      <c r="I138" s="324"/>
      <c r="J138" s="324"/>
      <c r="K138" s="324"/>
      <c r="L138" s="324"/>
      <c r="M138" s="324"/>
      <c r="N138" s="324"/>
      <c r="O138" s="324"/>
      <c r="P138" s="324"/>
      <c r="Q138" s="324"/>
      <c r="R138" s="324"/>
      <c r="S138" s="324"/>
      <c r="T138" s="324"/>
      <c r="U138" s="324"/>
      <c r="V138" s="324"/>
      <c r="W138" s="324"/>
      <c r="X138" s="324"/>
      <c r="Y138" s="324"/>
      <c r="Z138" s="324"/>
      <c r="AA138" s="324"/>
      <c r="AB138" s="324"/>
      <c r="AC138" s="324"/>
      <c r="AD138" s="324"/>
      <c r="AE138" s="324"/>
      <c r="AF138" s="324"/>
      <c r="AG138" s="324"/>
      <c r="AH138" s="324"/>
      <c r="AI138" s="324"/>
      <c r="AJ138" s="324"/>
      <c r="AK138" s="324"/>
      <c r="AL138" s="324"/>
      <c r="AM138" s="324"/>
      <c r="AN138" s="324"/>
      <c r="AO138" s="324"/>
      <c r="AP138" s="324"/>
    </row>
    <row r="139" spans="1:42" ht="14.25" customHeight="1" x14ac:dyDescent="0.3">
      <c r="A139" s="324"/>
      <c r="B139" s="324"/>
      <c r="C139" s="324"/>
      <c r="D139" s="324"/>
      <c r="E139" s="324"/>
      <c r="F139" s="324"/>
      <c r="G139" s="324"/>
      <c r="H139" s="324"/>
      <c r="I139" s="324"/>
      <c r="J139" s="324"/>
      <c r="K139" s="324"/>
      <c r="L139" s="324"/>
      <c r="M139" s="324"/>
      <c r="N139" s="324"/>
      <c r="O139" s="324"/>
      <c r="P139" s="324"/>
      <c r="Q139" s="324"/>
      <c r="R139" s="324"/>
      <c r="S139" s="324"/>
      <c r="T139" s="324"/>
      <c r="U139" s="324"/>
      <c r="V139" s="324"/>
      <c r="W139" s="324"/>
      <c r="X139" s="324"/>
      <c r="Y139" s="324"/>
      <c r="Z139" s="324"/>
      <c r="AA139" s="324"/>
      <c r="AB139" s="324"/>
      <c r="AC139" s="324"/>
      <c r="AD139" s="324"/>
      <c r="AE139" s="324"/>
      <c r="AF139" s="324"/>
      <c r="AG139" s="324"/>
      <c r="AH139" s="324"/>
      <c r="AI139" s="324"/>
      <c r="AJ139" s="324"/>
      <c r="AK139" s="324"/>
      <c r="AL139" s="324"/>
      <c r="AM139" s="324"/>
      <c r="AN139" s="324"/>
      <c r="AO139" s="324"/>
      <c r="AP139" s="324"/>
    </row>
    <row r="140" spans="1:42" ht="14.25" customHeight="1" x14ac:dyDescent="0.3">
      <c r="A140" s="324"/>
      <c r="B140" s="324"/>
      <c r="C140" s="324"/>
      <c r="D140" s="324"/>
      <c r="E140" s="324"/>
      <c r="F140" s="324"/>
      <c r="G140" s="324"/>
      <c r="H140" s="324"/>
      <c r="I140" s="324"/>
      <c r="J140" s="324"/>
      <c r="K140" s="324"/>
      <c r="L140" s="324"/>
      <c r="M140" s="324"/>
      <c r="N140" s="324"/>
      <c r="O140" s="324"/>
      <c r="P140" s="324"/>
      <c r="Q140" s="324"/>
      <c r="R140" s="324"/>
      <c r="S140" s="324"/>
      <c r="T140" s="324"/>
      <c r="U140" s="324"/>
      <c r="V140" s="324"/>
      <c r="W140" s="324"/>
      <c r="X140" s="324"/>
      <c r="Y140" s="324"/>
      <c r="Z140" s="324"/>
      <c r="AA140" s="324"/>
      <c r="AB140" s="324"/>
      <c r="AC140" s="324"/>
      <c r="AD140" s="324"/>
      <c r="AE140" s="324"/>
      <c r="AF140" s="324"/>
      <c r="AG140" s="324"/>
      <c r="AH140" s="324"/>
      <c r="AI140" s="324"/>
      <c r="AJ140" s="324"/>
      <c r="AK140" s="324"/>
      <c r="AL140" s="324"/>
      <c r="AM140" s="324"/>
      <c r="AN140" s="324"/>
      <c r="AO140" s="324"/>
      <c r="AP140" s="324"/>
    </row>
    <row r="141" spans="1:42" ht="14.25" customHeight="1" x14ac:dyDescent="0.3">
      <c r="A141" s="324"/>
      <c r="B141" s="324"/>
      <c r="C141" s="324"/>
      <c r="D141" s="324"/>
      <c r="E141" s="324"/>
      <c r="F141" s="324"/>
      <c r="G141" s="324"/>
      <c r="H141" s="324"/>
      <c r="I141" s="324"/>
      <c r="J141" s="324"/>
      <c r="K141" s="324"/>
      <c r="L141" s="324"/>
      <c r="M141" s="324"/>
      <c r="N141" s="324"/>
      <c r="O141" s="324"/>
      <c r="P141" s="324"/>
      <c r="Q141" s="324"/>
      <c r="R141" s="324"/>
      <c r="S141" s="324"/>
      <c r="T141" s="324"/>
      <c r="U141" s="324"/>
      <c r="V141" s="324"/>
      <c r="W141" s="324"/>
      <c r="X141" s="324"/>
      <c r="Y141" s="324"/>
      <c r="Z141" s="324"/>
      <c r="AA141" s="324"/>
      <c r="AB141" s="324"/>
      <c r="AC141" s="324"/>
      <c r="AD141" s="324"/>
      <c r="AE141" s="324"/>
      <c r="AF141" s="324"/>
      <c r="AG141" s="324"/>
      <c r="AH141" s="324"/>
      <c r="AI141" s="324"/>
      <c r="AJ141" s="324"/>
      <c r="AK141" s="324"/>
      <c r="AL141" s="324"/>
      <c r="AM141" s="324"/>
      <c r="AN141" s="324"/>
      <c r="AO141" s="324"/>
      <c r="AP141" s="324"/>
    </row>
    <row r="142" spans="1:42" ht="14.25" customHeight="1" x14ac:dyDescent="0.3">
      <c r="A142" s="324"/>
      <c r="B142" s="324"/>
      <c r="C142" s="324"/>
      <c r="D142" s="324"/>
      <c r="E142" s="324"/>
      <c r="F142" s="324"/>
      <c r="G142" s="324"/>
      <c r="H142" s="324"/>
      <c r="I142" s="324"/>
      <c r="J142" s="324"/>
      <c r="K142" s="324"/>
      <c r="L142" s="324"/>
      <c r="M142" s="324"/>
      <c r="N142" s="324"/>
      <c r="O142" s="324"/>
      <c r="P142" s="324"/>
      <c r="Q142" s="324"/>
      <c r="R142" s="324"/>
      <c r="S142" s="324"/>
      <c r="T142" s="324"/>
      <c r="U142" s="324"/>
      <c r="V142" s="324"/>
      <c r="W142" s="324"/>
      <c r="X142" s="324"/>
      <c r="Y142" s="324"/>
      <c r="Z142" s="324"/>
      <c r="AA142" s="324"/>
      <c r="AB142" s="324"/>
      <c r="AC142" s="324"/>
      <c r="AD142" s="324"/>
      <c r="AE142" s="324"/>
      <c r="AF142" s="324"/>
      <c r="AG142" s="324"/>
      <c r="AH142" s="324"/>
      <c r="AI142" s="324"/>
      <c r="AJ142" s="324"/>
      <c r="AK142" s="324"/>
      <c r="AL142" s="324"/>
      <c r="AM142" s="324"/>
      <c r="AN142" s="324"/>
      <c r="AO142" s="324"/>
      <c r="AP142" s="324"/>
    </row>
    <row r="143" spans="1:42" ht="14.25" customHeight="1" x14ac:dyDescent="0.3">
      <c r="A143" s="324"/>
      <c r="B143" s="324"/>
      <c r="C143" s="324"/>
      <c r="D143" s="324"/>
      <c r="E143" s="324"/>
      <c r="F143" s="324"/>
      <c r="G143" s="324"/>
      <c r="H143" s="324"/>
      <c r="I143" s="324"/>
      <c r="J143" s="324"/>
      <c r="K143" s="324"/>
      <c r="L143" s="324"/>
      <c r="M143" s="324"/>
      <c r="N143" s="324"/>
      <c r="O143" s="324"/>
      <c r="P143" s="324"/>
      <c r="Q143" s="324"/>
      <c r="R143" s="324"/>
      <c r="S143" s="324"/>
      <c r="T143" s="324"/>
      <c r="U143" s="324"/>
      <c r="V143" s="324"/>
      <c r="W143" s="324"/>
      <c r="X143" s="324"/>
      <c r="Y143" s="324"/>
      <c r="Z143" s="324"/>
      <c r="AA143" s="324"/>
      <c r="AB143" s="324"/>
      <c r="AC143" s="324"/>
      <c r="AD143" s="324"/>
      <c r="AE143" s="324"/>
      <c r="AF143" s="324"/>
      <c r="AG143" s="324"/>
      <c r="AH143" s="324"/>
      <c r="AI143" s="324"/>
      <c r="AJ143" s="324"/>
      <c r="AK143" s="324"/>
      <c r="AL143" s="324"/>
      <c r="AM143" s="324"/>
      <c r="AN143" s="324"/>
      <c r="AO143" s="324"/>
      <c r="AP143" s="324"/>
    </row>
    <row r="144" spans="1:42" ht="14.25" customHeight="1" x14ac:dyDescent="0.3">
      <c r="A144" s="324"/>
      <c r="B144" s="324"/>
      <c r="C144" s="324"/>
      <c r="D144" s="324"/>
      <c r="E144" s="324"/>
      <c r="F144" s="324"/>
      <c r="G144" s="324"/>
      <c r="H144" s="324"/>
      <c r="I144" s="324"/>
      <c r="J144" s="324"/>
      <c r="K144" s="324"/>
      <c r="L144" s="324"/>
      <c r="M144" s="324"/>
      <c r="N144" s="324"/>
      <c r="O144" s="324"/>
      <c r="P144" s="324"/>
      <c r="Q144" s="324"/>
      <c r="R144" s="324"/>
      <c r="S144" s="324"/>
      <c r="T144" s="324"/>
      <c r="U144" s="324"/>
      <c r="V144" s="324"/>
      <c r="W144" s="324"/>
      <c r="X144" s="324"/>
      <c r="Y144" s="324"/>
      <c r="Z144" s="324"/>
      <c r="AA144" s="324"/>
      <c r="AB144" s="324"/>
      <c r="AC144" s="324"/>
      <c r="AD144" s="324"/>
      <c r="AE144" s="324"/>
      <c r="AF144" s="324"/>
      <c r="AG144" s="324"/>
      <c r="AH144" s="324"/>
      <c r="AI144" s="324"/>
      <c r="AJ144" s="324"/>
      <c r="AK144" s="324"/>
      <c r="AL144" s="324"/>
      <c r="AM144" s="324"/>
      <c r="AN144" s="324"/>
      <c r="AO144" s="324"/>
      <c r="AP144" s="324"/>
    </row>
    <row r="145" spans="1:42" ht="14.25" customHeight="1" x14ac:dyDescent="0.3">
      <c r="A145" s="324"/>
      <c r="B145" s="324"/>
      <c r="C145" s="324"/>
      <c r="D145" s="324"/>
      <c r="E145" s="324"/>
      <c r="F145" s="324"/>
      <c r="G145" s="324"/>
      <c r="H145" s="324"/>
      <c r="I145" s="324"/>
      <c r="J145" s="324"/>
      <c r="K145" s="324"/>
      <c r="L145" s="324"/>
      <c r="M145" s="324"/>
      <c r="N145" s="324"/>
      <c r="O145" s="324"/>
      <c r="P145" s="324"/>
      <c r="Q145" s="324"/>
      <c r="R145" s="324"/>
      <c r="S145" s="324"/>
      <c r="T145" s="324"/>
      <c r="U145" s="324"/>
      <c r="V145" s="324"/>
      <c r="W145" s="324"/>
      <c r="X145" s="324"/>
      <c r="Y145" s="324"/>
      <c r="Z145" s="324"/>
      <c r="AA145" s="324"/>
      <c r="AB145" s="324"/>
      <c r="AC145" s="324"/>
      <c r="AD145" s="324"/>
      <c r="AE145" s="324"/>
      <c r="AF145" s="324"/>
      <c r="AG145" s="324"/>
      <c r="AH145" s="324"/>
      <c r="AI145" s="324"/>
      <c r="AJ145" s="324"/>
      <c r="AK145" s="324"/>
      <c r="AL145" s="324"/>
      <c r="AM145" s="324"/>
      <c r="AN145" s="324"/>
      <c r="AO145" s="324"/>
      <c r="AP145" s="324"/>
    </row>
    <row r="146" spans="1:42" ht="14.25" customHeight="1" x14ac:dyDescent="0.3">
      <c r="A146" s="324"/>
      <c r="B146" s="324"/>
      <c r="C146" s="324"/>
      <c r="D146" s="324"/>
      <c r="E146" s="324"/>
      <c r="F146" s="324"/>
      <c r="G146" s="324"/>
      <c r="H146" s="324"/>
      <c r="I146" s="324"/>
      <c r="J146" s="324"/>
      <c r="K146" s="324"/>
      <c r="L146" s="324"/>
      <c r="M146" s="324"/>
      <c r="N146" s="324"/>
      <c r="O146" s="324"/>
      <c r="P146" s="324"/>
      <c r="Q146" s="324"/>
      <c r="R146" s="324"/>
      <c r="S146" s="324"/>
      <c r="T146" s="324"/>
      <c r="U146" s="324"/>
      <c r="V146" s="324"/>
      <c r="W146" s="324"/>
      <c r="X146" s="324"/>
      <c r="Y146" s="324"/>
      <c r="Z146" s="324"/>
      <c r="AA146" s="324"/>
      <c r="AB146" s="324"/>
      <c r="AC146" s="324"/>
      <c r="AD146" s="324"/>
      <c r="AE146" s="324"/>
      <c r="AF146" s="324"/>
      <c r="AG146" s="324"/>
      <c r="AH146" s="324"/>
      <c r="AI146" s="324"/>
      <c r="AJ146" s="324"/>
      <c r="AK146" s="324"/>
      <c r="AL146" s="324"/>
      <c r="AM146" s="324"/>
      <c r="AN146" s="324"/>
      <c r="AO146" s="324"/>
      <c r="AP146" s="324"/>
    </row>
    <row r="147" spans="1:42" ht="14.25" customHeight="1" x14ac:dyDescent="0.3">
      <c r="A147" s="324"/>
      <c r="B147" s="324"/>
      <c r="C147" s="324"/>
      <c r="D147" s="324"/>
      <c r="E147" s="324"/>
      <c r="F147" s="324"/>
      <c r="G147" s="324"/>
      <c r="H147" s="324"/>
      <c r="I147" s="324"/>
      <c r="J147" s="324"/>
      <c r="K147" s="324"/>
      <c r="L147" s="324"/>
      <c r="M147" s="324"/>
      <c r="N147" s="324"/>
      <c r="O147" s="324"/>
      <c r="P147" s="324"/>
      <c r="Q147" s="324"/>
      <c r="R147" s="324"/>
      <c r="S147" s="324"/>
      <c r="T147" s="324"/>
      <c r="U147" s="324"/>
      <c r="V147" s="324"/>
      <c r="W147" s="324"/>
      <c r="X147" s="324"/>
      <c r="Y147" s="324"/>
      <c r="Z147" s="324"/>
      <c r="AA147" s="324"/>
      <c r="AB147" s="324"/>
      <c r="AC147" s="324"/>
      <c r="AD147" s="324"/>
      <c r="AE147" s="324"/>
      <c r="AF147" s="324"/>
      <c r="AG147" s="324"/>
      <c r="AH147" s="324"/>
      <c r="AI147" s="324"/>
      <c r="AJ147" s="324"/>
      <c r="AK147" s="324"/>
      <c r="AL147" s="324"/>
      <c r="AM147" s="324"/>
      <c r="AN147" s="324"/>
      <c r="AO147" s="324"/>
      <c r="AP147" s="324"/>
    </row>
    <row r="148" spans="1:42" ht="14.25" customHeight="1" x14ac:dyDescent="0.3">
      <c r="A148" s="324"/>
      <c r="B148" s="324"/>
      <c r="C148" s="324"/>
      <c r="D148" s="324"/>
      <c r="E148" s="324"/>
      <c r="F148" s="324"/>
      <c r="G148" s="324"/>
      <c r="H148" s="324"/>
      <c r="I148" s="324"/>
      <c r="J148" s="324"/>
      <c r="K148" s="324"/>
      <c r="L148" s="324"/>
      <c r="M148" s="324"/>
      <c r="N148" s="324"/>
      <c r="O148" s="324"/>
      <c r="P148" s="324"/>
      <c r="Q148" s="324"/>
      <c r="R148" s="324"/>
      <c r="S148" s="324"/>
      <c r="T148" s="324"/>
      <c r="U148" s="324"/>
      <c r="V148" s="324"/>
      <c r="W148" s="324"/>
      <c r="X148" s="324"/>
      <c r="Y148" s="324"/>
      <c r="Z148" s="324"/>
      <c r="AA148" s="324"/>
      <c r="AB148" s="324"/>
      <c r="AC148" s="324"/>
      <c r="AD148" s="324"/>
      <c r="AE148" s="324"/>
      <c r="AF148" s="324"/>
      <c r="AG148" s="324"/>
      <c r="AH148" s="324"/>
      <c r="AI148" s="324"/>
      <c r="AJ148" s="324"/>
      <c r="AK148" s="324"/>
      <c r="AL148" s="324"/>
      <c r="AM148" s="324"/>
      <c r="AN148" s="324"/>
      <c r="AO148" s="324"/>
      <c r="AP148" s="324"/>
    </row>
    <row r="149" spans="1:42" ht="14.25" customHeight="1" x14ac:dyDescent="0.3">
      <c r="A149" s="324"/>
      <c r="B149" s="324"/>
      <c r="C149" s="324"/>
      <c r="D149" s="324"/>
      <c r="E149" s="324"/>
      <c r="F149" s="324"/>
      <c r="G149" s="324"/>
      <c r="H149" s="324"/>
      <c r="I149" s="324"/>
      <c r="J149" s="324"/>
      <c r="K149" s="324"/>
      <c r="L149" s="324"/>
      <c r="M149" s="324"/>
      <c r="N149" s="324"/>
      <c r="O149" s="324"/>
      <c r="P149" s="324"/>
      <c r="Q149" s="324"/>
      <c r="R149" s="324"/>
      <c r="S149" s="324"/>
      <c r="T149" s="324"/>
      <c r="U149" s="324"/>
      <c r="V149" s="324"/>
      <c r="W149" s="324"/>
      <c r="X149" s="324"/>
      <c r="Y149" s="324"/>
      <c r="Z149" s="324"/>
      <c r="AA149" s="324"/>
      <c r="AB149" s="324"/>
      <c r="AC149" s="324"/>
      <c r="AD149" s="324"/>
      <c r="AE149" s="324"/>
      <c r="AF149" s="324"/>
      <c r="AG149" s="324"/>
      <c r="AH149" s="324"/>
      <c r="AI149" s="324"/>
      <c r="AJ149" s="324"/>
      <c r="AK149" s="324"/>
      <c r="AL149" s="324"/>
      <c r="AM149" s="324"/>
      <c r="AN149" s="324"/>
      <c r="AO149" s="324"/>
      <c r="AP149" s="324"/>
    </row>
    <row r="150" spans="1:42" ht="14.25" customHeight="1" x14ac:dyDescent="0.3">
      <c r="A150" s="324"/>
      <c r="B150" s="324"/>
      <c r="C150" s="324"/>
      <c r="D150" s="324"/>
      <c r="E150" s="324"/>
      <c r="F150" s="324"/>
      <c r="G150" s="324"/>
      <c r="H150" s="324"/>
      <c r="I150" s="324"/>
      <c r="J150" s="324"/>
      <c r="K150" s="324"/>
      <c r="L150" s="324"/>
      <c r="M150" s="324"/>
      <c r="N150" s="324"/>
      <c r="O150" s="324"/>
      <c r="P150" s="324"/>
      <c r="Q150" s="324"/>
      <c r="R150" s="324"/>
      <c r="S150" s="324"/>
      <c r="T150" s="324"/>
      <c r="U150" s="324"/>
      <c r="V150" s="324"/>
      <c r="W150" s="324"/>
      <c r="X150" s="324"/>
      <c r="Y150" s="324"/>
      <c r="Z150" s="324"/>
      <c r="AA150" s="324"/>
      <c r="AB150" s="324"/>
      <c r="AC150" s="324"/>
      <c r="AD150" s="324"/>
      <c r="AE150" s="324"/>
      <c r="AF150" s="324"/>
      <c r="AG150" s="324"/>
      <c r="AH150" s="324"/>
      <c r="AI150" s="324"/>
      <c r="AJ150" s="324"/>
      <c r="AK150" s="324"/>
      <c r="AL150" s="324"/>
      <c r="AM150" s="324"/>
      <c r="AN150" s="324"/>
      <c r="AO150" s="324"/>
      <c r="AP150" s="324"/>
    </row>
    <row r="151" spans="1:42" ht="14.25" customHeight="1" x14ac:dyDescent="0.3">
      <c r="A151" s="324"/>
      <c r="B151" s="324"/>
      <c r="C151" s="324"/>
      <c r="D151" s="324"/>
      <c r="E151" s="324"/>
      <c r="F151" s="324"/>
      <c r="G151" s="324"/>
      <c r="H151" s="324"/>
      <c r="I151" s="324"/>
      <c r="J151" s="324"/>
      <c r="K151" s="324"/>
      <c r="L151" s="324"/>
      <c r="M151" s="324"/>
      <c r="N151" s="324"/>
      <c r="O151" s="324"/>
      <c r="P151" s="324"/>
      <c r="Q151" s="324"/>
      <c r="R151" s="324"/>
      <c r="S151" s="324"/>
      <c r="T151" s="324"/>
      <c r="U151" s="324"/>
      <c r="V151" s="324"/>
      <c r="W151" s="324"/>
      <c r="X151" s="324"/>
      <c r="Y151" s="324"/>
      <c r="Z151" s="324"/>
      <c r="AA151" s="324"/>
      <c r="AB151" s="324"/>
      <c r="AC151" s="324"/>
      <c r="AD151" s="324"/>
      <c r="AE151" s="324"/>
      <c r="AF151" s="324"/>
      <c r="AG151" s="324"/>
      <c r="AH151" s="324"/>
      <c r="AI151" s="324"/>
      <c r="AJ151" s="324"/>
      <c r="AK151" s="324"/>
      <c r="AL151" s="324"/>
      <c r="AM151" s="324"/>
      <c r="AN151" s="324"/>
      <c r="AO151" s="324"/>
      <c r="AP151" s="324"/>
    </row>
    <row r="152" spans="1:42" ht="14.25" customHeight="1" x14ac:dyDescent="0.3">
      <c r="A152" s="324"/>
      <c r="B152" s="324"/>
      <c r="C152" s="324"/>
      <c r="D152" s="324"/>
      <c r="E152" s="324"/>
      <c r="F152" s="324"/>
      <c r="G152" s="324"/>
      <c r="H152" s="324"/>
      <c r="I152" s="324"/>
      <c r="J152" s="324"/>
      <c r="K152" s="324"/>
      <c r="L152" s="324"/>
      <c r="M152" s="324"/>
      <c r="N152" s="324"/>
      <c r="O152" s="324"/>
      <c r="P152" s="324"/>
      <c r="Q152" s="324"/>
      <c r="R152" s="324"/>
      <c r="S152" s="324"/>
      <c r="T152" s="324"/>
      <c r="U152" s="324"/>
      <c r="V152" s="324"/>
      <c r="W152" s="324"/>
      <c r="X152" s="324"/>
      <c r="Y152" s="324"/>
      <c r="Z152" s="324"/>
      <c r="AA152" s="324"/>
      <c r="AB152" s="324"/>
      <c r="AC152" s="324"/>
      <c r="AD152" s="324"/>
      <c r="AE152" s="324"/>
      <c r="AF152" s="324"/>
      <c r="AG152" s="324"/>
      <c r="AH152" s="324"/>
      <c r="AI152" s="324"/>
      <c r="AJ152" s="324"/>
      <c r="AK152" s="324"/>
      <c r="AL152" s="324"/>
      <c r="AM152" s="324"/>
      <c r="AN152" s="324"/>
      <c r="AO152" s="324"/>
      <c r="AP152" s="324"/>
    </row>
    <row r="153" spans="1:42" ht="14.25" customHeight="1" x14ac:dyDescent="0.3">
      <c r="A153" s="324"/>
      <c r="B153" s="324"/>
      <c r="C153" s="324"/>
      <c r="D153" s="324"/>
      <c r="E153" s="324"/>
      <c r="F153" s="324"/>
      <c r="G153" s="324"/>
      <c r="H153" s="324"/>
      <c r="I153" s="324"/>
      <c r="J153" s="324"/>
      <c r="K153" s="324"/>
      <c r="L153" s="324"/>
      <c r="M153" s="324"/>
      <c r="N153" s="324"/>
      <c r="O153" s="324"/>
      <c r="P153" s="324"/>
      <c r="Q153" s="324"/>
      <c r="R153" s="324"/>
      <c r="S153" s="324"/>
      <c r="T153" s="324"/>
      <c r="U153" s="324"/>
      <c r="V153" s="324"/>
      <c r="W153" s="324"/>
      <c r="X153" s="324"/>
      <c r="Y153" s="324"/>
      <c r="Z153" s="324"/>
      <c r="AA153" s="324"/>
      <c r="AB153" s="324"/>
      <c r="AC153" s="324"/>
      <c r="AD153" s="324"/>
      <c r="AE153" s="324"/>
      <c r="AF153" s="324"/>
      <c r="AG153" s="324"/>
      <c r="AH153" s="324"/>
      <c r="AI153" s="324"/>
      <c r="AJ153" s="324"/>
      <c r="AK153" s="324"/>
      <c r="AL153" s="324"/>
      <c r="AM153" s="324"/>
      <c r="AN153" s="324"/>
      <c r="AO153" s="324"/>
      <c r="AP153" s="324"/>
    </row>
    <row r="154" spans="1:42" ht="14.25" customHeight="1" x14ac:dyDescent="0.3">
      <c r="A154" s="324"/>
      <c r="B154" s="324"/>
      <c r="C154" s="324"/>
      <c r="D154" s="324"/>
      <c r="E154" s="324"/>
      <c r="F154" s="324"/>
      <c r="G154" s="324"/>
      <c r="H154" s="324"/>
      <c r="I154" s="324"/>
      <c r="J154" s="324"/>
      <c r="K154" s="324"/>
      <c r="L154" s="324"/>
      <c r="M154" s="324"/>
      <c r="N154" s="324"/>
      <c r="O154" s="324"/>
      <c r="P154" s="324"/>
      <c r="Q154" s="324"/>
      <c r="R154" s="324"/>
      <c r="S154" s="324"/>
      <c r="T154" s="324"/>
      <c r="U154" s="324"/>
      <c r="V154" s="324"/>
      <c r="W154" s="324"/>
      <c r="X154" s="324"/>
      <c r="Y154" s="324"/>
      <c r="Z154" s="324"/>
      <c r="AA154" s="324"/>
      <c r="AB154" s="324"/>
      <c r="AC154" s="324"/>
      <c r="AD154" s="324"/>
      <c r="AE154" s="324"/>
      <c r="AF154" s="324"/>
      <c r="AG154" s="324"/>
      <c r="AH154" s="324"/>
      <c r="AI154" s="324"/>
      <c r="AJ154" s="324"/>
      <c r="AK154" s="324"/>
      <c r="AL154" s="324"/>
      <c r="AM154" s="324"/>
      <c r="AN154" s="324"/>
      <c r="AO154" s="324"/>
      <c r="AP154" s="324"/>
    </row>
    <row r="155" spans="1:42" ht="14.25" customHeight="1" x14ac:dyDescent="0.3">
      <c r="A155" s="324"/>
      <c r="B155" s="324"/>
      <c r="C155" s="324"/>
      <c r="D155" s="324"/>
      <c r="E155" s="324"/>
      <c r="F155" s="324"/>
      <c r="G155" s="324"/>
      <c r="H155" s="324"/>
      <c r="I155" s="324"/>
      <c r="J155" s="324"/>
      <c r="K155" s="324"/>
      <c r="L155" s="324"/>
      <c r="M155" s="324"/>
      <c r="N155" s="324"/>
      <c r="O155" s="324"/>
      <c r="P155" s="324"/>
      <c r="Q155" s="324"/>
      <c r="R155" s="324"/>
      <c r="S155" s="324"/>
      <c r="T155" s="324"/>
      <c r="U155" s="324"/>
      <c r="V155" s="324"/>
      <c r="W155" s="324"/>
      <c r="X155" s="324"/>
      <c r="Y155" s="324"/>
      <c r="Z155" s="324"/>
      <c r="AA155" s="324"/>
      <c r="AB155" s="324"/>
      <c r="AC155" s="324"/>
      <c r="AD155" s="324"/>
      <c r="AE155" s="324"/>
      <c r="AF155" s="324"/>
      <c r="AG155" s="324"/>
      <c r="AH155" s="324"/>
      <c r="AI155" s="324"/>
      <c r="AJ155" s="324"/>
      <c r="AK155" s="324"/>
      <c r="AL155" s="324"/>
      <c r="AM155" s="324"/>
      <c r="AN155" s="324"/>
      <c r="AO155" s="324"/>
      <c r="AP155" s="324"/>
    </row>
    <row r="156" spans="1:42" ht="14.25" customHeight="1" x14ac:dyDescent="0.3">
      <c r="A156" s="324"/>
      <c r="B156" s="324"/>
      <c r="C156" s="324"/>
      <c r="D156" s="324"/>
      <c r="E156" s="324"/>
      <c r="F156" s="324"/>
      <c r="G156" s="324"/>
      <c r="H156" s="324"/>
      <c r="I156" s="324"/>
      <c r="J156" s="324"/>
      <c r="K156" s="324"/>
      <c r="L156" s="324"/>
      <c r="M156" s="324"/>
      <c r="N156" s="324"/>
      <c r="O156" s="324"/>
      <c r="P156" s="324"/>
      <c r="Q156" s="324"/>
      <c r="R156" s="324"/>
      <c r="S156" s="324"/>
      <c r="T156" s="324"/>
      <c r="U156" s="324"/>
      <c r="V156" s="324"/>
      <c r="W156" s="324"/>
      <c r="X156" s="324"/>
      <c r="Y156" s="324"/>
      <c r="Z156" s="324"/>
      <c r="AA156" s="324"/>
      <c r="AB156" s="324"/>
      <c r="AC156" s="324"/>
      <c r="AD156" s="324"/>
      <c r="AE156" s="324"/>
      <c r="AF156" s="324"/>
      <c r="AG156" s="324"/>
      <c r="AH156" s="324"/>
      <c r="AI156" s="324"/>
      <c r="AJ156" s="324"/>
      <c r="AK156" s="324"/>
      <c r="AL156" s="324"/>
      <c r="AM156" s="324"/>
      <c r="AN156" s="324"/>
      <c r="AO156" s="324"/>
      <c r="AP156" s="324"/>
    </row>
    <row r="157" spans="1:42" ht="14.25" customHeight="1" x14ac:dyDescent="0.3">
      <c r="A157" s="324"/>
      <c r="B157" s="324"/>
      <c r="C157" s="324"/>
      <c r="D157" s="324"/>
      <c r="E157" s="324"/>
      <c r="F157" s="324"/>
      <c r="G157" s="324"/>
      <c r="H157" s="324"/>
      <c r="I157" s="324"/>
      <c r="J157" s="324"/>
      <c r="K157" s="324"/>
      <c r="L157" s="324"/>
      <c r="M157" s="324"/>
      <c r="N157" s="324"/>
      <c r="O157" s="324"/>
      <c r="P157" s="324"/>
      <c r="Q157" s="324"/>
      <c r="R157" s="324"/>
      <c r="S157" s="324"/>
      <c r="T157" s="324"/>
      <c r="U157" s="324"/>
      <c r="V157" s="324"/>
      <c r="W157" s="324"/>
      <c r="X157" s="324"/>
      <c r="Y157" s="324"/>
      <c r="Z157" s="324"/>
      <c r="AA157" s="324"/>
      <c r="AB157" s="324"/>
      <c r="AC157" s="324"/>
      <c r="AD157" s="324"/>
      <c r="AE157" s="324"/>
      <c r="AF157" s="324"/>
      <c r="AG157" s="324"/>
      <c r="AH157" s="324"/>
      <c r="AI157" s="324"/>
      <c r="AJ157" s="324"/>
      <c r="AK157" s="324"/>
      <c r="AL157" s="324"/>
      <c r="AM157" s="324"/>
      <c r="AN157" s="324"/>
      <c r="AO157" s="324"/>
      <c r="AP157" s="324"/>
    </row>
    <row r="158" spans="1:42" ht="14.25" customHeight="1" x14ac:dyDescent="0.3">
      <c r="A158" s="324"/>
      <c r="B158" s="324"/>
      <c r="C158" s="324"/>
      <c r="D158" s="324"/>
      <c r="E158" s="324"/>
      <c r="F158" s="324"/>
      <c r="G158" s="324"/>
      <c r="H158" s="324"/>
      <c r="I158" s="324"/>
      <c r="J158" s="324"/>
      <c r="K158" s="324"/>
      <c r="L158" s="324"/>
      <c r="M158" s="324"/>
      <c r="N158" s="324"/>
      <c r="O158" s="324"/>
      <c r="P158" s="324"/>
      <c r="Q158" s="324"/>
      <c r="R158" s="324"/>
      <c r="S158" s="324"/>
      <c r="T158" s="324"/>
      <c r="U158" s="324"/>
      <c r="V158" s="324"/>
      <c r="W158" s="324"/>
      <c r="X158" s="324"/>
      <c r="Y158" s="324"/>
      <c r="Z158" s="324"/>
      <c r="AA158" s="324"/>
      <c r="AB158" s="324"/>
      <c r="AC158" s="324"/>
      <c r="AD158" s="324"/>
      <c r="AE158" s="324"/>
      <c r="AF158" s="324"/>
      <c r="AG158" s="324"/>
      <c r="AH158" s="324"/>
      <c r="AI158" s="324"/>
      <c r="AJ158" s="324"/>
      <c r="AK158" s="324"/>
      <c r="AL158" s="324"/>
      <c r="AM158" s="324"/>
      <c r="AN158" s="324"/>
      <c r="AO158" s="324"/>
      <c r="AP158" s="324"/>
    </row>
    <row r="159" spans="1:42" ht="14.25" customHeight="1" x14ac:dyDescent="0.3">
      <c r="A159" s="324"/>
      <c r="B159" s="324"/>
      <c r="C159" s="324"/>
      <c r="D159" s="324"/>
      <c r="E159" s="324"/>
      <c r="F159" s="324"/>
      <c r="G159" s="324"/>
      <c r="H159" s="324"/>
      <c r="I159" s="324"/>
      <c r="J159" s="324"/>
      <c r="K159" s="324"/>
      <c r="L159" s="324"/>
      <c r="M159" s="324"/>
      <c r="N159" s="324"/>
      <c r="O159" s="324"/>
      <c r="P159" s="324"/>
      <c r="Q159" s="324"/>
      <c r="R159" s="324"/>
      <c r="S159" s="324"/>
      <c r="T159" s="324"/>
      <c r="U159" s="324"/>
      <c r="V159" s="324"/>
      <c r="W159" s="324"/>
      <c r="X159" s="324"/>
      <c r="Y159" s="324"/>
      <c r="Z159" s="324"/>
      <c r="AA159" s="324"/>
      <c r="AB159" s="324"/>
      <c r="AC159" s="324"/>
      <c r="AD159" s="324"/>
      <c r="AE159" s="324"/>
      <c r="AF159" s="324"/>
      <c r="AG159" s="324"/>
      <c r="AH159" s="324"/>
      <c r="AI159" s="324"/>
      <c r="AJ159" s="324"/>
      <c r="AK159" s="324"/>
      <c r="AL159" s="324"/>
      <c r="AM159" s="324"/>
      <c r="AN159" s="324"/>
      <c r="AO159" s="324"/>
      <c r="AP159" s="324"/>
    </row>
    <row r="160" spans="1:42" ht="14.25" customHeight="1" x14ac:dyDescent="0.3">
      <c r="A160" s="324"/>
      <c r="B160" s="324"/>
      <c r="C160" s="324"/>
      <c r="D160" s="324"/>
      <c r="E160" s="324"/>
      <c r="F160" s="324"/>
      <c r="G160" s="324"/>
      <c r="H160" s="324"/>
      <c r="I160" s="324"/>
      <c r="J160" s="324"/>
      <c r="K160" s="324"/>
      <c r="L160" s="324"/>
      <c r="M160" s="324"/>
      <c r="N160" s="324"/>
      <c r="O160" s="324"/>
      <c r="P160" s="324"/>
      <c r="Q160" s="324"/>
      <c r="R160" s="324"/>
      <c r="S160" s="324"/>
      <c r="T160" s="324"/>
      <c r="U160" s="324"/>
      <c r="V160" s="324"/>
      <c r="W160" s="324"/>
      <c r="X160" s="324"/>
      <c r="Y160" s="324"/>
      <c r="Z160" s="324"/>
      <c r="AA160" s="324"/>
      <c r="AB160" s="324"/>
      <c r="AC160" s="324"/>
      <c r="AD160" s="324"/>
      <c r="AE160" s="324"/>
      <c r="AF160" s="324"/>
      <c r="AG160" s="324"/>
      <c r="AH160" s="324"/>
      <c r="AI160" s="324"/>
      <c r="AJ160" s="324"/>
      <c r="AK160" s="324"/>
      <c r="AL160" s="324"/>
      <c r="AM160" s="324"/>
      <c r="AN160" s="324"/>
      <c r="AO160" s="324"/>
      <c r="AP160" s="324"/>
    </row>
    <row r="161" spans="1:42" ht="14.25" customHeight="1" x14ac:dyDescent="0.3">
      <c r="A161" s="324"/>
      <c r="B161" s="324"/>
      <c r="C161" s="324"/>
      <c r="D161" s="324"/>
      <c r="E161" s="324"/>
      <c r="F161" s="324"/>
      <c r="G161" s="324"/>
      <c r="H161" s="324"/>
      <c r="I161" s="324"/>
      <c r="J161" s="324"/>
      <c r="K161" s="324"/>
      <c r="L161" s="324"/>
      <c r="M161" s="324"/>
      <c r="N161" s="324"/>
      <c r="O161" s="324"/>
      <c r="P161" s="324"/>
      <c r="Q161" s="324"/>
      <c r="R161" s="324"/>
      <c r="S161" s="324"/>
      <c r="T161" s="324"/>
      <c r="U161" s="324"/>
      <c r="V161" s="324"/>
      <c r="W161" s="324"/>
      <c r="X161" s="324"/>
      <c r="Y161" s="324"/>
      <c r="Z161" s="324"/>
      <c r="AA161" s="324"/>
      <c r="AB161" s="324"/>
      <c r="AC161" s="324"/>
      <c r="AD161" s="324"/>
      <c r="AE161" s="324"/>
      <c r="AF161" s="324"/>
      <c r="AG161" s="324"/>
      <c r="AH161" s="324"/>
      <c r="AI161" s="324"/>
      <c r="AJ161" s="324"/>
      <c r="AK161" s="324"/>
      <c r="AL161" s="324"/>
      <c r="AM161" s="324"/>
      <c r="AN161" s="324"/>
      <c r="AO161" s="324"/>
      <c r="AP161" s="324"/>
    </row>
    <row r="162" spans="1:42" ht="14.25" customHeight="1" x14ac:dyDescent="0.3">
      <c r="A162" s="324"/>
      <c r="B162" s="324"/>
      <c r="C162" s="324"/>
      <c r="D162" s="324"/>
      <c r="E162" s="324"/>
      <c r="F162" s="324"/>
      <c r="G162" s="324"/>
      <c r="H162" s="324"/>
      <c r="I162" s="324"/>
      <c r="J162" s="324"/>
      <c r="K162" s="324"/>
      <c r="L162" s="324"/>
      <c r="M162" s="324"/>
      <c r="N162" s="324"/>
      <c r="O162" s="324"/>
      <c r="P162" s="324"/>
      <c r="Q162" s="324"/>
      <c r="R162" s="324"/>
      <c r="S162" s="324"/>
      <c r="T162" s="324"/>
      <c r="U162" s="324"/>
      <c r="V162" s="324"/>
      <c r="W162" s="324"/>
      <c r="X162" s="324"/>
      <c r="Y162" s="324"/>
      <c r="Z162" s="324"/>
      <c r="AA162" s="324"/>
      <c r="AB162" s="324"/>
      <c r="AC162" s="324"/>
      <c r="AD162" s="324"/>
      <c r="AE162" s="324"/>
      <c r="AF162" s="324"/>
      <c r="AG162" s="324"/>
      <c r="AH162" s="324"/>
      <c r="AI162" s="324"/>
      <c r="AJ162" s="324"/>
      <c r="AK162" s="324"/>
      <c r="AL162" s="324"/>
      <c r="AM162" s="324"/>
      <c r="AN162" s="324"/>
      <c r="AO162" s="324"/>
      <c r="AP162" s="324"/>
    </row>
    <row r="163" spans="1:42" ht="14.25" customHeight="1" x14ac:dyDescent="0.3">
      <c r="A163" s="324"/>
      <c r="B163" s="324"/>
      <c r="C163" s="324"/>
      <c r="D163" s="324"/>
      <c r="E163" s="324"/>
      <c r="F163" s="324"/>
      <c r="G163" s="324"/>
      <c r="H163" s="324"/>
      <c r="I163" s="324"/>
      <c r="J163" s="324"/>
      <c r="K163" s="324"/>
      <c r="L163" s="324"/>
      <c r="M163" s="324"/>
      <c r="N163" s="324"/>
      <c r="O163" s="324"/>
      <c r="P163" s="324"/>
      <c r="Q163" s="324"/>
      <c r="R163" s="324"/>
      <c r="S163" s="324"/>
      <c r="T163" s="324"/>
      <c r="U163" s="324"/>
      <c r="V163" s="324"/>
      <c r="W163" s="324"/>
      <c r="X163" s="324"/>
      <c r="Y163" s="324"/>
      <c r="Z163" s="324"/>
      <c r="AA163" s="324"/>
      <c r="AB163" s="324"/>
      <c r="AC163" s="324"/>
      <c r="AD163" s="324"/>
      <c r="AE163" s="324"/>
      <c r="AF163" s="324"/>
      <c r="AG163" s="324"/>
      <c r="AH163" s="324"/>
      <c r="AI163" s="324"/>
      <c r="AJ163" s="324"/>
      <c r="AK163" s="324"/>
      <c r="AL163" s="324"/>
      <c r="AM163" s="324"/>
      <c r="AN163" s="324"/>
      <c r="AO163" s="324"/>
      <c r="AP163" s="324"/>
    </row>
    <row r="164" spans="1:42" ht="14.25" customHeight="1" x14ac:dyDescent="0.3">
      <c r="A164" s="324"/>
      <c r="B164" s="324"/>
      <c r="C164" s="324"/>
      <c r="D164" s="324"/>
      <c r="E164" s="324"/>
      <c r="F164" s="324"/>
      <c r="G164" s="324"/>
      <c r="H164" s="324"/>
      <c r="I164" s="324"/>
      <c r="J164" s="324"/>
      <c r="K164" s="324"/>
      <c r="L164" s="324"/>
      <c r="M164" s="324"/>
      <c r="N164" s="324"/>
      <c r="O164" s="324"/>
      <c r="P164" s="324"/>
      <c r="Q164" s="324"/>
      <c r="R164" s="324"/>
      <c r="S164" s="324"/>
      <c r="T164" s="324"/>
      <c r="U164" s="324"/>
      <c r="V164" s="324"/>
      <c r="W164" s="324"/>
      <c r="X164" s="324"/>
      <c r="Y164" s="324"/>
      <c r="Z164" s="324"/>
      <c r="AA164" s="324"/>
      <c r="AB164" s="324"/>
      <c r="AC164" s="324"/>
      <c r="AD164" s="324"/>
      <c r="AE164" s="324"/>
      <c r="AF164" s="324"/>
      <c r="AG164" s="324"/>
      <c r="AH164" s="324"/>
      <c r="AI164" s="324"/>
      <c r="AJ164" s="324"/>
      <c r="AK164" s="324"/>
      <c r="AL164" s="324"/>
      <c r="AM164" s="324"/>
      <c r="AN164" s="324"/>
      <c r="AO164" s="324"/>
      <c r="AP164" s="324"/>
    </row>
    <row r="165" spans="1:42" ht="14.25" customHeight="1" x14ac:dyDescent="0.3">
      <c r="A165" s="324"/>
      <c r="B165" s="324"/>
      <c r="C165" s="324"/>
      <c r="D165" s="324"/>
      <c r="E165" s="324"/>
      <c r="F165" s="324"/>
      <c r="G165" s="324"/>
      <c r="H165" s="324"/>
      <c r="I165" s="324"/>
      <c r="J165" s="324"/>
      <c r="K165" s="324"/>
      <c r="L165" s="324"/>
      <c r="M165" s="324"/>
      <c r="N165" s="324"/>
      <c r="O165" s="324"/>
      <c r="P165" s="324"/>
      <c r="Q165" s="324"/>
      <c r="R165" s="324"/>
      <c r="S165" s="324"/>
      <c r="T165" s="324"/>
      <c r="U165" s="324"/>
      <c r="V165" s="324"/>
      <c r="W165" s="324"/>
      <c r="X165" s="324"/>
      <c r="Y165" s="324"/>
      <c r="Z165" s="324"/>
      <c r="AA165" s="324"/>
      <c r="AB165" s="324"/>
      <c r="AC165" s="324"/>
      <c r="AD165" s="324"/>
      <c r="AE165" s="324"/>
      <c r="AF165" s="324"/>
      <c r="AG165" s="324"/>
      <c r="AH165" s="324"/>
      <c r="AI165" s="324"/>
      <c r="AJ165" s="324"/>
      <c r="AK165" s="324"/>
      <c r="AL165" s="324"/>
      <c r="AM165" s="324"/>
      <c r="AN165" s="324"/>
      <c r="AO165" s="324"/>
      <c r="AP165" s="324"/>
    </row>
    <row r="166" spans="1:42" ht="14.25" customHeight="1" x14ac:dyDescent="0.3">
      <c r="A166" s="324"/>
      <c r="B166" s="324"/>
      <c r="C166" s="324"/>
      <c r="D166" s="324"/>
      <c r="E166" s="324"/>
      <c r="F166" s="324"/>
      <c r="G166" s="324"/>
      <c r="H166" s="324"/>
      <c r="I166" s="324"/>
      <c r="J166" s="324"/>
      <c r="K166" s="324"/>
      <c r="L166" s="324"/>
      <c r="M166" s="324"/>
      <c r="N166" s="324"/>
      <c r="O166" s="324"/>
      <c r="P166" s="324"/>
      <c r="Q166" s="324"/>
      <c r="R166" s="324"/>
      <c r="S166" s="324"/>
      <c r="T166" s="324"/>
      <c r="U166" s="324"/>
      <c r="V166" s="324"/>
      <c r="W166" s="324"/>
      <c r="X166" s="324"/>
      <c r="Y166" s="324"/>
      <c r="Z166" s="324"/>
      <c r="AA166" s="324"/>
      <c r="AB166" s="324"/>
      <c r="AC166" s="324"/>
      <c r="AD166" s="324"/>
      <c r="AE166" s="324"/>
      <c r="AF166" s="324"/>
      <c r="AG166" s="324"/>
      <c r="AH166" s="324"/>
      <c r="AI166" s="324"/>
      <c r="AJ166" s="324"/>
      <c r="AK166" s="324"/>
      <c r="AL166" s="324"/>
      <c r="AM166" s="324"/>
      <c r="AN166" s="324"/>
      <c r="AO166" s="324"/>
      <c r="AP166" s="324"/>
    </row>
    <row r="167" spans="1:42" ht="14.25" customHeight="1" x14ac:dyDescent="0.3">
      <c r="A167" s="324"/>
      <c r="B167" s="324"/>
      <c r="C167" s="324"/>
      <c r="D167" s="324"/>
      <c r="E167" s="324"/>
      <c r="F167" s="324"/>
      <c r="G167" s="324"/>
      <c r="H167" s="324"/>
      <c r="I167" s="324"/>
      <c r="J167" s="324"/>
      <c r="K167" s="324"/>
      <c r="L167" s="324"/>
      <c r="M167" s="324"/>
      <c r="N167" s="324"/>
      <c r="O167" s="324"/>
      <c r="P167" s="324"/>
      <c r="Q167" s="324"/>
      <c r="R167" s="324"/>
      <c r="S167" s="324"/>
      <c r="T167" s="324"/>
      <c r="U167" s="324"/>
      <c r="V167" s="324"/>
      <c r="W167" s="324"/>
      <c r="X167" s="324"/>
      <c r="Y167" s="324"/>
      <c r="Z167" s="324"/>
      <c r="AA167" s="324"/>
      <c r="AB167" s="324"/>
      <c r="AC167" s="324"/>
      <c r="AD167" s="324"/>
      <c r="AE167" s="324"/>
      <c r="AF167" s="324"/>
      <c r="AG167" s="324"/>
      <c r="AH167" s="324"/>
      <c r="AI167" s="324"/>
      <c r="AJ167" s="324"/>
      <c r="AK167" s="324"/>
      <c r="AL167" s="324"/>
      <c r="AM167" s="324"/>
      <c r="AN167" s="324"/>
      <c r="AO167" s="324"/>
      <c r="AP167" s="324"/>
    </row>
    <row r="168" spans="1:42" ht="14.25" customHeight="1" x14ac:dyDescent="0.3">
      <c r="A168" s="324"/>
      <c r="B168" s="324"/>
      <c r="C168" s="324"/>
      <c r="D168" s="324"/>
      <c r="E168" s="324"/>
      <c r="F168" s="324"/>
      <c r="G168" s="324"/>
      <c r="H168" s="324"/>
      <c r="I168" s="324"/>
      <c r="J168" s="324"/>
      <c r="K168" s="324"/>
      <c r="L168" s="324"/>
      <c r="M168" s="324"/>
      <c r="N168" s="324"/>
      <c r="O168" s="324"/>
      <c r="P168" s="324"/>
      <c r="Q168" s="324"/>
      <c r="R168" s="324"/>
      <c r="S168" s="324"/>
      <c r="T168" s="324"/>
      <c r="U168" s="324"/>
      <c r="V168" s="324"/>
      <c r="W168" s="324"/>
      <c r="X168" s="324"/>
      <c r="Y168" s="324"/>
      <c r="Z168" s="324"/>
      <c r="AA168" s="324"/>
      <c r="AB168" s="324"/>
      <c r="AC168" s="324"/>
      <c r="AD168" s="324"/>
      <c r="AE168" s="324"/>
      <c r="AF168" s="324"/>
      <c r="AG168" s="324"/>
      <c r="AH168" s="324"/>
      <c r="AI168" s="324"/>
      <c r="AJ168" s="324"/>
      <c r="AK168" s="324"/>
      <c r="AL168" s="324"/>
      <c r="AM168" s="324"/>
      <c r="AN168" s="324"/>
      <c r="AO168" s="324"/>
      <c r="AP168" s="324"/>
    </row>
    <row r="169" spans="1:42" ht="14.25" customHeight="1" x14ac:dyDescent="0.3">
      <c r="A169" s="324"/>
      <c r="B169" s="324"/>
      <c r="C169" s="324"/>
      <c r="D169" s="324"/>
      <c r="E169" s="324"/>
      <c r="F169" s="324"/>
      <c r="G169" s="324"/>
      <c r="H169" s="324"/>
      <c r="I169" s="324"/>
      <c r="J169" s="324"/>
      <c r="K169" s="324"/>
      <c r="L169" s="324"/>
      <c r="M169" s="324"/>
      <c r="N169" s="324"/>
      <c r="O169" s="324"/>
      <c r="P169" s="324"/>
      <c r="Q169" s="324"/>
      <c r="R169" s="324"/>
      <c r="S169" s="324"/>
      <c r="T169" s="324"/>
      <c r="U169" s="324"/>
      <c r="V169" s="324"/>
      <c r="W169" s="324"/>
      <c r="X169" s="324"/>
      <c r="Y169" s="324"/>
      <c r="Z169" s="324"/>
      <c r="AA169" s="324"/>
      <c r="AB169" s="324"/>
      <c r="AC169" s="324"/>
      <c r="AD169" s="324"/>
      <c r="AE169" s="324"/>
      <c r="AF169" s="324"/>
      <c r="AG169" s="324"/>
      <c r="AH169" s="324"/>
      <c r="AI169" s="324"/>
      <c r="AJ169" s="324"/>
      <c r="AK169" s="324"/>
      <c r="AL169" s="324"/>
      <c r="AM169" s="324"/>
      <c r="AN169" s="324"/>
      <c r="AO169" s="324"/>
      <c r="AP169" s="324"/>
    </row>
    <row r="170" spans="1:42" ht="14.25" customHeight="1" x14ac:dyDescent="0.3">
      <c r="A170" s="324"/>
      <c r="B170" s="324"/>
      <c r="C170" s="324"/>
      <c r="D170" s="324"/>
      <c r="E170" s="324"/>
      <c r="F170" s="324"/>
      <c r="G170" s="324"/>
      <c r="H170" s="324"/>
      <c r="I170" s="324"/>
      <c r="J170" s="324"/>
      <c r="K170" s="324"/>
      <c r="L170" s="324"/>
      <c r="M170" s="324"/>
      <c r="N170" s="324"/>
      <c r="O170" s="324"/>
      <c r="P170" s="324"/>
      <c r="Q170" s="324"/>
      <c r="R170" s="324"/>
      <c r="S170" s="324"/>
      <c r="T170" s="324"/>
      <c r="U170" s="324"/>
      <c r="V170" s="324"/>
      <c r="W170" s="324"/>
      <c r="X170" s="324"/>
      <c r="Y170" s="324"/>
      <c r="Z170" s="324"/>
      <c r="AA170" s="324"/>
      <c r="AB170" s="324"/>
      <c r="AC170" s="324"/>
      <c r="AD170" s="324"/>
      <c r="AE170" s="324"/>
      <c r="AF170" s="324"/>
      <c r="AG170" s="324"/>
      <c r="AH170" s="324"/>
      <c r="AI170" s="324"/>
      <c r="AJ170" s="324"/>
      <c r="AK170" s="324"/>
      <c r="AL170" s="324"/>
      <c r="AM170" s="324"/>
      <c r="AN170" s="324"/>
      <c r="AO170" s="324"/>
      <c r="AP170" s="324"/>
    </row>
    <row r="171" spans="1:42" ht="14.25" customHeight="1" x14ac:dyDescent="0.3">
      <c r="A171" s="324"/>
      <c r="B171" s="324"/>
      <c r="C171" s="324"/>
      <c r="D171" s="324"/>
      <c r="E171" s="324"/>
      <c r="F171" s="324"/>
      <c r="G171" s="324"/>
      <c r="H171" s="324"/>
      <c r="I171" s="324"/>
      <c r="J171" s="324"/>
      <c r="K171" s="324"/>
      <c r="L171" s="324"/>
      <c r="M171" s="324"/>
      <c r="N171" s="324"/>
      <c r="O171" s="324"/>
      <c r="P171" s="324"/>
      <c r="Q171" s="324"/>
      <c r="R171" s="324"/>
      <c r="S171" s="324"/>
      <c r="T171" s="324"/>
      <c r="U171" s="324"/>
      <c r="V171" s="324"/>
      <c r="W171" s="324"/>
      <c r="X171" s="324"/>
      <c r="Y171" s="324"/>
      <c r="Z171" s="324"/>
      <c r="AA171" s="324"/>
      <c r="AB171" s="324"/>
      <c r="AC171" s="324"/>
      <c r="AD171" s="324"/>
      <c r="AE171" s="324"/>
      <c r="AF171" s="324"/>
      <c r="AG171" s="324"/>
      <c r="AH171" s="324"/>
      <c r="AI171" s="324"/>
      <c r="AJ171" s="324"/>
      <c r="AK171" s="324"/>
      <c r="AL171" s="324"/>
      <c r="AM171" s="324"/>
      <c r="AN171" s="324"/>
      <c r="AO171" s="324"/>
      <c r="AP171" s="324"/>
    </row>
    <row r="172" spans="1:42" ht="14.25" customHeight="1" x14ac:dyDescent="0.3">
      <c r="A172" s="324"/>
      <c r="B172" s="324"/>
      <c r="C172" s="324"/>
      <c r="D172" s="324"/>
      <c r="E172" s="324"/>
      <c r="F172" s="324"/>
      <c r="G172" s="324"/>
      <c r="H172" s="324"/>
      <c r="I172" s="324"/>
      <c r="J172" s="324"/>
      <c r="K172" s="324"/>
      <c r="L172" s="324"/>
      <c r="M172" s="324"/>
      <c r="N172" s="324"/>
      <c r="O172" s="324"/>
      <c r="P172" s="324"/>
      <c r="Q172" s="324"/>
      <c r="R172" s="324"/>
      <c r="S172" s="324"/>
      <c r="T172" s="324"/>
      <c r="U172" s="324"/>
      <c r="V172" s="324"/>
      <c r="W172" s="324"/>
      <c r="X172" s="324"/>
      <c r="Y172" s="324"/>
      <c r="Z172" s="324"/>
      <c r="AA172" s="324"/>
      <c r="AB172" s="324"/>
      <c r="AC172" s="324"/>
      <c r="AD172" s="324"/>
      <c r="AE172" s="324"/>
      <c r="AF172" s="324"/>
      <c r="AG172" s="324"/>
      <c r="AH172" s="324"/>
      <c r="AI172" s="324"/>
      <c r="AJ172" s="324"/>
      <c r="AK172" s="324"/>
      <c r="AL172" s="324"/>
      <c r="AM172" s="324"/>
      <c r="AN172" s="324"/>
      <c r="AO172" s="324"/>
      <c r="AP172" s="324"/>
    </row>
    <row r="173" spans="1:42" ht="14.25" customHeight="1" x14ac:dyDescent="0.3">
      <c r="A173" s="324"/>
      <c r="B173" s="324"/>
      <c r="C173" s="324"/>
      <c r="D173" s="324"/>
      <c r="E173" s="324"/>
      <c r="F173" s="324"/>
      <c r="G173" s="324"/>
      <c r="H173" s="324"/>
      <c r="I173" s="324"/>
      <c r="J173" s="324"/>
      <c r="K173" s="324"/>
      <c r="L173" s="324"/>
      <c r="M173" s="324"/>
      <c r="N173" s="324"/>
      <c r="O173" s="324"/>
      <c r="P173" s="324"/>
      <c r="Q173" s="324"/>
      <c r="R173" s="324"/>
      <c r="S173" s="324"/>
      <c r="T173" s="324"/>
      <c r="U173" s="324"/>
      <c r="V173" s="324"/>
      <c r="W173" s="324"/>
      <c r="X173" s="324"/>
      <c r="Y173" s="324"/>
      <c r="Z173" s="324"/>
      <c r="AA173" s="324"/>
      <c r="AB173" s="324"/>
      <c r="AC173" s="324"/>
      <c r="AD173" s="324"/>
      <c r="AE173" s="324"/>
      <c r="AF173" s="324"/>
      <c r="AG173" s="324"/>
      <c r="AH173" s="324"/>
      <c r="AI173" s="324"/>
      <c r="AJ173" s="324"/>
      <c r="AK173" s="324"/>
      <c r="AL173" s="324"/>
      <c r="AM173" s="324"/>
      <c r="AN173" s="324"/>
      <c r="AO173" s="324"/>
      <c r="AP173" s="324"/>
    </row>
    <row r="174" spans="1:42" ht="14.25" customHeight="1" x14ac:dyDescent="0.3">
      <c r="A174" s="324"/>
      <c r="B174" s="324"/>
      <c r="C174" s="324"/>
      <c r="D174" s="324"/>
      <c r="E174" s="324"/>
      <c r="F174" s="324"/>
      <c r="G174" s="324"/>
      <c r="H174" s="324"/>
      <c r="I174" s="324"/>
      <c r="J174" s="324"/>
      <c r="K174" s="324"/>
      <c r="L174" s="324"/>
      <c r="M174" s="324"/>
      <c r="N174" s="324"/>
      <c r="O174" s="324"/>
      <c r="P174" s="324"/>
      <c r="Q174" s="324"/>
      <c r="R174" s="324"/>
      <c r="S174" s="324"/>
      <c r="T174" s="324"/>
      <c r="U174" s="324"/>
      <c r="V174" s="324"/>
      <c r="W174" s="324"/>
      <c r="X174" s="324"/>
      <c r="Y174" s="324"/>
      <c r="Z174" s="324"/>
      <c r="AA174" s="324"/>
      <c r="AB174" s="324"/>
      <c r="AC174" s="324"/>
      <c r="AD174" s="324"/>
      <c r="AE174" s="324"/>
      <c r="AF174" s="324"/>
      <c r="AG174" s="324"/>
      <c r="AH174" s="324"/>
      <c r="AI174" s="324"/>
      <c r="AJ174" s="324"/>
      <c r="AK174" s="324"/>
      <c r="AL174" s="324"/>
      <c r="AM174" s="324"/>
      <c r="AN174" s="324"/>
      <c r="AO174" s="324"/>
      <c r="AP174" s="324"/>
    </row>
    <row r="175" spans="1:42" ht="14.25" customHeight="1" x14ac:dyDescent="0.3">
      <c r="A175" s="324"/>
      <c r="B175" s="324"/>
      <c r="C175" s="324"/>
      <c r="D175" s="324"/>
      <c r="E175" s="324"/>
      <c r="F175" s="324"/>
      <c r="G175" s="324"/>
      <c r="H175" s="324"/>
      <c r="I175" s="324"/>
      <c r="J175" s="324"/>
      <c r="K175" s="324"/>
      <c r="L175" s="324"/>
      <c r="M175" s="324"/>
      <c r="N175" s="324"/>
      <c r="O175" s="324"/>
      <c r="P175" s="324"/>
      <c r="Q175" s="324"/>
      <c r="R175" s="324"/>
      <c r="S175" s="324"/>
      <c r="T175" s="324"/>
      <c r="U175" s="324"/>
      <c r="V175" s="324"/>
      <c r="W175" s="324"/>
      <c r="X175" s="324"/>
      <c r="Y175" s="324"/>
      <c r="Z175" s="324"/>
      <c r="AA175" s="324"/>
      <c r="AB175" s="324"/>
      <c r="AC175" s="324"/>
      <c r="AD175" s="324"/>
      <c r="AE175" s="324"/>
      <c r="AF175" s="324"/>
      <c r="AG175" s="324"/>
      <c r="AH175" s="324"/>
      <c r="AI175" s="324"/>
      <c r="AJ175" s="324"/>
      <c r="AK175" s="324"/>
      <c r="AL175" s="324"/>
      <c r="AM175" s="324"/>
      <c r="AN175" s="324"/>
      <c r="AO175" s="324"/>
      <c r="AP175" s="324"/>
    </row>
    <row r="176" spans="1:42" ht="14.25" customHeight="1" x14ac:dyDescent="0.3">
      <c r="A176" s="324"/>
      <c r="B176" s="324"/>
      <c r="C176" s="324"/>
      <c r="D176" s="324"/>
      <c r="E176" s="324"/>
      <c r="F176" s="324"/>
      <c r="G176" s="324"/>
      <c r="H176" s="324"/>
      <c r="I176" s="324"/>
      <c r="J176" s="324"/>
      <c r="K176" s="324"/>
      <c r="L176" s="324"/>
      <c r="M176" s="324"/>
      <c r="N176" s="324"/>
      <c r="O176" s="324"/>
      <c r="P176" s="324"/>
      <c r="Q176" s="324"/>
      <c r="R176" s="324"/>
      <c r="S176" s="324"/>
      <c r="T176" s="324"/>
      <c r="U176" s="324"/>
      <c r="V176" s="324"/>
      <c r="W176" s="324"/>
      <c r="X176" s="324"/>
      <c r="Y176" s="324"/>
      <c r="Z176" s="324"/>
      <c r="AA176" s="324"/>
      <c r="AB176" s="324"/>
      <c r="AC176" s="324"/>
      <c r="AD176" s="324"/>
      <c r="AE176" s="324"/>
      <c r="AF176" s="324"/>
      <c r="AG176" s="324"/>
      <c r="AH176" s="324"/>
      <c r="AI176" s="324"/>
      <c r="AJ176" s="324"/>
      <c r="AK176" s="324"/>
      <c r="AL176" s="324"/>
      <c r="AM176" s="324"/>
      <c r="AN176" s="324"/>
      <c r="AO176" s="324"/>
      <c r="AP176" s="324"/>
    </row>
    <row r="177" spans="1:42" ht="14.25" customHeight="1" x14ac:dyDescent="0.3">
      <c r="A177" s="324"/>
      <c r="B177" s="324"/>
      <c r="C177" s="324"/>
      <c r="D177" s="324"/>
      <c r="E177" s="324"/>
      <c r="F177" s="324"/>
      <c r="G177" s="324"/>
      <c r="H177" s="324"/>
      <c r="I177" s="324"/>
      <c r="J177" s="324"/>
      <c r="K177" s="324"/>
      <c r="L177" s="324"/>
      <c r="M177" s="324"/>
      <c r="N177" s="324"/>
      <c r="O177" s="324"/>
      <c r="P177" s="324"/>
      <c r="Q177" s="324"/>
      <c r="R177" s="324"/>
      <c r="S177" s="324"/>
      <c r="T177" s="324"/>
      <c r="U177" s="324"/>
      <c r="V177" s="324"/>
      <c r="W177" s="324"/>
      <c r="X177" s="324"/>
      <c r="Y177" s="324"/>
      <c r="Z177" s="324"/>
      <c r="AA177" s="324"/>
      <c r="AB177" s="324"/>
      <c r="AC177" s="324"/>
      <c r="AD177" s="324"/>
      <c r="AE177" s="324"/>
      <c r="AF177" s="324"/>
      <c r="AG177" s="324"/>
      <c r="AH177" s="324"/>
      <c r="AI177" s="324"/>
      <c r="AJ177" s="324"/>
      <c r="AK177" s="324"/>
      <c r="AL177" s="324"/>
      <c r="AM177" s="324"/>
      <c r="AN177" s="324"/>
      <c r="AO177" s="324"/>
      <c r="AP177" s="324"/>
    </row>
    <row r="178" spans="1:42" ht="14.25" customHeight="1" x14ac:dyDescent="0.3">
      <c r="A178" s="324"/>
      <c r="B178" s="324"/>
      <c r="C178" s="324"/>
      <c r="D178" s="324"/>
      <c r="E178" s="324"/>
      <c r="F178" s="324"/>
      <c r="G178" s="324"/>
      <c r="H178" s="324"/>
      <c r="I178" s="324"/>
      <c r="J178" s="324"/>
      <c r="K178" s="324"/>
      <c r="L178" s="324"/>
      <c r="M178" s="324"/>
      <c r="N178" s="324"/>
      <c r="O178" s="324"/>
      <c r="P178" s="324"/>
      <c r="Q178" s="324"/>
      <c r="R178" s="324"/>
      <c r="S178" s="324"/>
      <c r="T178" s="324"/>
      <c r="U178" s="324"/>
      <c r="V178" s="324"/>
      <c r="W178" s="324"/>
      <c r="X178" s="324"/>
      <c r="Y178" s="324"/>
      <c r="Z178" s="324"/>
      <c r="AA178" s="324"/>
      <c r="AB178" s="324"/>
      <c r="AC178" s="324"/>
      <c r="AD178" s="324"/>
      <c r="AE178" s="324"/>
      <c r="AF178" s="324"/>
      <c r="AG178" s="324"/>
      <c r="AH178" s="324"/>
      <c r="AI178" s="324"/>
      <c r="AJ178" s="324"/>
      <c r="AK178" s="324"/>
      <c r="AL178" s="324"/>
      <c r="AM178" s="324"/>
      <c r="AN178" s="324"/>
      <c r="AO178" s="324"/>
      <c r="AP178" s="324"/>
    </row>
    <row r="179" spans="1:42" ht="14.25" customHeight="1" x14ac:dyDescent="0.3">
      <c r="A179" s="324"/>
      <c r="B179" s="324"/>
      <c r="C179" s="324"/>
      <c r="D179" s="324"/>
      <c r="E179" s="324"/>
      <c r="F179" s="324"/>
      <c r="G179" s="324"/>
      <c r="H179" s="324"/>
      <c r="I179" s="324"/>
      <c r="J179" s="324"/>
      <c r="K179" s="324"/>
      <c r="L179" s="324"/>
      <c r="M179" s="324"/>
      <c r="N179" s="324"/>
      <c r="O179" s="324"/>
      <c r="P179" s="324"/>
      <c r="Q179" s="324"/>
      <c r="R179" s="324"/>
      <c r="S179" s="324"/>
      <c r="T179" s="324"/>
      <c r="U179" s="324"/>
      <c r="V179" s="324"/>
      <c r="W179" s="324"/>
      <c r="X179" s="324"/>
      <c r="Y179" s="324"/>
      <c r="Z179" s="324"/>
      <c r="AA179" s="324"/>
      <c r="AB179" s="324"/>
      <c r="AC179" s="324"/>
      <c r="AD179" s="324"/>
      <c r="AE179" s="324"/>
      <c r="AF179" s="324"/>
      <c r="AG179" s="324"/>
      <c r="AH179" s="324"/>
      <c r="AI179" s="324"/>
      <c r="AJ179" s="324"/>
      <c r="AK179" s="324"/>
      <c r="AL179" s="324"/>
      <c r="AM179" s="324"/>
      <c r="AN179" s="324"/>
      <c r="AO179" s="324"/>
      <c r="AP179" s="324"/>
    </row>
    <row r="180" spans="1:42" ht="14.25" customHeight="1" x14ac:dyDescent="0.3">
      <c r="A180" s="324"/>
      <c r="B180" s="324"/>
      <c r="C180" s="324"/>
      <c r="D180" s="324"/>
      <c r="E180" s="324"/>
      <c r="F180" s="324"/>
      <c r="G180" s="324"/>
      <c r="H180" s="324"/>
      <c r="I180" s="324"/>
      <c r="J180" s="324"/>
      <c r="K180" s="324"/>
      <c r="L180" s="324"/>
      <c r="M180" s="324"/>
      <c r="N180" s="324"/>
      <c r="O180" s="324"/>
      <c r="P180" s="324"/>
      <c r="Q180" s="324"/>
      <c r="R180" s="324"/>
      <c r="S180" s="324"/>
      <c r="T180" s="324"/>
      <c r="U180" s="324"/>
      <c r="V180" s="324"/>
      <c r="W180" s="324"/>
      <c r="X180" s="324"/>
      <c r="Y180" s="324"/>
      <c r="Z180" s="324"/>
      <c r="AA180" s="324"/>
      <c r="AB180" s="324"/>
      <c r="AC180" s="324"/>
      <c r="AD180" s="324"/>
      <c r="AE180" s="324"/>
      <c r="AF180" s="324"/>
      <c r="AG180" s="324"/>
      <c r="AH180" s="324"/>
      <c r="AI180" s="324"/>
      <c r="AJ180" s="324"/>
      <c r="AK180" s="324"/>
      <c r="AL180" s="324"/>
      <c r="AM180" s="324"/>
      <c r="AN180" s="324"/>
      <c r="AO180" s="324"/>
      <c r="AP180" s="324"/>
    </row>
    <row r="181" spans="1:42" ht="14.25" customHeight="1" x14ac:dyDescent="0.3">
      <c r="A181" s="324"/>
      <c r="B181" s="324"/>
      <c r="C181" s="324"/>
      <c r="D181" s="324"/>
      <c r="E181" s="324"/>
      <c r="F181" s="324"/>
      <c r="G181" s="324"/>
      <c r="H181" s="324"/>
      <c r="I181" s="324"/>
      <c r="J181" s="324"/>
      <c r="K181" s="324"/>
      <c r="L181" s="324"/>
      <c r="M181" s="324"/>
      <c r="N181" s="324"/>
      <c r="O181" s="324"/>
      <c r="P181" s="324"/>
      <c r="Q181" s="324"/>
      <c r="R181" s="324"/>
      <c r="S181" s="324"/>
      <c r="T181" s="324"/>
      <c r="U181" s="324"/>
      <c r="V181" s="324"/>
      <c r="W181" s="324"/>
      <c r="X181" s="324"/>
      <c r="Y181" s="324"/>
      <c r="Z181" s="324"/>
      <c r="AA181" s="324"/>
      <c r="AB181" s="324"/>
      <c r="AC181" s="324"/>
      <c r="AD181" s="324"/>
      <c r="AE181" s="324"/>
      <c r="AF181" s="324"/>
      <c r="AG181" s="324"/>
      <c r="AH181" s="324"/>
      <c r="AI181" s="324"/>
      <c r="AJ181" s="324"/>
      <c r="AK181" s="324"/>
      <c r="AL181" s="324"/>
      <c r="AM181" s="324"/>
      <c r="AN181" s="324"/>
      <c r="AO181" s="324"/>
      <c r="AP181" s="324"/>
    </row>
    <row r="182" spans="1:42" ht="14.25" customHeight="1" x14ac:dyDescent="0.3">
      <c r="A182" s="324"/>
      <c r="B182" s="324"/>
      <c r="C182" s="324"/>
      <c r="D182" s="324"/>
      <c r="E182" s="324"/>
      <c r="F182" s="324"/>
      <c r="G182" s="324"/>
      <c r="H182" s="324"/>
      <c r="I182" s="324"/>
      <c r="J182" s="324"/>
      <c r="K182" s="324"/>
      <c r="L182" s="324"/>
      <c r="M182" s="324"/>
      <c r="N182" s="324"/>
      <c r="O182" s="324"/>
      <c r="P182" s="324"/>
      <c r="Q182" s="324"/>
      <c r="R182" s="324"/>
      <c r="S182" s="324"/>
      <c r="T182" s="324"/>
      <c r="U182" s="324"/>
      <c r="V182" s="324"/>
      <c r="W182" s="324"/>
      <c r="X182" s="324"/>
      <c r="Y182" s="324"/>
      <c r="Z182" s="324"/>
      <c r="AA182" s="324"/>
      <c r="AB182" s="324"/>
      <c r="AC182" s="324"/>
      <c r="AD182" s="324"/>
      <c r="AE182" s="324"/>
      <c r="AF182" s="324"/>
      <c r="AG182" s="324"/>
      <c r="AH182" s="324"/>
      <c r="AI182" s="324"/>
      <c r="AJ182" s="324"/>
      <c r="AK182" s="324"/>
      <c r="AL182" s="324"/>
      <c r="AM182" s="324"/>
      <c r="AN182" s="324"/>
      <c r="AO182" s="324"/>
      <c r="AP182" s="324"/>
    </row>
    <row r="183" spans="1:42" ht="14.25" customHeight="1" x14ac:dyDescent="0.3">
      <c r="A183" s="324"/>
      <c r="B183" s="324"/>
      <c r="C183" s="324"/>
      <c r="D183" s="324"/>
      <c r="E183" s="324"/>
      <c r="F183" s="324"/>
      <c r="G183" s="324"/>
      <c r="H183" s="324"/>
      <c r="I183" s="324"/>
      <c r="J183" s="324"/>
      <c r="K183" s="324"/>
      <c r="L183" s="324"/>
      <c r="M183" s="324"/>
      <c r="N183" s="324"/>
      <c r="O183" s="324"/>
      <c r="P183" s="324"/>
      <c r="Q183" s="324"/>
      <c r="R183" s="324"/>
      <c r="S183" s="324"/>
      <c r="T183" s="324"/>
      <c r="U183" s="324"/>
      <c r="V183" s="324"/>
      <c r="W183" s="324"/>
      <c r="X183" s="324"/>
      <c r="Y183" s="324"/>
      <c r="Z183" s="324"/>
      <c r="AA183" s="324"/>
      <c r="AB183" s="324"/>
      <c r="AC183" s="324"/>
      <c r="AD183" s="324"/>
      <c r="AE183" s="324"/>
      <c r="AF183" s="324"/>
      <c r="AG183" s="324"/>
      <c r="AH183" s="324"/>
      <c r="AI183" s="324"/>
      <c r="AJ183" s="324"/>
      <c r="AK183" s="324"/>
      <c r="AL183" s="324"/>
      <c r="AM183" s="324"/>
      <c r="AN183" s="324"/>
      <c r="AO183" s="324"/>
      <c r="AP183" s="324"/>
    </row>
    <row r="184" spans="1:42" ht="14.25" customHeight="1" x14ac:dyDescent="0.3">
      <c r="A184" s="324"/>
      <c r="B184" s="324"/>
      <c r="C184" s="324"/>
      <c r="D184" s="324"/>
      <c r="E184" s="324"/>
      <c r="F184" s="324"/>
      <c r="G184" s="324"/>
      <c r="H184" s="324"/>
      <c r="I184" s="324"/>
      <c r="J184" s="324"/>
      <c r="K184" s="324"/>
      <c r="L184" s="324"/>
      <c r="M184" s="324"/>
      <c r="N184" s="324"/>
      <c r="O184" s="324"/>
      <c r="P184" s="324"/>
      <c r="Q184" s="324"/>
      <c r="R184" s="324"/>
      <c r="S184" s="324"/>
      <c r="T184" s="324"/>
      <c r="U184" s="324"/>
      <c r="V184" s="324"/>
      <c r="W184" s="324"/>
      <c r="X184" s="324"/>
      <c r="Y184" s="324"/>
      <c r="Z184" s="324"/>
      <c r="AA184" s="324"/>
      <c r="AB184" s="324"/>
      <c r="AC184" s="324"/>
      <c r="AD184" s="324"/>
      <c r="AE184" s="324"/>
      <c r="AF184" s="324"/>
      <c r="AG184" s="324"/>
      <c r="AH184" s="324"/>
      <c r="AI184" s="324"/>
      <c r="AJ184" s="324"/>
      <c r="AK184" s="324"/>
      <c r="AL184" s="324"/>
      <c r="AM184" s="324"/>
      <c r="AN184" s="324"/>
      <c r="AO184" s="324"/>
      <c r="AP184" s="324"/>
    </row>
    <row r="185" spans="1:42" ht="14.25" customHeight="1" x14ac:dyDescent="0.3">
      <c r="A185" s="324"/>
      <c r="B185" s="324"/>
      <c r="C185" s="324"/>
      <c r="D185" s="324"/>
      <c r="E185" s="324"/>
      <c r="F185" s="324"/>
      <c r="G185" s="324"/>
      <c r="H185" s="324"/>
      <c r="I185" s="324"/>
      <c r="J185" s="324"/>
      <c r="K185" s="324"/>
      <c r="L185" s="324"/>
      <c r="M185" s="324"/>
      <c r="N185" s="324"/>
      <c r="O185" s="324"/>
      <c r="P185" s="324"/>
      <c r="Q185" s="324"/>
      <c r="R185" s="324"/>
      <c r="S185" s="324"/>
      <c r="T185" s="324"/>
      <c r="U185" s="324"/>
      <c r="V185" s="324"/>
      <c r="W185" s="324"/>
      <c r="X185" s="324"/>
      <c r="Y185" s="324"/>
      <c r="Z185" s="324"/>
      <c r="AA185" s="324"/>
      <c r="AB185" s="324"/>
      <c r="AC185" s="324"/>
      <c r="AD185" s="324"/>
      <c r="AE185" s="324"/>
      <c r="AF185" s="324"/>
      <c r="AG185" s="324"/>
      <c r="AH185" s="324"/>
      <c r="AI185" s="324"/>
      <c r="AJ185" s="324"/>
      <c r="AK185" s="324"/>
      <c r="AL185" s="324"/>
      <c r="AM185" s="324"/>
      <c r="AN185" s="324"/>
      <c r="AO185" s="324"/>
      <c r="AP185" s="324"/>
    </row>
    <row r="186" spans="1:42" ht="14.25" customHeight="1" x14ac:dyDescent="0.3">
      <c r="A186" s="324"/>
      <c r="B186" s="324"/>
      <c r="C186" s="324"/>
      <c r="D186" s="324"/>
      <c r="E186" s="324"/>
      <c r="F186" s="324"/>
      <c r="G186" s="324"/>
      <c r="H186" s="324"/>
      <c r="I186" s="324"/>
      <c r="J186" s="324"/>
      <c r="K186" s="324"/>
      <c r="L186" s="324"/>
      <c r="M186" s="324"/>
      <c r="N186" s="324"/>
      <c r="O186" s="324"/>
      <c r="P186" s="324"/>
      <c r="Q186" s="324"/>
      <c r="R186" s="324"/>
      <c r="S186" s="324"/>
      <c r="T186" s="324"/>
      <c r="U186" s="324"/>
      <c r="V186" s="324"/>
      <c r="W186" s="324"/>
      <c r="X186" s="324"/>
      <c r="Y186" s="324"/>
      <c r="Z186" s="324"/>
      <c r="AA186" s="324"/>
      <c r="AB186" s="324"/>
      <c r="AC186" s="324"/>
      <c r="AD186" s="324"/>
      <c r="AE186" s="324"/>
      <c r="AF186" s="324"/>
      <c r="AG186" s="324"/>
      <c r="AH186" s="324"/>
      <c r="AI186" s="324"/>
      <c r="AJ186" s="324"/>
      <c r="AK186" s="324"/>
      <c r="AL186" s="324"/>
      <c r="AM186" s="324"/>
      <c r="AN186" s="324"/>
      <c r="AO186" s="324"/>
      <c r="AP186" s="324"/>
    </row>
    <row r="187" spans="1:42" ht="14.25" customHeight="1" x14ac:dyDescent="0.3">
      <c r="A187" s="324"/>
      <c r="B187" s="324"/>
      <c r="C187" s="324"/>
      <c r="D187" s="324"/>
      <c r="E187" s="324"/>
      <c r="F187" s="324"/>
      <c r="G187" s="324"/>
      <c r="H187" s="324"/>
      <c r="I187" s="324"/>
      <c r="J187" s="324"/>
      <c r="K187" s="324"/>
      <c r="L187" s="324"/>
      <c r="M187" s="324"/>
      <c r="N187" s="324"/>
      <c r="O187" s="324"/>
      <c r="P187" s="324"/>
      <c r="Q187" s="324"/>
      <c r="R187" s="324"/>
      <c r="S187" s="324"/>
      <c r="T187" s="324"/>
      <c r="U187" s="324"/>
      <c r="V187" s="324"/>
      <c r="W187" s="324"/>
      <c r="X187" s="324"/>
      <c r="Y187" s="324"/>
      <c r="Z187" s="324"/>
      <c r="AA187" s="324"/>
      <c r="AB187" s="324"/>
      <c r="AC187" s="324"/>
      <c r="AD187" s="324"/>
      <c r="AE187" s="324"/>
      <c r="AF187" s="324"/>
      <c r="AG187" s="324"/>
      <c r="AH187" s="324"/>
      <c r="AI187" s="324"/>
      <c r="AJ187" s="324"/>
      <c r="AK187" s="324"/>
      <c r="AL187" s="324"/>
      <c r="AM187" s="324"/>
      <c r="AN187" s="324"/>
      <c r="AO187" s="324"/>
      <c r="AP187" s="324"/>
    </row>
    <row r="188" spans="1:42" ht="14.25" customHeight="1" x14ac:dyDescent="0.3">
      <c r="A188" s="324"/>
      <c r="B188" s="324"/>
      <c r="C188" s="324"/>
      <c r="D188" s="324"/>
      <c r="E188" s="324"/>
      <c r="F188" s="324"/>
      <c r="G188" s="324"/>
      <c r="H188" s="324"/>
      <c r="I188" s="324"/>
      <c r="J188" s="324"/>
      <c r="K188" s="324"/>
      <c r="L188" s="324"/>
      <c r="M188" s="324"/>
      <c r="N188" s="324"/>
      <c r="O188" s="324"/>
      <c r="P188" s="324"/>
      <c r="Q188" s="324"/>
      <c r="R188" s="324"/>
      <c r="S188" s="324"/>
      <c r="T188" s="324"/>
      <c r="U188" s="324"/>
      <c r="V188" s="324"/>
      <c r="W188" s="324"/>
      <c r="X188" s="324"/>
      <c r="Y188" s="324"/>
      <c r="Z188" s="324"/>
      <c r="AA188" s="324"/>
      <c r="AB188" s="324"/>
      <c r="AC188" s="324"/>
      <c r="AD188" s="324"/>
      <c r="AE188" s="324"/>
      <c r="AF188" s="324"/>
      <c r="AG188" s="324"/>
      <c r="AH188" s="324"/>
      <c r="AI188" s="324"/>
      <c r="AJ188" s="324"/>
      <c r="AK188" s="324"/>
      <c r="AL188" s="324"/>
      <c r="AM188" s="324"/>
      <c r="AN188" s="324"/>
      <c r="AO188" s="324"/>
      <c r="AP188" s="324"/>
    </row>
    <row r="189" spans="1:42" ht="14.25" customHeight="1" x14ac:dyDescent="0.3">
      <c r="A189" s="324"/>
      <c r="B189" s="324"/>
      <c r="C189" s="324"/>
      <c r="D189" s="324"/>
      <c r="E189" s="324"/>
      <c r="F189" s="324"/>
      <c r="G189" s="324"/>
      <c r="H189" s="324"/>
      <c r="I189" s="324"/>
      <c r="J189" s="324"/>
      <c r="K189" s="324"/>
      <c r="L189" s="324"/>
      <c r="M189" s="324"/>
      <c r="N189" s="324"/>
      <c r="O189" s="324"/>
      <c r="P189" s="324"/>
      <c r="Q189" s="324"/>
      <c r="R189" s="324"/>
      <c r="S189" s="324"/>
      <c r="T189" s="324"/>
      <c r="U189" s="324"/>
      <c r="V189" s="324"/>
      <c r="W189" s="324"/>
      <c r="X189" s="324"/>
      <c r="Y189" s="324"/>
      <c r="Z189" s="324"/>
      <c r="AA189" s="324"/>
      <c r="AB189" s="324"/>
      <c r="AC189" s="324"/>
      <c r="AD189" s="324"/>
      <c r="AE189" s="324"/>
      <c r="AF189" s="324"/>
      <c r="AG189" s="324"/>
      <c r="AH189" s="324"/>
      <c r="AI189" s="324"/>
      <c r="AJ189" s="324"/>
      <c r="AK189" s="324"/>
      <c r="AL189" s="324"/>
      <c r="AM189" s="324"/>
      <c r="AN189" s="324"/>
      <c r="AO189" s="324"/>
      <c r="AP189" s="324"/>
    </row>
    <row r="190" spans="1:42" ht="14.25" customHeight="1" x14ac:dyDescent="0.3">
      <c r="A190" s="324"/>
      <c r="B190" s="324"/>
      <c r="C190" s="324"/>
      <c r="D190" s="324"/>
      <c r="E190" s="324"/>
      <c r="F190" s="324"/>
      <c r="G190" s="324"/>
      <c r="H190" s="324"/>
      <c r="I190" s="324"/>
      <c r="J190" s="324"/>
      <c r="K190" s="324"/>
      <c r="L190" s="324"/>
      <c r="M190" s="324"/>
      <c r="N190" s="324"/>
      <c r="O190" s="324"/>
      <c r="P190" s="324"/>
      <c r="Q190" s="324"/>
      <c r="R190" s="324"/>
      <c r="S190" s="324"/>
      <c r="T190" s="324"/>
      <c r="U190" s="324"/>
      <c r="V190" s="324"/>
      <c r="W190" s="324"/>
      <c r="X190" s="324"/>
      <c r="Y190" s="324"/>
      <c r="Z190" s="324"/>
      <c r="AA190" s="324"/>
      <c r="AB190" s="324"/>
      <c r="AC190" s="324"/>
      <c r="AD190" s="324"/>
      <c r="AE190" s="324"/>
      <c r="AF190" s="324"/>
      <c r="AG190" s="324"/>
      <c r="AH190" s="324"/>
      <c r="AI190" s="324"/>
      <c r="AJ190" s="324"/>
      <c r="AK190" s="324"/>
      <c r="AL190" s="324"/>
      <c r="AM190" s="324"/>
      <c r="AN190" s="324"/>
      <c r="AO190" s="324"/>
      <c r="AP190" s="324"/>
    </row>
    <row r="191" spans="1:42" ht="14.25" customHeight="1" x14ac:dyDescent="0.3">
      <c r="A191" s="324"/>
      <c r="B191" s="324"/>
      <c r="C191" s="324"/>
      <c r="D191" s="324"/>
      <c r="E191" s="324"/>
      <c r="F191" s="324"/>
      <c r="G191" s="324"/>
      <c r="H191" s="324"/>
      <c r="I191" s="324"/>
      <c r="J191" s="324"/>
      <c r="K191" s="324"/>
      <c r="L191" s="324"/>
      <c r="M191" s="324"/>
      <c r="N191" s="324"/>
      <c r="O191" s="324"/>
      <c r="P191" s="324"/>
      <c r="Q191" s="324"/>
      <c r="R191" s="324"/>
      <c r="S191" s="324"/>
      <c r="T191" s="324"/>
      <c r="U191" s="324"/>
      <c r="V191" s="324"/>
      <c r="W191" s="324"/>
      <c r="X191" s="324"/>
      <c r="Y191" s="324"/>
      <c r="Z191" s="324"/>
      <c r="AA191" s="324"/>
      <c r="AB191" s="324"/>
      <c r="AC191" s="324"/>
      <c r="AD191" s="324"/>
      <c r="AE191" s="324"/>
      <c r="AF191" s="324"/>
      <c r="AG191" s="324"/>
      <c r="AH191" s="324"/>
      <c r="AI191" s="324"/>
      <c r="AJ191" s="324"/>
      <c r="AK191" s="324"/>
      <c r="AL191" s="324"/>
      <c r="AM191" s="324"/>
      <c r="AN191" s="324"/>
      <c r="AO191" s="324"/>
      <c r="AP191" s="324"/>
    </row>
    <row r="192" spans="1:42" ht="14.25" customHeight="1" x14ac:dyDescent="0.3">
      <c r="A192" s="324"/>
      <c r="B192" s="324"/>
      <c r="C192" s="324"/>
      <c r="D192" s="324"/>
      <c r="E192" s="324"/>
      <c r="F192" s="324"/>
      <c r="G192" s="324"/>
      <c r="H192" s="324"/>
      <c r="I192" s="324"/>
      <c r="J192" s="324"/>
      <c r="K192" s="324"/>
      <c r="L192" s="324"/>
      <c r="M192" s="324"/>
      <c r="N192" s="324"/>
      <c r="O192" s="324"/>
      <c r="P192" s="324"/>
      <c r="Q192" s="324"/>
      <c r="R192" s="324"/>
      <c r="S192" s="324"/>
      <c r="T192" s="324"/>
      <c r="U192" s="324"/>
      <c r="V192" s="324"/>
      <c r="W192" s="324"/>
      <c r="X192" s="324"/>
      <c r="Y192" s="324"/>
      <c r="Z192" s="324"/>
      <c r="AA192" s="324"/>
      <c r="AB192" s="324"/>
      <c r="AC192" s="324"/>
      <c r="AD192" s="324"/>
      <c r="AE192" s="324"/>
      <c r="AF192" s="324"/>
      <c r="AG192" s="324"/>
      <c r="AH192" s="324"/>
      <c r="AI192" s="324"/>
      <c r="AJ192" s="324"/>
      <c r="AK192" s="324"/>
      <c r="AL192" s="324"/>
      <c r="AM192" s="324"/>
      <c r="AN192" s="324"/>
      <c r="AO192" s="324"/>
      <c r="AP192" s="324"/>
    </row>
    <row r="193" spans="1:42" ht="14.25" customHeight="1" x14ac:dyDescent="0.3">
      <c r="A193" s="324"/>
      <c r="B193" s="324"/>
      <c r="C193" s="324"/>
      <c r="D193" s="324"/>
      <c r="E193" s="324"/>
      <c r="F193" s="324"/>
      <c r="G193" s="324"/>
      <c r="H193" s="324"/>
      <c r="I193" s="324"/>
      <c r="J193" s="324"/>
      <c r="K193" s="324"/>
      <c r="L193" s="324"/>
      <c r="M193" s="324"/>
      <c r="N193" s="324"/>
      <c r="O193" s="324"/>
      <c r="P193" s="324"/>
      <c r="Q193" s="324"/>
      <c r="R193" s="324"/>
      <c r="S193" s="324"/>
      <c r="T193" s="324"/>
      <c r="U193" s="324"/>
      <c r="V193" s="324"/>
      <c r="W193" s="324"/>
      <c r="X193" s="324"/>
      <c r="Y193" s="324"/>
      <c r="Z193" s="324"/>
      <c r="AA193" s="324"/>
      <c r="AB193" s="324"/>
      <c r="AC193" s="324"/>
      <c r="AD193" s="324"/>
      <c r="AE193" s="324"/>
      <c r="AF193" s="324"/>
      <c r="AG193" s="324"/>
      <c r="AH193" s="324"/>
      <c r="AI193" s="324"/>
      <c r="AJ193" s="324"/>
      <c r="AK193" s="324"/>
      <c r="AL193" s="324"/>
      <c r="AM193" s="324"/>
      <c r="AN193" s="324"/>
      <c r="AO193" s="324"/>
      <c r="AP193" s="324"/>
    </row>
    <row r="194" spans="1:42" ht="14.25" customHeight="1" x14ac:dyDescent="0.3">
      <c r="A194" s="324"/>
      <c r="B194" s="324"/>
      <c r="C194" s="324"/>
      <c r="D194" s="324"/>
      <c r="E194" s="324"/>
      <c r="F194" s="324"/>
      <c r="G194" s="324"/>
      <c r="H194" s="324"/>
      <c r="I194" s="324"/>
      <c r="J194" s="324"/>
      <c r="K194" s="324"/>
      <c r="L194" s="324"/>
      <c r="M194" s="324"/>
      <c r="N194" s="324"/>
      <c r="O194" s="324"/>
      <c r="P194" s="324"/>
      <c r="Q194" s="324"/>
      <c r="R194" s="324"/>
      <c r="S194" s="324"/>
      <c r="T194" s="324"/>
      <c r="U194" s="324"/>
      <c r="V194" s="324"/>
      <c r="W194" s="324"/>
      <c r="X194" s="324"/>
      <c r="Y194" s="324"/>
      <c r="Z194" s="324"/>
      <c r="AA194" s="324"/>
      <c r="AB194" s="324"/>
      <c r="AC194" s="324"/>
      <c r="AD194" s="324"/>
      <c r="AE194" s="324"/>
      <c r="AF194" s="324"/>
      <c r="AG194" s="324"/>
      <c r="AH194" s="324"/>
      <c r="AI194" s="324"/>
      <c r="AJ194" s="324"/>
      <c r="AK194" s="324"/>
      <c r="AL194" s="324"/>
      <c r="AM194" s="324"/>
      <c r="AN194" s="324"/>
      <c r="AO194" s="324"/>
      <c r="AP194" s="324"/>
    </row>
    <row r="195" spans="1:42" ht="14.25" customHeight="1" x14ac:dyDescent="0.3">
      <c r="A195" s="324"/>
      <c r="B195" s="324"/>
      <c r="C195" s="324"/>
      <c r="D195" s="324"/>
      <c r="E195" s="324"/>
      <c r="F195" s="324"/>
      <c r="G195" s="324"/>
      <c r="H195" s="324"/>
      <c r="I195" s="324"/>
      <c r="J195" s="324"/>
      <c r="K195" s="324"/>
      <c r="L195" s="324"/>
      <c r="M195" s="324"/>
      <c r="N195" s="324"/>
      <c r="O195" s="324"/>
      <c r="P195" s="324"/>
      <c r="Q195" s="324"/>
      <c r="R195" s="324"/>
      <c r="S195" s="324"/>
      <c r="T195" s="324"/>
      <c r="U195" s="324"/>
      <c r="V195" s="324"/>
      <c r="W195" s="324"/>
      <c r="X195" s="324"/>
      <c r="Y195" s="324"/>
      <c r="Z195" s="324"/>
      <c r="AA195" s="324"/>
      <c r="AB195" s="324"/>
      <c r="AC195" s="324"/>
      <c r="AD195" s="324"/>
      <c r="AE195" s="324"/>
      <c r="AF195" s="324"/>
      <c r="AG195" s="324"/>
      <c r="AH195" s="324"/>
      <c r="AI195" s="324"/>
      <c r="AJ195" s="324"/>
      <c r="AK195" s="324"/>
      <c r="AL195" s="324"/>
      <c r="AM195" s="324"/>
      <c r="AN195" s="324"/>
      <c r="AO195" s="324"/>
      <c r="AP195" s="324"/>
    </row>
    <row r="196" spans="1:42" ht="14.25" customHeight="1" x14ac:dyDescent="0.3">
      <c r="A196" s="324"/>
      <c r="B196" s="324"/>
      <c r="C196" s="324"/>
      <c r="D196" s="324"/>
      <c r="E196" s="324"/>
      <c r="F196" s="324"/>
      <c r="G196" s="324"/>
      <c r="H196" s="324"/>
      <c r="I196" s="324"/>
      <c r="J196" s="324"/>
      <c r="K196" s="324"/>
      <c r="L196" s="324"/>
      <c r="M196" s="324"/>
      <c r="N196" s="324"/>
      <c r="O196" s="324"/>
      <c r="P196" s="324"/>
      <c r="Q196" s="324"/>
      <c r="R196" s="324"/>
      <c r="S196" s="324"/>
      <c r="T196" s="324"/>
      <c r="U196" s="324"/>
      <c r="V196" s="324"/>
      <c r="W196" s="324"/>
      <c r="X196" s="324"/>
      <c r="Y196" s="324"/>
      <c r="Z196" s="324"/>
      <c r="AA196" s="324"/>
      <c r="AB196" s="324"/>
      <c r="AC196" s="324"/>
      <c r="AD196" s="324"/>
      <c r="AE196" s="324"/>
      <c r="AF196" s="324"/>
      <c r="AG196" s="324"/>
      <c r="AH196" s="324"/>
      <c r="AI196" s="324"/>
      <c r="AJ196" s="324"/>
      <c r="AK196" s="324"/>
      <c r="AL196" s="324"/>
      <c r="AM196" s="324"/>
      <c r="AN196" s="324"/>
      <c r="AO196" s="324"/>
      <c r="AP196" s="324"/>
    </row>
    <row r="197" spans="1:42" ht="14.25" customHeight="1" x14ac:dyDescent="0.3">
      <c r="A197" s="324"/>
      <c r="B197" s="324"/>
      <c r="C197" s="324"/>
      <c r="D197" s="324"/>
      <c r="E197" s="324"/>
      <c r="F197" s="324"/>
      <c r="G197" s="324"/>
      <c r="H197" s="324"/>
      <c r="I197" s="324"/>
      <c r="J197" s="324"/>
      <c r="K197" s="324"/>
      <c r="L197" s="324"/>
      <c r="M197" s="324"/>
      <c r="N197" s="324"/>
      <c r="O197" s="324"/>
      <c r="P197" s="324"/>
      <c r="Q197" s="324"/>
      <c r="R197" s="324"/>
      <c r="S197" s="324"/>
      <c r="T197" s="324"/>
      <c r="U197" s="324"/>
      <c r="V197" s="324"/>
      <c r="W197" s="324"/>
      <c r="X197" s="324"/>
      <c r="Y197" s="324"/>
      <c r="Z197" s="324"/>
      <c r="AA197" s="324"/>
      <c r="AB197" s="324"/>
      <c r="AC197" s="324"/>
      <c r="AD197" s="324"/>
      <c r="AE197" s="324"/>
      <c r="AF197" s="324"/>
      <c r="AG197" s="324"/>
      <c r="AH197" s="324"/>
      <c r="AI197" s="324"/>
      <c r="AJ197" s="324"/>
      <c r="AK197" s="324"/>
      <c r="AL197" s="324"/>
      <c r="AM197" s="324"/>
      <c r="AN197" s="324"/>
      <c r="AO197" s="324"/>
      <c r="AP197" s="324"/>
    </row>
    <row r="198" spans="1:42" ht="14.25" customHeight="1" x14ac:dyDescent="0.3">
      <c r="A198" s="324"/>
      <c r="B198" s="324"/>
      <c r="C198" s="324"/>
      <c r="D198" s="324"/>
      <c r="E198" s="324"/>
      <c r="F198" s="324"/>
      <c r="G198" s="324"/>
      <c r="H198" s="324"/>
      <c r="I198" s="324"/>
      <c r="J198" s="324"/>
      <c r="K198" s="324"/>
      <c r="L198" s="324"/>
      <c r="M198" s="324"/>
      <c r="N198" s="324"/>
      <c r="O198" s="324"/>
      <c r="P198" s="324"/>
      <c r="Q198" s="324"/>
      <c r="R198" s="324"/>
      <c r="S198" s="324"/>
      <c r="T198" s="324"/>
      <c r="U198" s="324"/>
      <c r="V198" s="324"/>
      <c r="W198" s="324"/>
      <c r="X198" s="324"/>
      <c r="Y198" s="324"/>
      <c r="Z198" s="324"/>
      <c r="AA198" s="324"/>
      <c r="AB198" s="324"/>
      <c r="AC198" s="324"/>
      <c r="AD198" s="324"/>
      <c r="AE198" s="324"/>
      <c r="AF198" s="324"/>
      <c r="AG198" s="324"/>
      <c r="AH198" s="324"/>
      <c r="AI198" s="324"/>
      <c r="AJ198" s="324"/>
      <c r="AK198" s="324"/>
      <c r="AL198" s="324"/>
      <c r="AM198" s="324"/>
      <c r="AN198" s="324"/>
      <c r="AO198" s="324"/>
      <c r="AP198" s="324"/>
    </row>
    <row r="199" spans="1:42" ht="14.25" customHeight="1" x14ac:dyDescent="0.3">
      <c r="A199" s="324"/>
      <c r="B199" s="324"/>
      <c r="C199" s="324"/>
      <c r="D199" s="324"/>
      <c r="E199" s="324"/>
      <c r="F199" s="324"/>
      <c r="G199" s="324"/>
      <c r="H199" s="324"/>
      <c r="I199" s="324"/>
      <c r="J199" s="324"/>
      <c r="K199" s="324"/>
      <c r="L199" s="324"/>
      <c r="M199" s="324"/>
      <c r="N199" s="324"/>
      <c r="O199" s="324"/>
      <c r="P199" s="324"/>
      <c r="Q199" s="324"/>
      <c r="R199" s="324"/>
      <c r="S199" s="324"/>
      <c r="T199" s="324"/>
      <c r="U199" s="324"/>
      <c r="V199" s="324"/>
      <c r="W199" s="324"/>
      <c r="X199" s="324"/>
      <c r="Y199" s="324"/>
      <c r="Z199" s="324"/>
      <c r="AA199" s="324"/>
      <c r="AB199" s="324"/>
      <c r="AC199" s="324"/>
      <c r="AD199" s="324"/>
      <c r="AE199" s="324"/>
      <c r="AF199" s="324"/>
      <c r="AG199" s="324"/>
      <c r="AH199" s="324"/>
      <c r="AI199" s="324"/>
      <c r="AJ199" s="324"/>
      <c r="AK199" s="324"/>
      <c r="AL199" s="324"/>
      <c r="AM199" s="324"/>
      <c r="AN199" s="324"/>
      <c r="AO199" s="324"/>
      <c r="AP199" s="324"/>
    </row>
    <row r="200" spans="1:42" ht="14.25" customHeight="1" x14ac:dyDescent="0.3">
      <c r="A200" s="324"/>
      <c r="B200" s="324"/>
      <c r="C200" s="324"/>
      <c r="D200" s="324"/>
      <c r="E200" s="324"/>
      <c r="F200" s="324"/>
      <c r="G200" s="324"/>
      <c r="H200" s="324"/>
      <c r="I200" s="324"/>
      <c r="J200" s="324"/>
      <c r="K200" s="324"/>
      <c r="L200" s="324"/>
      <c r="M200" s="324"/>
      <c r="N200" s="324"/>
      <c r="O200" s="324"/>
      <c r="P200" s="324"/>
      <c r="Q200" s="324"/>
      <c r="R200" s="324"/>
      <c r="S200" s="324"/>
      <c r="T200" s="324"/>
      <c r="U200" s="324"/>
      <c r="V200" s="324"/>
      <c r="W200" s="324"/>
      <c r="X200" s="324"/>
      <c r="Y200" s="324"/>
      <c r="Z200" s="324"/>
      <c r="AA200" s="324"/>
      <c r="AB200" s="324"/>
      <c r="AC200" s="324"/>
      <c r="AD200" s="324"/>
      <c r="AE200" s="324"/>
      <c r="AF200" s="324"/>
      <c r="AG200" s="324"/>
      <c r="AH200" s="324"/>
      <c r="AI200" s="324"/>
      <c r="AJ200" s="324"/>
      <c r="AK200" s="324"/>
      <c r="AL200" s="324"/>
      <c r="AM200" s="324"/>
      <c r="AN200" s="324"/>
      <c r="AO200" s="324"/>
      <c r="AP200" s="324"/>
    </row>
    <row r="201" spans="1:42" ht="14.25" customHeight="1" x14ac:dyDescent="0.3">
      <c r="A201" s="324"/>
      <c r="B201" s="324"/>
      <c r="C201" s="324"/>
      <c r="D201" s="324"/>
      <c r="E201" s="324"/>
      <c r="F201" s="324"/>
      <c r="G201" s="324"/>
      <c r="H201" s="324"/>
      <c r="I201" s="324"/>
      <c r="J201" s="324"/>
      <c r="K201" s="324"/>
      <c r="L201" s="324"/>
      <c r="M201" s="324"/>
      <c r="N201" s="324"/>
      <c r="O201" s="324"/>
      <c r="P201" s="324"/>
      <c r="Q201" s="324"/>
      <c r="R201" s="324"/>
      <c r="S201" s="324"/>
      <c r="T201" s="324"/>
      <c r="U201" s="324"/>
      <c r="V201" s="324"/>
      <c r="W201" s="324"/>
      <c r="X201" s="324"/>
      <c r="Y201" s="324"/>
      <c r="Z201" s="324"/>
      <c r="AA201" s="324"/>
      <c r="AB201" s="324"/>
      <c r="AC201" s="324"/>
      <c r="AD201" s="324"/>
      <c r="AE201" s="324"/>
      <c r="AF201" s="324"/>
      <c r="AG201" s="324"/>
      <c r="AH201" s="324"/>
      <c r="AI201" s="324"/>
      <c r="AJ201" s="324"/>
      <c r="AK201" s="324"/>
      <c r="AL201" s="324"/>
      <c r="AM201" s="324"/>
      <c r="AN201" s="324"/>
      <c r="AO201" s="324"/>
      <c r="AP201" s="324"/>
    </row>
    <row r="202" spans="1:42" ht="14.25" customHeight="1" x14ac:dyDescent="0.3">
      <c r="A202" s="324"/>
      <c r="B202" s="324"/>
      <c r="C202" s="324"/>
      <c r="D202" s="324"/>
      <c r="E202" s="324"/>
      <c r="F202" s="324"/>
      <c r="G202" s="324"/>
      <c r="H202" s="324"/>
      <c r="I202" s="324"/>
      <c r="J202" s="324"/>
      <c r="K202" s="324"/>
      <c r="L202" s="324"/>
      <c r="M202" s="324"/>
      <c r="N202" s="324"/>
      <c r="O202" s="324"/>
      <c r="P202" s="324"/>
      <c r="Q202" s="324"/>
      <c r="R202" s="324"/>
      <c r="S202" s="324"/>
      <c r="T202" s="324"/>
      <c r="U202" s="324"/>
      <c r="V202" s="324"/>
      <c r="W202" s="324"/>
      <c r="X202" s="324"/>
      <c r="Y202" s="324"/>
      <c r="Z202" s="324"/>
      <c r="AA202" s="324"/>
      <c r="AB202" s="324"/>
      <c r="AC202" s="324"/>
      <c r="AD202" s="324"/>
      <c r="AE202" s="324"/>
      <c r="AF202" s="324"/>
      <c r="AG202" s="324"/>
      <c r="AH202" s="324"/>
      <c r="AI202" s="324"/>
      <c r="AJ202" s="324"/>
      <c r="AK202" s="324"/>
      <c r="AL202" s="324"/>
      <c r="AM202" s="324"/>
      <c r="AN202" s="324"/>
      <c r="AO202" s="324"/>
      <c r="AP202" s="324"/>
    </row>
    <row r="203" spans="1:42" ht="14.25" customHeight="1" x14ac:dyDescent="0.3">
      <c r="A203" s="324"/>
      <c r="B203" s="324"/>
      <c r="C203" s="324"/>
      <c r="D203" s="324"/>
      <c r="E203" s="324"/>
      <c r="F203" s="324"/>
      <c r="G203" s="324"/>
      <c r="H203" s="324"/>
      <c r="I203" s="324"/>
      <c r="J203" s="324"/>
      <c r="K203" s="324"/>
      <c r="L203" s="324"/>
      <c r="M203" s="324"/>
      <c r="N203" s="324"/>
      <c r="O203" s="324"/>
      <c r="P203" s="324"/>
      <c r="Q203" s="324"/>
      <c r="R203" s="324"/>
      <c r="S203" s="324"/>
      <c r="T203" s="324"/>
      <c r="U203" s="324"/>
      <c r="V203" s="324"/>
      <c r="W203" s="324"/>
      <c r="X203" s="324"/>
      <c r="Y203" s="324"/>
      <c r="Z203" s="324"/>
      <c r="AA203" s="324"/>
      <c r="AB203" s="324"/>
      <c r="AC203" s="324"/>
      <c r="AD203" s="324"/>
      <c r="AE203" s="324"/>
      <c r="AF203" s="324"/>
      <c r="AG203" s="324"/>
      <c r="AH203" s="324"/>
      <c r="AI203" s="324"/>
      <c r="AJ203" s="324"/>
      <c r="AK203" s="324"/>
      <c r="AL203" s="324"/>
      <c r="AM203" s="324"/>
      <c r="AN203" s="324"/>
      <c r="AO203" s="324"/>
      <c r="AP203" s="324"/>
    </row>
    <row r="204" spans="1:42" ht="14.25" customHeight="1" x14ac:dyDescent="0.3">
      <c r="A204" s="324"/>
      <c r="B204" s="324"/>
      <c r="C204" s="324"/>
      <c r="D204" s="324"/>
      <c r="E204" s="324"/>
      <c r="F204" s="324"/>
      <c r="G204" s="324"/>
      <c r="H204" s="324"/>
      <c r="I204" s="324"/>
      <c r="J204" s="324"/>
      <c r="K204" s="324"/>
      <c r="L204" s="324"/>
      <c r="M204" s="324"/>
      <c r="N204" s="324"/>
      <c r="O204" s="324"/>
      <c r="P204" s="324"/>
      <c r="Q204" s="324"/>
      <c r="R204" s="324"/>
      <c r="S204" s="324"/>
      <c r="T204" s="324"/>
      <c r="U204" s="324"/>
      <c r="V204" s="324"/>
      <c r="W204" s="324"/>
      <c r="X204" s="324"/>
      <c r="Y204" s="324"/>
      <c r="Z204" s="324"/>
      <c r="AA204" s="324"/>
      <c r="AB204" s="324"/>
      <c r="AC204" s="324"/>
      <c r="AD204" s="324"/>
      <c r="AE204" s="324"/>
      <c r="AF204" s="324"/>
      <c r="AG204" s="324"/>
      <c r="AH204" s="324"/>
      <c r="AI204" s="324"/>
      <c r="AJ204" s="324"/>
      <c r="AK204" s="324"/>
      <c r="AL204" s="324"/>
      <c r="AM204" s="324"/>
      <c r="AN204" s="324"/>
      <c r="AO204" s="324"/>
      <c r="AP204" s="324"/>
    </row>
    <row r="205" spans="1:42" ht="14.25" customHeight="1" x14ac:dyDescent="0.3">
      <c r="A205" s="324"/>
      <c r="B205" s="324"/>
      <c r="C205" s="324"/>
      <c r="D205" s="324"/>
      <c r="E205" s="324"/>
      <c r="F205" s="324"/>
      <c r="G205" s="324"/>
      <c r="H205" s="324"/>
      <c r="I205" s="324"/>
      <c r="J205" s="324"/>
      <c r="K205" s="324"/>
      <c r="L205" s="324"/>
      <c r="M205" s="324"/>
      <c r="N205" s="324"/>
      <c r="O205" s="324"/>
      <c r="P205" s="324"/>
      <c r="Q205" s="324"/>
      <c r="R205" s="324"/>
      <c r="S205" s="324"/>
      <c r="T205" s="324"/>
      <c r="U205" s="324"/>
      <c r="V205" s="324"/>
      <c r="W205" s="324"/>
      <c r="X205" s="324"/>
      <c r="Y205" s="324"/>
      <c r="Z205" s="324"/>
      <c r="AA205" s="324"/>
      <c r="AB205" s="324"/>
      <c r="AC205" s="324"/>
      <c r="AD205" s="324"/>
      <c r="AE205" s="324"/>
      <c r="AF205" s="324"/>
      <c r="AG205" s="324"/>
      <c r="AH205" s="324"/>
      <c r="AI205" s="324"/>
      <c r="AJ205" s="324"/>
      <c r="AK205" s="324"/>
      <c r="AL205" s="324"/>
      <c r="AM205" s="324"/>
      <c r="AN205" s="324"/>
      <c r="AO205" s="324"/>
      <c r="AP205" s="324"/>
    </row>
    <row r="206" spans="1:42" ht="14.25" customHeight="1" x14ac:dyDescent="0.3">
      <c r="A206" s="324"/>
      <c r="B206" s="324"/>
      <c r="C206" s="324"/>
      <c r="D206" s="324"/>
      <c r="E206" s="324"/>
      <c r="F206" s="324"/>
      <c r="G206" s="324"/>
      <c r="H206" s="324"/>
      <c r="I206" s="324"/>
      <c r="J206" s="324"/>
      <c r="K206" s="324"/>
      <c r="L206" s="324"/>
      <c r="M206" s="324"/>
      <c r="N206" s="324"/>
      <c r="O206" s="324"/>
      <c r="P206" s="324"/>
      <c r="Q206" s="324"/>
      <c r="R206" s="324"/>
      <c r="S206" s="324"/>
      <c r="T206" s="324"/>
      <c r="U206" s="324"/>
      <c r="V206" s="324"/>
      <c r="W206" s="324"/>
      <c r="X206" s="324"/>
      <c r="Y206" s="324"/>
      <c r="Z206" s="324"/>
      <c r="AA206" s="324"/>
      <c r="AB206" s="324"/>
      <c r="AC206" s="324"/>
      <c r="AD206" s="324"/>
      <c r="AE206" s="324"/>
      <c r="AF206" s="324"/>
      <c r="AG206" s="324"/>
      <c r="AH206" s="324"/>
      <c r="AI206" s="324"/>
      <c r="AJ206" s="324"/>
      <c r="AK206" s="324"/>
      <c r="AL206" s="324"/>
      <c r="AM206" s="324"/>
      <c r="AN206" s="324"/>
      <c r="AO206" s="324"/>
      <c r="AP206" s="324"/>
    </row>
    <row r="207" spans="1:42" ht="14.25" customHeight="1" x14ac:dyDescent="0.3">
      <c r="A207" s="324"/>
      <c r="B207" s="324"/>
      <c r="C207" s="324"/>
      <c r="D207" s="324"/>
      <c r="E207" s="324"/>
      <c r="F207" s="324"/>
      <c r="G207" s="324"/>
      <c r="H207" s="324"/>
      <c r="I207" s="324"/>
      <c r="J207" s="324"/>
      <c r="K207" s="324"/>
      <c r="L207" s="324"/>
      <c r="M207" s="324"/>
      <c r="N207" s="324"/>
      <c r="O207" s="324"/>
      <c r="P207" s="324"/>
      <c r="Q207" s="324"/>
      <c r="R207" s="324"/>
      <c r="S207" s="324"/>
      <c r="T207" s="324"/>
      <c r="U207" s="324"/>
      <c r="V207" s="324"/>
      <c r="W207" s="324"/>
      <c r="X207" s="324"/>
      <c r="Y207" s="324"/>
      <c r="Z207" s="324"/>
      <c r="AA207" s="324"/>
      <c r="AB207" s="324"/>
      <c r="AC207" s="324"/>
      <c r="AD207" s="324"/>
      <c r="AE207" s="324"/>
      <c r="AF207" s="324"/>
      <c r="AG207" s="324"/>
      <c r="AH207" s="324"/>
      <c r="AI207" s="324"/>
      <c r="AJ207" s="324"/>
      <c r="AK207" s="324"/>
      <c r="AL207" s="324"/>
      <c r="AM207" s="324"/>
      <c r="AN207" s="324"/>
      <c r="AO207" s="324"/>
      <c r="AP207" s="324"/>
    </row>
    <row r="208" spans="1:42" ht="14.25" customHeight="1" x14ac:dyDescent="0.3">
      <c r="A208" s="324"/>
      <c r="B208" s="324"/>
      <c r="C208" s="324"/>
      <c r="D208" s="324"/>
      <c r="E208" s="324"/>
      <c r="F208" s="324"/>
      <c r="G208" s="324"/>
      <c r="H208" s="324"/>
      <c r="I208" s="324"/>
      <c r="J208" s="324"/>
      <c r="K208" s="324"/>
      <c r="L208" s="324"/>
      <c r="M208" s="324"/>
      <c r="N208" s="324"/>
      <c r="O208" s="324"/>
      <c r="P208" s="324"/>
      <c r="Q208" s="324"/>
      <c r="R208" s="324"/>
      <c r="S208" s="324"/>
      <c r="T208" s="324"/>
      <c r="U208" s="324"/>
      <c r="V208" s="324"/>
      <c r="W208" s="324"/>
      <c r="X208" s="324"/>
      <c r="Y208" s="324"/>
      <c r="Z208" s="324"/>
      <c r="AA208" s="324"/>
      <c r="AB208" s="324"/>
      <c r="AC208" s="324"/>
      <c r="AD208" s="324"/>
      <c r="AE208" s="324"/>
      <c r="AF208" s="324"/>
      <c r="AG208" s="324"/>
      <c r="AH208" s="324"/>
      <c r="AI208" s="324"/>
      <c r="AJ208" s="324"/>
      <c r="AK208" s="324"/>
      <c r="AL208" s="324"/>
      <c r="AM208" s="324"/>
      <c r="AN208" s="324"/>
      <c r="AO208" s="324"/>
      <c r="AP208" s="324"/>
    </row>
    <row r="209" spans="1:42" ht="14.25" customHeight="1" x14ac:dyDescent="0.3">
      <c r="A209" s="324"/>
      <c r="B209" s="324"/>
      <c r="C209" s="324"/>
      <c r="D209" s="324"/>
      <c r="E209" s="324"/>
      <c r="F209" s="324"/>
      <c r="G209" s="324"/>
      <c r="H209" s="324"/>
      <c r="I209" s="324"/>
      <c r="J209" s="324"/>
      <c r="K209" s="324"/>
      <c r="L209" s="324"/>
      <c r="M209" s="324"/>
      <c r="N209" s="324"/>
      <c r="O209" s="324"/>
      <c r="P209" s="324"/>
      <c r="Q209" s="324"/>
      <c r="R209" s="324"/>
      <c r="S209" s="324"/>
      <c r="T209" s="324"/>
      <c r="U209" s="324"/>
      <c r="V209" s="324"/>
      <c r="W209" s="324"/>
      <c r="X209" s="324"/>
      <c r="Y209" s="324"/>
      <c r="Z209" s="324"/>
      <c r="AA209" s="324"/>
      <c r="AB209" s="324"/>
      <c r="AC209" s="324"/>
      <c r="AD209" s="324"/>
      <c r="AE209" s="324"/>
      <c r="AF209" s="324"/>
      <c r="AG209" s="324"/>
      <c r="AH209" s="324"/>
      <c r="AI209" s="324"/>
      <c r="AJ209" s="324"/>
      <c r="AK209" s="324"/>
      <c r="AL209" s="324"/>
      <c r="AM209" s="324"/>
      <c r="AN209" s="324"/>
      <c r="AO209" s="324"/>
      <c r="AP209" s="324"/>
    </row>
    <row r="210" spans="1:42" ht="14.25" customHeight="1" x14ac:dyDescent="0.3">
      <c r="A210" s="324"/>
      <c r="B210" s="324"/>
      <c r="C210" s="324"/>
      <c r="D210" s="324"/>
      <c r="E210" s="324"/>
      <c r="F210" s="324"/>
      <c r="G210" s="324"/>
      <c r="H210" s="324"/>
      <c r="I210" s="324"/>
      <c r="J210" s="324"/>
      <c r="K210" s="324"/>
      <c r="L210" s="324"/>
      <c r="M210" s="324"/>
      <c r="N210" s="324"/>
      <c r="O210" s="324"/>
      <c r="P210" s="324"/>
      <c r="Q210" s="324"/>
      <c r="R210" s="324"/>
      <c r="S210" s="324"/>
      <c r="T210" s="324"/>
      <c r="U210" s="324"/>
      <c r="V210" s="324"/>
      <c r="W210" s="324"/>
      <c r="X210" s="324"/>
      <c r="Y210" s="324"/>
      <c r="Z210" s="324"/>
      <c r="AA210" s="324"/>
      <c r="AB210" s="324"/>
      <c r="AC210" s="324"/>
      <c r="AD210" s="324"/>
      <c r="AE210" s="324"/>
      <c r="AF210" s="324"/>
      <c r="AG210" s="324"/>
      <c r="AH210" s="324"/>
      <c r="AI210" s="324"/>
      <c r="AJ210" s="324"/>
      <c r="AK210" s="324"/>
      <c r="AL210" s="324"/>
      <c r="AM210" s="324"/>
      <c r="AN210" s="324"/>
      <c r="AO210" s="324"/>
      <c r="AP210" s="324"/>
    </row>
    <row r="211" spans="1:42" ht="14.25" customHeight="1" x14ac:dyDescent="0.3">
      <c r="A211" s="324"/>
      <c r="B211" s="324"/>
      <c r="C211" s="324"/>
      <c r="D211" s="324"/>
      <c r="E211" s="324"/>
      <c r="F211" s="324"/>
      <c r="G211" s="324"/>
      <c r="H211" s="324"/>
      <c r="I211" s="324"/>
      <c r="J211" s="324"/>
      <c r="K211" s="324"/>
      <c r="L211" s="324"/>
      <c r="M211" s="324"/>
      <c r="N211" s="324"/>
      <c r="O211" s="324"/>
      <c r="P211" s="324"/>
      <c r="Q211" s="324"/>
      <c r="R211" s="324"/>
      <c r="S211" s="324"/>
      <c r="T211" s="324"/>
      <c r="U211" s="324"/>
      <c r="V211" s="324"/>
      <c r="W211" s="324"/>
      <c r="X211" s="324"/>
      <c r="Y211" s="324"/>
      <c r="Z211" s="324"/>
      <c r="AA211" s="324"/>
      <c r="AB211" s="324"/>
      <c r="AC211" s="324"/>
      <c r="AD211" s="324"/>
      <c r="AE211" s="324"/>
      <c r="AF211" s="324"/>
      <c r="AG211" s="324"/>
      <c r="AH211" s="324"/>
      <c r="AI211" s="324"/>
      <c r="AJ211" s="324"/>
      <c r="AK211" s="324"/>
      <c r="AL211" s="324"/>
      <c r="AM211" s="324"/>
      <c r="AN211" s="324"/>
      <c r="AO211" s="324"/>
      <c r="AP211" s="324"/>
    </row>
    <row r="212" spans="1:42" ht="14.25" customHeight="1" x14ac:dyDescent="0.3">
      <c r="A212" s="324"/>
      <c r="B212" s="324"/>
      <c r="C212" s="324"/>
      <c r="D212" s="324"/>
      <c r="E212" s="324"/>
      <c r="F212" s="324"/>
      <c r="G212" s="324"/>
      <c r="H212" s="324"/>
      <c r="I212" s="324"/>
      <c r="J212" s="324"/>
      <c r="K212" s="324"/>
      <c r="L212" s="324"/>
      <c r="M212" s="324"/>
      <c r="N212" s="324"/>
      <c r="O212" s="324"/>
      <c r="P212" s="324"/>
      <c r="Q212" s="324"/>
      <c r="R212" s="324"/>
      <c r="S212" s="324"/>
      <c r="T212" s="324"/>
      <c r="U212" s="324"/>
      <c r="V212" s="324"/>
      <c r="W212" s="324"/>
      <c r="X212" s="324"/>
      <c r="Y212" s="324"/>
      <c r="Z212" s="324"/>
      <c r="AA212" s="324"/>
      <c r="AB212" s="324"/>
      <c r="AC212" s="324"/>
      <c r="AD212" s="324"/>
      <c r="AE212" s="324"/>
      <c r="AF212" s="324"/>
      <c r="AG212" s="324"/>
      <c r="AH212" s="324"/>
      <c r="AI212" s="324"/>
      <c r="AJ212" s="324"/>
      <c r="AK212" s="324"/>
      <c r="AL212" s="324"/>
      <c r="AM212" s="324"/>
      <c r="AN212" s="324"/>
      <c r="AO212" s="324"/>
      <c r="AP212" s="324"/>
    </row>
    <row r="213" spans="1:42" ht="14.25" customHeight="1" x14ac:dyDescent="0.3">
      <c r="A213" s="324"/>
      <c r="B213" s="324"/>
      <c r="C213" s="324"/>
      <c r="D213" s="324"/>
      <c r="E213" s="324"/>
      <c r="F213" s="324"/>
      <c r="G213" s="324"/>
      <c r="H213" s="324"/>
      <c r="I213" s="324"/>
      <c r="J213" s="324"/>
      <c r="K213" s="324"/>
      <c r="L213" s="324"/>
      <c r="M213" s="324"/>
      <c r="N213" s="324"/>
      <c r="O213" s="324"/>
      <c r="P213" s="324"/>
      <c r="Q213" s="324"/>
      <c r="R213" s="324"/>
      <c r="S213" s="324"/>
      <c r="T213" s="324"/>
      <c r="U213" s="324"/>
      <c r="V213" s="324"/>
      <c r="W213" s="324"/>
      <c r="X213" s="324"/>
      <c r="Y213" s="324"/>
      <c r="Z213" s="324"/>
      <c r="AA213" s="324"/>
      <c r="AB213" s="324"/>
      <c r="AC213" s="324"/>
      <c r="AD213" s="324"/>
      <c r="AE213" s="324"/>
      <c r="AF213" s="324"/>
      <c r="AG213" s="324"/>
      <c r="AH213" s="324"/>
      <c r="AI213" s="324"/>
      <c r="AJ213" s="324"/>
      <c r="AK213" s="324"/>
      <c r="AL213" s="324"/>
      <c r="AM213" s="324"/>
      <c r="AN213" s="324"/>
      <c r="AO213" s="324"/>
      <c r="AP213" s="324"/>
    </row>
    <row r="214" spans="1:42" ht="14.25" customHeight="1" x14ac:dyDescent="0.3">
      <c r="A214" s="324"/>
      <c r="B214" s="324"/>
      <c r="C214" s="324"/>
      <c r="D214" s="324"/>
      <c r="E214" s="324"/>
      <c r="F214" s="324"/>
      <c r="G214" s="324"/>
      <c r="H214" s="324"/>
      <c r="I214" s="324"/>
      <c r="J214" s="324"/>
      <c r="K214" s="324"/>
      <c r="L214" s="324"/>
      <c r="M214" s="324"/>
      <c r="N214" s="324"/>
      <c r="O214" s="324"/>
      <c r="P214" s="324"/>
      <c r="Q214" s="324"/>
      <c r="R214" s="324"/>
      <c r="S214" s="324"/>
      <c r="T214" s="324"/>
      <c r="U214" s="324"/>
      <c r="V214" s="324"/>
      <c r="W214" s="324"/>
      <c r="X214" s="324"/>
      <c r="Y214" s="324"/>
      <c r="Z214" s="324"/>
      <c r="AA214" s="324"/>
      <c r="AB214" s="324"/>
      <c r="AC214" s="324"/>
      <c r="AD214" s="324"/>
      <c r="AE214" s="324"/>
      <c r="AF214" s="324"/>
      <c r="AG214" s="324"/>
      <c r="AH214" s="324"/>
      <c r="AI214" s="324"/>
      <c r="AJ214" s="324"/>
      <c r="AK214" s="324"/>
      <c r="AL214" s="324"/>
      <c r="AM214" s="324"/>
      <c r="AN214" s="324"/>
      <c r="AO214" s="324"/>
      <c r="AP214" s="324"/>
    </row>
    <row r="215" spans="1:42" ht="14.25" customHeight="1" x14ac:dyDescent="0.3">
      <c r="A215" s="324"/>
      <c r="B215" s="324"/>
      <c r="C215" s="324"/>
      <c r="D215" s="324"/>
      <c r="E215" s="324"/>
      <c r="F215" s="324"/>
      <c r="G215" s="324"/>
      <c r="H215" s="324"/>
      <c r="I215" s="324"/>
      <c r="J215" s="324"/>
      <c r="K215" s="324"/>
      <c r="L215" s="324"/>
      <c r="M215" s="324"/>
      <c r="N215" s="324"/>
      <c r="O215" s="324"/>
      <c r="P215" s="324"/>
      <c r="Q215" s="324"/>
      <c r="R215" s="324"/>
      <c r="S215" s="324"/>
      <c r="T215" s="324"/>
      <c r="U215" s="324"/>
      <c r="V215" s="324"/>
      <c r="W215" s="324"/>
      <c r="X215" s="324"/>
      <c r="Y215" s="324"/>
      <c r="Z215" s="324"/>
      <c r="AA215" s="324"/>
      <c r="AB215" s="324"/>
      <c r="AC215" s="324"/>
      <c r="AD215" s="324"/>
      <c r="AE215" s="324"/>
      <c r="AF215" s="324"/>
      <c r="AG215" s="324"/>
      <c r="AH215" s="324"/>
      <c r="AI215" s="324"/>
      <c r="AJ215" s="324"/>
      <c r="AK215" s="324"/>
      <c r="AL215" s="324"/>
      <c r="AM215" s="324"/>
      <c r="AN215" s="324"/>
      <c r="AO215" s="324"/>
      <c r="AP215" s="324"/>
    </row>
    <row r="216" spans="1:42" ht="14.25" customHeight="1" x14ac:dyDescent="0.3">
      <c r="A216" s="324"/>
      <c r="B216" s="324"/>
      <c r="C216" s="324"/>
      <c r="D216" s="324"/>
      <c r="E216" s="324"/>
      <c r="F216" s="324"/>
      <c r="G216" s="324"/>
      <c r="H216" s="324"/>
      <c r="I216" s="324"/>
      <c r="J216" s="324"/>
      <c r="K216" s="324"/>
      <c r="L216" s="324"/>
      <c r="M216" s="324"/>
      <c r="N216" s="324"/>
      <c r="O216" s="324"/>
      <c r="P216" s="324"/>
      <c r="Q216" s="324"/>
      <c r="R216" s="324"/>
      <c r="S216" s="324"/>
      <c r="T216" s="324"/>
      <c r="U216" s="324"/>
      <c r="V216" s="324"/>
      <c r="W216" s="324"/>
      <c r="X216" s="324"/>
      <c r="Y216" s="324"/>
      <c r="Z216" s="324"/>
      <c r="AA216" s="324"/>
      <c r="AB216" s="324"/>
      <c r="AC216" s="324"/>
      <c r="AD216" s="324"/>
      <c r="AE216" s="324"/>
      <c r="AF216" s="324"/>
      <c r="AG216" s="324"/>
      <c r="AH216" s="324"/>
      <c r="AI216" s="324"/>
      <c r="AJ216" s="324"/>
      <c r="AK216" s="324"/>
      <c r="AL216" s="324"/>
      <c r="AM216" s="324"/>
      <c r="AN216" s="324"/>
      <c r="AO216" s="324"/>
      <c r="AP216" s="324"/>
    </row>
    <row r="217" spans="1:42" ht="14.25" customHeight="1" x14ac:dyDescent="0.3">
      <c r="A217" s="324"/>
      <c r="B217" s="324"/>
      <c r="C217" s="324"/>
      <c r="D217" s="324"/>
      <c r="E217" s="324"/>
      <c r="F217" s="324"/>
      <c r="G217" s="324"/>
      <c r="H217" s="324"/>
      <c r="I217" s="324"/>
      <c r="J217" s="324"/>
      <c r="K217" s="324"/>
      <c r="L217" s="324"/>
      <c r="M217" s="324"/>
      <c r="N217" s="324"/>
      <c r="O217" s="324"/>
      <c r="P217" s="324"/>
      <c r="Q217" s="324"/>
      <c r="R217" s="324"/>
      <c r="S217" s="324"/>
      <c r="T217" s="324"/>
      <c r="U217" s="324"/>
      <c r="V217" s="324"/>
      <c r="W217" s="324"/>
      <c r="X217" s="324"/>
      <c r="Y217" s="324"/>
      <c r="Z217" s="324"/>
      <c r="AA217" s="324"/>
      <c r="AB217" s="324"/>
      <c r="AC217" s="324"/>
      <c r="AD217" s="324"/>
      <c r="AE217" s="324"/>
      <c r="AF217" s="324"/>
      <c r="AG217" s="324"/>
      <c r="AH217" s="324"/>
      <c r="AI217" s="324"/>
      <c r="AJ217" s="324"/>
      <c r="AK217" s="324"/>
      <c r="AL217" s="324"/>
      <c r="AM217" s="324"/>
      <c r="AN217" s="324"/>
      <c r="AO217" s="324"/>
      <c r="AP217" s="324"/>
    </row>
    <row r="218" spans="1:42" ht="14.25" customHeight="1" x14ac:dyDescent="0.3">
      <c r="A218" s="324"/>
      <c r="B218" s="324"/>
      <c r="C218" s="324"/>
      <c r="D218" s="324"/>
      <c r="E218" s="324"/>
      <c r="F218" s="324"/>
      <c r="G218" s="324"/>
      <c r="H218" s="324"/>
      <c r="I218" s="324"/>
      <c r="J218" s="324"/>
      <c r="K218" s="324"/>
      <c r="L218" s="324"/>
      <c r="M218" s="324"/>
      <c r="N218" s="324"/>
      <c r="O218" s="324"/>
      <c r="P218" s="324"/>
      <c r="Q218" s="324"/>
      <c r="R218" s="324"/>
      <c r="S218" s="324"/>
      <c r="T218" s="324"/>
      <c r="U218" s="324"/>
      <c r="V218" s="324"/>
      <c r="W218" s="324"/>
      <c r="X218" s="324"/>
      <c r="Y218" s="324"/>
      <c r="Z218" s="324"/>
      <c r="AA218" s="324"/>
      <c r="AB218" s="324"/>
      <c r="AC218" s="324"/>
      <c r="AD218" s="324"/>
      <c r="AE218" s="324"/>
      <c r="AF218" s="324"/>
      <c r="AG218" s="324"/>
      <c r="AH218" s="324"/>
      <c r="AI218" s="324"/>
      <c r="AJ218" s="324"/>
      <c r="AK218" s="324"/>
      <c r="AL218" s="324"/>
      <c r="AM218" s="324"/>
      <c r="AN218" s="324"/>
      <c r="AO218" s="324"/>
      <c r="AP218" s="324"/>
    </row>
    <row r="219" spans="1:42" ht="14.25" customHeight="1" x14ac:dyDescent="0.3">
      <c r="A219" s="324"/>
      <c r="B219" s="324"/>
      <c r="C219" s="324"/>
      <c r="D219" s="324"/>
      <c r="E219" s="324"/>
      <c r="F219" s="324"/>
      <c r="G219" s="324"/>
      <c r="H219" s="324"/>
      <c r="I219" s="324"/>
      <c r="J219" s="324"/>
      <c r="K219" s="324"/>
      <c r="L219" s="324"/>
      <c r="M219" s="324"/>
      <c r="N219" s="324"/>
      <c r="O219" s="324"/>
      <c r="P219" s="324"/>
      <c r="Q219" s="324"/>
      <c r="R219" s="324"/>
      <c r="S219" s="324"/>
      <c r="T219" s="324"/>
      <c r="U219" s="324"/>
      <c r="V219" s="324"/>
      <c r="W219" s="324"/>
      <c r="X219" s="324"/>
      <c r="Y219" s="324"/>
      <c r="Z219" s="324"/>
      <c r="AA219" s="324"/>
      <c r="AB219" s="324"/>
      <c r="AC219" s="324"/>
      <c r="AD219" s="324"/>
      <c r="AE219" s="324"/>
      <c r="AF219" s="324"/>
      <c r="AG219" s="324"/>
      <c r="AH219" s="324"/>
      <c r="AI219" s="324"/>
      <c r="AJ219" s="324"/>
      <c r="AK219" s="324"/>
      <c r="AL219" s="324"/>
      <c r="AM219" s="324"/>
      <c r="AN219" s="324"/>
      <c r="AO219" s="324"/>
      <c r="AP219" s="324"/>
    </row>
    <row r="220" spans="1:42" ht="14.25" customHeight="1" x14ac:dyDescent="0.3">
      <c r="A220" s="324"/>
      <c r="B220" s="324"/>
      <c r="C220" s="324"/>
      <c r="D220" s="324"/>
      <c r="E220" s="324"/>
      <c r="F220" s="324"/>
      <c r="G220" s="324"/>
      <c r="H220" s="324"/>
      <c r="I220" s="324"/>
      <c r="J220" s="324"/>
      <c r="K220" s="324"/>
      <c r="L220" s="324"/>
      <c r="M220" s="324"/>
      <c r="N220" s="324"/>
      <c r="O220" s="324"/>
      <c r="P220" s="324"/>
      <c r="Q220" s="324"/>
      <c r="R220" s="324"/>
      <c r="S220" s="324"/>
      <c r="T220" s="324"/>
      <c r="U220" s="324"/>
      <c r="V220" s="324"/>
      <c r="W220" s="324"/>
      <c r="X220" s="324"/>
      <c r="Y220" s="324"/>
      <c r="Z220" s="324"/>
      <c r="AA220" s="324"/>
      <c r="AB220" s="324"/>
      <c r="AC220" s="324"/>
      <c r="AD220" s="324"/>
      <c r="AE220" s="324"/>
      <c r="AF220" s="324"/>
      <c r="AG220" s="324"/>
      <c r="AH220" s="324"/>
      <c r="AI220" s="324"/>
      <c r="AJ220" s="324"/>
      <c r="AK220" s="324"/>
      <c r="AL220" s="324"/>
      <c r="AM220" s="324"/>
      <c r="AN220" s="324"/>
      <c r="AO220" s="324"/>
      <c r="AP220" s="324"/>
    </row>
    <row r="221" spans="1:42" ht="14.25" customHeight="1" x14ac:dyDescent="0.3">
      <c r="A221" s="324"/>
      <c r="B221" s="324"/>
      <c r="C221" s="324"/>
      <c r="D221" s="324"/>
      <c r="E221" s="324"/>
      <c r="F221" s="324"/>
      <c r="G221" s="324"/>
      <c r="H221" s="324"/>
      <c r="I221" s="324"/>
      <c r="J221" s="324"/>
      <c r="K221" s="324"/>
      <c r="L221" s="324"/>
      <c r="M221" s="324"/>
      <c r="N221" s="324"/>
      <c r="O221" s="324"/>
      <c r="P221" s="324"/>
      <c r="Q221" s="324"/>
      <c r="R221" s="324"/>
      <c r="S221" s="324"/>
      <c r="T221" s="324"/>
      <c r="U221" s="324"/>
      <c r="V221" s="324"/>
      <c r="W221" s="324"/>
      <c r="X221" s="324"/>
      <c r="Y221" s="324"/>
      <c r="Z221" s="324"/>
      <c r="AA221" s="324"/>
      <c r="AB221" s="324"/>
      <c r="AC221" s="324"/>
      <c r="AD221" s="324"/>
      <c r="AE221" s="324"/>
      <c r="AF221" s="324"/>
      <c r="AG221" s="324"/>
      <c r="AH221" s="324"/>
      <c r="AI221" s="324"/>
      <c r="AJ221" s="324"/>
      <c r="AK221" s="324"/>
      <c r="AL221" s="324"/>
      <c r="AM221" s="324"/>
      <c r="AN221" s="324"/>
      <c r="AO221" s="324"/>
      <c r="AP221" s="324"/>
    </row>
    <row r="222" spans="1:42" ht="14.25" customHeight="1" x14ac:dyDescent="0.3">
      <c r="A222" s="324"/>
      <c r="B222" s="324"/>
      <c r="C222" s="324"/>
      <c r="D222" s="324"/>
      <c r="E222" s="324"/>
      <c r="F222" s="324"/>
      <c r="G222" s="324"/>
      <c r="H222" s="324"/>
      <c r="I222" s="324"/>
      <c r="J222" s="324"/>
      <c r="K222" s="324"/>
      <c r="L222" s="324"/>
      <c r="M222" s="324"/>
      <c r="N222" s="324"/>
      <c r="O222" s="324"/>
      <c r="P222" s="324"/>
      <c r="Q222" s="324"/>
      <c r="R222" s="324"/>
      <c r="S222" s="324"/>
      <c r="T222" s="324"/>
      <c r="U222" s="324"/>
      <c r="V222" s="324"/>
      <c r="W222" s="324"/>
      <c r="X222" s="324"/>
      <c r="Y222" s="324"/>
      <c r="Z222" s="324"/>
      <c r="AA222" s="324"/>
      <c r="AB222" s="324"/>
      <c r="AC222" s="324"/>
      <c r="AD222" s="324"/>
      <c r="AE222" s="324"/>
      <c r="AF222" s="324"/>
      <c r="AG222" s="324"/>
      <c r="AH222" s="324"/>
      <c r="AI222" s="324"/>
      <c r="AJ222" s="324"/>
      <c r="AK222" s="324"/>
      <c r="AL222" s="324"/>
      <c r="AM222" s="324"/>
      <c r="AN222" s="324"/>
      <c r="AO222" s="324"/>
      <c r="AP222" s="324"/>
    </row>
    <row r="223" spans="1:42" ht="14.25" customHeight="1" x14ac:dyDescent="0.3">
      <c r="A223" s="324"/>
      <c r="B223" s="324"/>
      <c r="C223" s="324"/>
      <c r="D223" s="324"/>
      <c r="E223" s="324"/>
      <c r="F223" s="324"/>
      <c r="G223" s="324"/>
      <c r="H223" s="324"/>
      <c r="I223" s="324"/>
      <c r="J223" s="324"/>
      <c r="K223" s="324"/>
      <c r="L223" s="324"/>
      <c r="M223" s="324"/>
      <c r="N223" s="324"/>
      <c r="O223" s="324"/>
      <c r="P223" s="324"/>
      <c r="Q223" s="324"/>
      <c r="R223" s="324"/>
      <c r="S223" s="324"/>
      <c r="T223" s="324"/>
      <c r="U223" s="324"/>
      <c r="V223" s="324"/>
      <c r="W223" s="324"/>
      <c r="X223" s="324"/>
      <c r="Y223" s="324"/>
      <c r="Z223" s="324"/>
      <c r="AA223" s="324"/>
      <c r="AB223" s="324"/>
      <c r="AC223" s="324"/>
      <c r="AD223" s="324"/>
      <c r="AE223" s="324"/>
      <c r="AF223" s="324"/>
      <c r="AG223" s="324"/>
      <c r="AH223" s="324"/>
      <c r="AI223" s="324"/>
      <c r="AJ223" s="324"/>
      <c r="AK223" s="324"/>
      <c r="AL223" s="324"/>
      <c r="AM223" s="324"/>
      <c r="AN223" s="324"/>
      <c r="AO223" s="324"/>
      <c r="AP223" s="324"/>
    </row>
    <row r="224" spans="1:42" ht="14.25" customHeight="1" x14ac:dyDescent="0.3">
      <c r="A224" s="324"/>
      <c r="B224" s="324"/>
      <c r="C224" s="324"/>
      <c r="D224" s="324"/>
      <c r="E224" s="324"/>
      <c r="F224" s="324"/>
      <c r="G224" s="324"/>
      <c r="H224" s="324"/>
      <c r="I224" s="324"/>
      <c r="J224" s="324"/>
      <c r="K224" s="324"/>
      <c r="L224" s="324"/>
      <c r="M224" s="324"/>
      <c r="N224" s="324"/>
      <c r="O224" s="324"/>
      <c r="P224" s="324"/>
      <c r="Q224" s="324"/>
      <c r="R224" s="324"/>
      <c r="S224" s="324"/>
      <c r="T224" s="324"/>
      <c r="U224" s="324"/>
      <c r="V224" s="324"/>
      <c r="W224" s="324"/>
      <c r="X224" s="324"/>
      <c r="Y224" s="324"/>
      <c r="Z224" s="324"/>
      <c r="AA224" s="324"/>
      <c r="AB224" s="324"/>
      <c r="AC224" s="324"/>
      <c r="AD224" s="324"/>
      <c r="AE224" s="324"/>
      <c r="AF224" s="324"/>
      <c r="AG224" s="324"/>
      <c r="AH224" s="324"/>
      <c r="AI224" s="324"/>
      <c r="AJ224" s="324"/>
      <c r="AK224" s="324"/>
      <c r="AL224" s="324"/>
      <c r="AM224" s="324"/>
      <c r="AN224" s="324"/>
      <c r="AO224" s="324"/>
      <c r="AP224" s="324"/>
    </row>
    <row r="225" spans="1:42" ht="14.25" customHeight="1" x14ac:dyDescent="0.3">
      <c r="A225" s="324"/>
      <c r="B225" s="324"/>
      <c r="C225" s="324"/>
      <c r="D225" s="324"/>
      <c r="E225" s="324"/>
      <c r="F225" s="324"/>
      <c r="G225" s="324"/>
      <c r="H225" s="324"/>
      <c r="I225" s="324"/>
      <c r="J225" s="324"/>
      <c r="K225" s="324"/>
      <c r="L225" s="324"/>
      <c r="M225" s="324"/>
      <c r="N225" s="324"/>
      <c r="O225" s="324"/>
      <c r="P225" s="324"/>
      <c r="Q225" s="324"/>
      <c r="R225" s="324"/>
      <c r="S225" s="324"/>
      <c r="T225" s="324"/>
      <c r="U225" s="324"/>
      <c r="V225" s="324"/>
      <c r="W225" s="324"/>
      <c r="X225" s="324"/>
      <c r="Y225" s="324"/>
      <c r="Z225" s="324"/>
      <c r="AA225" s="324"/>
      <c r="AB225" s="324"/>
      <c r="AC225" s="324"/>
      <c r="AD225" s="324"/>
      <c r="AE225" s="324"/>
      <c r="AF225" s="324"/>
      <c r="AG225" s="324"/>
      <c r="AH225" s="324"/>
      <c r="AI225" s="324"/>
      <c r="AJ225" s="324"/>
      <c r="AK225" s="324"/>
      <c r="AL225" s="324"/>
      <c r="AM225" s="324"/>
      <c r="AN225" s="324"/>
      <c r="AO225" s="324"/>
      <c r="AP225" s="324"/>
    </row>
    <row r="226" spans="1:42" ht="14.25" customHeight="1" x14ac:dyDescent="0.3">
      <c r="A226" s="324"/>
      <c r="B226" s="324"/>
      <c r="C226" s="324"/>
      <c r="D226" s="324"/>
      <c r="E226" s="324"/>
      <c r="F226" s="324"/>
      <c r="G226" s="324"/>
      <c r="H226" s="324"/>
      <c r="I226" s="324"/>
      <c r="J226" s="324"/>
      <c r="K226" s="324"/>
      <c r="L226" s="324"/>
      <c r="M226" s="324"/>
      <c r="N226" s="324"/>
      <c r="O226" s="324"/>
      <c r="P226" s="324"/>
      <c r="Q226" s="324"/>
      <c r="R226" s="324"/>
      <c r="S226" s="324"/>
      <c r="T226" s="324"/>
      <c r="U226" s="324"/>
      <c r="V226" s="324"/>
      <c r="W226" s="324"/>
      <c r="X226" s="324"/>
      <c r="Y226" s="324"/>
      <c r="Z226" s="324"/>
      <c r="AA226" s="324"/>
      <c r="AB226" s="324"/>
      <c r="AC226" s="324"/>
      <c r="AD226" s="324"/>
      <c r="AE226" s="324"/>
      <c r="AF226" s="324"/>
      <c r="AG226" s="324"/>
      <c r="AH226" s="324"/>
      <c r="AI226" s="324"/>
      <c r="AJ226" s="324"/>
      <c r="AK226" s="324"/>
      <c r="AL226" s="324"/>
      <c r="AM226" s="324"/>
      <c r="AN226" s="324"/>
      <c r="AO226" s="324"/>
      <c r="AP226" s="324"/>
    </row>
    <row r="227" spans="1:42" ht="14.25" customHeight="1" x14ac:dyDescent="0.3">
      <c r="A227" s="324"/>
      <c r="B227" s="324"/>
      <c r="C227" s="324"/>
      <c r="D227" s="324"/>
      <c r="E227" s="324"/>
      <c r="F227" s="324"/>
      <c r="G227" s="324"/>
      <c r="H227" s="324"/>
      <c r="I227" s="324"/>
      <c r="J227" s="324"/>
      <c r="K227" s="324"/>
      <c r="L227" s="324"/>
      <c r="M227" s="324"/>
      <c r="N227" s="324"/>
      <c r="O227" s="324"/>
      <c r="P227" s="324"/>
      <c r="Q227" s="324"/>
      <c r="R227" s="324"/>
      <c r="S227" s="324"/>
      <c r="T227" s="324"/>
      <c r="U227" s="324"/>
      <c r="V227" s="324"/>
      <c r="W227" s="324"/>
      <c r="X227" s="324"/>
      <c r="Y227" s="324"/>
      <c r="Z227" s="324"/>
      <c r="AA227" s="324"/>
      <c r="AB227" s="324"/>
      <c r="AC227" s="324"/>
      <c r="AD227" s="324"/>
      <c r="AE227" s="324"/>
      <c r="AF227" s="324"/>
      <c r="AG227" s="324"/>
      <c r="AH227" s="324"/>
      <c r="AI227" s="324"/>
      <c r="AJ227" s="324"/>
      <c r="AK227" s="324"/>
      <c r="AL227" s="324"/>
      <c r="AM227" s="324"/>
      <c r="AN227" s="324"/>
      <c r="AO227" s="324"/>
      <c r="AP227" s="324"/>
    </row>
    <row r="228" spans="1:42" ht="14.25" customHeight="1" x14ac:dyDescent="0.3">
      <c r="A228" s="324"/>
      <c r="B228" s="324"/>
      <c r="C228" s="324"/>
      <c r="D228" s="324"/>
      <c r="E228" s="324"/>
      <c r="F228" s="324"/>
      <c r="G228" s="324"/>
      <c r="H228" s="324"/>
      <c r="I228" s="324"/>
      <c r="J228" s="324"/>
      <c r="K228" s="324"/>
      <c r="L228" s="324"/>
      <c r="M228" s="324"/>
      <c r="N228" s="324"/>
      <c r="O228" s="324"/>
      <c r="P228" s="324"/>
      <c r="Q228" s="324"/>
      <c r="R228" s="324"/>
      <c r="S228" s="324"/>
      <c r="T228" s="324"/>
      <c r="U228" s="324"/>
      <c r="V228" s="324"/>
      <c r="W228" s="324"/>
      <c r="X228" s="324"/>
      <c r="Y228" s="324"/>
      <c r="Z228" s="324"/>
      <c r="AA228" s="324"/>
      <c r="AB228" s="324"/>
      <c r="AC228" s="324"/>
      <c r="AD228" s="324"/>
      <c r="AE228" s="324"/>
      <c r="AF228" s="324"/>
      <c r="AG228" s="324"/>
      <c r="AH228" s="324"/>
      <c r="AI228" s="324"/>
      <c r="AJ228" s="324"/>
      <c r="AK228" s="324"/>
      <c r="AL228" s="324"/>
      <c r="AM228" s="324"/>
      <c r="AN228" s="324"/>
      <c r="AO228" s="324"/>
      <c r="AP228" s="324"/>
    </row>
    <row r="229" spans="1:42" ht="14.25" customHeight="1" x14ac:dyDescent="0.3">
      <c r="A229" s="324"/>
      <c r="B229" s="324"/>
      <c r="C229" s="324"/>
      <c r="D229" s="324"/>
      <c r="E229" s="324"/>
      <c r="F229" s="324"/>
      <c r="G229" s="324"/>
      <c r="H229" s="324"/>
      <c r="I229" s="324"/>
      <c r="J229" s="324"/>
      <c r="K229" s="324"/>
      <c r="L229" s="324"/>
      <c r="M229" s="324"/>
      <c r="N229" s="324"/>
      <c r="O229" s="324"/>
      <c r="P229" s="324"/>
      <c r="Q229" s="324"/>
      <c r="R229" s="324"/>
      <c r="S229" s="324"/>
      <c r="T229" s="324"/>
      <c r="U229" s="324"/>
      <c r="V229" s="324"/>
      <c r="W229" s="324"/>
      <c r="X229" s="324"/>
      <c r="Y229" s="324"/>
      <c r="Z229" s="324"/>
      <c r="AA229" s="324"/>
      <c r="AB229" s="324"/>
      <c r="AC229" s="324"/>
      <c r="AD229" s="324"/>
      <c r="AE229" s="324"/>
      <c r="AF229" s="324"/>
      <c r="AG229" s="324"/>
      <c r="AH229" s="324"/>
      <c r="AI229" s="324"/>
      <c r="AJ229" s="324"/>
      <c r="AK229" s="324"/>
      <c r="AL229" s="324"/>
      <c r="AM229" s="324"/>
      <c r="AN229" s="324"/>
      <c r="AO229" s="324"/>
      <c r="AP229" s="324"/>
    </row>
    <row r="230" spans="1:42" ht="14.25" customHeight="1" x14ac:dyDescent="0.3">
      <c r="A230" s="324"/>
      <c r="B230" s="324"/>
      <c r="C230" s="324"/>
      <c r="D230" s="324"/>
      <c r="E230" s="324"/>
      <c r="F230" s="324"/>
      <c r="G230" s="324"/>
      <c r="H230" s="324"/>
      <c r="I230" s="324"/>
      <c r="J230" s="324"/>
      <c r="K230" s="324"/>
      <c r="L230" s="324"/>
      <c r="M230" s="324"/>
      <c r="N230" s="324"/>
      <c r="O230" s="324"/>
      <c r="P230" s="324"/>
      <c r="Q230" s="324"/>
      <c r="R230" s="324"/>
      <c r="S230" s="324"/>
      <c r="T230" s="324"/>
      <c r="U230" s="324"/>
      <c r="V230" s="324"/>
      <c r="W230" s="324"/>
      <c r="X230" s="324"/>
      <c r="Y230" s="324"/>
      <c r="Z230" s="324"/>
      <c r="AA230" s="324"/>
      <c r="AB230" s="324"/>
      <c r="AC230" s="324"/>
      <c r="AD230" s="324"/>
      <c r="AE230" s="324"/>
      <c r="AF230" s="324"/>
      <c r="AG230" s="324"/>
      <c r="AH230" s="324"/>
      <c r="AI230" s="324"/>
      <c r="AJ230" s="324"/>
      <c r="AK230" s="324"/>
      <c r="AL230" s="324"/>
      <c r="AM230" s="324"/>
      <c r="AN230" s="324"/>
      <c r="AO230" s="324"/>
      <c r="AP230" s="324"/>
    </row>
    <row r="231" spans="1:42" ht="14.25" customHeight="1" x14ac:dyDescent="0.3">
      <c r="A231" s="324"/>
      <c r="B231" s="324"/>
      <c r="C231" s="324"/>
      <c r="D231" s="324"/>
      <c r="E231" s="324"/>
      <c r="F231" s="324"/>
      <c r="G231" s="324"/>
      <c r="H231" s="324"/>
      <c r="I231" s="324"/>
      <c r="J231" s="324"/>
      <c r="K231" s="324"/>
      <c r="L231" s="324"/>
      <c r="M231" s="324"/>
      <c r="N231" s="324"/>
      <c r="O231" s="324"/>
      <c r="P231" s="324"/>
      <c r="Q231" s="324"/>
      <c r="R231" s="324"/>
      <c r="S231" s="324"/>
      <c r="T231" s="324"/>
      <c r="U231" s="324"/>
      <c r="V231" s="324"/>
      <c r="W231" s="324"/>
      <c r="X231" s="324"/>
      <c r="Y231" s="324"/>
      <c r="Z231" s="324"/>
      <c r="AA231" s="324"/>
      <c r="AB231" s="324"/>
      <c r="AC231" s="324"/>
      <c r="AD231" s="324"/>
      <c r="AE231" s="324"/>
      <c r="AF231" s="324"/>
      <c r="AG231" s="324"/>
      <c r="AH231" s="324"/>
      <c r="AI231" s="324"/>
      <c r="AJ231" s="324"/>
      <c r="AK231" s="324"/>
      <c r="AL231" s="324"/>
      <c r="AM231" s="324"/>
      <c r="AN231" s="324"/>
      <c r="AO231" s="324"/>
      <c r="AP231" s="324"/>
    </row>
    <row r="232" spans="1:42" ht="14.25" customHeight="1" x14ac:dyDescent="0.3">
      <c r="A232" s="324"/>
      <c r="B232" s="324"/>
      <c r="C232" s="324"/>
      <c r="D232" s="324"/>
      <c r="E232" s="324"/>
      <c r="F232" s="324"/>
      <c r="G232" s="324"/>
      <c r="H232" s="324"/>
      <c r="I232" s="324"/>
      <c r="J232" s="324"/>
      <c r="K232" s="324"/>
      <c r="L232" s="324"/>
      <c r="M232" s="324"/>
      <c r="N232" s="324"/>
      <c r="O232" s="324"/>
      <c r="P232" s="324"/>
      <c r="Q232" s="324"/>
      <c r="R232" s="324"/>
      <c r="S232" s="324"/>
      <c r="T232" s="324"/>
      <c r="U232" s="324"/>
      <c r="V232" s="324"/>
      <c r="W232" s="324"/>
      <c r="X232" s="324"/>
      <c r="Y232" s="324"/>
      <c r="Z232" s="324"/>
      <c r="AA232" s="324"/>
      <c r="AB232" s="324"/>
      <c r="AC232" s="324"/>
      <c r="AD232" s="324"/>
      <c r="AE232" s="324"/>
      <c r="AF232" s="324"/>
      <c r="AG232" s="324"/>
      <c r="AH232" s="324"/>
      <c r="AI232" s="324"/>
      <c r="AJ232" s="324"/>
      <c r="AK232" s="324"/>
      <c r="AL232" s="324"/>
      <c r="AM232" s="324"/>
      <c r="AN232" s="324"/>
      <c r="AO232" s="324"/>
      <c r="AP232" s="324"/>
    </row>
    <row r="233" spans="1:42" ht="14.25" customHeight="1" x14ac:dyDescent="0.3">
      <c r="A233" s="324"/>
      <c r="B233" s="324"/>
      <c r="C233" s="324"/>
      <c r="D233" s="324"/>
      <c r="E233" s="324"/>
      <c r="F233" s="324"/>
      <c r="G233" s="324"/>
      <c r="H233" s="324"/>
      <c r="I233" s="324"/>
      <c r="J233" s="324"/>
      <c r="K233" s="324"/>
      <c r="L233" s="324"/>
      <c r="M233" s="324"/>
      <c r="N233" s="324"/>
      <c r="O233" s="324"/>
      <c r="P233" s="324"/>
      <c r="Q233" s="324"/>
      <c r="R233" s="324"/>
      <c r="S233" s="324"/>
      <c r="T233" s="324"/>
      <c r="U233" s="324"/>
      <c r="V233" s="324"/>
      <c r="W233" s="324"/>
      <c r="X233" s="324"/>
      <c r="Y233" s="324"/>
      <c r="Z233" s="324"/>
      <c r="AA233" s="324"/>
      <c r="AB233" s="324"/>
      <c r="AC233" s="324"/>
      <c r="AD233" s="324"/>
      <c r="AE233" s="324"/>
      <c r="AF233" s="324"/>
      <c r="AG233" s="324"/>
      <c r="AH233" s="324"/>
      <c r="AI233" s="324"/>
      <c r="AJ233" s="324"/>
      <c r="AK233" s="324"/>
      <c r="AL233" s="324"/>
      <c r="AM233" s="324"/>
      <c r="AN233" s="324"/>
      <c r="AO233" s="324"/>
      <c r="AP233" s="324"/>
    </row>
    <row r="234" spans="1:42" ht="14.25" customHeight="1" x14ac:dyDescent="0.3">
      <c r="A234" s="324"/>
      <c r="B234" s="324"/>
      <c r="C234" s="324"/>
      <c r="D234" s="324"/>
      <c r="E234" s="324"/>
      <c r="F234" s="324"/>
      <c r="G234" s="324"/>
      <c r="H234" s="324"/>
      <c r="I234" s="324"/>
      <c r="J234" s="324"/>
      <c r="K234" s="324"/>
      <c r="L234" s="324"/>
      <c r="M234" s="324"/>
      <c r="N234" s="324"/>
      <c r="O234" s="324"/>
      <c r="P234" s="324"/>
      <c r="Q234" s="324"/>
      <c r="R234" s="324"/>
      <c r="S234" s="324"/>
      <c r="T234" s="324"/>
      <c r="U234" s="324"/>
      <c r="V234" s="324"/>
      <c r="W234" s="324"/>
      <c r="X234" s="324"/>
      <c r="Y234" s="324"/>
      <c r="Z234" s="324"/>
      <c r="AA234" s="324"/>
      <c r="AB234" s="324"/>
      <c r="AC234" s="324"/>
      <c r="AD234" s="324"/>
      <c r="AE234" s="324"/>
      <c r="AF234" s="324"/>
      <c r="AG234" s="324"/>
      <c r="AH234" s="324"/>
      <c r="AI234" s="324"/>
      <c r="AJ234" s="324"/>
      <c r="AK234" s="324"/>
      <c r="AL234" s="324"/>
      <c r="AM234" s="324"/>
      <c r="AN234" s="324"/>
      <c r="AO234" s="324"/>
      <c r="AP234" s="324"/>
    </row>
    <row r="235" spans="1:42" ht="14.25" customHeight="1" x14ac:dyDescent="0.3">
      <c r="A235" s="324"/>
      <c r="B235" s="324"/>
      <c r="C235" s="324"/>
      <c r="D235" s="324"/>
      <c r="E235" s="324"/>
      <c r="F235" s="324"/>
      <c r="G235" s="324"/>
      <c r="H235" s="324"/>
      <c r="I235" s="324"/>
      <c r="J235" s="324"/>
      <c r="K235" s="324"/>
      <c r="L235" s="324"/>
      <c r="M235" s="324"/>
      <c r="N235" s="324"/>
      <c r="O235" s="324"/>
      <c r="P235" s="324"/>
      <c r="Q235" s="324"/>
      <c r="R235" s="324"/>
      <c r="S235" s="324"/>
      <c r="T235" s="324"/>
      <c r="U235" s="324"/>
      <c r="V235" s="324"/>
      <c r="W235" s="324"/>
      <c r="X235" s="324"/>
      <c r="Y235" s="324"/>
      <c r="Z235" s="324"/>
      <c r="AA235" s="324"/>
      <c r="AB235" s="324"/>
      <c r="AC235" s="324"/>
      <c r="AD235" s="324"/>
      <c r="AE235" s="324"/>
      <c r="AF235" s="324"/>
      <c r="AG235" s="324"/>
      <c r="AH235" s="324"/>
      <c r="AI235" s="324"/>
      <c r="AJ235" s="324"/>
      <c r="AK235" s="324"/>
      <c r="AL235" s="324"/>
      <c r="AM235" s="324"/>
      <c r="AN235" s="324"/>
      <c r="AO235" s="324"/>
      <c r="AP235" s="324"/>
    </row>
    <row r="236" spans="1:42" ht="14.25" customHeight="1" x14ac:dyDescent="0.3">
      <c r="A236" s="324"/>
      <c r="B236" s="324"/>
      <c r="C236" s="324"/>
      <c r="D236" s="324"/>
      <c r="E236" s="324"/>
      <c r="F236" s="324"/>
      <c r="G236" s="324"/>
      <c r="H236" s="324"/>
      <c r="I236" s="324"/>
      <c r="J236" s="324"/>
      <c r="K236" s="324"/>
      <c r="L236" s="324"/>
      <c r="M236" s="324"/>
      <c r="N236" s="324"/>
      <c r="O236" s="324"/>
      <c r="P236" s="324"/>
      <c r="Q236" s="324"/>
      <c r="R236" s="324"/>
      <c r="S236" s="324"/>
      <c r="T236" s="324"/>
      <c r="U236" s="324"/>
      <c r="V236" s="324"/>
      <c r="W236" s="324"/>
      <c r="X236" s="324"/>
      <c r="Y236" s="324"/>
      <c r="Z236" s="324"/>
      <c r="AA236" s="324"/>
      <c r="AB236" s="324"/>
      <c r="AC236" s="324"/>
      <c r="AD236" s="324"/>
      <c r="AE236" s="324"/>
      <c r="AF236" s="324"/>
      <c r="AG236" s="324"/>
      <c r="AH236" s="324"/>
      <c r="AI236" s="324"/>
      <c r="AJ236" s="324"/>
      <c r="AK236" s="324"/>
      <c r="AL236" s="324"/>
      <c r="AM236" s="324"/>
      <c r="AN236" s="324"/>
      <c r="AO236" s="324"/>
      <c r="AP236" s="324"/>
    </row>
    <row r="237" spans="1:42" ht="14.25" customHeight="1" x14ac:dyDescent="0.3">
      <c r="A237" s="324"/>
      <c r="B237" s="324"/>
      <c r="C237" s="324"/>
      <c r="D237" s="324"/>
      <c r="E237" s="324"/>
      <c r="F237" s="324"/>
      <c r="G237" s="324"/>
      <c r="H237" s="324"/>
      <c r="I237" s="324"/>
      <c r="J237" s="324"/>
      <c r="K237" s="324"/>
      <c r="L237" s="324"/>
      <c r="M237" s="324"/>
      <c r="N237" s="324"/>
      <c r="O237" s="324"/>
      <c r="P237" s="324"/>
      <c r="Q237" s="324"/>
      <c r="R237" s="324"/>
      <c r="S237" s="324"/>
      <c r="T237" s="324"/>
      <c r="U237" s="324"/>
      <c r="V237" s="324"/>
      <c r="W237" s="324"/>
      <c r="X237" s="324"/>
      <c r="Y237" s="324"/>
      <c r="Z237" s="324"/>
      <c r="AA237" s="324"/>
      <c r="AB237" s="324"/>
      <c r="AC237" s="324"/>
      <c r="AD237" s="324"/>
      <c r="AE237" s="324"/>
      <c r="AF237" s="324"/>
      <c r="AG237" s="324"/>
      <c r="AH237" s="324"/>
      <c r="AI237" s="324"/>
      <c r="AJ237" s="324"/>
      <c r="AK237" s="324"/>
      <c r="AL237" s="324"/>
      <c r="AM237" s="324"/>
      <c r="AN237" s="324"/>
      <c r="AO237" s="324"/>
      <c r="AP237" s="324"/>
    </row>
    <row r="238" spans="1:42" ht="14.25" customHeight="1" x14ac:dyDescent="0.3">
      <c r="A238" s="324"/>
      <c r="B238" s="324"/>
      <c r="C238" s="324"/>
      <c r="D238" s="324"/>
      <c r="E238" s="324"/>
      <c r="F238" s="324"/>
      <c r="G238" s="324"/>
      <c r="H238" s="324"/>
      <c r="I238" s="324"/>
      <c r="J238" s="324"/>
      <c r="K238" s="324"/>
      <c r="L238" s="324"/>
      <c r="M238" s="324"/>
      <c r="N238" s="324"/>
      <c r="O238" s="324"/>
      <c r="P238" s="324"/>
      <c r="Q238" s="324"/>
      <c r="R238" s="324"/>
      <c r="S238" s="324"/>
      <c r="T238" s="324"/>
      <c r="U238" s="324"/>
      <c r="V238" s="324"/>
      <c r="W238" s="324"/>
      <c r="X238" s="324"/>
      <c r="Y238" s="324"/>
      <c r="Z238" s="324"/>
      <c r="AA238" s="324"/>
      <c r="AB238" s="324"/>
      <c r="AC238" s="324"/>
      <c r="AD238" s="324"/>
      <c r="AE238" s="324"/>
      <c r="AF238" s="324"/>
      <c r="AG238" s="324"/>
      <c r="AH238" s="324"/>
      <c r="AI238" s="324"/>
      <c r="AJ238" s="324"/>
      <c r="AK238" s="324"/>
      <c r="AL238" s="324"/>
      <c r="AM238" s="324"/>
      <c r="AN238" s="324"/>
      <c r="AO238" s="324"/>
      <c r="AP238" s="324"/>
    </row>
    <row r="239" spans="1:42" ht="14.25" customHeight="1" x14ac:dyDescent="0.3">
      <c r="A239" s="324"/>
      <c r="B239" s="324"/>
      <c r="C239" s="324"/>
      <c r="D239" s="324"/>
      <c r="E239" s="324"/>
      <c r="F239" s="324"/>
      <c r="G239" s="324"/>
      <c r="H239" s="324"/>
      <c r="I239" s="324"/>
      <c r="J239" s="324"/>
      <c r="K239" s="324"/>
      <c r="L239" s="324"/>
      <c r="M239" s="324"/>
      <c r="N239" s="324"/>
      <c r="O239" s="324"/>
      <c r="P239" s="324"/>
      <c r="Q239" s="324"/>
      <c r="R239" s="324"/>
      <c r="S239" s="324"/>
      <c r="T239" s="324"/>
      <c r="U239" s="324"/>
      <c r="V239" s="324"/>
      <c r="W239" s="324"/>
      <c r="X239" s="324"/>
      <c r="Y239" s="324"/>
      <c r="Z239" s="324"/>
      <c r="AA239" s="324"/>
      <c r="AB239" s="324"/>
      <c r="AC239" s="324"/>
      <c r="AD239" s="324"/>
      <c r="AE239" s="324"/>
      <c r="AF239" s="324"/>
      <c r="AG239" s="324"/>
      <c r="AH239" s="324"/>
      <c r="AI239" s="324"/>
      <c r="AJ239" s="324"/>
      <c r="AK239" s="324"/>
      <c r="AL239" s="324"/>
      <c r="AM239" s="324"/>
      <c r="AN239" s="324"/>
      <c r="AO239" s="324"/>
      <c r="AP239" s="324"/>
    </row>
    <row r="240" spans="1:42" ht="14.25" customHeight="1" x14ac:dyDescent="0.3">
      <c r="A240" s="324"/>
      <c r="B240" s="324"/>
      <c r="C240" s="324"/>
      <c r="D240" s="324"/>
      <c r="E240" s="324"/>
      <c r="F240" s="324"/>
      <c r="G240" s="324"/>
      <c r="H240" s="324"/>
      <c r="I240" s="324"/>
      <c r="J240" s="324"/>
      <c r="K240" s="324"/>
      <c r="L240" s="324"/>
      <c r="M240" s="324"/>
      <c r="N240" s="324"/>
      <c r="O240" s="324"/>
      <c r="P240" s="324"/>
      <c r="Q240" s="324"/>
      <c r="R240" s="324"/>
      <c r="S240" s="324"/>
      <c r="T240" s="324"/>
      <c r="U240" s="324"/>
      <c r="V240" s="324"/>
      <c r="W240" s="324"/>
      <c r="X240" s="324"/>
      <c r="Y240" s="324"/>
      <c r="Z240" s="324"/>
      <c r="AA240" s="324"/>
      <c r="AB240" s="324"/>
      <c r="AC240" s="324"/>
      <c r="AD240" s="324"/>
      <c r="AE240" s="324"/>
      <c r="AF240" s="324"/>
      <c r="AG240" s="324"/>
      <c r="AH240" s="324"/>
      <c r="AI240" s="324"/>
      <c r="AJ240" s="324"/>
      <c r="AK240" s="324"/>
      <c r="AL240" s="324"/>
      <c r="AM240" s="324"/>
      <c r="AN240" s="324"/>
      <c r="AO240" s="324"/>
      <c r="AP240" s="324"/>
    </row>
    <row r="241" spans="1:42" ht="14.25" customHeight="1" x14ac:dyDescent="0.3">
      <c r="A241" s="324"/>
      <c r="B241" s="324"/>
      <c r="C241" s="324"/>
      <c r="D241" s="324"/>
      <c r="E241" s="324"/>
      <c r="F241" s="324"/>
      <c r="G241" s="324"/>
      <c r="H241" s="324"/>
      <c r="I241" s="324"/>
      <c r="J241" s="324"/>
      <c r="K241" s="324"/>
      <c r="L241" s="324"/>
      <c r="M241" s="324"/>
      <c r="N241" s="324"/>
      <c r="O241" s="324"/>
      <c r="P241" s="324"/>
      <c r="Q241" s="324"/>
      <c r="R241" s="324"/>
      <c r="S241" s="324"/>
      <c r="T241" s="324"/>
      <c r="U241" s="324"/>
      <c r="V241" s="324"/>
      <c r="W241" s="324"/>
      <c r="X241" s="324"/>
      <c r="Y241" s="324"/>
      <c r="Z241" s="324"/>
      <c r="AA241" s="324"/>
      <c r="AB241" s="324"/>
      <c r="AC241" s="324"/>
      <c r="AD241" s="324"/>
      <c r="AE241" s="324"/>
      <c r="AF241" s="324"/>
      <c r="AG241" s="324"/>
      <c r="AH241" s="324"/>
      <c r="AI241" s="324"/>
      <c r="AJ241" s="324"/>
      <c r="AK241" s="324"/>
      <c r="AL241" s="324"/>
      <c r="AM241" s="324"/>
      <c r="AN241" s="324"/>
      <c r="AO241" s="324"/>
      <c r="AP241" s="324"/>
    </row>
    <row r="242" spans="1:42" ht="14.25" customHeight="1" x14ac:dyDescent="0.3">
      <c r="A242" s="324"/>
      <c r="B242" s="324"/>
      <c r="C242" s="324"/>
      <c r="D242" s="324"/>
      <c r="E242" s="324"/>
      <c r="F242" s="324"/>
      <c r="G242" s="324"/>
      <c r="H242" s="324"/>
      <c r="I242" s="324"/>
      <c r="J242" s="324"/>
      <c r="K242" s="324"/>
      <c r="L242" s="324"/>
      <c r="M242" s="324"/>
      <c r="N242" s="324"/>
      <c r="O242" s="324"/>
      <c r="P242" s="324"/>
      <c r="Q242" s="324"/>
      <c r="R242" s="324"/>
      <c r="S242" s="324"/>
      <c r="T242" s="324"/>
      <c r="U242" s="324"/>
      <c r="V242" s="324"/>
      <c r="W242" s="324"/>
      <c r="X242" s="324"/>
      <c r="Y242" s="324"/>
      <c r="Z242" s="324"/>
      <c r="AA242" s="324"/>
      <c r="AB242" s="324"/>
      <c r="AC242" s="324"/>
      <c r="AD242" s="324"/>
      <c r="AE242" s="324"/>
      <c r="AF242" s="324"/>
      <c r="AG242" s="324"/>
      <c r="AH242" s="324"/>
      <c r="AI242" s="324"/>
      <c r="AJ242" s="324"/>
      <c r="AK242" s="324"/>
      <c r="AL242" s="324"/>
      <c r="AM242" s="324"/>
      <c r="AN242" s="324"/>
      <c r="AO242" s="324"/>
      <c r="AP242" s="324"/>
    </row>
    <row r="243" spans="1:42" ht="14.25" customHeight="1" x14ac:dyDescent="0.3">
      <c r="A243" s="324"/>
      <c r="B243" s="324"/>
      <c r="C243" s="324"/>
      <c r="D243" s="324"/>
      <c r="E243" s="324"/>
      <c r="F243" s="324"/>
      <c r="G243" s="324"/>
      <c r="H243" s="324"/>
      <c r="I243" s="324"/>
      <c r="J243" s="324"/>
      <c r="K243" s="324"/>
      <c r="L243" s="324"/>
      <c r="M243" s="324"/>
      <c r="N243" s="324"/>
      <c r="O243" s="324"/>
      <c r="P243" s="324"/>
      <c r="Q243" s="324"/>
      <c r="R243" s="324"/>
      <c r="S243" s="324"/>
      <c r="T243" s="324"/>
      <c r="U243" s="324"/>
      <c r="V243" s="324"/>
      <c r="W243" s="324"/>
      <c r="X243" s="324"/>
      <c r="Y243" s="324"/>
      <c r="Z243" s="324"/>
      <c r="AA243" s="324"/>
      <c r="AB243" s="324"/>
      <c r="AC243" s="324"/>
      <c r="AD243" s="324"/>
      <c r="AE243" s="324"/>
      <c r="AF243" s="324"/>
      <c r="AG243" s="324"/>
      <c r="AH243" s="324"/>
      <c r="AI243" s="324"/>
      <c r="AJ243" s="324"/>
      <c r="AK243" s="324"/>
      <c r="AL243" s="324"/>
      <c r="AM243" s="324"/>
      <c r="AN243" s="324"/>
      <c r="AO243" s="324"/>
      <c r="AP243" s="324"/>
    </row>
    <row r="244" spans="1:42" ht="14.25" customHeight="1" x14ac:dyDescent="0.3">
      <c r="A244" s="324"/>
      <c r="B244" s="324"/>
      <c r="C244" s="324"/>
      <c r="D244" s="324"/>
      <c r="E244" s="324"/>
      <c r="F244" s="324"/>
      <c r="G244" s="324"/>
      <c r="H244" s="324"/>
      <c r="I244" s="324"/>
      <c r="J244" s="324"/>
      <c r="K244" s="324"/>
      <c r="L244" s="324"/>
      <c r="M244" s="324"/>
      <c r="N244" s="324"/>
      <c r="O244" s="324"/>
      <c r="P244" s="324"/>
      <c r="Q244" s="324"/>
      <c r="R244" s="324"/>
      <c r="S244" s="324"/>
      <c r="T244" s="324"/>
      <c r="U244" s="324"/>
      <c r="V244" s="324"/>
      <c r="W244" s="324"/>
      <c r="X244" s="324"/>
      <c r="Y244" s="324"/>
      <c r="Z244" s="324"/>
      <c r="AA244" s="324"/>
      <c r="AB244" s="324"/>
      <c r="AC244" s="324"/>
      <c r="AD244" s="324"/>
      <c r="AE244" s="324"/>
      <c r="AF244" s="324"/>
      <c r="AG244" s="324"/>
      <c r="AH244" s="324"/>
      <c r="AI244" s="324"/>
      <c r="AJ244" s="324"/>
      <c r="AK244" s="324"/>
      <c r="AL244" s="324"/>
      <c r="AM244" s="324"/>
      <c r="AN244" s="324"/>
      <c r="AO244" s="324"/>
      <c r="AP244" s="324"/>
    </row>
    <row r="245" spans="1:42" ht="14.25" customHeight="1" x14ac:dyDescent="0.3">
      <c r="A245" s="324"/>
      <c r="B245" s="324"/>
      <c r="C245" s="324"/>
      <c r="D245" s="324"/>
      <c r="E245" s="324"/>
      <c r="F245" s="324"/>
      <c r="G245" s="324"/>
      <c r="H245" s="324"/>
      <c r="I245" s="324"/>
      <c r="J245" s="324"/>
      <c r="K245" s="324"/>
      <c r="L245" s="324"/>
      <c r="M245" s="324"/>
      <c r="N245" s="324"/>
      <c r="O245" s="324"/>
      <c r="P245" s="324"/>
      <c r="Q245" s="324"/>
      <c r="R245" s="324"/>
      <c r="S245" s="324"/>
      <c r="T245" s="324"/>
      <c r="U245" s="324"/>
      <c r="V245" s="324"/>
      <c r="W245" s="324"/>
      <c r="X245" s="324"/>
      <c r="Y245" s="324"/>
      <c r="Z245" s="324"/>
      <c r="AA245" s="324"/>
      <c r="AB245" s="324"/>
      <c r="AC245" s="324"/>
      <c r="AD245" s="324"/>
      <c r="AE245" s="324"/>
      <c r="AF245" s="324"/>
      <c r="AG245" s="324"/>
      <c r="AH245" s="324"/>
      <c r="AI245" s="324"/>
      <c r="AJ245" s="324"/>
      <c r="AK245" s="324"/>
      <c r="AL245" s="324"/>
      <c r="AM245" s="324"/>
      <c r="AN245" s="324"/>
      <c r="AO245" s="324"/>
      <c r="AP245" s="324"/>
    </row>
    <row r="246" spans="1:42" ht="14.25" customHeight="1" x14ac:dyDescent="0.3">
      <c r="A246" s="324"/>
      <c r="B246" s="324"/>
      <c r="C246" s="324"/>
      <c r="D246" s="324"/>
      <c r="E246" s="324"/>
      <c r="F246" s="324"/>
      <c r="G246" s="324"/>
      <c r="H246" s="324"/>
      <c r="I246" s="324"/>
      <c r="J246" s="324"/>
      <c r="K246" s="324"/>
      <c r="L246" s="324"/>
      <c r="M246" s="324"/>
      <c r="N246" s="324"/>
      <c r="O246" s="324"/>
      <c r="P246" s="324"/>
      <c r="Q246" s="324"/>
      <c r="R246" s="324"/>
      <c r="S246" s="324"/>
      <c r="T246" s="324"/>
      <c r="U246" s="324"/>
      <c r="V246" s="324"/>
      <c r="W246" s="324"/>
      <c r="X246" s="324"/>
      <c r="Y246" s="324"/>
      <c r="Z246" s="324"/>
      <c r="AA246" s="324"/>
      <c r="AB246" s="324"/>
      <c r="AC246" s="324"/>
      <c r="AD246" s="324"/>
      <c r="AE246" s="324"/>
      <c r="AF246" s="324"/>
      <c r="AG246" s="324"/>
      <c r="AH246" s="324"/>
      <c r="AI246" s="324"/>
      <c r="AJ246" s="324"/>
      <c r="AK246" s="324"/>
      <c r="AL246" s="324"/>
      <c r="AM246" s="324"/>
      <c r="AN246" s="324"/>
      <c r="AO246" s="324"/>
      <c r="AP246" s="324"/>
    </row>
    <row r="247" spans="1:42" ht="14.25" customHeight="1" x14ac:dyDescent="0.3">
      <c r="A247" s="324"/>
      <c r="B247" s="324"/>
      <c r="C247" s="324"/>
      <c r="D247" s="324"/>
      <c r="E247" s="324"/>
      <c r="F247" s="324"/>
      <c r="G247" s="324"/>
      <c r="H247" s="324"/>
      <c r="I247" s="324"/>
      <c r="J247" s="324"/>
      <c r="K247" s="324"/>
      <c r="L247" s="324"/>
      <c r="M247" s="324"/>
      <c r="N247" s="324"/>
      <c r="O247" s="324"/>
      <c r="P247" s="324"/>
      <c r="Q247" s="324"/>
      <c r="R247" s="324"/>
      <c r="S247" s="324"/>
      <c r="T247" s="324"/>
      <c r="U247" s="324"/>
      <c r="V247" s="324"/>
      <c r="W247" s="324"/>
      <c r="X247" s="324"/>
      <c r="Y247" s="324"/>
      <c r="Z247" s="324"/>
      <c r="AA247" s="324"/>
      <c r="AB247" s="324"/>
      <c r="AC247" s="324"/>
      <c r="AD247" s="324"/>
      <c r="AE247" s="324"/>
      <c r="AF247" s="324"/>
      <c r="AG247" s="324"/>
      <c r="AH247" s="324"/>
      <c r="AI247" s="324"/>
      <c r="AJ247" s="324"/>
      <c r="AK247" s="324"/>
      <c r="AL247" s="324"/>
      <c r="AM247" s="324"/>
      <c r="AN247" s="324"/>
      <c r="AO247" s="324"/>
      <c r="AP247" s="324"/>
    </row>
    <row r="248" spans="1:42" ht="14.25" customHeight="1" x14ac:dyDescent="0.3">
      <c r="A248" s="324"/>
      <c r="B248" s="324"/>
      <c r="C248" s="324"/>
      <c r="D248" s="324"/>
      <c r="E248" s="324"/>
      <c r="F248" s="324"/>
      <c r="G248" s="324"/>
      <c r="H248" s="324"/>
      <c r="I248" s="324"/>
      <c r="J248" s="324"/>
      <c r="K248" s="324"/>
      <c r="L248" s="324"/>
      <c r="M248" s="324"/>
      <c r="N248" s="324"/>
      <c r="O248" s="324"/>
      <c r="P248" s="324"/>
      <c r="Q248" s="324"/>
      <c r="R248" s="324"/>
      <c r="S248" s="324"/>
      <c r="T248" s="324"/>
      <c r="U248" s="324"/>
      <c r="V248" s="324"/>
      <c r="W248" s="324"/>
      <c r="X248" s="324"/>
      <c r="Y248" s="324"/>
      <c r="Z248" s="324"/>
      <c r="AA248" s="324"/>
      <c r="AB248" s="324"/>
      <c r="AC248" s="324"/>
      <c r="AD248" s="324"/>
      <c r="AE248" s="324"/>
      <c r="AF248" s="324"/>
      <c r="AG248" s="324"/>
      <c r="AH248" s="324"/>
      <c r="AI248" s="324"/>
      <c r="AJ248" s="324"/>
      <c r="AK248" s="324"/>
      <c r="AL248" s="324"/>
      <c r="AM248" s="324"/>
      <c r="AN248" s="324"/>
      <c r="AO248" s="324"/>
      <c r="AP248" s="324"/>
    </row>
    <row r="249" spans="1:42" ht="14.25" customHeight="1" x14ac:dyDescent="0.3">
      <c r="A249" s="324"/>
      <c r="B249" s="324"/>
      <c r="C249" s="324"/>
      <c r="D249" s="324"/>
      <c r="E249" s="324"/>
      <c r="F249" s="324"/>
      <c r="G249" s="324"/>
      <c r="H249" s="324"/>
      <c r="I249" s="324"/>
      <c r="J249" s="324"/>
      <c r="K249" s="324"/>
      <c r="L249" s="324"/>
      <c r="M249" s="324"/>
      <c r="N249" s="324"/>
      <c r="O249" s="324"/>
      <c r="P249" s="324"/>
      <c r="Q249" s="324"/>
      <c r="R249" s="324"/>
      <c r="S249" s="324"/>
      <c r="T249" s="324"/>
      <c r="U249" s="324"/>
      <c r="V249" s="324"/>
      <c r="W249" s="324"/>
      <c r="X249" s="324"/>
      <c r="Y249" s="324"/>
      <c r="Z249" s="324"/>
      <c r="AA249" s="324"/>
      <c r="AB249" s="324"/>
      <c r="AC249" s="324"/>
      <c r="AD249" s="324"/>
      <c r="AE249" s="324"/>
      <c r="AF249" s="324"/>
      <c r="AG249" s="324"/>
      <c r="AH249" s="324"/>
      <c r="AI249" s="324"/>
      <c r="AJ249" s="324"/>
      <c r="AK249" s="324"/>
      <c r="AL249" s="324"/>
      <c r="AM249" s="324"/>
      <c r="AN249" s="324"/>
      <c r="AO249" s="324"/>
      <c r="AP249" s="324"/>
    </row>
    <row r="250" spans="1:42" ht="14.25" customHeight="1" x14ac:dyDescent="0.3">
      <c r="A250" s="324"/>
      <c r="B250" s="324"/>
      <c r="C250" s="324"/>
      <c r="D250" s="324"/>
      <c r="E250" s="324"/>
      <c r="F250" s="324"/>
      <c r="G250" s="324"/>
      <c r="H250" s="324"/>
      <c r="I250" s="324"/>
      <c r="J250" s="324"/>
      <c r="K250" s="324"/>
      <c r="L250" s="324"/>
      <c r="M250" s="324"/>
      <c r="N250" s="324"/>
      <c r="O250" s="324"/>
      <c r="P250" s="324"/>
      <c r="Q250" s="324"/>
      <c r="R250" s="324"/>
      <c r="S250" s="324"/>
      <c r="T250" s="324"/>
      <c r="U250" s="324"/>
      <c r="V250" s="324"/>
      <c r="W250" s="324"/>
      <c r="X250" s="324"/>
      <c r="Y250" s="324"/>
      <c r="Z250" s="324"/>
      <c r="AA250" s="324"/>
      <c r="AB250" s="324"/>
      <c r="AC250" s="324"/>
      <c r="AD250" s="324"/>
      <c r="AE250" s="324"/>
      <c r="AF250" s="324"/>
      <c r="AG250" s="324"/>
      <c r="AH250" s="324"/>
      <c r="AI250" s="324"/>
      <c r="AJ250" s="324"/>
      <c r="AK250" s="324"/>
      <c r="AL250" s="324"/>
      <c r="AM250" s="324"/>
      <c r="AN250" s="324"/>
      <c r="AO250" s="324"/>
      <c r="AP250" s="324"/>
    </row>
    <row r="251" spans="1:42" ht="14.25" customHeight="1" x14ac:dyDescent="0.3">
      <c r="A251" s="324"/>
      <c r="B251" s="324"/>
      <c r="C251" s="324"/>
      <c r="D251" s="324"/>
      <c r="E251" s="324"/>
      <c r="F251" s="324"/>
      <c r="G251" s="324"/>
      <c r="H251" s="324"/>
      <c r="I251" s="324"/>
      <c r="J251" s="324"/>
      <c r="K251" s="324"/>
      <c r="L251" s="324"/>
      <c r="M251" s="324"/>
      <c r="N251" s="324"/>
      <c r="O251" s="324"/>
      <c r="P251" s="324"/>
      <c r="Q251" s="324"/>
      <c r="R251" s="324"/>
      <c r="S251" s="324"/>
      <c r="T251" s="324"/>
      <c r="U251" s="324"/>
      <c r="V251" s="324"/>
      <c r="W251" s="324"/>
      <c r="X251" s="324"/>
      <c r="Y251" s="324"/>
      <c r="Z251" s="324"/>
      <c r="AA251" s="324"/>
      <c r="AB251" s="324"/>
      <c r="AC251" s="324"/>
      <c r="AD251" s="324"/>
      <c r="AE251" s="324"/>
      <c r="AF251" s="324"/>
      <c r="AG251" s="324"/>
      <c r="AH251" s="324"/>
      <c r="AI251" s="324"/>
      <c r="AJ251" s="324"/>
      <c r="AK251" s="324"/>
      <c r="AL251" s="324"/>
      <c r="AM251" s="324"/>
      <c r="AN251" s="324"/>
      <c r="AO251" s="324"/>
      <c r="AP251" s="324"/>
    </row>
    <row r="252" spans="1:42" ht="14.25" customHeight="1" x14ac:dyDescent="0.3">
      <c r="A252" s="324"/>
      <c r="B252" s="324"/>
      <c r="C252" s="324"/>
      <c r="D252" s="324"/>
      <c r="E252" s="324"/>
      <c r="F252" s="324"/>
      <c r="G252" s="324"/>
      <c r="H252" s="324"/>
      <c r="I252" s="324"/>
      <c r="J252" s="324"/>
      <c r="K252" s="324"/>
      <c r="L252" s="324"/>
      <c r="M252" s="324"/>
      <c r="N252" s="324"/>
      <c r="O252" s="324"/>
      <c r="P252" s="324"/>
      <c r="Q252" s="324"/>
      <c r="R252" s="324"/>
      <c r="S252" s="324"/>
      <c r="T252" s="324"/>
      <c r="U252" s="324"/>
      <c r="V252" s="324"/>
      <c r="W252" s="324"/>
      <c r="X252" s="324"/>
      <c r="Y252" s="324"/>
      <c r="Z252" s="324"/>
      <c r="AA252" s="324"/>
      <c r="AB252" s="324"/>
      <c r="AC252" s="324"/>
      <c r="AD252" s="324"/>
      <c r="AE252" s="324"/>
      <c r="AF252" s="324"/>
      <c r="AG252" s="324"/>
      <c r="AH252" s="324"/>
      <c r="AI252" s="324"/>
      <c r="AJ252" s="324"/>
      <c r="AK252" s="324"/>
      <c r="AL252" s="324"/>
      <c r="AM252" s="324"/>
      <c r="AN252" s="324"/>
      <c r="AO252" s="324"/>
      <c r="AP252" s="324"/>
    </row>
    <row r="253" spans="1:42" ht="14.25" customHeight="1" x14ac:dyDescent="0.3">
      <c r="A253" s="324"/>
      <c r="B253" s="324"/>
      <c r="C253" s="324"/>
      <c r="D253" s="324"/>
      <c r="E253" s="324"/>
      <c r="F253" s="324"/>
      <c r="G253" s="324"/>
      <c r="H253" s="324"/>
      <c r="I253" s="324"/>
      <c r="J253" s="324"/>
      <c r="K253" s="324"/>
      <c r="L253" s="324"/>
      <c r="M253" s="324"/>
      <c r="N253" s="324"/>
      <c r="O253" s="324"/>
      <c r="P253" s="324"/>
      <c r="Q253" s="324"/>
      <c r="R253" s="324"/>
      <c r="S253" s="324"/>
      <c r="T253" s="324"/>
      <c r="U253" s="324"/>
      <c r="V253" s="324"/>
      <c r="W253" s="324"/>
      <c r="X253" s="324"/>
      <c r="Y253" s="324"/>
      <c r="Z253" s="324"/>
      <c r="AA253" s="324"/>
      <c r="AB253" s="324"/>
      <c r="AC253" s="324"/>
      <c r="AD253" s="324"/>
      <c r="AE253" s="324"/>
      <c r="AF253" s="324"/>
      <c r="AG253" s="324"/>
      <c r="AH253" s="324"/>
      <c r="AI253" s="324"/>
      <c r="AJ253" s="324"/>
      <c r="AK253" s="324"/>
      <c r="AL253" s="324"/>
      <c r="AM253" s="324"/>
      <c r="AN253" s="324"/>
      <c r="AO253" s="324"/>
      <c r="AP253" s="324"/>
    </row>
    <row r="254" spans="1:42" ht="14.25" customHeight="1" x14ac:dyDescent="0.3">
      <c r="A254" s="324"/>
      <c r="B254" s="324"/>
      <c r="C254" s="324"/>
      <c r="D254" s="324"/>
      <c r="E254" s="324"/>
      <c r="F254" s="324"/>
      <c r="G254" s="324"/>
      <c r="H254" s="324"/>
      <c r="I254" s="324"/>
      <c r="J254" s="324"/>
      <c r="K254" s="324"/>
      <c r="L254" s="324"/>
      <c r="M254" s="324"/>
      <c r="N254" s="324"/>
      <c r="O254" s="324"/>
      <c r="P254" s="324"/>
      <c r="Q254" s="324"/>
      <c r="R254" s="324"/>
      <c r="S254" s="324"/>
      <c r="T254" s="324"/>
      <c r="U254" s="324"/>
      <c r="V254" s="324"/>
      <c r="W254" s="324"/>
      <c r="X254" s="324"/>
      <c r="Y254" s="324"/>
      <c r="Z254" s="324"/>
      <c r="AA254" s="324"/>
      <c r="AB254" s="324"/>
      <c r="AC254" s="324"/>
      <c r="AD254" s="324"/>
      <c r="AE254" s="324"/>
      <c r="AF254" s="324"/>
      <c r="AG254" s="324"/>
      <c r="AH254" s="324"/>
      <c r="AI254" s="324"/>
      <c r="AJ254" s="324"/>
      <c r="AK254" s="324"/>
      <c r="AL254" s="324"/>
      <c r="AM254" s="324"/>
      <c r="AN254" s="324"/>
      <c r="AO254" s="324"/>
      <c r="AP254" s="324"/>
    </row>
    <row r="255" spans="1:42" ht="14.25" customHeight="1" x14ac:dyDescent="0.3">
      <c r="A255" s="324"/>
      <c r="B255" s="324"/>
      <c r="C255" s="324"/>
      <c r="D255" s="324"/>
      <c r="E255" s="324"/>
      <c r="F255" s="324"/>
      <c r="G255" s="324"/>
      <c r="H255" s="324"/>
      <c r="I255" s="324"/>
      <c r="J255" s="324"/>
      <c r="K255" s="324"/>
      <c r="L255" s="324"/>
      <c r="M255" s="324"/>
      <c r="N255" s="324"/>
      <c r="O255" s="324"/>
      <c r="P255" s="324"/>
      <c r="Q255" s="324"/>
      <c r="R255" s="324"/>
      <c r="S255" s="324"/>
      <c r="T255" s="324"/>
      <c r="U255" s="324"/>
      <c r="V255" s="324"/>
      <c r="W255" s="324"/>
      <c r="X255" s="324"/>
      <c r="Y255" s="324"/>
      <c r="Z255" s="324"/>
      <c r="AA255" s="324"/>
      <c r="AB255" s="324"/>
      <c r="AC255" s="324"/>
      <c r="AD255" s="324"/>
      <c r="AE255" s="324"/>
      <c r="AF255" s="324"/>
      <c r="AG255" s="324"/>
      <c r="AH255" s="324"/>
      <c r="AI255" s="324"/>
      <c r="AJ255" s="324"/>
      <c r="AK255" s="324"/>
      <c r="AL255" s="324"/>
      <c r="AM255" s="324"/>
      <c r="AN255" s="324"/>
      <c r="AO255" s="324"/>
      <c r="AP255" s="324"/>
    </row>
    <row r="256" spans="1:42" ht="14.25" customHeight="1" x14ac:dyDescent="0.3">
      <c r="A256" s="324"/>
      <c r="B256" s="324"/>
      <c r="C256" s="324"/>
      <c r="D256" s="324"/>
      <c r="E256" s="324"/>
      <c r="F256" s="324"/>
      <c r="G256" s="324"/>
      <c r="H256" s="324"/>
      <c r="I256" s="324"/>
      <c r="J256" s="324"/>
      <c r="K256" s="324"/>
      <c r="L256" s="324"/>
      <c r="M256" s="324"/>
      <c r="N256" s="324"/>
      <c r="O256" s="324"/>
      <c r="P256" s="324"/>
      <c r="Q256" s="324"/>
      <c r="R256" s="324"/>
      <c r="S256" s="324"/>
      <c r="T256" s="324"/>
      <c r="U256" s="324"/>
      <c r="V256" s="324"/>
      <c r="W256" s="324"/>
      <c r="X256" s="324"/>
      <c r="Y256" s="324"/>
      <c r="Z256" s="324"/>
      <c r="AA256" s="324"/>
      <c r="AB256" s="324"/>
      <c r="AC256" s="324"/>
      <c r="AD256" s="324"/>
      <c r="AE256" s="324"/>
      <c r="AF256" s="324"/>
      <c r="AG256" s="324"/>
      <c r="AH256" s="324"/>
      <c r="AI256" s="324"/>
      <c r="AJ256" s="324"/>
      <c r="AK256" s="324"/>
      <c r="AL256" s="324"/>
      <c r="AM256" s="324"/>
      <c r="AN256" s="324"/>
      <c r="AO256" s="324"/>
      <c r="AP256" s="324"/>
    </row>
    <row r="257" spans="1:42" ht="14.25" customHeight="1" x14ac:dyDescent="0.3">
      <c r="A257" s="324"/>
      <c r="B257" s="324"/>
      <c r="C257" s="324"/>
      <c r="D257" s="324"/>
      <c r="E257" s="324"/>
      <c r="F257" s="324"/>
      <c r="G257" s="324"/>
      <c r="H257" s="324"/>
      <c r="I257" s="324"/>
      <c r="J257" s="324"/>
      <c r="K257" s="324"/>
      <c r="L257" s="324"/>
      <c r="M257" s="324"/>
      <c r="N257" s="324"/>
      <c r="O257" s="324"/>
      <c r="P257" s="324"/>
      <c r="Q257" s="324"/>
      <c r="R257" s="324"/>
      <c r="S257" s="324"/>
      <c r="T257" s="324"/>
      <c r="U257" s="324"/>
      <c r="V257" s="324"/>
      <c r="W257" s="324"/>
      <c r="X257" s="324"/>
      <c r="Y257" s="324"/>
      <c r="Z257" s="324"/>
      <c r="AA257" s="324"/>
      <c r="AB257" s="324"/>
      <c r="AC257" s="324"/>
      <c r="AD257" s="324"/>
      <c r="AE257" s="324"/>
      <c r="AF257" s="324"/>
      <c r="AG257" s="324"/>
      <c r="AH257" s="324"/>
      <c r="AI257" s="324"/>
      <c r="AJ257" s="324"/>
      <c r="AK257" s="324"/>
      <c r="AL257" s="324"/>
      <c r="AM257" s="324"/>
      <c r="AN257" s="324"/>
      <c r="AO257" s="324"/>
      <c r="AP257" s="324"/>
    </row>
    <row r="258" spans="1:42" ht="14.25" customHeight="1" x14ac:dyDescent="0.3">
      <c r="A258" s="324"/>
      <c r="B258" s="324"/>
      <c r="C258" s="324"/>
      <c r="D258" s="324"/>
      <c r="E258" s="324"/>
      <c r="F258" s="324"/>
      <c r="G258" s="324"/>
      <c r="H258" s="324"/>
      <c r="I258" s="324"/>
      <c r="J258" s="324"/>
      <c r="K258" s="324"/>
      <c r="L258" s="324"/>
      <c r="M258" s="324"/>
      <c r="N258" s="324"/>
      <c r="O258" s="324"/>
      <c r="P258" s="324"/>
      <c r="Q258" s="324"/>
      <c r="R258" s="324"/>
      <c r="S258" s="324"/>
      <c r="T258" s="324"/>
      <c r="U258" s="324"/>
      <c r="V258" s="324"/>
      <c r="W258" s="324"/>
      <c r="X258" s="324"/>
      <c r="Y258" s="324"/>
      <c r="Z258" s="324"/>
      <c r="AA258" s="324"/>
      <c r="AB258" s="324"/>
      <c r="AC258" s="324"/>
      <c r="AD258" s="324"/>
      <c r="AE258" s="324"/>
      <c r="AF258" s="324"/>
      <c r="AG258" s="324"/>
      <c r="AH258" s="324"/>
      <c r="AI258" s="324"/>
      <c r="AJ258" s="324"/>
      <c r="AK258" s="324"/>
      <c r="AL258" s="324"/>
      <c r="AM258" s="324"/>
      <c r="AN258" s="324"/>
      <c r="AO258" s="324"/>
      <c r="AP258" s="324"/>
    </row>
    <row r="259" spans="1:42" ht="14.25" customHeight="1" x14ac:dyDescent="0.3">
      <c r="A259" s="324"/>
      <c r="B259" s="324"/>
      <c r="C259" s="324"/>
      <c r="D259" s="324"/>
      <c r="E259" s="324"/>
      <c r="F259" s="324"/>
      <c r="G259" s="324"/>
      <c r="H259" s="324"/>
      <c r="I259" s="324"/>
      <c r="J259" s="324"/>
      <c r="K259" s="324"/>
      <c r="L259" s="324"/>
      <c r="M259" s="324"/>
      <c r="N259" s="324"/>
      <c r="O259" s="324"/>
      <c r="P259" s="324"/>
      <c r="Q259" s="324"/>
      <c r="R259" s="324"/>
      <c r="S259" s="324"/>
      <c r="T259" s="324"/>
      <c r="U259" s="324"/>
      <c r="V259" s="324"/>
      <c r="W259" s="324"/>
      <c r="X259" s="324"/>
      <c r="Y259" s="324"/>
      <c r="Z259" s="324"/>
      <c r="AA259" s="324"/>
      <c r="AB259" s="324"/>
      <c r="AC259" s="324"/>
      <c r="AD259" s="324"/>
      <c r="AE259" s="324"/>
      <c r="AF259" s="324"/>
      <c r="AG259" s="324"/>
      <c r="AH259" s="324"/>
      <c r="AI259" s="324"/>
      <c r="AJ259" s="324"/>
      <c r="AK259" s="324"/>
      <c r="AL259" s="324"/>
      <c r="AM259" s="324"/>
      <c r="AN259" s="324"/>
      <c r="AO259" s="324"/>
      <c r="AP259" s="324"/>
    </row>
    <row r="260" spans="1:42" ht="14.25" customHeight="1" x14ac:dyDescent="0.3">
      <c r="A260" s="324"/>
      <c r="B260" s="324"/>
      <c r="C260" s="324"/>
      <c r="D260" s="324"/>
      <c r="E260" s="324"/>
      <c r="F260" s="324"/>
      <c r="G260" s="324"/>
      <c r="H260" s="324"/>
      <c r="I260" s="324"/>
      <c r="J260" s="324"/>
      <c r="K260" s="324"/>
      <c r="L260" s="324"/>
      <c r="M260" s="324"/>
      <c r="N260" s="324"/>
      <c r="O260" s="324"/>
      <c r="P260" s="324"/>
      <c r="Q260" s="324"/>
      <c r="R260" s="324"/>
      <c r="S260" s="324"/>
      <c r="T260" s="324"/>
      <c r="U260" s="324"/>
      <c r="V260" s="324"/>
      <c r="W260" s="324"/>
      <c r="X260" s="324"/>
      <c r="Y260" s="324"/>
      <c r="Z260" s="324"/>
      <c r="AA260" s="324"/>
      <c r="AB260" s="324"/>
      <c r="AC260" s="324"/>
      <c r="AD260" s="324"/>
      <c r="AE260" s="324"/>
      <c r="AF260" s="324"/>
      <c r="AG260" s="324"/>
      <c r="AH260" s="324"/>
      <c r="AI260" s="324"/>
      <c r="AJ260" s="324"/>
      <c r="AK260" s="324"/>
      <c r="AL260" s="324"/>
      <c r="AM260" s="324"/>
      <c r="AN260" s="324"/>
      <c r="AO260" s="324"/>
      <c r="AP260" s="324"/>
    </row>
    <row r="261" spans="1:42" ht="14.25" customHeight="1" x14ac:dyDescent="0.3">
      <c r="A261" s="324"/>
      <c r="B261" s="324"/>
      <c r="C261" s="324"/>
      <c r="D261" s="324"/>
      <c r="E261" s="324"/>
      <c r="F261" s="324"/>
      <c r="G261" s="324"/>
      <c r="H261" s="324"/>
      <c r="I261" s="324"/>
      <c r="J261" s="324"/>
      <c r="K261" s="324"/>
      <c r="L261" s="324"/>
      <c r="M261" s="324"/>
      <c r="N261" s="324"/>
      <c r="O261" s="324"/>
      <c r="P261" s="324"/>
      <c r="Q261" s="324"/>
      <c r="R261" s="324"/>
      <c r="S261" s="324"/>
      <c r="T261" s="324"/>
      <c r="U261" s="324"/>
      <c r="V261" s="324"/>
      <c r="W261" s="324"/>
      <c r="X261" s="324"/>
      <c r="Y261" s="324"/>
      <c r="Z261" s="324"/>
      <c r="AA261" s="324"/>
      <c r="AB261" s="324"/>
      <c r="AC261" s="324"/>
      <c r="AD261" s="324"/>
      <c r="AE261" s="324"/>
      <c r="AF261" s="324"/>
      <c r="AG261" s="324"/>
      <c r="AH261" s="324"/>
      <c r="AI261" s="324"/>
      <c r="AJ261" s="324"/>
      <c r="AK261" s="324"/>
      <c r="AL261" s="324"/>
      <c r="AM261" s="324"/>
      <c r="AN261" s="324"/>
      <c r="AO261" s="324"/>
      <c r="AP261" s="324"/>
    </row>
    <row r="262" spans="1:42" ht="14.25" customHeight="1" x14ac:dyDescent="0.3">
      <c r="A262" s="324"/>
      <c r="B262" s="324"/>
      <c r="C262" s="324"/>
      <c r="D262" s="324"/>
      <c r="E262" s="324"/>
      <c r="F262" s="324"/>
      <c r="G262" s="324"/>
      <c r="H262" s="324"/>
      <c r="I262" s="324"/>
      <c r="J262" s="324"/>
      <c r="K262" s="324"/>
      <c r="L262" s="324"/>
      <c r="M262" s="324"/>
      <c r="N262" s="324"/>
      <c r="O262" s="324"/>
      <c r="P262" s="324"/>
      <c r="Q262" s="324"/>
      <c r="R262" s="324"/>
      <c r="S262" s="324"/>
      <c r="T262" s="324"/>
      <c r="U262" s="324"/>
      <c r="V262" s="324"/>
      <c r="W262" s="324"/>
      <c r="X262" s="324"/>
      <c r="Y262" s="324"/>
      <c r="Z262" s="324"/>
      <c r="AA262" s="324"/>
      <c r="AB262" s="324"/>
      <c r="AC262" s="324"/>
      <c r="AD262" s="324"/>
      <c r="AE262" s="324"/>
      <c r="AF262" s="324"/>
      <c r="AG262" s="324"/>
      <c r="AH262" s="324"/>
      <c r="AI262" s="324"/>
      <c r="AJ262" s="324"/>
      <c r="AK262" s="324"/>
      <c r="AL262" s="324"/>
      <c r="AM262" s="324"/>
      <c r="AN262" s="324"/>
      <c r="AO262" s="324"/>
      <c r="AP262" s="324"/>
    </row>
    <row r="263" spans="1:42" ht="14.25" customHeight="1" x14ac:dyDescent="0.3">
      <c r="A263" s="324"/>
      <c r="B263" s="324"/>
      <c r="C263" s="324"/>
      <c r="D263" s="324"/>
      <c r="E263" s="324"/>
      <c r="F263" s="324"/>
      <c r="G263" s="324"/>
      <c r="H263" s="324"/>
      <c r="I263" s="324"/>
      <c r="J263" s="324"/>
      <c r="K263" s="324"/>
      <c r="L263" s="324"/>
      <c r="M263" s="324"/>
      <c r="N263" s="324"/>
      <c r="O263" s="324"/>
      <c r="P263" s="324"/>
      <c r="Q263" s="324"/>
      <c r="R263" s="324"/>
      <c r="S263" s="324"/>
      <c r="T263" s="324"/>
      <c r="U263" s="324"/>
      <c r="V263" s="324"/>
      <c r="W263" s="324"/>
      <c r="X263" s="324"/>
      <c r="Y263" s="324"/>
      <c r="Z263" s="324"/>
      <c r="AA263" s="324"/>
      <c r="AB263" s="324"/>
      <c r="AC263" s="324"/>
      <c r="AD263" s="324"/>
      <c r="AE263" s="324"/>
      <c r="AF263" s="324"/>
      <c r="AG263" s="324"/>
      <c r="AH263" s="324"/>
      <c r="AI263" s="324"/>
      <c r="AJ263" s="324"/>
      <c r="AK263" s="324"/>
      <c r="AL263" s="324"/>
      <c r="AM263" s="324"/>
      <c r="AN263" s="324"/>
      <c r="AO263" s="324"/>
      <c r="AP263" s="324"/>
    </row>
    <row r="264" spans="1:42" ht="14.25" customHeight="1" x14ac:dyDescent="0.3">
      <c r="A264" s="324"/>
      <c r="B264" s="324"/>
      <c r="C264" s="324"/>
      <c r="D264" s="324"/>
      <c r="E264" s="324"/>
      <c r="F264" s="324"/>
      <c r="G264" s="324"/>
      <c r="H264" s="324"/>
      <c r="I264" s="324"/>
      <c r="J264" s="324"/>
      <c r="K264" s="324"/>
      <c r="L264" s="324"/>
      <c r="M264" s="324"/>
      <c r="N264" s="324"/>
      <c r="O264" s="324"/>
      <c r="P264" s="324"/>
      <c r="Q264" s="324"/>
      <c r="R264" s="324"/>
      <c r="S264" s="324"/>
      <c r="T264" s="324"/>
      <c r="U264" s="324"/>
      <c r="V264" s="324"/>
      <c r="W264" s="324"/>
      <c r="X264" s="324"/>
      <c r="Y264" s="324"/>
      <c r="Z264" s="324"/>
      <c r="AA264" s="324"/>
      <c r="AB264" s="324"/>
      <c r="AC264" s="324"/>
      <c r="AD264" s="324"/>
      <c r="AE264" s="324"/>
      <c r="AF264" s="324"/>
      <c r="AG264" s="324"/>
      <c r="AH264" s="324"/>
      <c r="AI264" s="324"/>
      <c r="AJ264" s="324"/>
      <c r="AK264" s="324"/>
      <c r="AL264" s="324"/>
      <c r="AM264" s="324"/>
      <c r="AN264" s="324"/>
      <c r="AO264" s="324"/>
      <c r="AP264" s="324"/>
    </row>
    <row r="265" spans="1:42" ht="14.25" customHeight="1" x14ac:dyDescent="0.3">
      <c r="A265" s="324"/>
      <c r="B265" s="324"/>
      <c r="C265" s="324"/>
      <c r="D265" s="324"/>
      <c r="E265" s="324"/>
      <c r="F265" s="324"/>
      <c r="G265" s="324"/>
      <c r="H265" s="324"/>
      <c r="I265" s="324"/>
      <c r="J265" s="324"/>
      <c r="K265" s="324"/>
      <c r="L265" s="324"/>
      <c r="M265" s="324"/>
      <c r="N265" s="324"/>
      <c r="O265" s="324"/>
      <c r="P265" s="324"/>
      <c r="Q265" s="324"/>
      <c r="R265" s="324"/>
      <c r="S265" s="324"/>
      <c r="T265" s="324"/>
      <c r="U265" s="324"/>
      <c r="V265" s="324"/>
      <c r="W265" s="324"/>
      <c r="X265" s="324"/>
      <c r="Y265" s="324"/>
      <c r="Z265" s="324"/>
      <c r="AA265" s="324"/>
      <c r="AB265" s="324"/>
      <c r="AC265" s="324"/>
      <c r="AD265" s="324"/>
      <c r="AE265" s="324"/>
      <c r="AF265" s="324"/>
      <c r="AG265" s="324"/>
      <c r="AH265" s="324"/>
      <c r="AI265" s="324"/>
      <c r="AJ265" s="324"/>
      <c r="AK265" s="324"/>
      <c r="AL265" s="324"/>
      <c r="AM265" s="324"/>
      <c r="AN265" s="324"/>
      <c r="AO265" s="324"/>
      <c r="AP265" s="324"/>
    </row>
    <row r="266" spans="1:42" ht="14.25" customHeight="1" x14ac:dyDescent="0.3">
      <c r="A266" s="324"/>
      <c r="B266" s="324"/>
      <c r="C266" s="324"/>
      <c r="D266" s="324"/>
      <c r="E266" s="324"/>
      <c r="F266" s="324"/>
      <c r="G266" s="324"/>
      <c r="H266" s="324"/>
      <c r="I266" s="324"/>
      <c r="J266" s="324"/>
      <c r="K266" s="324"/>
      <c r="L266" s="324"/>
      <c r="M266" s="324"/>
      <c r="N266" s="324"/>
      <c r="O266" s="324"/>
      <c r="P266" s="324"/>
      <c r="Q266" s="324"/>
      <c r="R266" s="324"/>
      <c r="S266" s="324"/>
      <c r="T266" s="324"/>
      <c r="U266" s="324"/>
      <c r="V266" s="324"/>
      <c r="W266" s="324"/>
      <c r="X266" s="324"/>
      <c r="Y266" s="324"/>
      <c r="Z266" s="324"/>
      <c r="AA266" s="324"/>
      <c r="AB266" s="324"/>
      <c r="AC266" s="324"/>
      <c r="AD266" s="324"/>
      <c r="AE266" s="324"/>
      <c r="AF266" s="324"/>
      <c r="AG266" s="324"/>
      <c r="AH266" s="324"/>
      <c r="AI266" s="324"/>
      <c r="AJ266" s="324"/>
      <c r="AK266" s="324"/>
      <c r="AL266" s="324"/>
      <c r="AM266" s="324"/>
      <c r="AN266" s="324"/>
      <c r="AO266" s="324"/>
      <c r="AP266" s="324"/>
    </row>
    <row r="267" spans="1:42" ht="14.25" customHeight="1" x14ac:dyDescent="0.3">
      <c r="A267" s="324"/>
      <c r="B267" s="324"/>
      <c r="C267" s="324"/>
      <c r="D267" s="324"/>
      <c r="E267" s="324"/>
      <c r="F267" s="324"/>
      <c r="G267" s="324"/>
      <c r="H267" s="324"/>
      <c r="I267" s="324"/>
      <c r="J267" s="324"/>
      <c r="K267" s="324"/>
      <c r="L267" s="324"/>
      <c r="M267" s="324"/>
      <c r="N267" s="324"/>
      <c r="O267" s="324"/>
      <c r="P267" s="324"/>
      <c r="Q267" s="324"/>
      <c r="R267" s="324"/>
      <c r="S267" s="324"/>
      <c r="T267" s="324"/>
      <c r="U267" s="324"/>
      <c r="V267" s="324"/>
      <c r="W267" s="324"/>
      <c r="X267" s="324"/>
      <c r="Y267" s="324"/>
      <c r="Z267" s="324"/>
      <c r="AA267" s="324"/>
      <c r="AB267" s="324"/>
      <c r="AC267" s="324"/>
      <c r="AD267" s="324"/>
      <c r="AE267" s="324"/>
      <c r="AF267" s="324"/>
      <c r="AG267" s="324"/>
      <c r="AH267" s="324"/>
      <c r="AI267" s="324"/>
      <c r="AJ267" s="324"/>
      <c r="AK267" s="324"/>
      <c r="AL267" s="324"/>
      <c r="AM267" s="324"/>
      <c r="AN267" s="324"/>
      <c r="AO267" s="324"/>
      <c r="AP267" s="324"/>
    </row>
    <row r="268" spans="1:42" ht="14.25" customHeight="1" x14ac:dyDescent="0.3">
      <c r="A268" s="324"/>
      <c r="B268" s="324"/>
      <c r="C268" s="324"/>
      <c r="D268" s="324"/>
      <c r="E268" s="324"/>
      <c r="F268" s="324"/>
      <c r="G268" s="324"/>
      <c r="H268" s="324"/>
      <c r="I268" s="324"/>
      <c r="J268" s="324"/>
      <c r="K268" s="324"/>
      <c r="L268" s="324"/>
      <c r="M268" s="324"/>
      <c r="N268" s="324"/>
      <c r="O268" s="324"/>
      <c r="P268" s="324"/>
      <c r="Q268" s="324"/>
      <c r="R268" s="324"/>
      <c r="S268" s="324"/>
      <c r="T268" s="324"/>
      <c r="U268" s="324"/>
      <c r="V268" s="324"/>
      <c r="W268" s="324"/>
      <c r="X268" s="324"/>
      <c r="Y268" s="324"/>
      <c r="Z268" s="324"/>
      <c r="AA268" s="324"/>
      <c r="AB268" s="324"/>
      <c r="AC268" s="324"/>
      <c r="AD268" s="324"/>
      <c r="AE268" s="324"/>
      <c r="AF268" s="324"/>
      <c r="AG268" s="324"/>
      <c r="AH268" s="324"/>
      <c r="AI268" s="324"/>
      <c r="AJ268" s="324"/>
      <c r="AK268" s="324"/>
      <c r="AL268" s="324"/>
      <c r="AM268" s="324"/>
      <c r="AN268" s="324"/>
      <c r="AO268" s="324"/>
      <c r="AP268" s="324"/>
    </row>
    <row r="269" spans="1:42" ht="14.25" customHeight="1" x14ac:dyDescent="0.3">
      <c r="A269" s="324"/>
      <c r="B269" s="324"/>
      <c r="C269" s="324"/>
      <c r="D269" s="324"/>
      <c r="E269" s="324"/>
      <c r="F269" s="324"/>
      <c r="G269" s="324"/>
      <c r="H269" s="324"/>
      <c r="I269" s="324"/>
      <c r="J269" s="324"/>
      <c r="K269" s="324"/>
      <c r="L269" s="324"/>
      <c r="M269" s="324"/>
      <c r="N269" s="324"/>
      <c r="O269" s="324"/>
      <c r="P269" s="324"/>
      <c r="Q269" s="324"/>
      <c r="R269" s="324"/>
      <c r="S269" s="324"/>
      <c r="T269" s="324"/>
      <c r="U269" s="324"/>
      <c r="V269" s="324"/>
      <c r="W269" s="324"/>
      <c r="X269" s="324"/>
      <c r="Y269" s="324"/>
      <c r="Z269" s="324"/>
      <c r="AA269" s="324"/>
      <c r="AB269" s="324"/>
      <c r="AC269" s="324"/>
      <c r="AD269" s="324"/>
      <c r="AE269" s="324"/>
      <c r="AF269" s="324"/>
      <c r="AG269" s="324"/>
      <c r="AH269" s="324"/>
      <c r="AI269" s="324"/>
      <c r="AJ269" s="324"/>
      <c r="AK269" s="324"/>
      <c r="AL269" s="324"/>
      <c r="AM269" s="324"/>
      <c r="AN269" s="324"/>
      <c r="AO269" s="324"/>
      <c r="AP269" s="324"/>
    </row>
    <row r="270" spans="1:42" ht="14.25" customHeight="1" x14ac:dyDescent="0.3">
      <c r="A270" s="324"/>
      <c r="B270" s="324"/>
      <c r="C270" s="324"/>
      <c r="D270" s="324"/>
      <c r="E270" s="324"/>
      <c r="F270" s="324"/>
      <c r="G270" s="324"/>
      <c r="H270" s="324"/>
      <c r="I270" s="324"/>
      <c r="J270" s="324"/>
      <c r="K270" s="324"/>
      <c r="L270" s="324"/>
      <c r="M270" s="324"/>
      <c r="N270" s="324"/>
      <c r="O270" s="324"/>
      <c r="P270" s="324"/>
      <c r="Q270" s="324"/>
      <c r="R270" s="324"/>
      <c r="S270" s="324"/>
      <c r="T270" s="324"/>
      <c r="U270" s="324"/>
      <c r="V270" s="324"/>
      <c r="W270" s="324"/>
      <c r="X270" s="324"/>
      <c r="Y270" s="324"/>
      <c r="Z270" s="324"/>
      <c r="AA270" s="324"/>
      <c r="AB270" s="324"/>
      <c r="AC270" s="324"/>
      <c r="AD270" s="324"/>
      <c r="AE270" s="324"/>
      <c r="AF270" s="324"/>
      <c r="AG270" s="324"/>
      <c r="AH270" s="324"/>
      <c r="AI270" s="324"/>
      <c r="AJ270" s="324"/>
      <c r="AK270" s="324"/>
      <c r="AL270" s="324"/>
      <c r="AM270" s="324"/>
      <c r="AN270" s="324"/>
      <c r="AO270" s="324"/>
      <c r="AP270" s="324"/>
    </row>
    <row r="271" spans="1:42" ht="14.25" customHeight="1" x14ac:dyDescent="0.3">
      <c r="A271" s="324"/>
      <c r="B271" s="324"/>
      <c r="C271" s="324"/>
      <c r="D271" s="324"/>
      <c r="E271" s="324"/>
      <c r="F271" s="324"/>
      <c r="G271" s="324"/>
      <c r="H271" s="324"/>
      <c r="I271" s="324"/>
      <c r="J271" s="324"/>
      <c r="K271" s="324"/>
      <c r="L271" s="324"/>
      <c r="M271" s="324"/>
      <c r="N271" s="324"/>
      <c r="O271" s="324"/>
      <c r="P271" s="324"/>
      <c r="Q271" s="324"/>
      <c r="R271" s="324"/>
      <c r="S271" s="324"/>
      <c r="T271" s="324"/>
      <c r="U271" s="324"/>
      <c r="V271" s="324"/>
      <c r="W271" s="324"/>
      <c r="X271" s="324"/>
      <c r="Y271" s="324"/>
      <c r="Z271" s="324"/>
      <c r="AA271" s="324"/>
      <c r="AB271" s="324"/>
      <c r="AC271" s="324"/>
      <c r="AD271" s="324"/>
      <c r="AE271" s="324"/>
      <c r="AF271" s="324"/>
      <c r="AG271" s="324"/>
      <c r="AH271" s="324"/>
      <c r="AI271" s="324"/>
      <c r="AJ271" s="324"/>
      <c r="AK271" s="324"/>
      <c r="AL271" s="324"/>
      <c r="AM271" s="324"/>
      <c r="AN271" s="324"/>
      <c r="AO271" s="324"/>
      <c r="AP271" s="324"/>
    </row>
    <row r="272" spans="1:42" ht="14.25" customHeight="1" x14ac:dyDescent="0.3">
      <c r="A272" s="324"/>
      <c r="B272" s="324"/>
      <c r="C272" s="324"/>
      <c r="D272" s="324"/>
      <c r="E272" s="324"/>
      <c r="F272" s="324"/>
      <c r="G272" s="324"/>
      <c r="H272" s="324"/>
      <c r="I272" s="324"/>
      <c r="J272" s="324"/>
      <c r="K272" s="324"/>
      <c r="L272" s="324"/>
      <c r="M272" s="324"/>
      <c r="N272" s="324"/>
      <c r="O272" s="324"/>
      <c r="P272" s="324"/>
      <c r="Q272" s="324"/>
      <c r="R272" s="324"/>
      <c r="S272" s="324"/>
      <c r="T272" s="324"/>
      <c r="U272" s="324"/>
      <c r="V272" s="324"/>
      <c r="W272" s="324"/>
      <c r="X272" s="324"/>
      <c r="Y272" s="324"/>
      <c r="Z272" s="324"/>
      <c r="AA272" s="324"/>
      <c r="AB272" s="324"/>
      <c r="AC272" s="324"/>
      <c r="AD272" s="324"/>
      <c r="AE272" s="324"/>
      <c r="AF272" s="324"/>
      <c r="AG272" s="324"/>
      <c r="AH272" s="324"/>
      <c r="AI272" s="324"/>
      <c r="AJ272" s="324"/>
      <c r="AK272" s="324"/>
      <c r="AL272" s="324"/>
      <c r="AM272" s="324"/>
      <c r="AN272" s="324"/>
      <c r="AO272" s="324"/>
      <c r="AP272" s="324"/>
    </row>
    <row r="273" spans="1:42" ht="14.25" customHeight="1" x14ac:dyDescent="0.3">
      <c r="A273" s="324"/>
      <c r="B273" s="324"/>
      <c r="C273" s="324"/>
      <c r="D273" s="324"/>
      <c r="E273" s="324"/>
      <c r="F273" s="324"/>
      <c r="G273" s="324"/>
      <c r="H273" s="324"/>
      <c r="I273" s="324"/>
      <c r="J273" s="324"/>
      <c r="K273" s="324"/>
      <c r="L273" s="324"/>
      <c r="M273" s="324"/>
      <c r="N273" s="324"/>
      <c r="O273" s="324"/>
      <c r="P273" s="324"/>
      <c r="Q273" s="324"/>
      <c r="R273" s="324"/>
      <c r="S273" s="324"/>
      <c r="T273" s="324"/>
      <c r="U273" s="324"/>
      <c r="V273" s="324"/>
      <c r="W273" s="324"/>
      <c r="X273" s="324"/>
      <c r="Y273" s="324"/>
      <c r="Z273" s="324"/>
      <c r="AA273" s="324"/>
      <c r="AB273" s="324"/>
      <c r="AC273" s="324"/>
      <c r="AD273" s="324"/>
      <c r="AE273" s="324"/>
      <c r="AF273" s="324"/>
      <c r="AG273" s="324"/>
      <c r="AH273" s="324"/>
      <c r="AI273" s="324"/>
      <c r="AJ273" s="324"/>
      <c r="AK273" s="324"/>
      <c r="AL273" s="324"/>
      <c r="AM273" s="324"/>
      <c r="AN273" s="324"/>
      <c r="AO273" s="324"/>
      <c r="AP273" s="324"/>
    </row>
    <row r="274" spans="1:42" ht="14.25" customHeight="1" x14ac:dyDescent="0.3">
      <c r="A274" s="324"/>
      <c r="B274" s="324"/>
      <c r="C274" s="324"/>
      <c r="D274" s="324"/>
      <c r="E274" s="324"/>
      <c r="F274" s="324"/>
      <c r="G274" s="324"/>
      <c r="H274" s="324"/>
      <c r="I274" s="324"/>
      <c r="J274" s="324"/>
      <c r="K274" s="324"/>
      <c r="L274" s="324"/>
      <c r="M274" s="324"/>
      <c r="N274" s="324"/>
      <c r="O274" s="324"/>
      <c r="P274" s="324"/>
      <c r="Q274" s="324"/>
      <c r="R274" s="324"/>
      <c r="S274" s="324"/>
      <c r="T274" s="324"/>
      <c r="U274" s="324"/>
      <c r="V274" s="324"/>
      <c r="W274" s="324"/>
      <c r="X274" s="324"/>
      <c r="Y274" s="324"/>
      <c r="Z274" s="324"/>
      <c r="AA274" s="324"/>
      <c r="AB274" s="324"/>
      <c r="AC274" s="324"/>
      <c r="AD274" s="324"/>
      <c r="AE274" s="324"/>
      <c r="AF274" s="324"/>
      <c r="AG274" s="324"/>
      <c r="AH274" s="324"/>
      <c r="AI274" s="324"/>
      <c r="AJ274" s="324"/>
      <c r="AK274" s="324"/>
      <c r="AL274" s="324"/>
      <c r="AM274" s="324"/>
      <c r="AN274" s="324"/>
      <c r="AO274" s="324"/>
      <c r="AP274" s="324"/>
    </row>
    <row r="275" spans="1:42" ht="14.25" customHeight="1" x14ac:dyDescent="0.3">
      <c r="A275" s="324"/>
      <c r="B275" s="324"/>
      <c r="C275" s="324"/>
      <c r="D275" s="324"/>
      <c r="E275" s="324"/>
      <c r="F275" s="324"/>
      <c r="G275" s="324"/>
      <c r="H275" s="324"/>
      <c r="I275" s="324"/>
      <c r="J275" s="324"/>
      <c r="K275" s="324"/>
      <c r="L275" s="324"/>
      <c r="M275" s="324"/>
      <c r="N275" s="324"/>
      <c r="O275" s="324"/>
      <c r="P275" s="324"/>
      <c r="Q275" s="324"/>
      <c r="R275" s="324"/>
      <c r="S275" s="324"/>
      <c r="T275" s="324"/>
      <c r="U275" s="324"/>
      <c r="V275" s="324"/>
      <c r="W275" s="324"/>
      <c r="X275" s="324"/>
      <c r="Y275" s="324"/>
      <c r="Z275" s="324"/>
      <c r="AA275" s="324"/>
      <c r="AB275" s="324"/>
      <c r="AC275" s="324"/>
      <c r="AD275" s="324"/>
      <c r="AE275" s="324"/>
      <c r="AF275" s="324"/>
      <c r="AG275" s="324"/>
      <c r="AH275" s="324"/>
      <c r="AI275" s="324"/>
      <c r="AJ275" s="324"/>
      <c r="AK275" s="324"/>
      <c r="AL275" s="324"/>
      <c r="AM275" s="324"/>
      <c r="AN275" s="324"/>
      <c r="AO275" s="324"/>
      <c r="AP275" s="324"/>
    </row>
    <row r="276" spans="1:42" ht="14.25" customHeight="1" x14ac:dyDescent="0.3">
      <c r="A276" s="324"/>
      <c r="B276" s="324"/>
      <c r="C276" s="324"/>
      <c r="D276" s="324"/>
      <c r="E276" s="324"/>
      <c r="F276" s="324"/>
      <c r="G276" s="324"/>
      <c r="H276" s="324"/>
      <c r="I276" s="324"/>
      <c r="J276" s="324"/>
      <c r="K276" s="324"/>
      <c r="L276" s="324"/>
      <c r="M276" s="324"/>
      <c r="N276" s="324"/>
      <c r="O276" s="324"/>
      <c r="P276" s="324"/>
      <c r="Q276" s="324"/>
      <c r="R276" s="324"/>
      <c r="S276" s="324"/>
      <c r="T276" s="324"/>
      <c r="U276" s="324"/>
      <c r="V276" s="324"/>
      <c r="W276" s="324"/>
      <c r="X276" s="324"/>
      <c r="Y276" s="324"/>
      <c r="Z276" s="324"/>
      <c r="AA276" s="324"/>
      <c r="AB276" s="324"/>
      <c r="AC276" s="324"/>
      <c r="AD276" s="324"/>
      <c r="AE276" s="324"/>
      <c r="AF276" s="324"/>
      <c r="AG276" s="324"/>
      <c r="AH276" s="324"/>
      <c r="AI276" s="324"/>
      <c r="AJ276" s="324"/>
      <c r="AK276" s="324"/>
      <c r="AL276" s="324"/>
      <c r="AM276" s="324"/>
      <c r="AN276" s="324"/>
      <c r="AO276" s="324"/>
      <c r="AP276" s="324"/>
    </row>
    <row r="277" spans="1:42" ht="14.25" customHeight="1" x14ac:dyDescent="0.3">
      <c r="A277" s="324"/>
      <c r="B277" s="324"/>
      <c r="C277" s="324"/>
      <c r="D277" s="324"/>
      <c r="E277" s="324"/>
      <c r="F277" s="324"/>
      <c r="G277" s="324"/>
      <c r="H277" s="324"/>
      <c r="I277" s="324"/>
      <c r="J277" s="324"/>
      <c r="K277" s="324"/>
      <c r="L277" s="324"/>
      <c r="M277" s="324"/>
      <c r="N277" s="324"/>
      <c r="O277" s="324"/>
      <c r="P277" s="324"/>
      <c r="Q277" s="324"/>
      <c r="R277" s="324"/>
      <c r="S277" s="324"/>
      <c r="T277" s="324"/>
      <c r="U277" s="324"/>
      <c r="V277" s="324"/>
      <c r="W277" s="324"/>
      <c r="X277" s="324"/>
      <c r="Y277" s="324"/>
      <c r="Z277" s="324"/>
      <c r="AA277" s="324"/>
      <c r="AB277" s="324"/>
      <c r="AC277" s="324"/>
      <c r="AD277" s="324"/>
      <c r="AE277" s="324"/>
      <c r="AF277" s="324"/>
      <c r="AG277" s="324"/>
      <c r="AH277" s="324"/>
      <c r="AI277" s="324"/>
      <c r="AJ277" s="324"/>
      <c r="AK277" s="324"/>
      <c r="AL277" s="324"/>
      <c r="AM277" s="324"/>
      <c r="AN277" s="324"/>
      <c r="AO277" s="324"/>
      <c r="AP277" s="324"/>
    </row>
    <row r="278" spans="1:42" ht="14.25" customHeight="1" x14ac:dyDescent="0.3">
      <c r="A278" s="324"/>
      <c r="B278" s="324"/>
      <c r="C278" s="324"/>
      <c r="D278" s="324"/>
      <c r="E278" s="324"/>
      <c r="F278" s="324"/>
      <c r="G278" s="324"/>
      <c r="H278" s="324"/>
      <c r="I278" s="324"/>
      <c r="J278" s="324"/>
      <c r="K278" s="324"/>
      <c r="L278" s="324"/>
      <c r="M278" s="324"/>
      <c r="N278" s="324"/>
      <c r="O278" s="324"/>
      <c r="P278" s="324"/>
      <c r="Q278" s="324"/>
      <c r="R278" s="324"/>
      <c r="S278" s="324"/>
      <c r="T278" s="324"/>
      <c r="U278" s="324"/>
      <c r="V278" s="324"/>
      <c r="W278" s="324"/>
      <c r="X278" s="324"/>
      <c r="Y278" s="324"/>
      <c r="Z278" s="324"/>
      <c r="AA278" s="324"/>
      <c r="AB278" s="324"/>
      <c r="AC278" s="324"/>
      <c r="AD278" s="324"/>
      <c r="AE278" s="324"/>
      <c r="AF278" s="324"/>
      <c r="AG278" s="324"/>
      <c r="AH278" s="324"/>
      <c r="AI278" s="324"/>
      <c r="AJ278" s="324"/>
      <c r="AK278" s="324"/>
      <c r="AL278" s="324"/>
      <c r="AM278" s="324"/>
      <c r="AN278" s="324"/>
      <c r="AO278" s="324"/>
      <c r="AP278" s="324"/>
    </row>
    <row r="279" spans="1:42" ht="14.25" customHeight="1" x14ac:dyDescent="0.3">
      <c r="A279" s="324"/>
      <c r="B279" s="324"/>
      <c r="C279" s="324"/>
      <c r="D279" s="324"/>
      <c r="E279" s="324"/>
      <c r="F279" s="324"/>
      <c r="G279" s="324"/>
      <c r="H279" s="324"/>
      <c r="I279" s="324"/>
      <c r="J279" s="324"/>
      <c r="K279" s="324"/>
      <c r="L279" s="324"/>
      <c r="M279" s="324"/>
      <c r="N279" s="324"/>
      <c r="O279" s="324"/>
      <c r="P279" s="324"/>
      <c r="Q279" s="324"/>
      <c r="R279" s="324"/>
      <c r="S279" s="324"/>
      <c r="T279" s="324"/>
      <c r="U279" s="324"/>
      <c r="V279" s="324"/>
      <c r="W279" s="324"/>
      <c r="X279" s="324"/>
      <c r="Y279" s="324"/>
      <c r="Z279" s="324"/>
      <c r="AA279" s="324"/>
      <c r="AB279" s="324"/>
      <c r="AC279" s="324"/>
      <c r="AD279" s="324"/>
      <c r="AE279" s="324"/>
      <c r="AF279" s="324"/>
      <c r="AG279" s="324"/>
      <c r="AH279" s="324"/>
      <c r="AI279" s="324"/>
      <c r="AJ279" s="324"/>
      <c r="AK279" s="324"/>
      <c r="AL279" s="324"/>
      <c r="AM279" s="324"/>
      <c r="AN279" s="324"/>
      <c r="AO279" s="324"/>
      <c r="AP279" s="324"/>
    </row>
    <row r="280" spans="1:42" ht="14.25" customHeight="1" x14ac:dyDescent="0.3">
      <c r="A280" s="324"/>
      <c r="B280" s="324"/>
      <c r="C280" s="324"/>
      <c r="D280" s="324"/>
      <c r="E280" s="324"/>
      <c r="F280" s="324"/>
      <c r="G280" s="324"/>
      <c r="H280" s="324"/>
      <c r="I280" s="324"/>
      <c r="J280" s="324"/>
      <c r="K280" s="324"/>
      <c r="L280" s="324"/>
      <c r="M280" s="324"/>
      <c r="N280" s="324"/>
      <c r="O280" s="324"/>
      <c r="P280" s="324"/>
      <c r="Q280" s="324"/>
      <c r="R280" s="324"/>
      <c r="S280" s="324"/>
      <c r="T280" s="324"/>
      <c r="U280" s="324"/>
      <c r="V280" s="324"/>
      <c r="W280" s="324"/>
      <c r="X280" s="324"/>
      <c r="Y280" s="324"/>
      <c r="Z280" s="324"/>
      <c r="AA280" s="324"/>
      <c r="AB280" s="324"/>
      <c r="AC280" s="324"/>
      <c r="AD280" s="324"/>
      <c r="AE280" s="324"/>
      <c r="AF280" s="324"/>
      <c r="AG280" s="324"/>
      <c r="AH280" s="324"/>
      <c r="AI280" s="324"/>
      <c r="AJ280" s="324"/>
      <c r="AK280" s="324"/>
      <c r="AL280" s="324"/>
      <c r="AM280" s="324"/>
      <c r="AN280" s="324"/>
      <c r="AO280" s="324"/>
      <c r="AP280" s="324"/>
    </row>
    <row r="281" spans="1:42" ht="14.25" customHeight="1" x14ac:dyDescent="0.3">
      <c r="A281" s="324"/>
      <c r="B281" s="324"/>
      <c r="C281" s="324"/>
      <c r="D281" s="324"/>
      <c r="E281" s="324"/>
      <c r="F281" s="324"/>
      <c r="G281" s="324"/>
      <c r="H281" s="324"/>
      <c r="I281" s="324"/>
      <c r="J281" s="324"/>
      <c r="K281" s="324"/>
      <c r="L281" s="324"/>
      <c r="M281" s="324"/>
      <c r="N281" s="324"/>
      <c r="O281" s="324"/>
      <c r="P281" s="324"/>
      <c r="Q281" s="324"/>
      <c r="R281" s="324"/>
      <c r="S281" s="324"/>
      <c r="T281" s="324"/>
      <c r="U281" s="324"/>
      <c r="V281" s="324"/>
      <c r="W281" s="324"/>
      <c r="X281" s="324"/>
      <c r="Y281" s="324"/>
      <c r="Z281" s="324"/>
      <c r="AA281" s="324"/>
      <c r="AB281" s="324"/>
      <c r="AC281" s="324"/>
      <c r="AD281" s="324"/>
      <c r="AE281" s="324"/>
      <c r="AF281" s="324"/>
      <c r="AG281" s="324"/>
      <c r="AH281" s="324"/>
      <c r="AI281" s="324"/>
      <c r="AJ281" s="324"/>
      <c r="AK281" s="324"/>
      <c r="AL281" s="324"/>
      <c r="AM281" s="324"/>
      <c r="AN281" s="324"/>
      <c r="AO281" s="324"/>
      <c r="AP281" s="324"/>
    </row>
    <row r="282" spans="1:42" ht="14.25" customHeight="1" x14ac:dyDescent="0.3">
      <c r="A282" s="324"/>
      <c r="B282" s="324"/>
      <c r="C282" s="324"/>
      <c r="D282" s="324"/>
      <c r="E282" s="324"/>
      <c r="F282" s="324"/>
      <c r="G282" s="324"/>
      <c r="H282" s="324"/>
      <c r="I282" s="324"/>
      <c r="J282" s="324"/>
      <c r="K282" s="324"/>
      <c r="L282" s="324"/>
      <c r="M282" s="324"/>
      <c r="N282" s="324"/>
      <c r="O282" s="324"/>
      <c r="P282" s="324"/>
      <c r="Q282" s="324"/>
      <c r="R282" s="324"/>
      <c r="S282" s="324"/>
      <c r="T282" s="324"/>
      <c r="U282" s="324"/>
      <c r="V282" s="324"/>
      <c r="W282" s="324"/>
      <c r="X282" s="324"/>
      <c r="Y282" s="324"/>
      <c r="Z282" s="324"/>
      <c r="AA282" s="324"/>
      <c r="AB282" s="324"/>
      <c r="AC282" s="324"/>
      <c r="AD282" s="324"/>
      <c r="AE282" s="324"/>
      <c r="AF282" s="324"/>
      <c r="AG282" s="324"/>
      <c r="AH282" s="324"/>
      <c r="AI282" s="324"/>
      <c r="AJ282" s="324"/>
      <c r="AK282" s="324"/>
      <c r="AL282" s="324"/>
      <c r="AM282" s="324"/>
      <c r="AN282" s="324"/>
      <c r="AO282" s="324"/>
      <c r="AP282" s="324"/>
    </row>
    <row r="283" spans="1:42" ht="14.25" customHeight="1" x14ac:dyDescent="0.3">
      <c r="A283" s="324"/>
      <c r="B283" s="324"/>
      <c r="C283" s="324"/>
      <c r="D283" s="324"/>
      <c r="E283" s="324"/>
      <c r="F283" s="324"/>
      <c r="G283" s="324"/>
      <c r="H283" s="324"/>
      <c r="I283" s="324"/>
      <c r="J283" s="324"/>
      <c r="K283" s="324"/>
      <c r="L283" s="324"/>
      <c r="M283" s="324"/>
      <c r="N283" s="324"/>
      <c r="O283" s="324"/>
      <c r="P283" s="324"/>
      <c r="Q283" s="324"/>
      <c r="R283" s="324"/>
      <c r="S283" s="324"/>
      <c r="T283" s="324"/>
      <c r="U283" s="324"/>
      <c r="V283" s="324"/>
      <c r="W283" s="324"/>
      <c r="X283" s="324"/>
      <c r="Y283" s="324"/>
      <c r="Z283" s="324"/>
      <c r="AA283" s="324"/>
      <c r="AB283" s="324"/>
      <c r="AC283" s="324"/>
      <c r="AD283" s="324"/>
      <c r="AE283" s="324"/>
      <c r="AF283" s="324"/>
      <c r="AG283" s="324"/>
      <c r="AH283" s="324"/>
      <c r="AI283" s="324"/>
      <c r="AJ283" s="324"/>
      <c r="AK283" s="324"/>
      <c r="AL283" s="324"/>
      <c r="AM283" s="324"/>
      <c r="AN283" s="324"/>
      <c r="AO283" s="324"/>
      <c r="AP283" s="324"/>
    </row>
    <row r="284" spans="1:42" ht="14.25" customHeight="1" x14ac:dyDescent="0.3">
      <c r="A284" s="324"/>
      <c r="B284" s="324"/>
      <c r="C284" s="324"/>
      <c r="D284" s="324"/>
      <c r="E284" s="324"/>
      <c r="F284" s="324"/>
      <c r="G284" s="324"/>
      <c r="H284" s="324"/>
      <c r="I284" s="324"/>
      <c r="J284" s="324"/>
      <c r="K284" s="324"/>
      <c r="L284" s="324"/>
      <c r="M284" s="324"/>
      <c r="N284" s="324"/>
      <c r="O284" s="324"/>
      <c r="P284" s="324"/>
      <c r="Q284" s="324"/>
      <c r="R284" s="324"/>
      <c r="S284" s="324"/>
      <c r="T284" s="324"/>
      <c r="U284" s="324"/>
      <c r="V284" s="324"/>
      <c r="W284" s="324"/>
      <c r="X284" s="324"/>
      <c r="Y284" s="324"/>
      <c r="Z284" s="324"/>
      <c r="AA284" s="324"/>
      <c r="AB284" s="324"/>
      <c r="AC284" s="324"/>
      <c r="AD284" s="324"/>
      <c r="AE284" s="324"/>
      <c r="AF284" s="324"/>
      <c r="AG284" s="324"/>
      <c r="AH284" s="324"/>
      <c r="AI284" s="324"/>
      <c r="AJ284" s="324"/>
      <c r="AK284" s="324"/>
      <c r="AL284" s="324"/>
      <c r="AM284" s="324"/>
      <c r="AN284" s="324"/>
      <c r="AO284" s="324"/>
      <c r="AP284" s="324"/>
    </row>
    <row r="285" spans="1:42" ht="14.25" customHeight="1" x14ac:dyDescent="0.3">
      <c r="A285" s="324"/>
      <c r="B285" s="324"/>
      <c r="C285" s="324"/>
      <c r="D285" s="324"/>
      <c r="E285" s="324"/>
      <c r="F285" s="324"/>
      <c r="G285" s="324"/>
      <c r="H285" s="324"/>
      <c r="I285" s="324"/>
      <c r="J285" s="324"/>
      <c r="K285" s="324"/>
      <c r="L285" s="324"/>
      <c r="M285" s="324"/>
      <c r="N285" s="324"/>
      <c r="O285" s="324"/>
      <c r="P285" s="324"/>
      <c r="Q285" s="324"/>
      <c r="R285" s="324"/>
      <c r="S285" s="324"/>
      <c r="T285" s="324"/>
      <c r="U285" s="324"/>
      <c r="V285" s="324"/>
      <c r="W285" s="324"/>
      <c r="X285" s="324"/>
      <c r="Y285" s="324"/>
      <c r="Z285" s="324"/>
      <c r="AA285" s="324"/>
      <c r="AB285" s="324"/>
      <c r="AC285" s="324"/>
      <c r="AD285" s="324"/>
      <c r="AE285" s="324"/>
      <c r="AF285" s="324"/>
      <c r="AG285" s="324"/>
      <c r="AH285" s="324"/>
      <c r="AI285" s="324"/>
      <c r="AJ285" s="324"/>
      <c r="AK285" s="324"/>
      <c r="AL285" s="324"/>
      <c r="AM285" s="324"/>
      <c r="AN285" s="324"/>
      <c r="AO285" s="324"/>
      <c r="AP285" s="324"/>
    </row>
    <row r="286" spans="1:42" ht="15.75" customHeight="1" x14ac:dyDescent="0.3"/>
    <row r="287" spans="1:42" ht="15.75" customHeight="1" x14ac:dyDescent="0.3"/>
    <row r="288" spans="1:42"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23">
    <mergeCell ref="AK1:AL2"/>
    <mergeCell ref="AM81:AN81"/>
    <mergeCell ref="AM1:AN2"/>
    <mergeCell ref="K46:L51"/>
    <mergeCell ref="M46:N51"/>
    <mergeCell ref="AI73:AJ74"/>
    <mergeCell ref="AI46:AJ51"/>
    <mergeCell ref="AK46:AL51"/>
    <mergeCell ref="W77:X77"/>
    <mergeCell ref="Y77:Z77"/>
    <mergeCell ref="AI77:AJ77"/>
    <mergeCell ref="AK77:AL77"/>
    <mergeCell ref="AE44:AF45"/>
    <mergeCell ref="AI81:AJ81"/>
    <mergeCell ref="AI1:AJ2"/>
    <mergeCell ref="AM22:AN22"/>
    <mergeCell ref="AM77:AN77"/>
    <mergeCell ref="AI22:AJ22"/>
    <mergeCell ref="AK22:AL22"/>
    <mergeCell ref="AI44:AJ45"/>
    <mergeCell ref="A43:A45"/>
    <mergeCell ref="U73:V74"/>
    <mergeCell ref="W73:X74"/>
    <mergeCell ref="O46:P51"/>
    <mergeCell ref="O73:P74"/>
    <mergeCell ref="S1:T2"/>
    <mergeCell ref="AG73:AH74"/>
    <mergeCell ref="Q46:R51"/>
    <mergeCell ref="U1:V2"/>
    <mergeCell ref="A53:I53"/>
    <mergeCell ref="AC46:AD51"/>
    <mergeCell ref="F2:J2"/>
    <mergeCell ref="K44:L45"/>
    <mergeCell ref="AA22:AB22"/>
    <mergeCell ref="Y44:Z45"/>
    <mergeCell ref="S22:T22"/>
    <mergeCell ref="AC73:AD74"/>
    <mergeCell ref="U22:V22"/>
    <mergeCell ref="F73:H74"/>
    <mergeCell ref="D43:D45"/>
    <mergeCell ref="AE22:AF22"/>
    <mergeCell ref="J3:J5"/>
    <mergeCell ref="AG22:AH22"/>
    <mergeCell ref="AC44:AD45"/>
    <mergeCell ref="AG1:AH2"/>
    <mergeCell ref="M73:N74"/>
    <mergeCell ref="W44:X45"/>
    <mergeCell ref="AE81:AF81"/>
    <mergeCell ref="AG81:AH81"/>
    <mergeCell ref="AA77:AB77"/>
    <mergeCell ref="AC77:AD77"/>
    <mergeCell ref="K22:L22"/>
    <mergeCell ref="J23:J25"/>
    <mergeCell ref="M22:N22"/>
    <mergeCell ref="AA46:AB51"/>
    <mergeCell ref="Q22:R22"/>
    <mergeCell ref="AG44:AH45"/>
    <mergeCell ref="AC22:AD22"/>
    <mergeCell ref="J46:J51"/>
    <mergeCell ref="K1:L2"/>
    <mergeCell ref="AA81:AB81"/>
    <mergeCell ref="AC81:AD81"/>
    <mergeCell ref="S81:T81"/>
    <mergeCell ref="U81:V81"/>
    <mergeCell ref="U44:V45"/>
    <mergeCell ref="O22:P22"/>
    <mergeCell ref="Y22:Z22"/>
    <mergeCell ref="J43:J45"/>
    <mergeCell ref="K73:L74"/>
    <mergeCell ref="W46:X51"/>
    <mergeCell ref="Y46:Z51"/>
    <mergeCell ref="M44:N45"/>
    <mergeCell ref="W81:X81"/>
    <mergeCell ref="Y81:Z81"/>
    <mergeCell ref="Q81:R81"/>
    <mergeCell ref="F3:G3"/>
    <mergeCell ref="E43:E45"/>
    <mergeCell ref="G43:G45"/>
    <mergeCell ref="E56:G56"/>
    <mergeCell ref="AA1:AB2"/>
    <mergeCell ref="AK81:AL81"/>
    <mergeCell ref="F20:I20"/>
    <mergeCell ref="Q73:R74"/>
    <mergeCell ref="S73:T74"/>
    <mergeCell ref="I43:I45"/>
    <mergeCell ref="AE73:AF74"/>
    <mergeCell ref="A42:J42"/>
    <mergeCell ref="F4:G4"/>
    <mergeCell ref="A22:J22"/>
    <mergeCell ref="AE46:AF51"/>
    <mergeCell ref="F79:H79"/>
    <mergeCell ref="Q77:R77"/>
    <mergeCell ref="AK44:AL45"/>
    <mergeCell ref="S77:T77"/>
    <mergeCell ref="U77:V77"/>
    <mergeCell ref="AE77:AF77"/>
    <mergeCell ref="AG77:AH77"/>
    <mergeCell ref="S44:T45"/>
    <mergeCell ref="W22:X22"/>
    <mergeCell ref="M1:N2"/>
    <mergeCell ref="O44:P45"/>
    <mergeCell ref="Q44:R45"/>
    <mergeCell ref="B43:B45"/>
    <mergeCell ref="A23:B23"/>
    <mergeCell ref="AA44:AB45"/>
    <mergeCell ref="AM44:AN45"/>
    <mergeCell ref="Y73:Z74"/>
    <mergeCell ref="AA73:AB74"/>
    <mergeCell ref="S46:T51"/>
    <mergeCell ref="W1:X2"/>
    <mergeCell ref="AK73:AL74"/>
    <mergeCell ref="U46:V51"/>
    <mergeCell ref="Y1:Z2"/>
    <mergeCell ref="O1:P2"/>
    <mergeCell ref="AM73:AN74"/>
    <mergeCell ref="Q1:R2"/>
    <mergeCell ref="AM46:AN51"/>
    <mergeCell ref="AG46:AH51"/>
    <mergeCell ref="A24:B24"/>
    <mergeCell ref="C43:C45"/>
    <mergeCell ref="AC1:AD2"/>
    <mergeCell ref="I73:J74"/>
    <mergeCell ref="AE1:AF2"/>
  </mergeCells>
  <pageMargins left="0.7" right="0.7" top="0.75" bottom="0.75" header="0" footer="0"/>
  <pageSetup orientation="landscape"/>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showGridLines="0" workbookViewId="0"/>
  </sheetViews>
  <sheetFormatPr baseColWidth="10" defaultColWidth="12.6640625" defaultRowHeight="15" customHeight="1" x14ac:dyDescent="0.3"/>
  <cols>
    <col min="1" max="1" width="32.88671875" customWidth="1"/>
    <col min="2" max="2" width="26.6640625" customWidth="1"/>
    <col min="3" max="3" width="14.109375" customWidth="1"/>
    <col min="4" max="6" width="13.77734375" customWidth="1"/>
    <col min="7" max="7" width="17.77734375" customWidth="1"/>
    <col min="8" max="8" width="15.44140625" customWidth="1"/>
    <col min="9" max="9" width="14.77734375" customWidth="1"/>
    <col min="10" max="10" width="14" customWidth="1"/>
    <col min="11" max="12" width="13.77734375" customWidth="1"/>
    <col min="13" max="13" width="16.21875" customWidth="1"/>
    <col min="14" max="14" width="13.88671875" customWidth="1"/>
    <col min="15" max="15" width="14.88671875" customWidth="1"/>
    <col min="16" max="16" width="31.88671875" customWidth="1"/>
    <col min="17" max="26" width="10.6640625" customWidth="1"/>
  </cols>
  <sheetData>
    <row r="1" spans="1:26" ht="14.25" customHeight="1" x14ac:dyDescent="0.3">
      <c r="A1" s="7"/>
      <c r="B1" s="198"/>
      <c r="C1" s="198"/>
      <c r="D1" s="198"/>
      <c r="E1" s="198"/>
      <c r="F1" s="198"/>
      <c r="G1" s="7"/>
      <c r="H1" s="7"/>
      <c r="I1" s="7"/>
      <c r="J1" s="7"/>
      <c r="K1" s="7"/>
      <c r="L1" s="7"/>
      <c r="M1" s="7"/>
      <c r="N1" s="7"/>
      <c r="O1" s="7"/>
      <c r="P1" s="7"/>
      <c r="Q1" s="7"/>
      <c r="R1" s="7"/>
      <c r="S1" s="7"/>
      <c r="T1" s="7"/>
      <c r="U1" s="7"/>
      <c r="V1" s="7"/>
      <c r="W1" s="7"/>
      <c r="X1" s="7"/>
      <c r="Y1" s="7"/>
      <c r="Z1" s="7"/>
    </row>
    <row r="2" spans="1:26" ht="14.25" customHeight="1" x14ac:dyDescent="0.3">
      <c r="A2" s="1030" t="s">
        <v>2205</v>
      </c>
      <c r="B2" s="1030" t="s">
        <v>2206</v>
      </c>
      <c r="C2" s="1030" t="s">
        <v>1892</v>
      </c>
      <c r="D2" s="1031">
        <v>46023</v>
      </c>
      <c r="E2" s="1031">
        <v>46054</v>
      </c>
      <c r="F2" s="1031">
        <v>46082</v>
      </c>
      <c r="G2" s="1031">
        <v>46113</v>
      </c>
      <c r="H2" s="1031">
        <v>46143</v>
      </c>
      <c r="I2" s="1031">
        <v>46174</v>
      </c>
      <c r="J2" s="1031">
        <v>46204</v>
      </c>
      <c r="K2" s="1031">
        <v>46235</v>
      </c>
      <c r="L2" s="1031">
        <v>46266</v>
      </c>
      <c r="M2" s="1031">
        <v>46296</v>
      </c>
      <c r="N2" s="1031">
        <v>46327</v>
      </c>
      <c r="O2" s="1031">
        <v>46357</v>
      </c>
      <c r="P2" s="1032" t="s">
        <v>2207</v>
      </c>
      <c r="Q2" s="7"/>
      <c r="R2" s="7"/>
      <c r="S2" s="7"/>
      <c r="T2" s="7"/>
      <c r="U2" s="7"/>
      <c r="V2" s="7"/>
      <c r="W2" s="7"/>
      <c r="X2" s="7"/>
      <c r="Y2" s="7"/>
      <c r="Z2" s="7"/>
    </row>
    <row r="3" spans="1:26" ht="14.25" customHeight="1" x14ac:dyDescent="0.3">
      <c r="A3" s="1033" t="s">
        <v>2208</v>
      </c>
      <c r="B3" s="1034">
        <v>20000</v>
      </c>
      <c r="C3" s="764">
        <v>8.0000000000000002E-3</v>
      </c>
      <c r="D3" s="1034">
        <v>300000</v>
      </c>
      <c r="E3" s="1034">
        <v>300000</v>
      </c>
      <c r="F3" s="1035">
        <v>300000</v>
      </c>
      <c r="G3" s="1036">
        <f t="shared" ref="G3:O3" si="0">($B$3*G17)*$C$3</f>
        <v>320000</v>
      </c>
      <c r="H3" s="1036">
        <f t="shared" si="0"/>
        <v>320000</v>
      </c>
      <c r="I3" s="1036">
        <f t="shared" si="0"/>
        <v>320000</v>
      </c>
      <c r="J3" s="1036">
        <f t="shared" si="0"/>
        <v>400000</v>
      </c>
      <c r="K3" s="1036">
        <f t="shared" si="0"/>
        <v>400000</v>
      </c>
      <c r="L3" s="1036">
        <f t="shared" si="0"/>
        <v>400000</v>
      </c>
      <c r="M3" s="1036">
        <f t="shared" si="0"/>
        <v>512000</v>
      </c>
      <c r="N3" s="1036">
        <f t="shared" si="0"/>
        <v>512000</v>
      </c>
      <c r="O3" s="1036">
        <f t="shared" si="0"/>
        <v>512000</v>
      </c>
      <c r="P3" s="304" t="s">
        <v>2209</v>
      </c>
      <c r="Q3" s="7"/>
      <c r="R3" s="7"/>
      <c r="S3" s="7"/>
      <c r="T3" s="7"/>
      <c r="U3" s="7"/>
      <c r="V3" s="7"/>
      <c r="W3" s="7"/>
      <c r="X3" s="7"/>
      <c r="Y3" s="7"/>
      <c r="Z3" s="7"/>
    </row>
    <row r="4" spans="1:26" ht="14.25" customHeight="1" x14ac:dyDescent="0.3">
      <c r="A4" s="1033" t="s">
        <v>2210</v>
      </c>
      <c r="B4" s="1034">
        <v>35000</v>
      </c>
      <c r="C4" s="764">
        <v>0.01</v>
      </c>
      <c r="D4" s="1034">
        <v>300000</v>
      </c>
      <c r="E4" s="1034">
        <v>300000</v>
      </c>
      <c r="F4" s="1034">
        <v>300000</v>
      </c>
      <c r="G4" s="1036">
        <f t="shared" ref="G4:O4" si="1">($B$4*G18)*$C$4</f>
        <v>805000</v>
      </c>
      <c r="H4" s="1036">
        <f t="shared" si="1"/>
        <v>805000</v>
      </c>
      <c r="I4" s="1036">
        <f t="shared" si="1"/>
        <v>805000</v>
      </c>
      <c r="J4" s="1036">
        <f t="shared" si="1"/>
        <v>910000</v>
      </c>
      <c r="K4" s="1036">
        <f t="shared" si="1"/>
        <v>910000</v>
      </c>
      <c r="L4" s="1036">
        <f t="shared" si="1"/>
        <v>910000</v>
      </c>
      <c r="M4" s="1036">
        <f t="shared" si="1"/>
        <v>1190000</v>
      </c>
      <c r="N4" s="1036">
        <f t="shared" si="1"/>
        <v>1190000</v>
      </c>
      <c r="O4" s="1036">
        <f t="shared" si="1"/>
        <v>1190000</v>
      </c>
      <c r="P4" s="304" t="s">
        <v>2209</v>
      </c>
      <c r="Q4" s="7"/>
      <c r="R4" s="7"/>
      <c r="S4" s="7"/>
      <c r="T4" s="7"/>
      <c r="U4" s="7"/>
      <c r="V4" s="7"/>
      <c r="W4" s="7"/>
      <c r="X4" s="7"/>
      <c r="Y4" s="7"/>
      <c r="Z4" s="7"/>
    </row>
    <row r="5" spans="1:26" ht="14.25" customHeight="1" x14ac:dyDescent="0.3">
      <c r="A5" s="1037" t="s">
        <v>2211</v>
      </c>
      <c r="B5" s="1034">
        <v>25000</v>
      </c>
      <c r="C5" s="764">
        <v>0.01</v>
      </c>
      <c r="D5" s="1036">
        <f t="shared" ref="D5:O5" si="2">($B$5*D19)*$C$5</f>
        <v>225000</v>
      </c>
      <c r="E5" s="1036">
        <f t="shared" si="2"/>
        <v>225000</v>
      </c>
      <c r="F5" s="1036">
        <f t="shared" si="2"/>
        <v>225000</v>
      </c>
      <c r="G5" s="1036">
        <f t="shared" si="2"/>
        <v>425000</v>
      </c>
      <c r="H5" s="1036">
        <f t="shared" si="2"/>
        <v>425000</v>
      </c>
      <c r="I5" s="1036">
        <f t="shared" si="2"/>
        <v>425000</v>
      </c>
      <c r="J5" s="1036">
        <f t="shared" si="2"/>
        <v>500000</v>
      </c>
      <c r="K5" s="1036">
        <f t="shared" si="2"/>
        <v>500000</v>
      </c>
      <c r="L5" s="1036">
        <f t="shared" si="2"/>
        <v>500000</v>
      </c>
      <c r="M5" s="1036">
        <f t="shared" si="2"/>
        <v>625000</v>
      </c>
      <c r="N5" s="1036">
        <f t="shared" si="2"/>
        <v>625000</v>
      </c>
      <c r="O5" s="1036">
        <f t="shared" si="2"/>
        <v>625000</v>
      </c>
      <c r="P5" s="304" t="s">
        <v>2209</v>
      </c>
      <c r="Q5" s="7"/>
      <c r="R5" s="7"/>
      <c r="S5" s="7"/>
      <c r="T5" s="7"/>
      <c r="U5" s="7"/>
      <c r="V5" s="7"/>
      <c r="W5" s="7"/>
      <c r="X5" s="7"/>
      <c r="Y5" s="7"/>
      <c r="Z5" s="7"/>
    </row>
    <row r="6" spans="1:26" ht="14.25" customHeight="1" x14ac:dyDescent="0.3">
      <c r="A6" s="1038" t="s">
        <v>2212</v>
      </c>
      <c r="B6" s="1034">
        <v>25000</v>
      </c>
      <c r="C6" s="764">
        <v>0.01</v>
      </c>
      <c r="D6" s="1039"/>
      <c r="E6" s="1039"/>
      <c r="F6" s="1039"/>
      <c r="G6" s="1034">
        <v>300000</v>
      </c>
      <c r="H6" s="1034">
        <v>300000</v>
      </c>
      <c r="I6" s="1036">
        <f t="shared" ref="I6:O6" si="3">($B$6*I20)*$C$6</f>
        <v>300000</v>
      </c>
      <c r="J6" s="1036">
        <f t="shared" si="3"/>
        <v>300000</v>
      </c>
      <c r="K6" s="1036">
        <f t="shared" si="3"/>
        <v>375000</v>
      </c>
      <c r="L6" s="1036">
        <f t="shared" si="3"/>
        <v>425000</v>
      </c>
      <c r="M6" s="1036">
        <f t="shared" si="3"/>
        <v>475000</v>
      </c>
      <c r="N6" s="1036">
        <f t="shared" si="3"/>
        <v>525000</v>
      </c>
      <c r="O6" s="1036">
        <f t="shared" si="3"/>
        <v>600000</v>
      </c>
      <c r="P6" s="304" t="s">
        <v>2209</v>
      </c>
      <c r="Q6" s="7"/>
      <c r="R6" s="7"/>
      <c r="S6" s="7"/>
      <c r="T6" s="7"/>
      <c r="U6" s="7"/>
      <c r="V6" s="7"/>
      <c r="W6" s="7"/>
      <c r="X6" s="7"/>
      <c r="Y6" s="7"/>
      <c r="Z6" s="7"/>
    </row>
    <row r="7" spans="1:26" ht="14.25" customHeight="1" x14ac:dyDescent="0.3">
      <c r="A7" s="1038" t="s">
        <v>2213</v>
      </c>
      <c r="B7" s="1034">
        <v>30000</v>
      </c>
      <c r="C7" s="764">
        <v>0.01</v>
      </c>
      <c r="D7" s="1039"/>
      <c r="E7" s="1039"/>
      <c r="F7" s="1039"/>
      <c r="G7" s="1039"/>
      <c r="H7" s="1039"/>
      <c r="I7" s="1039"/>
      <c r="J7" s="1036">
        <f t="shared" ref="J7:O7" si="4">($B$7*J21)*$C$7</f>
        <v>420000</v>
      </c>
      <c r="K7" s="1036">
        <f t="shared" si="4"/>
        <v>420000</v>
      </c>
      <c r="L7" s="1036">
        <f t="shared" si="4"/>
        <v>510000</v>
      </c>
      <c r="M7" s="1036">
        <f t="shared" si="4"/>
        <v>510000</v>
      </c>
      <c r="N7" s="1036">
        <f t="shared" si="4"/>
        <v>600000</v>
      </c>
      <c r="O7" s="1036">
        <f t="shared" si="4"/>
        <v>600000</v>
      </c>
      <c r="P7" s="304" t="s">
        <v>2209</v>
      </c>
      <c r="Q7" s="7"/>
      <c r="R7" s="7"/>
      <c r="S7" s="7"/>
      <c r="T7" s="7"/>
      <c r="U7" s="7"/>
      <c r="V7" s="7"/>
      <c r="W7" s="7"/>
      <c r="X7" s="7"/>
      <c r="Y7" s="7"/>
      <c r="Z7" s="7"/>
    </row>
    <row r="8" spans="1:26" ht="14.25" customHeight="1" x14ac:dyDescent="0.3">
      <c r="A8" s="7"/>
      <c r="B8" s="198"/>
      <c r="C8" s="198"/>
      <c r="D8" s="198"/>
      <c r="E8" s="198"/>
      <c r="F8" s="198"/>
      <c r="G8" s="176"/>
      <c r="H8" s="7"/>
      <c r="I8" s="7"/>
      <c r="J8" s="7"/>
      <c r="K8" s="7"/>
      <c r="L8" s="7"/>
      <c r="M8" s="7"/>
      <c r="N8" s="7"/>
      <c r="O8" s="7"/>
      <c r="P8" s="7"/>
      <c r="Q8" s="7"/>
      <c r="R8" s="7"/>
      <c r="S8" s="7"/>
      <c r="T8" s="7"/>
      <c r="U8" s="7"/>
      <c r="V8" s="7"/>
      <c r="W8" s="7"/>
      <c r="X8" s="7"/>
      <c r="Y8" s="7"/>
      <c r="Z8" s="7"/>
    </row>
    <row r="9" spans="1:26" ht="14.25" customHeight="1" x14ac:dyDescent="0.3">
      <c r="A9" s="1201" t="s">
        <v>2214</v>
      </c>
      <c r="B9" s="1087"/>
      <c r="C9" s="1088"/>
      <c r="D9" s="1040">
        <f t="shared" ref="D9:O9" si="5">SUM(D3:D8)</f>
        <v>825000</v>
      </c>
      <c r="E9" s="1040">
        <f t="shared" si="5"/>
        <v>825000</v>
      </c>
      <c r="F9" s="1040">
        <f t="shared" si="5"/>
        <v>825000</v>
      </c>
      <c r="G9" s="1040">
        <f t="shared" si="5"/>
        <v>1850000</v>
      </c>
      <c r="H9" s="1040">
        <f t="shared" si="5"/>
        <v>1850000</v>
      </c>
      <c r="I9" s="1040">
        <f t="shared" si="5"/>
        <v>1850000</v>
      </c>
      <c r="J9" s="1040">
        <f t="shared" si="5"/>
        <v>2530000</v>
      </c>
      <c r="K9" s="1040">
        <f t="shared" si="5"/>
        <v>2605000</v>
      </c>
      <c r="L9" s="1040">
        <f t="shared" si="5"/>
        <v>2745000</v>
      </c>
      <c r="M9" s="1040">
        <f t="shared" si="5"/>
        <v>3312000</v>
      </c>
      <c r="N9" s="1040">
        <f t="shared" si="5"/>
        <v>3452000</v>
      </c>
      <c r="O9" s="1041">
        <f t="shared" si="5"/>
        <v>3527000</v>
      </c>
      <c r="P9" s="1042">
        <f>SUM(D9:O9)</f>
        <v>26196000</v>
      </c>
      <c r="Q9" s="7"/>
      <c r="R9" s="7"/>
      <c r="S9" s="7"/>
      <c r="T9" s="7"/>
      <c r="U9" s="7"/>
      <c r="V9" s="7"/>
      <c r="W9" s="7"/>
      <c r="X9" s="7"/>
      <c r="Y9" s="7"/>
      <c r="Z9" s="7"/>
    </row>
    <row r="10" spans="1:26" ht="14.25" customHeight="1" x14ac:dyDescent="0.3">
      <c r="A10" s="7"/>
      <c r="B10" s="198"/>
      <c r="C10" s="198"/>
      <c r="D10" s="198"/>
      <c r="E10" s="198"/>
      <c r="F10" s="198"/>
      <c r="G10" s="1043"/>
      <c r="H10" s="7"/>
      <c r="I10" s="7"/>
      <c r="J10" s="7"/>
      <c r="K10" s="7"/>
      <c r="L10" s="7"/>
      <c r="M10" s="7"/>
      <c r="N10" s="7"/>
      <c r="O10" s="7"/>
      <c r="P10" s="7"/>
      <c r="Q10" s="7"/>
      <c r="R10" s="7"/>
      <c r="S10" s="7"/>
      <c r="T10" s="7"/>
      <c r="U10" s="7"/>
      <c r="V10" s="7"/>
      <c r="W10" s="7"/>
      <c r="X10" s="7"/>
      <c r="Y10" s="7"/>
      <c r="Z10" s="7"/>
    </row>
    <row r="11" spans="1:26" ht="14.25" customHeight="1" x14ac:dyDescent="0.3">
      <c r="A11" s="1033"/>
      <c r="B11" s="618" t="s">
        <v>2215</v>
      </c>
      <c r="C11" s="198"/>
      <c r="D11" s="198"/>
      <c r="E11" s="198"/>
      <c r="F11" s="198"/>
      <c r="G11" s="7"/>
      <c r="H11" s="7"/>
      <c r="I11" s="7"/>
      <c r="J11" s="7"/>
      <c r="K11" s="7"/>
      <c r="L11" s="7"/>
      <c r="M11" s="7"/>
      <c r="N11" s="7"/>
      <c r="O11" s="7"/>
      <c r="P11" s="7"/>
      <c r="Q11" s="7"/>
      <c r="R11" s="7"/>
      <c r="S11" s="7"/>
      <c r="T11" s="7"/>
      <c r="U11" s="7"/>
      <c r="V11" s="7"/>
      <c r="W11" s="7"/>
      <c r="X11" s="7"/>
      <c r="Y11" s="7"/>
      <c r="Z11" s="7"/>
    </row>
    <row r="12" spans="1:26" ht="14.25" customHeight="1" x14ac:dyDescent="0.3">
      <c r="A12" s="1037"/>
      <c r="B12" s="618" t="s">
        <v>2216</v>
      </c>
      <c r="C12" s="198"/>
      <c r="D12" s="198"/>
      <c r="E12" s="198"/>
      <c r="F12" s="198"/>
      <c r="G12" s="7"/>
      <c r="H12" s="7"/>
      <c r="I12" s="7"/>
      <c r="J12" s="7"/>
      <c r="K12" s="7"/>
      <c r="L12" s="7"/>
      <c r="M12" s="7"/>
      <c r="N12" s="7"/>
      <c r="O12" s="7"/>
      <c r="P12" s="7"/>
      <c r="Q12" s="7"/>
      <c r="R12" s="7"/>
      <c r="S12" s="7"/>
      <c r="T12" s="7"/>
      <c r="U12" s="7"/>
      <c r="V12" s="7"/>
      <c r="W12" s="7"/>
      <c r="X12" s="7"/>
      <c r="Y12" s="7"/>
      <c r="Z12" s="7"/>
    </row>
    <row r="13" spans="1:26" ht="14.25" customHeight="1" x14ac:dyDescent="0.3">
      <c r="A13" s="1038"/>
      <c r="B13" s="618" t="s">
        <v>2217</v>
      </c>
      <c r="C13" s="198"/>
      <c r="D13" s="198"/>
      <c r="E13" s="198"/>
      <c r="F13" s="198"/>
      <c r="G13" s="7"/>
      <c r="H13" s="7"/>
      <c r="I13" s="7"/>
      <c r="J13" s="7"/>
      <c r="K13" s="7"/>
      <c r="L13" s="7"/>
      <c r="M13" s="7"/>
      <c r="N13" s="7"/>
      <c r="O13" s="7"/>
      <c r="P13" s="7"/>
      <c r="Q13" s="7"/>
      <c r="R13" s="7"/>
      <c r="S13" s="7"/>
      <c r="T13" s="7"/>
      <c r="U13" s="7"/>
      <c r="V13" s="7"/>
      <c r="W13" s="7"/>
      <c r="X13" s="7"/>
      <c r="Y13" s="7"/>
      <c r="Z13" s="7"/>
    </row>
    <row r="14" spans="1:26" ht="14.25" customHeight="1" x14ac:dyDescent="0.3">
      <c r="A14" s="7"/>
      <c r="B14" s="198"/>
      <c r="C14" s="198"/>
      <c r="D14" s="198"/>
      <c r="E14" s="198"/>
      <c r="F14" s="198"/>
      <c r="G14" s="7"/>
      <c r="H14" s="7"/>
      <c r="I14" s="7"/>
      <c r="J14" s="7"/>
      <c r="K14" s="7"/>
      <c r="L14" s="7"/>
      <c r="M14" s="7"/>
      <c r="N14" s="7"/>
      <c r="O14" s="7"/>
      <c r="P14" s="7"/>
      <c r="Q14" s="7"/>
      <c r="R14" s="7"/>
      <c r="S14" s="7"/>
      <c r="T14" s="7"/>
      <c r="U14" s="7"/>
      <c r="V14" s="7"/>
      <c r="W14" s="7"/>
      <c r="X14" s="7"/>
      <c r="Y14" s="7"/>
      <c r="Z14" s="7"/>
    </row>
    <row r="15" spans="1:26" ht="14.25" customHeight="1" x14ac:dyDescent="0.3">
      <c r="A15" s="7"/>
      <c r="B15" s="198"/>
      <c r="C15" s="198"/>
      <c r="D15" s="198"/>
      <c r="E15" s="198"/>
      <c r="F15" s="198"/>
      <c r="G15" s="1043"/>
      <c r="H15" s="1043"/>
      <c r="I15" s="1043"/>
      <c r="J15" s="1043"/>
      <c r="K15" s="1043"/>
      <c r="L15" s="1043"/>
      <c r="M15" s="1043"/>
      <c r="N15" s="1043"/>
      <c r="O15" s="1043"/>
      <c r="P15" s="7"/>
      <c r="Q15" s="7"/>
      <c r="R15" s="7"/>
      <c r="S15" s="7"/>
      <c r="T15" s="7"/>
      <c r="U15" s="7"/>
      <c r="V15" s="7"/>
      <c r="W15" s="7"/>
      <c r="X15" s="7"/>
      <c r="Y15" s="7"/>
      <c r="Z15" s="7"/>
    </row>
    <row r="16" spans="1:26" ht="14.25" customHeight="1" x14ac:dyDescent="0.3">
      <c r="A16" s="1030" t="s">
        <v>2205</v>
      </c>
      <c r="B16" s="198"/>
      <c r="C16" s="198"/>
      <c r="D16" s="1031">
        <v>46023</v>
      </c>
      <c r="E16" s="1031">
        <v>46054</v>
      </c>
      <c r="F16" s="1031">
        <v>46082</v>
      </c>
      <c r="G16" s="1031">
        <v>46113</v>
      </c>
      <c r="H16" s="1031">
        <v>46143</v>
      </c>
      <c r="I16" s="1031">
        <v>46174</v>
      </c>
      <c r="J16" s="1031">
        <v>46204</v>
      </c>
      <c r="K16" s="1031">
        <v>46235</v>
      </c>
      <c r="L16" s="1031">
        <v>46266</v>
      </c>
      <c r="M16" s="1031">
        <v>46296</v>
      </c>
      <c r="N16" s="1031">
        <v>46327</v>
      </c>
      <c r="O16" s="1044">
        <v>46357</v>
      </c>
      <c r="P16" s="268"/>
      <c r="Q16" s="7"/>
      <c r="R16" s="7"/>
      <c r="S16" s="7"/>
      <c r="T16" s="7"/>
      <c r="U16" s="7"/>
      <c r="V16" s="7"/>
      <c r="W16" s="7"/>
      <c r="X16" s="7"/>
      <c r="Y16" s="7"/>
      <c r="Z16" s="7"/>
    </row>
    <row r="17" spans="1:26" ht="14.25" customHeight="1" x14ac:dyDescent="0.3">
      <c r="A17" s="1033" t="s">
        <v>2208</v>
      </c>
      <c r="B17" s="1112" t="s">
        <v>2218</v>
      </c>
      <c r="C17" s="1088"/>
      <c r="D17" s="1034" t="s">
        <v>2219</v>
      </c>
      <c r="E17" s="1034" t="s">
        <v>2219</v>
      </c>
      <c r="F17" s="1034" t="s">
        <v>2219</v>
      </c>
      <c r="G17" s="1045">
        <v>2000</v>
      </c>
      <c r="H17" s="1045">
        <v>2000</v>
      </c>
      <c r="I17" s="1045">
        <v>2000</v>
      </c>
      <c r="J17" s="1045">
        <v>2500</v>
      </c>
      <c r="K17" s="1045">
        <v>2500</v>
      </c>
      <c r="L17" s="1045">
        <v>2500</v>
      </c>
      <c r="M17" s="1045">
        <v>3200</v>
      </c>
      <c r="N17" s="1045">
        <v>3200</v>
      </c>
      <c r="O17" s="1045">
        <v>3200</v>
      </c>
      <c r="P17" s="7"/>
      <c r="Q17" s="7"/>
      <c r="R17" s="7"/>
      <c r="S17" s="7"/>
      <c r="T17" s="7"/>
      <c r="U17" s="7"/>
      <c r="V17" s="7"/>
      <c r="W17" s="7"/>
      <c r="X17" s="7"/>
      <c r="Y17" s="7"/>
      <c r="Z17" s="7"/>
    </row>
    <row r="18" spans="1:26" ht="14.25" customHeight="1" x14ac:dyDescent="0.3">
      <c r="A18" s="1033" t="s">
        <v>2210</v>
      </c>
      <c r="B18" s="1112" t="s">
        <v>2218</v>
      </c>
      <c r="C18" s="1088"/>
      <c r="D18" s="1034" t="s">
        <v>2219</v>
      </c>
      <c r="E18" s="1034" t="s">
        <v>2219</v>
      </c>
      <c r="F18" s="1034" t="s">
        <v>2219</v>
      </c>
      <c r="G18" s="1045">
        <v>2300</v>
      </c>
      <c r="H18" s="1045">
        <v>2300</v>
      </c>
      <c r="I18" s="1045">
        <v>2300</v>
      </c>
      <c r="J18" s="1045">
        <v>2600</v>
      </c>
      <c r="K18" s="1045">
        <v>2600</v>
      </c>
      <c r="L18" s="1045">
        <v>2600</v>
      </c>
      <c r="M18" s="1045">
        <v>3400</v>
      </c>
      <c r="N18" s="1045">
        <v>3400</v>
      </c>
      <c r="O18" s="1045">
        <v>3400</v>
      </c>
      <c r="P18" s="7"/>
      <c r="Q18" s="7"/>
      <c r="R18" s="7"/>
      <c r="S18" s="7"/>
      <c r="T18" s="7"/>
      <c r="U18" s="7"/>
      <c r="V18" s="7"/>
      <c r="W18" s="7"/>
      <c r="X18" s="7"/>
      <c r="Y18" s="7"/>
      <c r="Z18" s="7"/>
    </row>
    <row r="19" spans="1:26" ht="14.25" customHeight="1" x14ac:dyDescent="0.3">
      <c r="A19" s="1037" t="s">
        <v>2211</v>
      </c>
      <c r="B19" s="1112" t="s">
        <v>2218</v>
      </c>
      <c r="C19" s="1088"/>
      <c r="D19" s="1046">
        <v>900</v>
      </c>
      <c r="E19" s="1046">
        <v>900</v>
      </c>
      <c r="F19" s="1046">
        <v>900</v>
      </c>
      <c r="G19" s="1045">
        <v>1700</v>
      </c>
      <c r="H19" s="1045">
        <v>1700</v>
      </c>
      <c r="I19" s="1045">
        <v>1700</v>
      </c>
      <c r="J19" s="1045">
        <v>2000</v>
      </c>
      <c r="K19" s="1045">
        <v>2000</v>
      </c>
      <c r="L19" s="1045">
        <v>2000</v>
      </c>
      <c r="M19" s="1045">
        <v>2500</v>
      </c>
      <c r="N19" s="1045">
        <v>2500</v>
      </c>
      <c r="O19" s="1045">
        <v>2500</v>
      </c>
      <c r="P19" s="7"/>
      <c r="Q19" s="7"/>
      <c r="R19" s="7"/>
      <c r="S19" s="7"/>
      <c r="T19" s="7"/>
      <c r="U19" s="7"/>
      <c r="V19" s="7"/>
      <c r="W19" s="7"/>
      <c r="X19" s="7"/>
      <c r="Y19" s="7"/>
      <c r="Z19" s="7"/>
    </row>
    <row r="20" spans="1:26" ht="14.25" customHeight="1" x14ac:dyDescent="0.3">
      <c r="A20" s="1038" t="s">
        <v>2212</v>
      </c>
      <c r="B20" s="1112" t="s">
        <v>2218</v>
      </c>
      <c r="C20" s="1088"/>
      <c r="D20" s="1039"/>
      <c r="E20" s="1039"/>
      <c r="F20" s="1039"/>
      <c r="G20" s="1034" t="s">
        <v>2219</v>
      </c>
      <c r="H20" s="1034" t="s">
        <v>2219</v>
      </c>
      <c r="I20" s="1045">
        <v>1200</v>
      </c>
      <c r="J20" s="1045">
        <v>1200</v>
      </c>
      <c r="K20" s="1045">
        <v>1500</v>
      </c>
      <c r="L20" s="1045">
        <v>1700</v>
      </c>
      <c r="M20" s="1045">
        <v>1900</v>
      </c>
      <c r="N20" s="1045">
        <v>2100</v>
      </c>
      <c r="O20" s="1045">
        <v>2400</v>
      </c>
      <c r="P20" s="7"/>
      <c r="Q20" s="7"/>
      <c r="R20" s="7"/>
      <c r="S20" s="7"/>
      <c r="T20" s="7"/>
      <c r="U20" s="7"/>
      <c r="V20" s="7"/>
      <c r="W20" s="7"/>
      <c r="X20" s="7"/>
      <c r="Y20" s="7"/>
      <c r="Z20" s="7"/>
    </row>
    <row r="21" spans="1:26" ht="14.25" customHeight="1" x14ac:dyDescent="0.3">
      <c r="A21" s="1038" t="s">
        <v>2213</v>
      </c>
      <c r="B21" s="1112" t="s">
        <v>2218</v>
      </c>
      <c r="C21" s="1088"/>
      <c r="D21" s="1039"/>
      <c r="E21" s="1039"/>
      <c r="F21" s="1039"/>
      <c r="G21" s="1047"/>
      <c r="H21" s="1047"/>
      <c r="I21" s="1047"/>
      <c r="J21" s="1045">
        <v>1400</v>
      </c>
      <c r="K21" s="1045">
        <v>1400</v>
      </c>
      <c r="L21" s="1045">
        <v>1700</v>
      </c>
      <c r="M21" s="1045">
        <v>1700</v>
      </c>
      <c r="N21" s="1045">
        <v>2000</v>
      </c>
      <c r="O21" s="1045">
        <v>2000</v>
      </c>
      <c r="P21" s="7"/>
      <c r="Q21" s="7"/>
      <c r="R21" s="7"/>
      <c r="S21" s="7"/>
      <c r="T21" s="7"/>
      <c r="U21" s="7"/>
      <c r="V21" s="7"/>
      <c r="W21" s="7"/>
      <c r="X21" s="7"/>
      <c r="Y21" s="7"/>
      <c r="Z21" s="7"/>
    </row>
    <row r="22" spans="1:26" ht="14.25" customHeight="1" x14ac:dyDescent="0.3">
      <c r="A22" s="7"/>
      <c r="B22" s="198"/>
      <c r="C22" s="198"/>
      <c r="D22" s="198"/>
      <c r="E22" s="198"/>
      <c r="F22" s="198"/>
      <c r="G22" s="7"/>
      <c r="H22" s="7"/>
      <c r="I22" s="7"/>
      <c r="J22" s="7"/>
      <c r="K22" s="7"/>
      <c r="L22" s="7"/>
      <c r="M22" s="7"/>
      <c r="N22" s="7"/>
      <c r="O22" s="7"/>
      <c r="P22" s="7"/>
      <c r="Q22" s="7"/>
      <c r="R22" s="7"/>
      <c r="S22" s="7"/>
      <c r="T22" s="7"/>
      <c r="U22" s="7"/>
      <c r="V22" s="7"/>
      <c r="W22" s="7"/>
      <c r="X22" s="7"/>
      <c r="Y22" s="7"/>
      <c r="Z22" s="7"/>
    </row>
    <row r="23" spans="1:26" ht="14.25" customHeight="1" x14ac:dyDescent="0.3">
      <c r="A23" s="7"/>
      <c r="B23" s="198"/>
      <c r="C23" s="198"/>
      <c r="D23" s="198"/>
      <c r="E23" s="198"/>
      <c r="F23" s="198"/>
      <c r="G23" s="7"/>
      <c r="H23" s="7"/>
      <c r="I23" s="7"/>
      <c r="J23" s="7"/>
      <c r="K23" s="7"/>
      <c r="L23" s="7"/>
      <c r="M23" s="7"/>
      <c r="N23" s="7"/>
      <c r="O23" s="7"/>
      <c r="P23" s="7"/>
      <c r="Q23" s="7"/>
      <c r="R23" s="7"/>
      <c r="S23" s="7"/>
      <c r="T23" s="7"/>
      <c r="U23" s="7"/>
      <c r="V23" s="7"/>
      <c r="W23" s="7"/>
      <c r="X23" s="7"/>
      <c r="Y23" s="7"/>
      <c r="Z23" s="7"/>
    </row>
    <row r="24" spans="1:26" ht="14.25" customHeight="1" x14ac:dyDescent="0.3">
      <c r="A24" s="7"/>
      <c r="B24" s="198"/>
      <c r="C24" s="198"/>
      <c r="D24" s="198"/>
      <c r="E24" s="198"/>
      <c r="F24" s="198"/>
      <c r="G24" s="7"/>
      <c r="H24" s="7"/>
      <c r="I24" s="7"/>
      <c r="J24" s="7"/>
      <c r="K24" s="7"/>
      <c r="L24" s="7"/>
      <c r="M24" s="7"/>
      <c r="N24" s="7"/>
      <c r="O24" s="7"/>
      <c r="P24" s="7"/>
      <c r="Q24" s="7"/>
      <c r="R24" s="7"/>
      <c r="S24" s="7"/>
      <c r="T24" s="7"/>
      <c r="U24" s="7"/>
      <c r="V24" s="7"/>
      <c r="W24" s="7"/>
      <c r="X24" s="7"/>
      <c r="Y24" s="7"/>
      <c r="Z24" s="7"/>
    </row>
    <row r="25" spans="1:26" ht="14.25" customHeight="1" x14ac:dyDescent="0.3">
      <c r="A25" s="7"/>
      <c r="B25" s="198"/>
      <c r="C25" s="198"/>
      <c r="D25" s="198"/>
      <c r="E25" s="198"/>
      <c r="F25" s="198"/>
      <c r="G25" s="7"/>
      <c r="H25" s="7"/>
      <c r="I25" s="7"/>
      <c r="J25" s="7"/>
      <c r="K25" s="7"/>
      <c r="L25" s="7"/>
      <c r="M25" s="7"/>
      <c r="N25" s="7"/>
      <c r="O25" s="7"/>
      <c r="P25" s="7"/>
      <c r="Q25" s="7"/>
      <c r="R25" s="7"/>
      <c r="S25" s="7"/>
      <c r="T25" s="7"/>
      <c r="U25" s="7"/>
      <c r="V25" s="7"/>
      <c r="W25" s="7"/>
      <c r="X25" s="7"/>
      <c r="Y25" s="7"/>
      <c r="Z25" s="7"/>
    </row>
    <row r="26" spans="1:26" ht="14.25" customHeight="1" x14ac:dyDescent="0.3">
      <c r="A26" s="7"/>
      <c r="B26" s="198"/>
      <c r="C26" s="198"/>
      <c r="D26" s="198"/>
      <c r="E26" s="198"/>
      <c r="F26" s="198"/>
      <c r="G26" s="7"/>
      <c r="H26" s="7"/>
      <c r="I26" s="7"/>
      <c r="J26" s="7"/>
      <c r="K26" s="7"/>
      <c r="L26" s="7"/>
      <c r="M26" s="7"/>
      <c r="N26" s="7"/>
      <c r="O26" s="7"/>
      <c r="P26" s="7"/>
      <c r="Q26" s="7"/>
      <c r="R26" s="7"/>
      <c r="S26" s="7"/>
      <c r="T26" s="7"/>
      <c r="U26" s="7"/>
      <c r="V26" s="7"/>
      <c r="W26" s="7"/>
      <c r="X26" s="7"/>
      <c r="Y26" s="7"/>
      <c r="Z26" s="7"/>
    </row>
    <row r="27" spans="1:26" ht="14.25" customHeight="1" x14ac:dyDescent="0.3">
      <c r="A27" s="7"/>
      <c r="B27" s="198"/>
      <c r="C27" s="198"/>
      <c r="D27" s="198"/>
      <c r="E27" s="198"/>
      <c r="F27" s="198"/>
      <c r="G27" s="7"/>
      <c r="H27" s="7"/>
      <c r="I27" s="7"/>
      <c r="J27" s="7"/>
      <c r="K27" s="7"/>
      <c r="L27" s="7"/>
      <c r="M27" s="7"/>
      <c r="N27" s="7"/>
      <c r="O27" s="7"/>
      <c r="P27" s="7"/>
      <c r="Q27" s="7"/>
      <c r="R27" s="7"/>
      <c r="S27" s="7"/>
      <c r="T27" s="7"/>
      <c r="U27" s="7"/>
      <c r="V27" s="7"/>
      <c r="W27" s="7"/>
      <c r="X27" s="7"/>
      <c r="Y27" s="7"/>
      <c r="Z27" s="7"/>
    </row>
    <row r="28" spans="1:26" ht="14.25" customHeight="1" x14ac:dyDescent="0.3">
      <c r="A28" s="7"/>
      <c r="B28" s="198"/>
      <c r="C28" s="198"/>
      <c r="D28" s="198"/>
      <c r="E28" s="198"/>
      <c r="F28" s="198"/>
      <c r="G28" s="7"/>
      <c r="H28" s="7"/>
      <c r="I28" s="7"/>
      <c r="J28" s="7"/>
      <c r="K28" s="7"/>
      <c r="L28" s="7"/>
      <c r="M28" s="7"/>
      <c r="N28" s="7"/>
      <c r="O28" s="7"/>
      <c r="P28" s="7"/>
      <c r="Q28" s="7"/>
      <c r="R28" s="7"/>
      <c r="S28" s="7"/>
      <c r="T28" s="7"/>
      <c r="U28" s="7"/>
      <c r="V28" s="7"/>
      <c r="W28" s="7"/>
      <c r="X28" s="7"/>
      <c r="Y28" s="7"/>
      <c r="Z28" s="7"/>
    </row>
    <row r="29" spans="1:26" ht="14.25" customHeight="1" x14ac:dyDescent="0.3">
      <c r="A29" s="7"/>
      <c r="B29" s="198"/>
      <c r="C29" s="198"/>
      <c r="D29" s="198"/>
      <c r="E29" s="198"/>
      <c r="F29" s="198"/>
      <c r="G29" s="7"/>
      <c r="H29" s="7"/>
      <c r="I29" s="7"/>
      <c r="J29" s="7"/>
      <c r="K29" s="7"/>
      <c r="L29" s="7"/>
      <c r="M29" s="7"/>
      <c r="N29" s="7"/>
      <c r="O29" s="7"/>
      <c r="P29" s="7"/>
      <c r="Q29" s="7"/>
      <c r="R29" s="7"/>
      <c r="S29" s="7"/>
      <c r="T29" s="7"/>
      <c r="U29" s="7"/>
      <c r="V29" s="7"/>
      <c r="W29" s="7"/>
      <c r="X29" s="7"/>
      <c r="Y29" s="7"/>
      <c r="Z29" s="7"/>
    </row>
    <row r="30" spans="1:26" ht="14.25" customHeight="1" x14ac:dyDescent="0.3">
      <c r="A30" s="7"/>
      <c r="B30" s="198"/>
      <c r="C30" s="198"/>
      <c r="D30" s="198"/>
      <c r="E30" s="198"/>
      <c r="F30" s="198"/>
      <c r="G30" s="7"/>
      <c r="H30" s="7"/>
      <c r="I30" s="7"/>
      <c r="J30" s="7"/>
      <c r="K30" s="7"/>
      <c r="L30" s="7"/>
      <c r="M30" s="7"/>
      <c r="N30" s="7"/>
      <c r="O30" s="7"/>
      <c r="P30" s="7"/>
      <c r="Q30" s="7"/>
      <c r="R30" s="7"/>
      <c r="S30" s="7"/>
      <c r="T30" s="7"/>
      <c r="U30" s="7"/>
      <c r="V30" s="7"/>
      <c r="W30" s="7"/>
      <c r="X30" s="7"/>
      <c r="Y30" s="7"/>
      <c r="Z30" s="7"/>
    </row>
    <row r="31" spans="1:26" ht="14.25" customHeight="1" x14ac:dyDescent="0.3">
      <c r="A31" s="7"/>
      <c r="B31" s="198"/>
      <c r="C31" s="198"/>
      <c r="D31" s="198"/>
      <c r="E31" s="198"/>
      <c r="F31" s="198"/>
      <c r="G31" s="7"/>
      <c r="H31" s="7"/>
      <c r="I31" s="7"/>
      <c r="J31" s="7"/>
      <c r="K31" s="7"/>
      <c r="L31" s="7"/>
      <c r="M31" s="7"/>
      <c r="N31" s="7"/>
      <c r="O31" s="7"/>
      <c r="P31" s="7"/>
      <c r="Q31" s="7"/>
      <c r="R31" s="7"/>
      <c r="S31" s="7"/>
      <c r="T31" s="7"/>
      <c r="U31" s="7"/>
      <c r="V31" s="7"/>
      <c r="W31" s="7"/>
      <c r="X31" s="7"/>
      <c r="Y31" s="7"/>
      <c r="Z31" s="7"/>
    </row>
    <row r="32" spans="1:26" ht="14.25" customHeight="1" x14ac:dyDescent="0.3">
      <c r="A32" s="7"/>
      <c r="B32" s="198"/>
      <c r="C32" s="198"/>
      <c r="D32" s="198"/>
      <c r="E32" s="198"/>
      <c r="F32" s="198"/>
      <c r="G32" s="7"/>
      <c r="H32" s="7"/>
      <c r="I32" s="7"/>
      <c r="J32" s="7"/>
      <c r="K32" s="7"/>
      <c r="L32" s="7"/>
      <c r="M32" s="7"/>
      <c r="N32" s="7"/>
      <c r="O32" s="7"/>
      <c r="P32" s="7"/>
      <c r="Q32" s="7"/>
      <c r="R32" s="7"/>
      <c r="S32" s="7"/>
      <c r="T32" s="7"/>
      <c r="U32" s="7"/>
      <c r="V32" s="7"/>
      <c r="W32" s="7"/>
      <c r="X32" s="7"/>
      <c r="Y32" s="7"/>
      <c r="Z32" s="7"/>
    </row>
    <row r="33" spans="1:26" ht="14.25" customHeight="1" x14ac:dyDescent="0.3">
      <c r="A33" s="7"/>
      <c r="B33" s="198"/>
      <c r="C33" s="198"/>
      <c r="D33" s="198"/>
      <c r="E33" s="198"/>
      <c r="F33" s="198"/>
      <c r="G33" s="7"/>
      <c r="H33" s="7"/>
      <c r="I33" s="7"/>
      <c r="J33" s="7"/>
      <c r="K33" s="7"/>
      <c r="L33" s="7"/>
      <c r="M33" s="7"/>
      <c r="N33" s="7"/>
      <c r="O33" s="7"/>
      <c r="P33" s="7"/>
      <c r="Q33" s="7"/>
      <c r="R33" s="7"/>
      <c r="S33" s="7"/>
      <c r="T33" s="7"/>
      <c r="U33" s="7"/>
      <c r="V33" s="7"/>
      <c r="W33" s="7"/>
      <c r="X33" s="7"/>
      <c r="Y33" s="7"/>
      <c r="Z33" s="7"/>
    </row>
    <row r="34" spans="1:26" ht="14.25" customHeight="1" x14ac:dyDescent="0.3">
      <c r="A34" s="7"/>
      <c r="B34" s="198"/>
      <c r="C34" s="198"/>
      <c r="D34" s="198"/>
      <c r="E34" s="198"/>
      <c r="F34" s="198"/>
      <c r="G34" s="7"/>
      <c r="H34" s="7"/>
      <c r="I34" s="7"/>
      <c r="J34" s="7"/>
      <c r="K34" s="7"/>
      <c r="L34" s="7"/>
      <c r="M34" s="7"/>
      <c r="N34" s="7"/>
      <c r="O34" s="7"/>
      <c r="P34" s="7"/>
      <c r="Q34" s="7"/>
      <c r="R34" s="7"/>
      <c r="S34" s="7"/>
      <c r="T34" s="7"/>
      <c r="U34" s="7"/>
      <c r="V34" s="7"/>
      <c r="W34" s="7"/>
      <c r="X34" s="7"/>
      <c r="Y34" s="7"/>
      <c r="Z34" s="7"/>
    </row>
    <row r="35" spans="1:26" ht="14.25" customHeight="1" x14ac:dyDescent="0.3">
      <c r="A35" s="7"/>
      <c r="B35" s="198"/>
      <c r="C35" s="198"/>
      <c r="D35" s="198"/>
      <c r="E35" s="198"/>
      <c r="F35" s="198"/>
      <c r="G35" s="7"/>
      <c r="H35" s="7"/>
      <c r="I35" s="7"/>
      <c r="J35" s="7"/>
      <c r="K35" s="7"/>
      <c r="L35" s="7"/>
      <c r="M35" s="7"/>
      <c r="N35" s="7"/>
      <c r="O35" s="7"/>
      <c r="P35" s="7"/>
      <c r="Q35" s="7"/>
      <c r="R35" s="7"/>
      <c r="S35" s="7"/>
      <c r="T35" s="7"/>
      <c r="U35" s="7"/>
      <c r="V35" s="7"/>
      <c r="W35" s="7"/>
      <c r="X35" s="7"/>
      <c r="Y35" s="7"/>
      <c r="Z35" s="7"/>
    </row>
    <row r="36" spans="1:26" ht="14.25" customHeight="1" x14ac:dyDescent="0.3">
      <c r="A36" s="7"/>
      <c r="B36" s="198"/>
      <c r="C36" s="198"/>
      <c r="D36" s="198"/>
      <c r="E36" s="198"/>
      <c r="F36" s="198"/>
      <c r="G36" s="7"/>
      <c r="H36" s="7"/>
      <c r="I36" s="7"/>
      <c r="J36" s="7"/>
      <c r="K36" s="7"/>
      <c r="L36" s="7"/>
      <c r="M36" s="7"/>
      <c r="N36" s="7"/>
      <c r="O36" s="7"/>
      <c r="P36" s="7"/>
      <c r="Q36" s="7"/>
      <c r="R36" s="7"/>
      <c r="S36" s="7"/>
      <c r="T36" s="7"/>
      <c r="U36" s="7"/>
      <c r="V36" s="7"/>
      <c r="W36" s="7"/>
      <c r="X36" s="7"/>
      <c r="Y36" s="7"/>
      <c r="Z36" s="7"/>
    </row>
    <row r="37" spans="1:26" ht="14.25" customHeight="1" x14ac:dyDescent="0.3">
      <c r="A37" s="7"/>
      <c r="B37" s="198"/>
      <c r="C37" s="198"/>
      <c r="D37" s="198"/>
      <c r="E37" s="198"/>
      <c r="F37" s="198"/>
      <c r="G37" s="7"/>
      <c r="H37" s="7"/>
      <c r="I37" s="7"/>
      <c r="J37" s="7"/>
      <c r="K37" s="7"/>
      <c r="L37" s="7"/>
      <c r="M37" s="7"/>
      <c r="N37" s="7"/>
      <c r="O37" s="7"/>
      <c r="P37" s="7"/>
      <c r="Q37" s="7"/>
      <c r="R37" s="7"/>
      <c r="S37" s="7"/>
      <c r="T37" s="7"/>
      <c r="U37" s="7"/>
      <c r="V37" s="7"/>
      <c r="W37" s="7"/>
      <c r="X37" s="7"/>
      <c r="Y37" s="7"/>
      <c r="Z37" s="7"/>
    </row>
    <row r="38" spans="1:26" ht="14.25" customHeight="1" x14ac:dyDescent="0.3">
      <c r="A38" s="7"/>
      <c r="B38" s="198"/>
      <c r="C38" s="198"/>
      <c r="D38" s="198"/>
      <c r="E38" s="198"/>
      <c r="F38" s="198"/>
      <c r="G38" s="7"/>
      <c r="H38" s="7"/>
      <c r="I38" s="7"/>
      <c r="J38" s="7"/>
      <c r="K38" s="7"/>
      <c r="L38" s="7"/>
      <c r="M38" s="7"/>
      <c r="N38" s="7"/>
      <c r="O38" s="7"/>
      <c r="P38" s="7"/>
      <c r="Q38" s="7"/>
      <c r="R38" s="7"/>
      <c r="S38" s="7"/>
      <c r="T38" s="7"/>
      <c r="U38" s="7"/>
      <c r="V38" s="7"/>
      <c r="W38" s="7"/>
      <c r="X38" s="7"/>
      <c r="Y38" s="7"/>
      <c r="Z38" s="7"/>
    </row>
    <row r="39" spans="1:26" ht="14.25" customHeight="1" x14ac:dyDescent="0.3">
      <c r="A39" s="7"/>
      <c r="B39" s="198"/>
      <c r="C39" s="198"/>
      <c r="D39" s="198"/>
      <c r="E39" s="198"/>
      <c r="F39" s="198"/>
      <c r="G39" s="7"/>
      <c r="H39" s="7"/>
      <c r="I39" s="7"/>
      <c r="J39" s="7"/>
      <c r="K39" s="7"/>
      <c r="L39" s="7"/>
      <c r="M39" s="7"/>
      <c r="N39" s="7"/>
      <c r="O39" s="7"/>
      <c r="P39" s="7"/>
      <c r="Q39" s="7"/>
      <c r="R39" s="7"/>
      <c r="S39" s="7"/>
      <c r="T39" s="7"/>
      <c r="U39" s="7"/>
      <c r="V39" s="7"/>
      <c r="W39" s="7"/>
      <c r="X39" s="7"/>
      <c r="Y39" s="7"/>
      <c r="Z39" s="7"/>
    </row>
    <row r="40" spans="1:26" ht="14.25" customHeight="1" x14ac:dyDescent="0.3">
      <c r="A40" s="7"/>
      <c r="B40" s="198"/>
      <c r="C40" s="198"/>
      <c r="D40" s="198"/>
      <c r="E40" s="198"/>
      <c r="F40" s="198"/>
      <c r="G40" s="7"/>
      <c r="H40" s="7"/>
      <c r="I40" s="7"/>
      <c r="J40" s="7"/>
      <c r="K40" s="7"/>
      <c r="L40" s="7"/>
      <c r="M40" s="7"/>
      <c r="N40" s="7"/>
      <c r="O40" s="7"/>
      <c r="P40" s="7"/>
      <c r="Q40" s="7"/>
      <c r="R40" s="7"/>
      <c r="S40" s="7"/>
      <c r="T40" s="7"/>
      <c r="U40" s="7"/>
      <c r="V40" s="7"/>
      <c r="W40" s="7"/>
      <c r="X40" s="7"/>
      <c r="Y40" s="7"/>
      <c r="Z40" s="7"/>
    </row>
    <row r="41" spans="1:26" ht="14.25" customHeight="1" x14ac:dyDescent="0.3">
      <c r="A41" s="7"/>
      <c r="B41" s="198"/>
      <c r="C41" s="198"/>
      <c r="D41" s="198"/>
      <c r="E41" s="198"/>
      <c r="F41" s="198"/>
      <c r="G41" s="7"/>
      <c r="H41" s="7"/>
      <c r="I41" s="7"/>
      <c r="J41" s="7"/>
      <c r="K41" s="7"/>
      <c r="L41" s="7"/>
      <c r="M41" s="7"/>
      <c r="N41" s="7"/>
      <c r="O41" s="7"/>
      <c r="P41" s="7"/>
      <c r="Q41" s="7"/>
      <c r="R41" s="7"/>
      <c r="S41" s="7"/>
      <c r="T41" s="7"/>
      <c r="U41" s="7"/>
      <c r="V41" s="7"/>
      <c r="W41" s="7"/>
      <c r="X41" s="7"/>
      <c r="Y41" s="7"/>
      <c r="Z41" s="7"/>
    </row>
    <row r="42" spans="1:26" ht="14.25" customHeight="1" x14ac:dyDescent="0.3">
      <c r="A42" s="7"/>
      <c r="B42" s="198"/>
      <c r="C42" s="198"/>
      <c r="D42" s="198"/>
      <c r="E42" s="198"/>
      <c r="F42" s="198"/>
      <c r="G42" s="7"/>
      <c r="H42" s="7"/>
      <c r="I42" s="7"/>
      <c r="J42" s="7"/>
      <c r="K42" s="7"/>
      <c r="L42" s="7"/>
      <c r="M42" s="7"/>
      <c r="N42" s="7"/>
      <c r="O42" s="7"/>
      <c r="P42" s="7"/>
      <c r="Q42" s="7"/>
      <c r="R42" s="7"/>
      <c r="S42" s="7"/>
      <c r="T42" s="7"/>
      <c r="U42" s="7"/>
      <c r="V42" s="7"/>
      <c r="W42" s="7"/>
      <c r="X42" s="7"/>
      <c r="Y42" s="7"/>
      <c r="Z42" s="7"/>
    </row>
    <row r="43" spans="1:26" ht="14.25" customHeight="1" x14ac:dyDescent="0.3">
      <c r="A43" s="7"/>
      <c r="B43" s="198"/>
      <c r="C43" s="198"/>
      <c r="D43" s="198"/>
      <c r="E43" s="198"/>
      <c r="F43" s="198"/>
      <c r="G43" s="7"/>
      <c r="H43" s="7"/>
      <c r="I43" s="7"/>
      <c r="J43" s="7"/>
      <c r="K43" s="7"/>
      <c r="L43" s="7"/>
      <c r="M43" s="7"/>
      <c r="N43" s="7"/>
      <c r="O43" s="7"/>
      <c r="P43" s="7"/>
      <c r="Q43" s="7"/>
      <c r="R43" s="7"/>
      <c r="S43" s="7"/>
      <c r="T43" s="7"/>
      <c r="U43" s="7"/>
      <c r="V43" s="7"/>
      <c r="W43" s="7"/>
      <c r="X43" s="7"/>
      <c r="Y43" s="7"/>
      <c r="Z43" s="7"/>
    </row>
    <row r="44" spans="1:26" ht="14.25" customHeight="1" x14ac:dyDescent="0.3">
      <c r="A44" s="7"/>
      <c r="B44" s="198"/>
      <c r="C44" s="198"/>
      <c r="D44" s="198"/>
      <c r="E44" s="198"/>
      <c r="F44" s="198"/>
      <c r="G44" s="7"/>
      <c r="H44" s="7"/>
      <c r="I44" s="7"/>
      <c r="J44" s="7"/>
      <c r="K44" s="7"/>
      <c r="L44" s="7"/>
      <c r="M44" s="7"/>
      <c r="N44" s="7"/>
      <c r="O44" s="7"/>
      <c r="P44" s="7"/>
      <c r="Q44" s="7"/>
      <c r="R44" s="7"/>
      <c r="S44" s="7"/>
      <c r="T44" s="7"/>
      <c r="U44" s="7"/>
      <c r="V44" s="7"/>
      <c r="W44" s="7"/>
      <c r="X44" s="7"/>
      <c r="Y44" s="7"/>
      <c r="Z44" s="7"/>
    </row>
    <row r="45" spans="1:26" ht="14.25" customHeight="1" x14ac:dyDescent="0.3">
      <c r="A45" s="7"/>
      <c r="B45" s="198"/>
      <c r="C45" s="198"/>
      <c r="D45" s="198"/>
      <c r="E45" s="198"/>
      <c r="F45" s="198"/>
      <c r="G45" s="7"/>
      <c r="H45" s="7"/>
      <c r="I45" s="7"/>
      <c r="J45" s="7"/>
      <c r="K45" s="7"/>
      <c r="L45" s="7"/>
      <c r="M45" s="7"/>
      <c r="N45" s="7"/>
      <c r="O45" s="7"/>
      <c r="P45" s="7"/>
      <c r="Q45" s="7"/>
      <c r="R45" s="7"/>
      <c r="S45" s="7"/>
      <c r="T45" s="7"/>
      <c r="U45" s="7"/>
      <c r="V45" s="7"/>
      <c r="W45" s="7"/>
      <c r="X45" s="7"/>
      <c r="Y45" s="7"/>
      <c r="Z45" s="7"/>
    </row>
    <row r="46" spans="1:26" ht="14.25" customHeight="1" x14ac:dyDescent="0.3">
      <c r="A46" s="7"/>
      <c r="B46" s="198"/>
      <c r="C46" s="198"/>
      <c r="D46" s="198"/>
      <c r="E46" s="198"/>
      <c r="F46" s="198"/>
      <c r="G46" s="7"/>
      <c r="H46" s="7"/>
      <c r="I46" s="7"/>
      <c r="J46" s="7"/>
      <c r="K46" s="7"/>
      <c r="L46" s="7"/>
      <c r="M46" s="7"/>
      <c r="N46" s="7"/>
      <c r="O46" s="7"/>
      <c r="P46" s="7"/>
      <c r="Q46" s="7"/>
      <c r="R46" s="7"/>
      <c r="S46" s="7"/>
      <c r="T46" s="7"/>
      <c r="U46" s="7"/>
      <c r="V46" s="7"/>
      <c r="W46" s="7"/>
      <c r="X46" s="7"/>
      <c r="Y46" s="7"/>
      <c r="Z46" s="7"/>
    </row>
    <row r="47" spans="1:26" ht="14.25" customHeight="1" x14ac:dyDescent="0.3">
      <c r="A47" s="7"/>
      <c r="B47" s="198"/>
      <c r="C47" s="198"/>
      <c r="D47" s="198"/>
      <c r="E47" s="198"/>
      <c r="F47" s="198"/>
      <c r="G47" s="7"/>
      <c r="H47" s="7"/>
      <c r="I47" s="7"/>
      <c r="J47" s="7"/>
      <c r="K47" s="7"/>
      <c r="L47" s="7"/>
      <c r="M47" s="7"/>
      <c r="N47" s="7"/>
      <c r="O47" s="7"/>
      <c r="P47" s="7"/>
      <c r="Q47" s="7"/>
      <c r="R47" s="7"/>
      <c r="S47" s="7"/>
      <c r="T47" s="7"/>
      <c r="U47" s="7"/>
      <c r="V47" s="7"/>
      <c r="W47" s="7"/>
      <c r="X47" s="7"/>
      <c r="Y47" s="7"/>
      <c r="Z47" s="7"/>
    </row>
    <row r="48" spans="1:26" ht="14.25" customHeight="1" x14ac:dyDescent="0.3">
      <c r="A48" s="7"/>
      <c r="B48" s="198"/>
      <c r="C48" s="198"/>
      <c r="D48" s="198"/>
      <c r="E48" s="198"/>
      <c r="F48" s="198"/>
      <c r="G48" s="7"/>
      <c r="H48" s="7"/>
      <c r="I48" s="7"/>
      <c r="J48" s="7"/>
      <c r="K48" s="7"/>
      <c r="L48" s="7"/>
      <c r="M48" s="7"/>
      <c r="N48" s="7"/>
      <c r="O48" s="7"/>
      <c r="P48" s="7"/>
      <c r="Q48" s="7"/>
      <c r="R48" s="7"/>
      <c r="S48" s="7"/>
      <c r="T48" s="7"/>
      <c r="U48" s="7"/>
      <c r="V48" s="7"/>
      <c r="W48" s="7"/>
      <c r="X48" s="7"/>
      <c r="Y48" s="7"/>
      <c r="Z48" s="7"/>
    </row>
    <row r="49" spans="1:26" ht="14.25" customHeight="1" x14ac:dyDescent="0.3">
      <c r="A49" s="7"/>
      <c r="B49" s="198"/>
      <c r="C49" s="198"/>
      <c r="D49" s="198"/>
      <c r="E49" s="198"/>
      <c r="F49" s="198"/>
      <c r="G49" s="7"/>
      <c r="H49" s="7"/>
      <c r="I49" s="7"/>
      <c r="J49" s="7"/>
      <c r="K49" s="7"/>
      <c r="L49" s="7"/>
      <c r="M49" s="7"/>
      <c r="N49" s="7"/>
      <c r="O49" s="7"/>
      <c r="P49" s="7"/>
      <c r="Q49" s="7"/>
      <c r="R49" s="7"/>
      <c r="S49" s="7"/>
      <c r="T49" s="7"/>
      <c r="U49" s="7"/>
      <c r="V49" s="7"/>
      <c r="W49" s="7"/>
      <c r="X49" s="7"/>
      <c r="Y49" s="7"/>
      <c r="Z49" s="7"/>
    </row>
    <row r="50" spans="1:26" ht="14.25" customHeight="1" x14ac:dyDescent="0.3">
      <c r="A50" s="7"/>
      <c r="B50" s="198"/>
      <c r="C50" s="198"/>
      <c r="D50" s="198"/>
      <c r="E50" s="198"/>
      <c r="F50" s="198"/>
      <c r="G50" s="7"/>
      <c r="H50" s="7"/>
      <c r="I50" s="7"/>
      <c r="J50" s="7"/>
      <c r="K50" s="7"/>
      <c r="L50" s="7"/>
      <c r="M50" s="7"/>
      <c r="N50" s="7"/>
      <c r="O50" s="7"/>
      <c r="P50" s="7"/>
      <c r="Q50" s="7"/>
      <c r="R50" s="7"/>
      <c r="S50" s="7"/>
      <c r="T50" s="7"/>
      <c r="U50" s="7"/>
      <c r="V50" s="7"/>
      <c r="W50" s="7"/>
      <c r="X50" s="7"/>
      <c r="Y50" s="7"/>
      <c r="Z50" s="7"/>
    </row>
    <row r="51" spans="1:26" ht="14.25" customHeight="1" x14ac:dyDescent="0.3">
      <c r="A51" s="7"/>
      <c r="B51" s="198"/>
      <c r="C51" s="198"/>
      <c r="D51" s="198"/>
      <c r="E51" s="198"/>
      <c r="F51" s="198"/>
      <c r="G51" s="7"/>
      <c r="H51" s="7"/>
      <c r="I51" s="7"/>
      <c r="J51" s="7"/>
      <c r="K51" s="7"/>
      <c r="L51" s="7"/>
      <c r="M51" s="7"/>
      <c r="N51" s="7"/>
      <c r="O51" s="7"/>
      <c r="P51" s="7"/>
      <c r="Q51" s="7"/>
      <c r="R51" s="7"/>
      <c r="S51" s="7"/>
      <c r="T51" s="7"/>
      <c r="U51" s="7"/>
      <c r="V51" s="7"/>
      <c r="W51" s="7"/>
      <c r="X51" s="7"/>
      <c r="Y51" s="7"/>
      <c r="Z51" s="7"/>
    </row>
    <row r="52" spans="1:26" ht="14.25" customHeight="1" x14ac:dyDescent="0.3">
      <c r="A52" s="7"/>
      <c r="B52" s="198"/>
      <c r="C52" s="198"/>
      <c r="D52" s="198"/>
      <c r="E52" s="198"/>
      <c r="F52" s="198"/>
      <c r="G52" s="7"/>
      <c r="H52" s="7"/>
      <c r="I52" s="7"/>
      <c r="J52" s="7"/>
      <c r="K52" s="7"/>
      <c r="L52" s="7"/>
      <c r="M52" s="7"/>
      <c r="N52" s="7"/>
      <c r="O52" s="7"/>
      <c r="P52" s="7"/>
      <c r="Q52" s="7"/>
      <c r="R52" s="7"/>
      <c r="S52" s="7"/>
      <c r="T52" s="7"/>
      <c r="U52" s="7"/>
      <c r="V52" s="7"/>
      <c r="W52" s="7"/>
      <c r="X52" s="7"/>
      <c r="Y52" s="7"/>
      <c r="Z52" s="7"/>
    </row>
    <row r="53" spans="1:26" ht="14.25" customHeight="1" x14ac:dyDescent="0.3">
      <c r="A53" s="7"/>
      <c r="B53" s="198"/>
      <c r="C53" s="198"/>
      <c r="D53" s="198"/>
      <c r="E53" s="198"/>
      <c r="F53" s="198"/>
      <c r="G53" s="7"/>
      <c r="H53" s="7"/>
      <c r="I53" s="7"/>
      <c r="J53" s="7"/>
      <c r="K53" s="7"/>
      <c r="L53" s="7"/>
      <c r="M53" s="7"/>
      <c r="N53" s="7"/>
      <c r="O53" s="7"/>
      <c r="P53" s="7"/>
      <c r="Q53" s="7"/>
      <c r="R53" s="7"/>
      <c r="S53" s="7"/>
      <c r="T53" s="7"/>
      <c r="U53" s="7"/>
      <c r="V53" s="7"/>
      <c r="W53" s="7"/>
      <c r="X53" s="7"/>
      <c r="Y53" s="7"/>
      <c r="Z53" s="7"/>
    </row>
    <row r="54" spans="1:26" ht="14.25" customHeight="1" x14ac:dyDescent="0.3">
      <c r="A54" s="7"/>
      <c r="B54" s="198"/>
      <c r="C54" s="198"/>
      <c r="D54" s="198"/>
      <c r="E54" s="198"/>
      <c r="F54" s="198"/>
      <c r="G54" s="7"/>
      <c r="H54" s="7"/>
      <c r="I54" s="7"/>
      <c r="J54" s="7"/>
      <c r="K54" s="7"/>
      <c r="L54" s="7"/>
      <c r="M54" s="7"/>
      <c r="N54" s="7"/>
      <c r="O54" s="7"/>
      <c r="P54" s="7"/>
      <c r="Q54" s="7"/>
      <c r="R54" s="7"/>
      <c r="S54" s="7"/>
      <c r="T54" s="7"/>
      <c r="U54" s="7"/>
      <c r="V54" s="7"/>
      <c r="W54" s="7"/>
      <c r="X54" s="7"/>
      <c r="Y54" s="7"/>
      <c r="Z54" s="7"/>
    </row>
    <row r="55" spans="1:26" ht="14.25" customHeight="1" x14ac:dyDescent="0.3">
      <c r="A55" s="7"/>
      <c r="B55" s="198"/>
      <c r="C55" s="198"/>
      <c r="D55" s="198"/>
      <c r="E55" s="198"/>
      <c r="F55" s="198"/>
      <c r="G55" s="7"/>
      <c r="H55" s="7"/>
      <c r="I55" s="7"/>
      <c r="J55" s="7"/>
      <c r="K55" s="7"/>
      <c r="L55" s="7"/>
      <c r="M55" s="7"/>
      <c r="N55" s="7"/>
      <c r="O55" s="7"/>
      <c r="P55" s="7"/>
      <c r="Q55" s="7"/>
      <c r="R55" s="7"/>
      <c r="S55" s="7"/>
      <c r="T55" s="7"/>
      <c r="U55" s="7"/>
      <c r="V55" s="7"/>
      <c r="W55" s="7"/>
      <c r="X55" s="7"/>
      <c r="Y55" s="7"/>
      <c r="Z55" s="7"/>
    </row>
    <row r="56" spans="1:26" ht="14.25" customHeight="1" x14ac:dyDescent="0.3">
      <c r="A56" s="7"/>
      <c r="B56" s="198"/>
      <c r="C56" s="198"/>
      <c r="D56" s="198"/>
      <c r="E56" s="198"/>
      <c r="F56" s="198"/>
      <c r="G56" s="7"/>
      <c r="H56" s="7"/>
      <c r="I56" s="7"/>
      <c r="J56" s="7"/>
      <c r="K56" s="7"/>
      <c r="L56" s="7"/>
      <c r="M56" s="7"/>
      <c r="N56" s="7"/>
      <c r="O56" s="7"/>
      <c r="P56" s="7"/>
      <c r="Q56" s="7"/>
      <c r="R56" s="7"/>
      <c r="S56" s="7"/>
      <c r="T56" s="7"/>
      <c r="U56" s="7"/>
      <c r="V56" s="7"/>
      <c r="W56" s="7"/>
      <c r="X56" s="7"/>
      <c r="Y56" s="7"/>
      <c r="Z56" s="7"/>
    </row>
    <row r="57" spans="1:26" ht="14.25" customHeight="1" x14ac:dyDescent="0.3">
      <c r="A57" s="7"/>
      <c r="B57" s="198"/>
      <c r="C57" s="198"/>
      <c r="D57" s="198"/>
      <c r="E57" s="198"/>
      <c r="F57" s="198"/>
      <c r="G57" s="7"/>
      <c r="H57" s="7"/>
      <c r="I57" s="7"/>
      <c r="J57" s="7"/>
      <c r="K57" s="7"/>
      <c r="L57" s="7"/>
      <c r="M57" s="7"/>
      <c r="N57" s="7"/>
      <c r="O57" s="7"/>
      <c r="P57" s="7"/>
      <c r="Q57" s="7"/>
      <c r="R57" s="7"/>
      <c r="S57" s="7"/>
      <c r="T57" s="7"/>
      <c r="U57" s="7"/>
      <c r="V57" s="7"/>
      <c r="W57" s="7"/>
      <c r="X57" s="7"/>
      <c r="Y57" s="7"/>
      <c r="Z57" s="7"/>
    </row>
    <row r="58" spans="1:26" ht="14.25" customHeight="1" x14ac:dyDescent="0.3">
      <c r="A58" s="7"/>
      <c r="B58" s="198"/>
      <c r="C58" s="198"/>
      <c r="D58" s="198"/>
      <c r="E58" s="198"/>
      <c r="F58" s="198"/>
      <c r="G58" s="7"/>
      <c r="H58" s="7"/>
      <c r="I58" s="7"/>
      <c r="J58" s="7"/>
      <c r="K58" s="7"/>
      <c r="L58" s="7"/>
      <c r="M58" s="7"/>
      <c r="N58" s="7"/>
      <c r="O58" s="7"/>
      <c r="P58" s="7"/>
      <c r="Q58" s="7"/>
      <c r="R58" s="7"/>
      <c r="S58" s="7"/>
      <c r="T58" s="7"/>
      <c r="U58" s="7"/>
      <c r="V58" s="7"/>
      <c r="W58" s="7"/>
      <c r="X58" s="7"/>
      <c r="Y58" s="7"/>
      <c r="Z58" s="7"/>
    </row>
    <row r="59" spans="1:26" ht="14.25" customHeight="1" x14ac:dyDescent="0.3">
      <c r="A59" s="7"/>
      <c r="B59" s="198"/>
      <c r="C59" s="198"/>
      <c r="D59" s="198"/>
      <c r="E59" s="198"/>
      <c r="F59" s="198"/>
      <c r="G59" s="7"/>
      <c r="H59" s="7"/>
      <c r="I59" s="7"/>
      <c r="J59" s="7"/>
      <c r="K59" s="7"/>
      <c r="L59" s="7"/>
      <c r="M59" s="7"/>
      <c r="N59" s="7"/>
      <c r="O59" s="7"/>
      <c r="P59" s="7"/>
      <c r="Q59" s="7"/>
      <c r="R59" s="7"/>
      <c r="S59" s="7"/>
      <c r="T59" s="7"/>
      <c r="U59" s="7"/>
      <c r="V59" s="7"/>
      <c r="W59" s="7"/>
      <c r="X59" s="7"/>
      <c r="Y59" s="7"/>
      <c r="Z59" s="7"/>
    </row>
    <row r="60" spans="1:26" ht="14.25" customHeight="1" x14ac:dyDescent="0.3">
      <c r="A60" s="7"/>
      <c r="B60" s="198"/>
      <c r="C60" s="198"/>
      <c r="D60" s="198"/>
      <c r="E60" s="198"/>
      <c r="F60" s="198"/>
      <c r="G60" s="7"/>
      <c r="H60" s="7"/>
      <c r="I60" s="7"/>
      <c r="J60" s="7"/>
      <c r="K60" s="7"/>
      <c r="L60" s="7"/>
      <c r="M60" s="7"/>
      <c r="N60" s="7"/>
      <c r="O60" s="7"/>
      <c r="P60" s="7"/>
      <c r="Q60" s="7"/>
      <c r="R60" s="7"/>
      <c r="S60" s="7"/>
      <c r="T60" s="7"/>
      <c r="U60" s="7"/>
      <c r="V60" s="7"/>
      <c r="W60" s="7"/>
      <c r="X60" s="7"/>
      <c r="Y60" s="7"/>
      <c r="Z60" s="7"/>
    </row>
    <row r="61" spans="1:26" ht="14.25" customHeight="1" x14ac:dyDescent="0.3">
      <c r="A61" s="7"/>
      <c r="B61" s="198"/>
      <c r="C61" s="198"/>
      <c r="D61" s="198"/>
      <c r="E61" s="198"/>
      <c r="F61" s="198"/>
      <c r="G61" s="7"/>
      <c r="H61" s="7"/>
      <c r="I61" s="7"/>
      <c r="J61" s="7"/>
      <c r="K61" s="7"/>
      <c r="L61" s="7"/>
      <c r="M61" s="7"/>
      <c r="N61" s="7"/>
      <c r="O61" s="7"/>
      <c r="P61" s="7"/>
      <c r="Q61" s="7"/>
      <c r="R61" s="7"/>
      <c r="S61" s="7"/>
      <c r="T61" s="7"/>
      <c r="U61" s="7"/>
      <c r="V61" s="7"/>
      <c r="W61" s="7"/>
      <c r="X61" s="7"/>
      <c r="Y61" s="7"/>
      <c r="Z61" s="7"/>
    </row>
    <row r="62" spans="1:26" ht="14.25" customHeight="1" x14ac:dyDescent="0.3">
      <c r="A62" s="7"/>
      <c r="B62" s="198"/>
      <c r="C62" s="198"/>
      <c r="D62" s="198"/>
      <c r="E62" s="198"/>
      <c r="F62" s="198"/>
      <c r="G62" s="7"/>
      <c r="H62" s="7"/>
      <c r="I62" s="7"/>
      <c r="J62" s="7"/>
      <c r="K62" s="7"/>
      <c r="L62" s="7"/>
      <c r="M62" s="7"/>
      <c r="N62" s="7"/>
      <c r="O62" s="7"/>
      <c r="P62" s="7"/>
      <c r="Q62" s="7"/>
      <c r="R62" s="7"/>
      <c r="S62" s="7"/>
      <c r="T62" s="7"/>
      <c r="U62" s="7"/>
      <c r="V62" s="7"/>
      <c r="W62" s="7"/>
      <c r="X62" s="7"/>
      <c r="Y62" s="7"/>
      <c r="Z62" s="7"/>
    </row>
    <row r="63" spans="1:26" ht="14.25" customHeight="1" x14ac:dyDescent="0.3">
      <c r="A63" s="7"/>
      <c r="B63" s="198"/>
      <c r="C63" s="198"/>
      <c r="D63" s="198"/>
      <c r="E63" s="198"/>
      <c r="F63" s="198"/>
      <c r="G63" s="7"/>
      <c r="H63" s="7"/>
      <c r="I63" s="7"/>
      <c r="J63" s="7"/>
      <c r="K63" s="7"/>
      <c r="L63" s="7"/>
      <c r="M63" s="7"/>
      <c r="N63" s="7"/>
      <c r="O63" s="7"/>
      <c r="P63" s="7"/>
      <c r="Q63" s="7"/>
      <c r="R63" s="7"/>
      <c r="S63" s="7"/>
      <c r="T63" s="7"/>
      <c r="U63" s="7"/>
      <c r="V63" s="7"/>
      <c r="W63" s="7"/>
      <c r="X63" s="7"/>
      <c r="Y63" s="7"/>
      <c r="Z63" s="7"/>
    </row>
    <row r="64" spans="1:26" ht="14.25" customHeight="1" x14ac:dyDescent="0.3">
      <c r="A64" s="7"/>
      <c r="B64" s="198"/>
      <c r="C64" s="198"/>
      <c r="D64" s="198"/>
      <c r="E64" s="198"/>
      <c r="F64" s="198"/>
      <c r="G64" s="7"/>
      <c r="H64" s="7"/>
      <c r="I64" s="7"/>
      <c r="J64" s="7"/>
      <c r="K64" s="7"/>
      <c r="L64" s="7"/>
      <c r="M64" s="7"/>
      <c r="N64" s="7"/>
      <c r="O64" s="7"/>
      <c r="P64" s="7"/>
      <c r="Q64" s="7"/>
      <c r="R64" s="7"/>
      <c r="S64" s="7"/>
      <c r="T64" s="7"/>
      <c r="U64" s="7"/>
      <c r="V64" s="7"/>
      <c r="W64" s="7"/>
      <c r="X64" s="7"/>
      <c r="Y64" s="7"/>
      <c r="Z64" s="7"/>
    </row>
    <row r="65" spans="1:26" ht="14.25" customHeight="1" x14ac:dyDescent="0.3">
      <c r="A65" s="7"/>
      <c r="B65" s="198"/>
      <c r="C65" s="198"/>
      <c r="D65" s="198"/>
      <c r="E65" s="198"/>
      <c r="F65" s="198"/>
      <c r="G65" s="7"/>
      <c r="H65" s="7"/>
      <c r="I65" s="7"/>
      <c r="J65" s="7"/>
      <c r="K65" s="7"/>
      <c r="L65" s="7"/>
      <c r="M65" s="7"/>
      <c r="N65" s="7"/>
      <c r="O65" s="7"/>
      <c r="P65" s="7"/>
      <c r="Q65" s="7"/>
      <c r="R65" s="7"/>
      <c r="S65" s="7"/>
      <c r="T65" s="7"/>
      <c r="U65" s="7"/>
      <c r="V65" s="7"/>
      <c r="W65" s="7"/>
      <c r="X65" s="7"/>
      <c r="Y65" s="7"/>
      <c r="Z65" s="7"/>
    </row>
    <row r="66" spans="1:26" ht="14.25" customHeight="1" x14ac:dyDescent="0.3">
      <c r="A66" s="7"/>
      <c r="B66" s="198"/>
      <c r="C66" s="198"/>
      <c r="D66" s="198"/>
      <c r="E66" s="198"/>
      <c r="F66" s="198"/>
      <c r="G66" s="7"/>
      <c r="H66" s="7"/>
      <c r="I66" s="7"/>
      <c r="J66" s="7"/>
      <c r="K66" s="7"/>
      <c r="L66" s="7"/>
      <c r="M66" s="7"/>
      <c r="N66" s="7"/>
      <c r="O66" s="7"/>
      <c r="P66" s="7"/>
      <c r="Q66" s="7"/>
      <c r="R66" s="7"/>
      <c r="S66" s="7"/>
      <c r="T66" s="7"/>
      <c r="U66" s="7"/>
      <c r="V66" s="7"/>
      <c r="W66" s="7"/>
      <c r="X66" s="7"/>
      <c r="Y66" s="7"/>
      <c r="Z66" s="7"/>
    </row>
    <row r="67" spans="1:26" ht="14.25" customHeight="1" x14ac:dyDescent="0.3">
      <c r="A67" s="7"/>
      <c r="B67" s="198"/>
      <c r="C67" s="198"/>
      <c r="D67" s="198"/>
      <c r="E67" s="198"/>
      <c r="F67" s="198"/>
      <c r="G67" s="7"/>
      <c r="H67" s="7"/>
      <c r="I67" s="7"/>
      <c r="J67" s="7"/>
      <c r="K67" s="7"/>
      <c r="L67" s="7"/>
      <c r="M67" s="7"/>
      <c r="N67" s="7"/>
      <c r="O67" s="7"/>
      <c r="P67" s="7"/>
      <c r="Q67" s="7"/>
      <c r="R67" s="7"/>
      <c r="S67" s="7"/>
      <c r="T67" s="7"/>
      <c r="U67" s="7"/>
      <c r="V67" s="7"/>
      <c r="W67" s="7"/>
      <c r="X67" s="7"/>
      <c r="Y67" s="7"/>
      <c r="Z67" s="7"/>
    </row>
    <row r="68" spans="1:26" ht="14.25" customHeight="1" x14ac:dyDescent="0.3">
      <c r="A68" s="7"/>
      <c r="B68" s="198"/>
      <c r="C68" s="198"/>
      <c r="D68" s="198"/>
      <c r="E68" s="198"/>
      <c r="F68" s="198"/>
      <c r="G68" s="7"/>
      <c r="H68" s="7"/>
      <c r="I68" s="7"/>
      <c r="J68" s="7"/>
      <c r="K68" s="7"/>
      <c r="L68" s="7"/>
      <c r="M68" s="7"/>
      <c r="N68" s="7"/>
      <c r="O68" s="7"/>
      <c r="P68" s="7"/>
      <c r="Q68" s="7"/>
      <c r="R68" s="7"/>
      <c r="S68" s="7"/>
      <c r="T68" s="7"/>
      <c r="U68" s="7"/>
      <c r="V68" s="7"/>
      <c r="W68" s="7"/>
      <c r="X68" s="7"/>
      <c r="Y68" s="7"/>
      <c r="Z68" s="7"/>
    </row>
    <row r="69" spans="1:26" ht="14.25" customHeight="1" x14ac:dyDescent="0.3">
      <c r="A69" s="7"/>
      <c r="B69" s="198"/>
      <c r="C69" s="198"/>
      <c r="D69" s="198"/>
      <c r="E69" s="198"/>
      <c r="F69" s="198"/>
      <c r="G69" s="7"/>
      <c r="H69" s="7"/>
      <c r="I69" s="7"/>
      <c r="J69" s="7"/>
      <c r="K69" s="7"/>
      <c r="L69" s="7"/>
      <c r="M69" s="7"/>
      <c r="N69" s="7"/>
      <c r="O69" s="7"/>
      <c r="P69" s="7"/>
      <c r="Q69" s="7"/>
      <c r="R69" s="7"/>
      <c r="S69" s="7"/>
      <c r="T69" s="7"/>
      <c r="U69" s="7"/>
      <c r="V69" s="7"/>
      <c r="W69" s="7"/>
      <c r="X69" s="7"/>
      <c r="Y69" s="7"/>
      <c r="Z69" s="7"/>
    </row>
    <row r="70" spans="1:26" ht="14.25" customHeight="1" x14ac:dyDescent="0.3">
      <c r="A70" s="7"/>
      <c r="B70" s="198"/>
      <c r="C70" s="198"/>
      <c r="D70" s="198"/>
      <c r="E70" s="198"/>
      <c r="F70" s="198"/>
      <c r="G70" s="7"/>
      <c r="H70" s="7"/>
      <c r="I70" s="7"/>
      <c r="J70" s="7"/>
      <c r="K70" s="7"/>
      <c r="L70" s="7"/>
      <c r="M70" s="7"/>
      <c r="N70" s="7"/>
      <c r="O70" s="7"/>
      <c r="P70" s="7"/>
      <c r="Q70" s="7"/>
      <c r="R70" s="7"/>
      <c r="S70" s="7"/>
      <c r="T70" s="7"/>
      <c r="U70" s="7"/>
      <c r="V70" s="7"/>
      <c r="W70" s="7"/>
      <c r="X70" s="7"/>
      <c r="Y70" s="7"/>
      <c r="Z70" s="7"/>
    </row>
    <row r="71" spans="1:26" ht="14.25" customHeight="1" x14ac:dyDescent="0.3">
      <c r="A71" s="7"/>
      <c r="B71" s="198"/>
      <c r="C71" s="198"/>
      <c r="D71" s="198"/>
      <c r="E71" s="198"/>
      <c r="F71" s="198"/>
      <c r="G71" s="7"/>
      <c r="H71" s="7"/>
      <c r="I71" s="7"/>
      <c r="J71" s="7"/>
      <c r="K71" s="7"/>
      <c r="L71" s="7"/>
      <c r="M71" s="7"/>
      <c r="N71" s="7"/>
      <c r="O71" s="7"/>
      <c r="P71" s="7"/>
      <c r="Q71" s="7"/>
      <c r="R71" s="7"/>
      <c r="S71" s="7"/>
      <c r="T71" s="7"/>
      <c r="U71" s="7"/>
      <c r="V71" s="7"/>
      <c r="W71" s="7"/>
      <c r="X71" s="7"/>
      <c r="Y71" s="7"/>
      <c r="Z71" s="7"/>
    </row>
    <row r="72" spans="1:26" ht="14.25" customHeight="1" x14ac:dyDescent="0.3">
      <c r="A72" s="7"/>
      <c r="B72" s="198"/>
      <c r="C72" s="198"/>
      <c r="D72" s="198"/>
      <c r="E72" s="198"/>
      <c r="F72" s="198"/>
      <c r="G72" s="7"/>
      <c r="H72" s="7"/>
      <c r="I72" s="7"/>
      <c r="J72" s="7"/>
      <c r="K72" s="7"/>
      <c r="L72" s="7"/>
      <c r="M72" s="7"/>
      <c r="N72" s="7"/>
      <c r="O72" s="7"/>
      <c r="P72" s="7"/>
      <c r="Q72" s="7"/>
      <c r="R72" s="7"/>
      <c r="S72" s="7"/>
      <c r="T72" s="7"/>
      <c r="U72" s="7"/>
      <c r="V72" s="7"/>
      <c r="W72" s="7"/>
      <c r="X72" s="7"/>
      <c r="Y72" s="7"/>
      <c r="Z72" s="7"/>
    </row>
    <row r="73" spans="1:26" ht="14.25" customHeight="1" x14ac:dyDescent="0.3">
      <c r="A73" s="7"/>
      <c r="B73" s="198"/>
      <c r="C73" s="198"/>
      <c r="D73" s="198"/>
      <c r="E73" s="198"/>
      <c r="F73" s="198"/>
      <c r="G73" s="7"/>
      <c r="H73" s="7"/>
      <c r="I73" s="7"/>
      <c r="J73" s="7"/>
      <c r="K73" s="7"/>
      <c r="L73" s="7"/>
      <c r="M73" s="7"/>
      <c r="N73" s="7"/>
      <c r="O73" s="7"/>
      <c r="P73" s="7"/>
      <c r="Q73" s="7"/>
      <c r="R73" s="7"/>
      <c r="S73" s="7"/>
      <c r="T73" s="7"/>
      <c r="U73" s="7"/>
      <c r="V73" s="7"/>
      <c r="W73" s="7"/>
      <c r="X73" s="7"/>
      <c r="Y73" s="7"/>
      <c r="Z73" s="7"/>
    </row>
    <row r="74" spans="1:26" ht="14.25" customHeight="1" x14ac:dyDescent="0.3">
      <c r="A74" s="7"/>
      <c r="B74" s="198"/>
      <c r="C74" s="198"/>
      <c r="D74" s="198"/>
      <c r="E74" s="198"/>
      <c r="F74" s="198"/>
      <c r="G74" s="7"/>
      <c r="H74" s="7"/>
      <c r="I74" s="7"/>
      <c r="J74" s="7"/>
      <c r="K74" s="7"/>
      <c r="L74" s="7"/>
      <c r="M74" s="7"/>
      <c r="N74" s="7"/>
      <c r="O74" s="7"/>
      <c r="P74" s="7"/>
      <c r="Q74" s="7"/>
      <c r="R74" s="7"/>
      <c r="S74" s="7"/>
      <c r="T74" s="7"/>
      <c r="U74" s="7"/>
      <c r="V74" s="7"/>
      <c r="W74" s="7"/>
      <c r="X74" s="7"/>
      <c r="Y74" s="7"/>
      <c r="Z74" s="7"/>
    </row>
    <row r="75" spans="1:26" ht="14.25" customHeight="1" x14ac:dyDescent="0.3">
      <c r="A75" s="7"/>
      <c r="B75" s="198"/>
      <c r="C75" s="198"/>
      <c r="D75" s="198"/>
      <c r="E75" s="198"/>
      <c r="F75" s="198"/>
      <c r="G75" s="7"/>
      <c r="H75" s="7"/>
      <c r="I75" s="7"/>
      <c r="J75" s="7"/>
      <c r="K75" s="7"/>
      <c r="L75" s="7"/>
      <c r="M75" s="7"/>
      <c r="N75" s="7"/>
      <c r="O75" s="7"/>
      <c r="P75" s="7"/>
      <c r="Q75" s="7"/>
      <c r="R75" s="7"/>
      <c r="S75" s="7"/>
      <c r="T75" s="7"/>
      <c r="U75" s="7"/>
      <c r="V75" s="7"/>
      <c r="W75" s="7"/>
      <c r="X75" s="7"/>
      <c r="Y75" s="7"/>
      <c r="Z75" s="7"/>
    </row>
    <row r="76" spans="1:26" ht="14.25" customHeight="1" x14ac:dyDescent="0.3">
      <c r="A76" s="7"/>
      <c r="B76" s="198"/>
      <c r="C76" s="198"/>
      <c r="D76" s="198"/>
      <c r="E76" s="198"/>
      <c r="F76" s="198"/>
      <c r="G76" s="7"/>
      <c r="H76" s="7"/>
      <c r="I76" s="7"/>
      <c r="J76" s="7"/>
      <c r="K76" s="7"/>
      <c r="L76" s="7"/>
      <c r="M76" s="7"/>
      <c r="N76" s="7"/>
      <c r="O76" s="7"/>
      <c r="P76" s="7"/>
      <c r="Q76" s="7"/>
      <c r="R76" s="7"/>
      <c r="S76" s="7"/>
      <c r="T76" s="7"/>
      <c r="U76" s="7"/>
      <c r="V76" s="7"/>
      <c r="W76" s="7"/>
      <c r="X76" s="7"/>
      <c r="Y76" s="7"/>
      <c r="Z76" s="7"/>
    </row>
    <row r="77" spans="1:26" ht="14.25" customHeight="1" x14ac:dyDescent="0.3">
      <c r="A77" s="7"/>
      <c r="B77" s="198"/>
      <c r="C77" s="198"/>
      <c r="D77" s="198"/>
      <c r="E77" s="198"/>
      <c r="F77" s="198"/>
      <c r="G77" s="7"/>
      <c r="H77" s="7"/>
      <c r="I77" s="7"/>
      <c r="J77" s="7"/>
      <c r="K77" s="7"/>
      <c r="L77" s="7"/>
      <c r="M77" s="7"/>
      <c r="N77" s="7"/>
      <c r="O77" s="7"/>
      <c r="P77" s="7"/>
      <c r="Q77" s="7"/>
      <c r="R77" s="7"/>
      <c r="S77" s="7"/>
      <c r="T77" s="7"/>
      <c r="U77" s="7"/>
      <c r="V77" s="7"/>
      <c r="W77" s="7"/>
      <c r="X77" s="7"/>
      <c r="Y77" s="7"/>
      <c r="Z77" s="7"/>
    </row>
    <row r="78" spans="1:26" ht="14.25" customHeight="1" x14ac:dyDescent="0.3">
      <c r="A78" s="7"/>
      <c r="B78" s="198"/>
      <c r="C78" s="198"/>
      <c r="D78" s="198"/>
      <c r="E78" s="198"/>
      <c r="F78" s="198"/>
      <c r="G78" s="7"/>
      <c r="H78" s="7"/>
      <c r="I78" s="7"/>
      <c r="J78" s="7"/>
      <c r="K78" s="7"/>
      <c r="L78" s="7"/>
      <c r="M78" s="7"/>
      <c r="N78" s="7"/>
      <c r="O78" s="7"/>
      <c r="P78" s="7"/>
      <c r="Q78" s="7"/>
      <c r="R78" s="7"/>
      <c r="S78" s="7"/>
      <c r="T78" s="7"/>
      <c r="U78" s="7"/>
      <c r="V78" s="7"/>
      <c r="W78" s="7"/>
      <c r="X78" s="7"/>
      <c r="Y78" s="7"/>
      <c r="Z78" s="7"/>
    </row>
    <row r="79" spans="1:26" ht="14.25" customHeight="1" x14ac:dyDescent="0.3">
      <c r="A79" s="7"/>
      <c r="B79" s="198"/>
      <c r="C79" s="198"/>
      <c r="D79" s="198"/>
      <c r="E79" s="198"/>
      <c r="F79" s="198"/>
      <c r="G79" s="7"/>
      <c r="H79" s="7"/>
      <c r="I79" s="7"/>
      <c r="J79" s="7"/>
      <c r="K79" s="7"/>
      <c r="L79" s="7"/>
      <c r="M79" s="7"/>
      <c r="N79" s="7"/>
      <c r="O79" s="7"/>
      <c r="P79" s="7"/>
      <c r="Q79" s="7"/>
      <c r="R79" s="7"/>
      <c r="S79" s="7"/>
      <c r="T79" s="7"/>
      <c r="U79" s="7"/>
      <c r="V79" s="7"/>
      <c r="W79" s="7"/>
      <c r="X79" s="7"/>
      <c r="Y79" s="7"/>
      <c r="Z79" s="7"/>
    </row>
    <row r="80" spans="1:26" ht="14.25" customHeight="1" x14ac:dyDescent="0.3">
      <c r="A80" s="7"/>
      <c r="B80" s="198"/>
      <c r="C80" s="198"/>
      <c r="D80" s="198"/>
      <c r="E80" s="198"/>
      <c r="F80" s="198"/>
      <c r="G80" s="7"/>
      <c r="H80" s="7"/>
      <c r="I80" s="7"/>
      <c r="J80" s="7"/>
      <c r="K80" s="7"/>
      <c r="L80" s="7"/>
      <c r="M80" s="7"/>
      <c r="N80" s="7"/>
      <c r="O80" s="7"/>
      <c r="P80" s="7"/>
      <c r="Q80" s="7"/>
      <c r="R80" s="7"/>
      <c r="S80" s="7"/>
      <c r="T80" s="7"/>
      <c r="U80" s="7"/>
      <c r="V80" s="7"/>
      <c r="W80" s="7"/>
      <c r="X80" s="7"/>
      <c r="Y80" s="7"/>
      <c r="Z80" s="7"/>
    </row>
    <row r="81" spans="1:26" ht="14.25" customHeight="1" x14ac:dyDescent="0.3">
      <c r="A81" s="7"/>
      <c r="B81" s="198"/>
      <c r="C81" s="198"/>
      <c r="D81" s="198"/>
      <c r="E81" s="198"/>
      <c r="F81" s="198"/>
      <c r="G81" s="7"/>
      <c r="H81" s="7"/>
      <c r="I81" s="7"/>
      <c r="J81" s="7"/>
      <c r="K81" s="7"/>
      <c r="L81" s="7"/>
      <c r="M81" s="7"/>
      <c r="N81" s="7"/>
      <c r="O81" s="7"/>
      <c r="P81" s="7"/>
      <c r="Q81" s="7"/>
      <c r="R81" s="7"/>
      <c r="S81" s="7"/>
      <c r="T81" s="7"/>
      <c r="U81" s="7"/>
      <c r="V81" s="7"/>
      <c r="W81" s="7"/>
      <c r="X81" s="7"/>
      <c r="Y81" s="7"/>
      <c r="Z81" s="7"/>
    </row>
    <row r="82" spans="1:26" ht="14.25" customHeight="1" x14ac:dyDescent="0.3">
      <c r="A82" s="7"/>
      <c r="B82" s="198"/>
      <c r="C82" s="198"/>
      <c r="D82" s="198"/>
      <c r="E82" s="198"/>
      <c r="F82" s="198"/>
      <c r="G82" s="7"/>
      <c r="H82" s="7"/>
      <c r="I82" s="7"/>
      <c r="J82" s="7"/>
      <c r="K82" s="7"/>
      <c r="L82" s="7"/>
      <c r="M82" s="7"/>
      <c r="N82" s="7"/>
      <c r="O82" s="7"/>
      <c r="P82" s="7"/>
      <c r="Q82" s="7"/>
      <c r="R82" s="7"/>
      <c r="S82" s="7"/>
      <c r="T82" s="7"/>
      <c r="U82" s="7"/>
      <c r="V82" s="7"/>
      <c r="W82" s="7"/>
      <c r="X82" s="7"/>
      <c r="Y82" s="7"/>
      <c r="Z82" s="7"/>
    </row>
    <row r="83" spans="1:26" ht="14.25" customHeight="1" x14ac:dyDescent="0.3">
      <c r="A83" s="7"/>
      <c r="B83" s="198"/>
      <c r="C83" s="198"/>
      <c r="D83" s="198"/>
      <c r="E83" s="198"/>
      <c r="F83" s="198"/>
      <c r="G83" s="7"/>
      <c r="H83" s="7"/>
      <c r="I83" s="7"/>
      <c r="J83" s="7"/>
      <c r="K83" s="7"/>
      <c r="L83" s="7"/>
      <c r="M83" s="7"/>
      <c r="N83" s="7"/>
      <c r="O83" s="7"/>
      <c r="P83" s="7"/>
      <c r="Q83" s="7"/>
      <c r="R83" s="7"/>
      <c r="S83" s="7"/>
      <c r="T83" s="7"/>
      <c r="U83" s="7"/>
      <c r="V83" s="7"/>
      <c r="W83" s="7"/>
      <c r="X83" s="7"/>
      <c r="Y83" s="7"/>
      <c r="Z83" s="7"/>
    </row>
    <row r="84" spans="1:26" ht="14.25" customHeight="1" x14ac:dyDescent="0.3">
      <c r="A84" s="7"/>
      <c r="B84" s="198"/>
      <c r="C84" s="198"/>
      <c r="D84" s="198"/>
      <c r="E84" s="198"/>
      <c r="F84" s="198"/>
      <c r="G84" s="7"/>
      <c r="H84" s="7"/>
      <c r="I84" s="7"/>
      <c r="J84" s="7"/>
      <c r="K84" s="7"/>
      <c r="L84" s="7"/>
      <c r="M84" s="7"/>
      <c r="N84" s="7"/>
      <c r="O84" s="7"/>
      <c r="P84" s="7"/>
      <c r="Q84" s="7"/>
      <c r="R84" s="7"/>
      <c r="S84" s="7"/>
      <c r="T84" s="7"/>
      <c r="U84" s="7"/>
      <c r="V84" s="7"/>
      <c r="W84" s="7"/>
      <c r="X84" s="7"/>
      <c r="Y84" s="7"/>
      <c r="Z84" s="7"/>
    </row>
    <row r="85" spans="1:26" ht="14.25" customHeight="1" x14ac:dyDescent="0.3">
      <c r="A85" s="7"/>
      <c r="B85" s="198"/>
      <c r="C85" s="198"/>
      <c r="D85" s="198"/>
      <c r="E85" s="198"/>
      <c r="F85" s="198"/>
      <c r="G85" s="7"/>
      <c r="H85" s="7"/>
      <c r="I85" s="7"/>
      <c r="J85" s="7"/>
      <c r="K85" s="7"/>
      <c r="L85" s="7"/>
      <c r="M85" s="7"/>
      <c r="N85" s="7"/>
      <c r="O85" s="7"/>
      <c r="P85" s="7"/>
      <c r="Q85" s="7"/>
      <c r="R85" s="7"/>
      <c r="S85" s="7"/>
      <c r="T85" s="7"/>
      <c r="U85" s="7"/>
      <c r="V85" s="7"/>
      <c r="W85" s="7"/>
      <c r="X85" s="7"/>
      <c r="Y85" s="7"/>
      <c r="Z85" s="7"/>
    </row>
    <row r="86" spans="1:26" ht="14.25" customHeight="1" x14ac:dyDescent="0.3">
      <c r="A86" s="7"/>
      <c r="B86" s="198"/>
      <c r="C86" s="198"/>
      <c r="D86" s="198"/>
      <c r="E86" s="198"/>
      <c r="F86" s="198"/>
      <c r="G86" s="7"/>
      <c r="H86" s="7"/>
      <c r="I86" s="7"/>
      <c r="J86" s="7"/>
      <c r="K86" s="7"/>
      <c r="L86" s="7"/>
      <c r="M86" s="7"/>
      <c r="N86" s="7"/>
      <c r="O86" s="7"/>
      <c r="P86" s="7"/>
      <c r="Q86" s="7"/>
      <c r="R86" s="7"/>
      <c r="S86" s="7"/>
      <c r="T86" s="7"/>
      <c r="U86" s="7"/>
      <c r="V86" s="7"/>
      <c r="W86" s="7"/>
      <c r="X86" s="7"/>
      <c r="Y86" s="7"/>
      <c r="Z86" s="7"/>
    </row>
    <row r="87" spans="1:26" ht="14.25" customHeight="1" x14ac:dyDescent="0.3">
      <c r="A87" s="7"/>
      <c r="B87" s="198"/>
      <c r="C87" s="198"/>
      <c r="D87" s="198"/>
      <c r="E87" s="198"/>
      <c r="F87" s="198"/>
      <c r="G87" s="7"/>
      <c r="H87" s="7"/>
      <c r="I87" s="7"/>
      <c r="J87" s="7"/>
      <c r="K87" s="7"/>
      <c r="L87" s="7"/>
      <c r="M87" s="7"/>
      <c r="N87" s="7"/>
      <c r="O87" s="7"/>
      <c r="P87" s="7"/>
      <c r="Q87" s="7"/>
      <c r="R87" s="7"/>
      <c r="S87" s="7"/>
      <c r="T87" s="7"/>
      <c r="U87" s="7"/>
      <c r="V87" s="7"/>
      <c r="W87" s="7"/>
      <c r="X87" s="7"/>
      <c r="Y87" s="7"/>
      <c r="Z87" s="7"/>
    </row>
    <row r="88" spans="1:26" ht="14.25" customHeight="1" x14ac:dyDescent="0.3">
      <c r="A88" s="7"/>
      <c r="B88" s="198"/>
      <c r="C88" s="198"/>
      <c r="D88" s="198"/>
      <c r="E88" s="198"/>
      <c r="F88" s="198"/>
      <c r="G88" s="7"/>
      <c r="H88" s="7"/>
      <c r="I88" s="7"/>
      <c r="J88" s="7"/>
      <c r="K88" s="7"/>
      <c r="L88" s="7"/>
      <c r="M88" s="7"/>
      <c r="N88" s="7"/>
      <c r="O88" s="7"/>
      <c r="P88" s="7"/>
      <c r="Q88" s="7"/>
      <c r="R88" s="7"/>
      <c r="S88" s="7"/>
      <c r="T88" s="7"/>
      <c r="U88" s="7"/>
      <c r="V88" s="7"/>
      <c r="W88" s="7"/>
      <c r="X88" s="7"/>
      <c r="Y88" s="7"/>
      <c r="Z88" s="7"/>
    </row>
    <row r="89" spans="1:26" ht="14.25" customHeight="1" x14ac:dyDescent="0.3">
      <c r="A89" s="7"/>
      <c r="B89" s="198"/>
      <c r="C89" s="198"/>
      <c r="D89" s="198"/>
      <c r="E89" s="198"/>
      <c r="F89" s="198"/>
      <c r="G89" s="7"/>
      <c r="H89" s="7"/>
      <c r="I89" s="7"/>
      <c r="J89" s="7"/>
      <c r="K89" s="7"/>
      <c r="L89" s="7"/>
      <c r="M89" s="7"/>
      <c r="N89" s="7"/>
      <c r="O89" s="7"/>
      <c r="P89" s="7"/>
      <c r="Q89" s="7"/>
      <c r="R89" s="7"/>
      <c r="S89" s="7"/>
      <c r="T89" s="7"/>
      <c r="U89" s="7"/>
      <c r="V89" s="7"/>
      <c r="W89" s="7"/>
      <c r="X89" s="7"/>
      <c r="Y89" s="7"/>
      <c r="Z89" s="7"/>
    </row>
    <row r="90" spans="1:26" ht="14.25" customHeight="1" x14ac:dyDescent="0.3">
      <c r="A90" s="7"/>
      <c r="B90" s="198"/>
      <c r="C90" s="198"/>
      <c r="D90" s="198"/>
      <c r="E90" s="198"/>
      <c r="F90" s="198"/>
      <c r="G90" s="7"/>
      <c r="H90" s="7"/>
      <c r="I90" s="7"/>
      <c r="J90" s="7"/>
      <c r="K90" s="7"/>
      <c r="L90" s="7"/>
      <c r="M90" s="7"/>
      <c r="N90" s="7"/>
      <c r="O90" s="7"/>
      <c r="P90" s="7"/>
      <c r="Q90" s="7"/>
      <c r="R90" s="7"/>
      <c r="S90" s="7"/>
      <c r="T90" s="7"/>
      <c r="U90" s="7"/>
      <c r="V90" s="7"/>
      <c r="W90" s="7"/>
      <c r="X90" s="7"/>
      <c r="Y90" s="7"/>
      <c r="Z90" s="7"/>
    </row>
    <row r="91" spans="1:26" ht="14.25" customHeight="1" x14ac:dyDescent="0.3">
      <c r="A91" s="7"/>
      <c r="B91" s="198"/>
      <c r="C91" s="198"/>
      <c r="D91" s="198"/>
      <c r="E91" s="198"/>
      <c r="F91" s="198"/>
      <c r="G91" s="7"/>
      <c r="H91" s="7"/>
      <c r="I91" s="7"/>
      <c r="J91" s="7"/>
      <c r="K91" s="7"/>
      <c r="L91" s="7"/>
      <c r="M91" s="7"/>
      <c r="N91" s="7"/>
      <c r="O91" s="7"/>
      <c r="P91" s="7"/>
      <c r="Q91" s="7"/>
      <c r="R91" s="7"/>
      <c r="S91" s="7"/>
      <c r="T91" s="7"/>
      <c r="U91" s="7"/>
      <c r="V91" s="7"/>
      <c r="W91" s="7"/>
      <c r="X91" s="7"/>
      <c r="Y91" s="7"/>
      <c r="Z91" s="7"/>
    </row>
    <row r="92" spans="1:26" ht="14.25" customHeight="1" x14ac:dyDescent="0.3">
      <c r="A92" s="7"/>
      <c r="B92" s="198"/>
      <c r="C92" s="198"/>
      <c r="D92" s="198"/>
      <c r="E92" s="198"/>
      <c r="F92" s="198"/>
      <c r="G92" s="7"/>
      <c r="H92" s="7"/>
      <c r="I92" s="7"/>
      <c r="J92" s="7"/>
      <c r="K92" s="7"/>
      <c r="L92" s="7"/>
      <c r="M92" s="7"/>
      <c r="N92" s="7"/>
      <c r="O92" s="7"/>
      <c r="P92" s="7"/>
      <c r="Q92" s="7"/>
      <c r="R92" s="7"/>
      <c r="S92" s="7"/>
      <c r="T92" s="7"/>
      <c r="U92" s="7"/>
      <c r="V92" s="7"/>
      <c r="W92" s="7"/>
      <c r="X92" s="7"/>
      <c r="Y92" s="7"/>
      <c r="Z92" s="7"/>
    </row>
    <row r="93" spans="1:26" ht="14.25" customHeight="1" x14ac:dyDescent="0.3">
      <c r="A93" s="7"/>
      <c r="B93" s="198"/>
      <c r="C93" s="198"/>
      <c r="D93" s="198"/>
      <c r="E93" s="198"/>
      <c r="F93" s="198"/>
      <c r="G93" s="7"/>
      <c r="H93" s="7"/>
      <c r="I93" s="7"/>
      <c r="J93" s="7"/>
      <c r="K93" s="7"/>
      <c r="L93" s="7"/>
      <c r="M93" s="7"/>
      <c r="N93" s="7"/>
      <c r="O93" s="7"/>
      <c r="P93" s="7"/>
      <c r="Q93" s="7"/>
      <c r="R93" s="7"/>
      <c r="S93" s="7"/>
      <c r="T93" s="7"/>
      <c r="U93" s="7"/>
      <c r="V93" s="7"/>
      <c r="W93" s="7"/>
      <c r="X93" s="7"/>
      <c r="Y93" s="7"/>
      <c r="Z93" s="7"/>
    </row>
    <row r="94" spans="1:26" ht="14.25" customHeight="1" x14ac:dyDescent="0.3">
      <c r="A94" s="7"/>
      <c r="B94" s="198"/>
      <c r="C94" s="198"/>
      <c r="D94" s="198"/>
      <c r="E94" s="198"/>
      <c r="F94" s="198"/>
      <c r="G94" s="7"/>
      <c r="H94" s="7"/>
      <c r="I94" s="7"/>
      <c r="J94" s="7"/>
      <c r="K94" s="7"/>
      <c r="L94" s="7"/>
      <c r="M94" s="7"/>
      <c r="N94" s="7"/>
      <c r="O94" s="7"/>
      <c r="P94" s="7"/>
      <c r="Q94" s="7"/>
      <c r="R94" s="7"/>
      <c r="S94" s="7"/>
      <c r="T94" s="7"/>
      <c r="U94" s="7"/>
      <c r="V94" s="7"/>
      <c r="W94" s="7"/>
      <c r="X94" s="7"/>
      <c r="Y94" s="7"/>
      <c r="Z94" s="7"/>
    </row>
    <row r="95" spans="1:26" ht="14.25" customHeight="1" x14ac:dyDescent="0.3">
      <c r="A95" s="7"/>
      <c r="B95" s="198"/>
      <c r="C95" s="198"/>
      <c r="D95" s="198"/>
      <c r="E95" s="198"/>
      <c r="F95" s="198"/>
      <c r="G95" s="7"/>
      <c r="H95" s="7"/>
      <c r="I95" s="7"/>
      <c r="J95" s="7"/>
      <c r="K95" s="7"/>
      <c r="L95" s="7"/>
      <c r="M95" s="7"/>
      <c r="N95" s="7"/>
      <c r="O95" s="7"/>
      <c r="P95" s="7"/>
      <c r="Q95" s="7"/>
      <c r="R95" s="7"/>
      <c r="S95" s="7"/>
      <c r="T95" s="7"/>
      <c r="U95" s="7"/>
      <c r="V95" s="7"/>
      <c r="W95" s="7"/>
      <c r="X95" s="7"/>
      <c r="Y95" s="7"/>
      <c r="Z95" s="7"/>
    </row>
    <row r="96" spans="1:26" ht="14.25" customHeight="1" x14ac:dyDescent="0.3">
      <c r="A96" s="7"/>
      <c r="B96" s="198"/>
      <c r="C96" s="198"/>
      <c r="D96" s="198"/>
      <c r="E96" s="198"/>
      <c r="F96" s="198"/>
      <c r="G96" s="7"/>
      <c r="H96" s="7"/>
      <c r="I96" s="7"/>
      <c r="J96" s="7"/>
      <c r="K96" s="7"/>
      <c r="L96" s="7"/>
      <c r="M96" s="7"/>
      <c r="N96" s="7"/>
      <c r="O96" s="7"/>
      <c r="P96" s="7"/>
      <c r="Q96" s="7"/>
      <c r="R96" s="7"/>
      <c r="S96" s="7"/>
      <c r="T96" s="7"/>
      <c r="U96" s="7"/>
      <c r="V96" s="7"/>
      <c r="W96" s="7"/>
      <c r="X96" s="7"/>
      <c r="Y96" s="7"/>
      <c r="Z96" s="7"/>
    </row>
    <row r="97" spans="1:26" ht="14.25" customHeight="1" x14ac:dyDescent="0.3">
      <c r="A97" s="7"/>
      <c r="B97" s="198"/>
      <c r="C97" s="198"/>
      <c r="D97" s="198"/>
      <c r="E97" s="198"/>
      <c r="F97" s="198"/>
      <c r="G97" s="7"/>
      <c r="H97" s="7"/>
      <c r="I97" s="7"/>
      <c r="J97" s="7"/>
      <c r="K97" s="7"/>
      <c r="L97" s="7"/>
      <c r="M97" s="7"/>
      <c r="N97" s="7"/>
      <c r="O97" s="7"/>
      <c r="P97" s="7"/>
      <c r="Q97" s="7"/>
      <c r="R97" s="7"/>
      <c r="S97" s="7"/>
      <c r="T97" s="7"/>
      <c r="U97" s="7"/>
      <c r="V97" s="7"/>
      <c r="W97" s="7"/>
      <c r="X97" s="7"/>
      <c r="Y97" s="7"/>
      <c r="Z97" s="7"/>
    </row>
    <row r="98" spans="1:26" ht="14.25" customHeight="1" x14ac:dyDescent="0.3">
      <c r="A98" s="7"/>
      <c r="B98" s="198"/>
      <c r="C98" s="198"/>
      <c r="D98" s="198"/>
      <c r="E98" s="198"/>
      <c r="F98" s="198"/>
      <c r="G98" s="7"/>
      <c r="H98" s="7"/>
      <c r="I98" s="7"/>
      <c r="J98" s="7"/>
      <c r="K98" s="7"/>
      <c r="L98" s="7"/>
      <c r="M98" s="7"/>
      <c r="N98" s="7"/>
      <c r="O98" s="7"/>
      <c r="P98" s="7"/>
      <c r="Q98" s="7"/>
      <c r="R98" s="7"/>
      <c r="S98" s="7"/>
      <c r="T98" s="7"/>
      <c r="U98" s="7"/>
      <c r="V98" s="7"/>
      <c r="W98" s="7"/>
      <c r="X98" s="7"/>
      <c r="Y98" s="7"/>
      <c r="Z98" s="7"/>
    </row>
    <row r="99" spans="1:26" ht="14.25" customHeight="1" x14ac:dyDescent="0.3">
      <c r="A99" s="7"/>
      <c r="B99" s="198"/>
      <c r="C99" s="198"/>
      <c r="D99" s="198"/>
      <c r="E99" s="198"/>
      <c r="F99" s="198"/>
      <c r="G99" s="7"/>
      <c r="H99" s="7"/>
      <c r="I99" s="7"/>
      <c r="J99" s="7"/>
      <c r="K99" s="7"/>
      <c r="L99" s="7"/>
      <c r="M99" s="7"/>
      <c r="N99" s="7"/>
      <c r="O99" s="7"/>
      <c r="P99" s="7"/>
      <c r="Q99" s="7"/>
      <c r="R99" s="7"/>
      <c r="S99" s="7"/>
      <c r="T99" s="7"/>
      <c r="U99" s="7"/>
      <c r="V99" s="7"/>
      <c r="W99" s="7"/>
      <c r="X99" s="7"/>
      <c r="Y99" s="7"/>
      <c r="Z99" s="7"/>
    </row>
    <row r="100" spans="1:26" ht="14.25" customHeight="1" x14ac:dyDescent="0.3">
      <c r="A100" s="7"/>
      <c r="B100" s="198"/>
      <c r="C100" s="198"/>
      <c r="D100" s="198"/>
      <c r="E100" s="198"/>
      <c r="F100" s="198"/>
      <c r="G100" s="7"/>
      <c r="H100" s="7"/>
      <c r="I100" s="7"/>
      <c r="J100" s="7"/>
      <c r="K100" s="7"/>
      <c r="L100" s="7"/>
      <c r="M100" s="7"/>
      <c r="N100" s="7"/>
      <c r="O100" s="7"/>
      <c r="P100" s="7"/>
      <c r="Q100" s="7"/>
      <c r="R100" s="7"/>
      <c r="S100" s="7"/>
      <c r="T100" s="7"/>
      <c r="U100" s="7"/>
      <c r="V100" s="7"/>
      <c r="W100" s="7"/>
      <c r="X100" s="7"/>
      <c r="Y100" s="7"/>
      <c r="Z100" s="7"/>
    </row>
    <row r="101" spans="1:26" ht="14.25" customHeight="1" x14ac:dyDescent="0.3">
      <c r="A101" s="7"/>
      <c r="B101" s="198"/>
      <c r="C101" s="198"/>
      <c r="D101" s="198"/>
      <c r="E101" s="198"/>
      <c r="F101" s="198"/>
      <c r="G101" s="7"/>
      <c r="H101" s="7"/>
      <c r="I101" s="7"/>
      <c r="J101" s="7"/>
      <c r="K101" s="7"/>
      <c r="L101" s="7"/>
      <c r="M101" s="7"/>
      <c r="N101" s="7"/>
      <c r="O101" s="7"/>
      <c r="P101" s="7"/>
      <c r="Q101" s="7"/>
      <c r="R101" s="7"/>
      <c r="S101" s="7"/>
      <c r="T101" s="7"/>
      <c r="U101" s="7"/>
      <c r="V101" s="7"/>
      <c r="W101" s="7"/>
      <c r="X101" s="7"/>
      <c r="Y101" s="7"/>
      <c r="Z101" s="7"/>
    </row>
    <row r="102" spans="1:26" ht="14.25" customHeight="1" x14ac:dyDescent="0.3">
      <c r="A102" s="7"/>
      <c r="B102" s="198"/>
      <c r="C102" s="198"/>
      <c r="D102" s="198"/>
      <c r="E102" s="198"/>
      <c r="F102" s="198"/>
      <c r="G102" s="7"/>
      <c r="H102" s="7"/>
      <c r="I102" s="7"/>
      <c r="J102" s="7"/>
      <c r="K102" s="7"/>
      <c r="L102" s="7"/>
      <c r="M102" s="7"/>
      <c r="N102" s="7"/>
      <c r="O102" s="7"/>
      <c r="P102" s="7"/>
      <c r="Q102" s="7"/>
      <c r="R102" s="7"/>
      <c r="S102" s="7"/>
      <c r="T102" s="7"/>
      <c r="U102" s="7"/>
      <c r="V102" s="7"/>
      <c r="W102" s="7"/>
      <c r="X102" s="7"/>
      <c r="Y102" s="7"/>
      <c r="Z102" s="7"/>
    </row>
    <row r="103" spans="1:26" ht="14.25" customHeight="1" x14ac:dyDescent="0.3">
      <c r="A103" s="7"/>
      <c r="B103" s="198"/>
      <c r="C103" s="198"/>
      <c r="D103" s="198"/>
      <c r="E103" s="198"/>
      <c r="F103" s="198"/>
      <c r="G103" s="7"/>
      <c r="H103" s="7"/>
      <c r="I103" s="7"/>
      <c r="J103" s="7"/>
      <c r="K103" s="7"/>
      <c r="L103" s="7"/>
      <c r="M103" s="7"/>
      <c r="N103" s="7"/>
      <c r="O103" s="7"/>
      <c r="P103" s="7"/>
      <c r="Q103" s="7"/>
      <c r="R103" s="7"/>
      <c r="S103" s="7"/>
      <c r="T103" s="7"/>
      <c r="U103" s="7"/>
      <c r="V103" s="7"/>
      <c r="W103" s="7"/>
      <c r="X103" s="7"/>
      <c r="Y103" s="7"/>
      <c r="Z103" s="7"/>
    </row>
    <row r="104" spans="1:26" ht="14.25" customHeight="1" x14ac:dyDescent="0.3">
      <c r="A104" s="7"/>
      <c r="B104" s="198"/>
      <c r="C104" s="198"/>
      <c r="D104" s="198"/>
      <c r="E104" s="198"/>
      <c r="F104" s="198"/>
      <c r="G104" s="7"/>
      <c r="H104" s="7"/>
      <c r="I104" s="7"/>
      <c r="J104" s="7"/>
      <c r="K104" s="7"/>
      <c r="L104" s="7"/>
      <c r="M104" s="7"/>
      <c r="N104" s="7"/>
      <c r="O104" s="7"/>
      <c r="P104" s="7"/>
      <c r="Q104" s="7"/>
      <c r="R104" s="7"/>
      <c r="S104" s="7"/>
      <c r="T104" s="7"/>
      <c r="U104" s="7"/>
      <c r="V104" s="7"/>
      <c r="W104" s="7"/>
      <c r="X104" s="7"/>
      <c r="Y104" s="7"/>
      <c r="Z104" s="7"/>
    </row>
    <row r="105" spans="1:26" ht="14.25" customHeight="1" x14ac:dyDescent="0.3">
      <c r="A105" s="7"/>
      <c r="B105" s="198"/>
      <c r="C105" s="198"/>
      <c r="D105" s="198"/>
      <c r="E105" s="198"/>
      <c r="F105" s="198"/>
      <c r="G105" s="7"/>
      <c r="H105" s="7"/>
      <c r="I105" s="7"/>
      <c r="J105" s="7"/>
      <c r="K105" s="7"/>
      <c r="L105" s="7"/>
      <c r="M105" s="7"/>
      <c r="N105" s="7"/>
      <c r="O105" s="7"/>
      <c r="P105" s="7"/>
      <c r="Q105" s="7"/>
      <c r="R105" s="7"/>
      <c r="S105" s="7"/>
      <c r="T105" s="7"/>
      <c r="U105" s="7"/>
      <c r="V105" s="7"/>
      <c r="W105" s="7"/>
      <c r="X105" s="7"/>
      <c r="Y105" s="7"/>
      <c r="Z105" s="7"/>
    </row>
    <row r="106" spans="1:26" ht="14.25" customHeight="1" x14ac:dyDescent="0.3">
      <c r="A106" s="7"/>
      <c r="B106" s="198"/>
      <c r="C106" s="198"/>
      <c r="D106" s="198"/>
      <c r="E106" s="198"/>
      <c r="F106" s="198"/>
      <c r="G106" s="7"/>
      <c r="H106" s="7"/>
      <c r="I106" s="7"/>
      <c r="J106" s="7"/>
      <c r="K106" s="7"/>
      <c r="L106" s="7"/>
      <c r="M106" s="7"/>
      <c r="N106" s="7"/>
      <c r="O106" s="7"/>
      <c r="P106" s="7"/>
      <c r="Q106" s="7"/>
      <c r="R106" s="7"/>
      <c r="S106" s="7"/>
      <c r="T106" s="7"/>
      <c r="U106" s="7"/>
      <c r="V106" s="7"/>
      <c r="W106" s="7"/>
      <c r="X106" s="7"/>
      <c r="Y106" s="7"/>
      <c r="Z106" s="7"/>
    </row>
    <row r="107" spans="1:26" ht="14.25" customHeight="1" x14ac:dyDescent="0.3">
      <c r="A107" s="7"/>
      <c r="B107" s="198"/>
      <c r="C107" s="198"/>
      <c r="D107" s="198"/>
      <c r="E107" s="198"/>
      <c r="F107" s="198"/>
      <c r="G107" s="7"/>
      <c r="H107" s="7"/>
      <c r="I107" s="7"/>
      <c r="J107" s="7"/>
      <c r="K107" s="7"/>
      <c r="L107" s="7"/>
      <c r="M107" s="7"/>
      <c r="N107" s="7"/>
      <c r="O107" s="7"/>
      <c r="P107" s="7"/>
      <c r="Q107" s="7"/>
      <c r="R107" s="7"/>
      <c r="S107" s="7"/>
      <c r="T107" s="7"/>
      <c r="U107" s="7"/>
      <c r="V107" s="7"/>
      <c r="W107" s="7"/>
      <c r="X107" s="7"/>
      <c r="Y107" s="7"/>
      <c r="Z107" s="7"/>
    </row>
    <row r="108" spans="1:26" ht="14.25" customHeight="1" x14ac:dyDescent="0.3">
      <c r="A108" s="7"/>
      <c r="B108" s="198"/>
      <c r="C108" s="198"/>
      <c r="D108" s="198"/>
      <c r="E108" s="198"/>
      <c r="F108" s="198"/>
      <c r="G108" s="7"/>
      <c r="H108" s="7"/>
      <c r="I108" s="7"/>
      <c r="J108" s="7"/>
      <c r="K108" s="7"/>
      <c r="L108" s="7"/>
      <c r="M108" s="7"/>
      <c r="N108" s="7"/>
      <c r="O108" s="7"/>
      <c r="P108" s="7"/>
      <c r="Q108" s="7"/>
      <c r="R108" s="7"/>
      <c r="S108" s="7"/>
      <c r="T108" s="7"/>
      <c r="U108" s="7"/>
      <c r="V108" s="7"/>
      <c r="W108" s="7"/>
      <c r="X108" s="7"/>
      <c r="Y108" s="7"/>
      <c r="Z108" s="7"/>
    </row>
    <row r="109" spans="1:26" ht="14.25" customHeight="1" x14ac:dyDescent="0.3">
      <c r="A109" s="7"/>
      <c r="B109" s="198"/>
      <c r="C109" s="198"/>
      <c r="D109" s="198"/>
      <c r="E109" s="198"/>
      <c r="F109" s="198"/>
      <c r="G109" s="7"/>
      <c r="H109" s="7"/>
      <c r="I109" s="7"/>
      <c r="J109" s="7"/>
      <c r="K109" s="7"/>
      <c r="L109" s="7"/>
      <c r="M109" s="7"/>
      <c r="N109" s="7"/>
      <c r="O109" s="7"/>
      <c r="P109" s="7"/>
      <c r="Q109" s="7"/>
      <c r="R109" s="7"/>
      <c r="S109" s="7"/>
      <c r="T109" s="7"/>
      <c r="U109" s="7"/>
      <c r="V109" s="7"/>
      <c r="W109" s="7"/>
      <c r="X109" s="7"/>
      <c r="Y109" s="7"/>
      <c r="Z109" s="7"/>
    </row>
    <row r="110" spans="1:26" ht="14.25" customHeight="1" x14ac:dyDescent="0.3">
      <c r="A110" s="7"/>
      <c r="B110" s="198"/>
      <c r="C110" s="198"/>
      <c r="D110" s="198"/>
      <c r="E110" s="198"/>
      <c r="F110" s="198"/>
      <c r="G110" s="7"/>
      <c r="H110" s="7"/>
      <c r="I110" s="7"/>
      <c r="J110" s="7"/>
      <c r="K110" s="7"/>
      <c r="L110" s="7"/>
      <c r="M110" s="7"/>
      <c r="N110" s="7"/>
      <c r="O110" s="7"/>
      <c r="P110" s="7"/>
      <c r="Q110" s="7"/>
      <c r="R110" s="7"/>
      <c r="S110" s="7"/>
      <c r="T110" s="7"/>
      <c r="U110" s="7"/>
      <c r="V110" s="7"/>
      <c r="W110" s="7"/>
      <c r="X110" s="7"/>
      <c r="Y110" s="7"/>
      <c r="Z110" s="7"/>
    </row>
    <row r="111" spans="1:26" ht="14.25" customHeight="1" x14ac:dyDescent="0.3">
      <c r="A111" s="7"/>
      <c r="B111" s="198"/>
      <c r="C111" s="198"/>
      <c r="D111" s="198"/>
      <c r="E111" s="198"/>
      <c r="F111" s="198"/>
      <c r="G111" s="7"/>
      <c r="H111" s="7"/>
      <c r="I111" s="7"/>
      <c r="J111" s="7"/>
      <c r="K111" s="7"/>
      <c r="L111" s="7"/>
      <c r="M111" s="7"/>
      <c r="N111" s="7"/>
      <c r="O111" s="7"/>
      <c r="P111" s="7"/>
      <c r="Q111" s="7"/>
      <c r="R111" s="7"/>
      <c r="S111" s="7"/>
      <c r="T111" s="7"/>
      <c r="U111" s="7"/>
      <c r="V111" s="7"/>
      <c r="W111" s="7"/>
      <c r="X111" s="7"/>
      <c r="Y111" s="7"/>
      <c r="Z111" s="7"/>
    </row>
    <row r="112" spans="1:26" ht="14.25" customHeight="1" x14ac:dyDescent="0.3">
      <c r="A112" s="7"/>
      <c r="B112" s="198"/>
      <c r="C112" s="198"/>
      <c r="D112" s="198"/>
      <c r="E112" s="198"/>
      <c r="F112" s="198"/>
      <c r="G112" s="7"/>
      <c r="H112" s="7"/>
      <c r="I112" s="7"/>
      <c r="J112" s="7"/>
      <c r="K112" s="7"/>
      <c r="L112" s="7"/>
      <c r="M112" s="7"/>
      <c r="N112" s="7"/>
      <c r="O112" s="7"/>
      <c r="P112" s="7"/>
      <c r="Q112" s="7"/>
      <c r="R112" s="7"/>
      <c r="S112" s="7"/>
      <c r="T112" s="7"/>
      <c r="U112" s="7"/>
      <c r="V112" s="7"/>
      <c r="W112" s="7"/>
      <c r="X112" s="7"/>
      <c r="Y112" s="7"/>
      <c r="Z112" s="7"/>
    </row>
    <row r="113" spans="1:26" ht="14.25" customHeight="1" x14ac:dyDescent="0.3">
      <c r="A113" s="7"/>
      <c r="B113" s="198"/>
      <c r="C113" s="198"/>
      <c r="D113" s="198"/>
      <c r="E113" s="198"/>
      <c r="F113" s="198"/>
      <c r="G113" s="7"/>
      <c r="H113" s="7"/>
      <c r="I113" s="7"/>
      <c r="J113" s="7"/>
      <c r="K113" s="7"/>
      <c r="L113" s="7"/>
      <c r="M113" s="7"/>
      <c r="N113" s="7"/>
      <c r="O113" s="7"/>
      <c r="P113" s="7"/>
      <c r="Q113" s="7"/>
      <c r="R113" s="7"/>
      <c r="S113" s="7"/>
      <c r="T113" s="7"/>
      <c r="U113" s="7"/>
      <c r="V113" s="7"/>
      <c r="W113" s="7"/>
      <c r="X113" s="7"/>
      <c r="Y113" s="7"/>
      <c r="Z113" s="7"/>
    </row>
    <row r="114" spans="1:26" ht="14.25" customHeight="1" x14ac:dyDescent="0.3">
      <c r="A114" s="7"/>
      <c r="B114" s="198"/>
      <c r="C114" s="198"/>
      <c r="D114" s="198"/>
      <c r="E114" s="198"/>
      <c r="F114" s="198"/>
      <c r="G114" s="7"/>
      <c r="H114" s="7"/>
      <c r="I114" s="7"/>
      <c r="J114" s="7"/>
      <c r="K114" s="7"/>
      <c r="L114" s="7"/>
      <c r="M114" s="7"/>
      <c r="N114" s="7"/>
      <c r="O114" s="7"/>
      <c r="P114" s="7"/>
      <c r="Q114" s="7"/>
      <c r="R114" s="7"/>
      <c r="S114" s="7"/>
      <c r="T114" s="7"/>
      <c r="U114" s="7"/>
      <c r="V114" s="7"/>
      <c r="W114" s="7"/>
      <c r="X114" s="7"/>
      <c r="Y114" s="7"/>
      <c r="Z114" s="7"/>
    </row>
    <row r="115" spans="1:26" ht="14.25" customHeight="1" x14ac:dyDescent="0.3">
      <c r="A115" s="7"/>
      <c r="B115" s="198"/>
      <c r="C115" s="198"/>
      <c r="D115" s="198"/>
      <c r="E115" s="198"/>
      <c r="F115" s="198"/>
      <c r="G115" s="7"/>
      <c r="H115" s="7"/>
      <c r="I115" s="7"/>
      <c r="J115" s="7"/>
      <c r="K115" s="7"/>
      <c r="L115" s="7"/>
      <c r="M115" s="7"/>
      <c r="N115" s="7"/>
      <c r="O115" s="7"/>
      <c r="P115" s="7"/>
      <c r="Q115" s="7"/>
      <c r="R115" s="7"/>
      <c r="S115" s="7"/>
      <c r="T115" s="7"/>
      <c r="U115" s="7"/>
      <c r="V115" s="7"/>
      <c r="W115" s="7"/>
      <c r="X115" s="7"/>
      <c r="Y115" s="7"/>
      <c r="Z115" s="7"/>
    </row>
    <row r="116" spans="1:26" ht="14.25" customHeight="1" x14ac:dyDescent="0.3">
      <c r="A116" s="7"/>
      <c r="B116" s="198"/>
      <c r="C116" s="198"/>
      <c r="D116" s="198"/>
      <c r="E116" s="198"/>
      <c r="F116" s="198"/>
      <c r="G116" s="7"/>
      <c r="H116" s="7"/>
      <c r="I116" s="7"/>
      <c r="J116" s="7"/>
      <c r="K116" s="7"/>
      <c r="L116" s="7"/>
      <c r="M116" s="7"/>
      <c r="N116" s="7"/>
      <c r="O116" s="7"/>
      <c r="P116" s="7"/>
      <c r="Q116" s="7"/>
      <c r="R116" s="7"/>
      <c r="S116" s="7"/>
      <c r="T116" s="7"/>
      <c r="U116" s="7"/>
      <c r="V116" s="7"/>
      <c r="W116" s="7"/>
      <c r="X116" s="7"/>
      <c r="Y116" s="7"/>
      <c r="Z116" s="7"/>
    </row>
    <row r="117" spans="1:26" ht="14.25" customHeight="1" x14ac:dyDescent="0.3">
      <c r="A117" s="7"/>
      <c r="B117" s="198"/>
      <c r="C117" s="198"/>
      <c r="D117" s="198"/>
      <c r="E117" s="198"/>
      <c r="F117" s="198"/>
      <c r="G117" s="7"/>
      <c r="H117" s="7"/>
      <c r="I117" s="7"/>
      <c r="J117" s="7"/>
      <c r="K117" s="7"/>
      <c r="L117" s="7"/>
      <c r="M117" s="7"/>
      <c r="N117" s="7"/>
      <c r="O117" s="7"/>
      <c r="P117" s="7"/>
      <c r="Q117" s="7"/>
      <c r="R117" s="7"/>
      <c r="S117" s="7"/>
      <c r="T117" s="7"/>
      <c r="U117" s="7"/>
      <c r="V117" s="7"/>
      <c r="W117" s="7"/>
      <c r="X117" s="7"/>
      <c r="Y117" s="7"/>
      <c r="Z117" s="7"/>
    </row>
    <row r="118" spans="1:26" ht="14.25" customHeight="1" x14ac:dyDescent="0.3">
      <c r="A118" s="7"/>
      <c r="B118" s="198"/>
      <c r="C118" s="198"/>
      <c r="D118" s="198"/>
      <c r="E118" s="198"/>
      <c r="F118" s="198"/>
      <c r="G118" s="7"/>
      <c r="H118" s="7"/>
      <c r="I118" s="7"/>
      <c r="J118" s="7"/>
      <c r="K118" s="7"/>
      <c r="L118" s="7"/>
      <c r="M118" s="7"/>
      <c r="N118" s="7"/>
      <c r="O118" s="7"/>
      <c r="P118" s="7"/>
      <c r="Q118" s="7"/>
      <c r="R118" s="7"/>
      <c r="S118" s="7"/>
      <c r="T118" s="7"/>
      <c r="U118" s="7"/>
      <c r="V118" s="7"/>
      <c r="W118" s="7"/>
      <c r="X118" s="7"/>
      <c r="Y118" s="7"/>
      <c r="Z118" s="7"/>
    </row>
    <row r="119" spans="1:26" ht="14.25" customHeight="1" x14ac:dyDescent="0.3">
      <c r="A119" s="7"/>
      <c r="B119" s="198"/>
      <c r="C119" s="198"/>
      <c r="D119" s="198"/>
      <c r="E119" s="198"/>
      <c r="F119" s="198"/>
      <c r="G119" s="7"/>
      <c r="H119" s="7"/>
      <c r="I119" s="7"/>
      <c r="J119" s="7"/>
      <c r="K119" s="7"/>
      <c r="L119" s="7"/>
      <c r="M119" s="7"/>
      <c r="N119" s="7"/>
      <c r="O119" s="7"/>
      <c r="P119" s="7"/>
      <c r="Q119" s="7"/>
      <c r="R119" s="7"/>
      <c r="S119" s="7"/>
      <c r="T119" s="7"/>
      <c r="U119" s="7"/>
      <c r="V119" s="7"/>
      <c r="W119" s="7"/>
      <c r="X119" s="7"/>
      <c r="Y119" s="7"/>
      <c r="Z119" s="7"/>
    </row>
    <row r="120" spans="1:26" ht="14.25" customHeight="1" x14ac:dyDescent="0.3">
      <c r="A120" s="7"/>
      <c r="B120" s="198"/>
      <c r="C120" s="198"/>
      <c r="D120" s="198"/>
      <c r="E120" s="198"/>
      <c r="F120" s="198"/>
      <c r="G120" s="7"/>
      <c r="H120" s="7"/>
      <c r="I120" s="7"/>
      <c r="J120" s="7"/>
      <c r="K120" s="7"/>
      <c r="L120" s="7"/>
      <c r="M120" s="7"/>
      <c r="N120" s="7"/>
      <c r="O120" s="7"/>
      <c r="P120" s="7"/>
      <c r="Q120" s="7"/>
      <c r="R120" s="7"/>
      <c r="S120" s="7"/>
      <c r="T120" s="7"/>
      <c r="U120" s="7"/>
      <c r="V120" s="7"/>
      <c r="W120" s="7"/>
      <c r="X120" s="7"/>
      <c r="Y120" s="7"/>
      <c r="Z120" s="7"/>
    </row>
    <row r="121" spans="1:26" ht="14.25" customHeight="1" x14ac:dyDescent="0.3">
      <c r="A121" s="7"/>
      <c r="B121" s="198"/>
      <c r="C121" s="198"/>
      <c r="D121" s="198"/>
      <c r="E121" s="198"/>
      <c r="F121" s="198"/>
      <c r="G121" s="7"/>
      <c r="H121" s="7"/>
      <c r="I121" s="7"/>
      <c r="J121" s="7"/>
      <c r="K121" s="7"/>
      <c r="L121" s="7"/>
      <c r="M121" s="7"/>
      <c r="N121" s="7"/>
      <c r="O121" s="7"/>
      <c r="P121" s="7"/>
      <c r="Q121" s="7"/>
      <c r="R121" s="7"/>
      <c r="S121" s="7"/>
      <c r="T121" s="7"/>
      <c r="U121" s="7"/>
      <c r="V121" s="7"/>
      <c r="W121" s="7"/>
      <c r="X121" s="7"/>
      <c r="Y121" s="7"/>
      <c r="Z121" s="7"/>
    </row>
    <row r="122" spans="1:26" ht="14.25" customHeight="1" x14ac:dyDescent="0.3">
      <c r="A122" s="7"/>
      <c r="B122" s="198"/>
      <c r="C122" s="198"/>
      <c r="D122" s="198"/>
      <c r="E122" s="198"/>
      <c r="F122" s="198"/>
      <c r="G122" s="7"/>
      <c r="H122" s="7"/>
      <c r="I122" s="7"/>
      <c r="J122" s="7"/>
      <c r="K122" s="7"/>
      <c r="L122" s="7"/>
      <c r="M122" s="7"/>
      <c r="N122" s="7"/>
      <c r="O122" s="7"/>
      <c r="P122" s="7"/>
      <c r="Q122" s="7"/>
      <c r="R122" s="7"/>
      <c r="S122" s="7"/>
      <c r="T122" s="7"/>
      <c r="U122" s="7"/>
      <c r="V122" s="7"/>
      <c r="W122" s="7"/>
      <c r="X122" s="7"/>
      <c r="Y122" s="7"/>
      <c r="Z122" s="7"/>
    </row>
    <row r="123" spans="1:26" ht="14.25" customHeight="1" x14ac:dyDescent="0.3">
      <c r="A123" s="7"/>
      <c r="B123" s="198"/>
      <c r="C123" s="198"/>
      <c r="D123" s="198"/>
      <c r="E123" s="198"/>
      <c r="F123" s="198"/>
      <c r="G123" s="7"/>
      <c r="H123" s="7"/>
      <c r="I123" s="7"/>
      <c r="J123" s="7"/>
      <c r="K123" s="7"/>
      <c r="L123" s="7"/>
      <c r="M123" s="7"/>
      <c r="N123" s="7"/>
      <c r="O123" s="7"/>
      <c r="P123" s="7"/>
      <c r="Q123" s="7"/>
      <c r="R123" s="7"/>
      <c r="S123" s="7"/>
      <c r="T123" s="7"/>
      <c r="U123" s="7"/>
      <c r="V123" s="7"/>
      <c r="W123" s="7"/>
      <c r="X123" s="7"/>
      <c r="Y123" s="7"/>
      <c r="Z123" s="7"/>
    </row>
    <row r="124" spans="1:26" ht="14.25" customHeight="1" x14ac:dyDescent="0.3">
      <c r="A124" s="7"/>
      <c r="B124" s="198"/>
      <c r="C124" s="198"/>
      <c r="D124" s="198"/>
      <c r="E124" s="198"/>
      <c r="F124" s="198"/>
      <c r="G124" s="7"/>
      <c r="H124" s="7"/>
      <c r="I124" s="7"/>
      <c r="J124" s="7"/>
      <c r="K124" s="7"/>
      <c r="L124" s="7"/>
      <c r="M124" s="7"/>
      <c r="N124" s="7"/>
      <c r="O124" s="7"/>
      <c r="P124" s="7"/>
      <c r="Q124" s="7"/>
      <c r="R124" s="7"/>
      <c r="S124" s="7"/>
      <c r="T124" s="7"/>
      <c r="U124" s="7"/>
      <c r="V124" s="7"/>
      <c r="W124" s="7"/>
      <c r="X124" s="7"/>
      <c r="Y124" s="7"/>
      <c r="Z124" s="7"/>
    </row>
    <row r="125" spans="1:26" ht="14.25" customHeight="1" x14ac:dyDescent="0.3">
      <c r="A125" s="7"/>
      <c r="B125" s="198"/>
      <c r="C125" s="198"/>
      <c r="D125" s="198"/>
      <c r="E125" s="198"/>
      <c r="F125" s="198"/>
      <c r="G125" s="7"/>
      <c r="H125" s="7"/>
      <c r="I125" s="7"/>
      <c r="J125" s="7"/>
      <c r="K125" s="7"/>
      <c r="L125" s="7"/>
      <c r="M125" s="7"/>
      <c r="N125" s="7"/>
      <c r="O125" s="7"/>
      <c r="P125" s="7"/>
      <c r="Q125" s="7"/>
      <c r="R125" s="7"/>
      <c r="S125" s="7"/>
      <c r="T125" s="7"/>
      <c r="U125" s="7"/>
      <c r="V125" s="7"/>
      <c r="W125" s="7"/>
      <c r="X125" s="7"/>
      <c r="Y125" s="7"/>
      <c r="Z125" s="7"/>
    </row>
    <row r="126" spans="1:26" ht="14.25" customHeight="1" x14ac:dyDescent="0.3">
      <c r="A126" s="7"/>
      <c r="B126" s="198"/>
      <c r="C126" s="198"/>
      <c r="D126" s="198"/>
      <c r="E126" s="198"/>
      <c r="F126" s="198"/>
      <c r="G126" s="7"/>
      <c r="H126" s="7"/>
      <c r="I126" s="7"/>
      <c r="J126" s="7"/>
      <c r="K126" s="7"/>
      <c r="L126" s="7"/>
      <c r="M126" s="7"/>
      <c r="N126" s="7"/>
      <c r="O126" s="7"/>
      <c r="P126" s="7"/>
      <c r="Q126" s="7"/>
      <c r="R126" s="7"/>
      <c r="S126" s="7"/>
      <c r="T126" s="7"/>
      <c r="U126" s="7"/>
      <c r="V126" s="7"/>
      <c r="W126" s="7"/>
      <c r="X126" s="7"/>
      <c r="Y126" s="7"/>
      <c r="Z126" s="7"/>
    </row>
    <row r="127" spans="1:26" ht="14.25" customHeight="1" x14ac:dyDescent="0.3">
      <c r="A127" s="7"/>
      <c r="B127" s="198"/>
      <c r="C127" s="198"/>
      <c r="D127" s="198"/>
      <c r="E127" s="198"/>
      <c r="F127" s="198"/>
      <c r="G127" s="7"/>
      <c r="H127" s="7"/>
      <c r="I127" s="7"/>
      <c r="J127" s="7"/>
      <c r="K127" s="7"/>
      <c r="L127" s="7"/>
      <c r="M127" s="7"/>
      <c r="N127" s="7"/>
      <c r="O127" s="7"/>
      <c r="P127" s="7"/>
      <c r="Q127" s="7"/>
      <c r="R127" s="7"/>
      <c r="S127" s="7"/>
      <c r="T127" s="7"/>
      <c r="U127" s="7"/>
      <c r="V127" s="7"/>
      <c r="W127" s="7"/>
      <c r="X127" s="7"/>
      <c r="Y127" s="7"/>
      <c r="Z127" s="7"/>
    </row>
    <row r="128" spans="1:26" ht="14.25" customHeight="1" x14ac:dyDescent="0.3">
      <c r="A128" s="7"/>
      <c r="B128" s="198"/>
      <c r="C128" s="198"/>
      <c r="D128" s="198"/>
      <c r="E128" s="198"/>
      <c r="F128" s="198"/>
      <c r="G128" s="7"/>
      <c r="H128" s="7"/>
      <c r="I128" s="7"/>
      <c r="J128" s="7"/>
      <c r="K128" s="7"/>
      <c r="L128" s="7"/>
      <c r="M128" s="7"/>
      <c r="N128" s="7"/>
      <c r="O128" s="7"/>
      <c r="P128" s="7"/>
      <c r="Q128" s="7"/>
      <c r="R128" s="7"/>
      <c r="S128" s="7"/>
      <c r="T128" s="7"/>
      <c r="U128" s="7"/>
      <c r="V128" s="7"/>
      <c r="W128" s="7"/>
      <c r="X128" s="7"/>
      <c r="Y128" s="7"/>
      <c r="Z128" s="7"/>
    </row>
    <row r="129" spans="1:26" ht="14.25" customHeight="1" x14ac:dyDescent="0.3">
      <c r="A129" s="7"/>
      <c r="B129" s="198"/>
      <c r="C129" s="198"/>
      <c r="D129" s="198"/>
      <c r="E129" s="198"/>
      <c r="F129" s="198"/>
      <c r="G129" s="7"/>
      <c r="H129" s="7"/>
      <c r="I129" s="7"/>
      <c r="J129" s="7"/>
      <c r="K129" s="7"/>
      <c r="L129" s="7"/>
      <c r="M129" s="7"/>
      <c r="N129" s="7"/>
      <c r="O129" s="7"/>
      <c r="P129" s="7"/>
      <c r="Q129" s="7"/>
      <c r="R129" s="7"/>
      <c r="S129" s="7"/>
      <c r="T129" s="7"/>
      <c r="U129" s="7"/>
      <c r="V129" s="7"/>
      <c r="W129" s="7"/>
      <c r="X129" s="7"/>
      <c r="Y129" s="7"/>
      <c r="Z129" s="7"/>
    </row>
    <row r="130" spans="1:26" ht="14.25" customHeight="1" x14ac:dyDescent="0.3">
      <c r="A130" s="7"/>
      <c r="B130" s="198"/>
      <c r="C130" s="198"/>
      <c r="D130" s="198"/>
      <c r="E130" s="198"/>
      <c r="F130" s="198"/>
      <c r="G130" s="7"/>
      <c r="H130" s="7"/>
      <c r="I130" s="7"/>
      <c r="J130" s="7"/>
      <c r="K130" s="7"/>
      <c r="L130" s="7"/>
      <c r="M130" s="7"/>
      <c r="N130" s="7"/>
      <c r="O130" s="7"/>
      <c r="P130" s="7"/>
      <c r="Q130" s="7"/>
      <c r="R130" s="7"/>
      <c r="S130" s="7"/>
      <c r="T130" s="7"/>
      <c r="U130" s="7"/>
      <c r="V130" s="7"/>
      <c r="W130" s="7"/>
      <c r="X130" s="7"/>
      <c r="Y130" s="7"/>
      <c r="Z130" s="7"/>
    </row>
    <row r="131" spans="1:26" ht="14.25" customHeight="1" x14ac:dyDescent="0.3">
      <c r="A131" s="7"/>
      <c r="B131" s="198"/>
      <c r="C131" s="198"/>
      <c r="D131" s="198"/>
      <c r="E131" s="198"/>
      <c r="F131" s="198"/>
      <c r="G131" s="7"/>
      <c r="H131" s="7"/>
      <c r="I131" s="7"/>
      <c r="J131" s="7"/>
      <c r="K131" s="7"/>
      <c r="L131" s="7"/>
      <c r="M131" s="7"/>
      <c r="N131" s="7"/>
      <c r="O131" s="7"/>
      <c r="P131" s="7"/>
      <c r="Q131" s="7"/>
      <c r="R131" s="7"/>
      <c r="S131" s="7"/>
      <c r="T131" s="7"/>
      <c r="U131" s="7"/>
      <c r="V131" s="7"/>
      <c r="W131" s="7"/>
      <c r="X131" s="7"/>
      <c r="Y131" s="7"/>
      <c r="Z131" s="7"/>
    </row>
    <row r="132" spans="1:26" ht="14.25" customHeight="1" x14ac:dyDescent="0.3">
      <c r="A132" s="7"/>
      <c r="B132" s="198"/>
      <c r="C132" s="198"/>
      <c r="D132" s="198"/>
      <c r="E132" s="198"/>
      <c r="F132" s="198"/>
      <c r="G132" s="7"/>
      <c r="H132" s="7"/>
      <c r="I132" s="7"/>
      <c r="J132" s="7"/>
      <c r="K132" s="7"/>
      <c r="L132" s="7"/>
      <c r="M132" s="7"/>
      <c r="N132" s="7"/>
      <c r="O132" s="7"/>
      <c r="P132" s="7"/>
      <c r="Q132" s="7"/>
      <c r="R132" s="7"/>
      <c r="S132" s="7"/>
      <c r="T132" s="7"/>
      <c r="U132" s="7"/>
      <c r="V132" s="7"/>
      <c r="W132" s="7"/>
      <c r="X132" s="7"/>
      <c r="Y132" s="7"/>
      <c r="Z132" s="7"/>
    </row>
    <row r="133" spans="1:26" ht="14.25" customHeight="1" x14ac:dyDescent="0.3">
      <c r="A133" s="7"/>
      <c r="B133" s="198"/>
      <c r="C133" s="198"/>
      <c r="D133" s="198"/>
      <c r="E133" s="198"/>
      <c r="F133" s="198"/>
      <c r="G133" s="7"/>
      <c r="H133" s="7"/>
      <c r="I133" s="7"/>
      <c r="J133" s="7"/>
      <c r="K133" s="7"/>
      <c r="L133" s="7"/>
      <c r="M133" s="7"/>
      <c r="N133" s="7"/>
      <c r="O133" s="7"/>
      <c r="P133" s="7"/>
      <c r="Q133" s="7"/>
      <c r="R133" s="7"/>
      <c r="S133" s="7"/>
      <c r="T133" s="7"/>
      <c r="U133" s="7"/>
      <c r="V133" s="7"/>
      <c r="W133" s="7"/>
      <c r="X133" s="7"/>
      <c r="Y133" s="7"/>
      <c r="Z133" s="7"/>
    </row>
    <row r="134" spans="1:26" ht="14.25" customHeight="1" x14ac:dyDescent="0.3">
      <c r="A134" s="7"/>
      <c r="B134" s="198"/>
      <c r="C134" s="198"/>
      <c r="D134" s="198"/>
      <c r="E134" s="198"/>
      <c r="F134" s="198"/>
      <c r="G134" s="7"/>
      <c r="H134" s="7"/>
      <c r="I134" s="7"/>
      <c r="J134" s="7"/>
      <c r="K134" s="7"/>
      <c r="L134" s="7"/>
      <c r="M134" s="7"/>
      <c r="N134" s="7"/>
      <c r="O134" s="7"/>
      <c r="P134" s="7"/>
      <c r="Q134" s="7"/>
      <c r="R134" s="7"/>
      <c r="S134" s="7"/>
      <c r="T134" s="7"/>
      <c r="U134" s="7"/>
      <c r="V134" s="7"/>
      <c r="W134" s="7"/>
      <c r="X134" s="7"/>
      <c r="Y134" s="7"/>
      <c r="Z134" s="7"/>
    </row>
    <row r="135" spans="1:26" ht="14.25" customHeight="1" x14ac:dyDescent="0.3">
      <c r="A135" s="7"/>
      <c r="B135" s="198"/>
      <c r="C135" s="198"/>
      <c r="D135" s="198"/>
      <c r="E135" s="198"/>
      <c r="F135" s="198"/>
      <c r="G135" s="7"/>
      <c r="H135" s="7"/>
      <c r="I135" s="7"/>
      <c r="J135" s="7"/>
      <c r="K135" s="7"/>
      <c r="L135" s="7"/>
      <c r="M135" s="7"/>
      <c r="N135" s="7"/>
      <c r="O135" s="7"/>
      <c r="P135" s="7"/>
      <c r="Q135" s="7"/>
      <c r="R135" s="7"/>
      <c r="S135" s="7"/>
      <c r="T135" s="7"/>
      <c r="U135" s="7"/>
      <c r="V135" s="7"/>
      <c r="W135" s="7"/>
      <c r="X135" s="7"/>
      <c r="Y135" s="7"/>
      <c r="Z135" s="7"/>
    </row>
    <row r="136" spans="1:26" ht="14.25" customHeight="1" x14ac:dyDescent="0.3">
      <c r="A136" s="7"/>
      <c r="B136" s="198"/>
      <c r="C136" s="198"/>
      <c r="D136" s="198"/>
      <c r="E136" s="198"/>
      <c r="F136" s="198"/>
      <c r="G136" s="7"/>
      <c r="H136" s="7"/>
      <c r="I136" s="7"/>
      <c r="J136" s="7"/>
      <c r="K136" s="7"/>
      <c r="L136" s="7"/>
      <c r="M136" s="7"/>
      <c r="N136" s="7"/>
      <c r="O136" s="7"/>
      <c r="P136" s="7"/>
      <c r="Q136" s="7"/>
      <c r="R136" s="7"/>
      <c r="S136" s="7"/>
      <c r="T136" s="7"/>
      <c r="U136" s="7"/>
      <c r="V136" s="7"/>
      <c r="W136" s="7"/>
      <c r="X136" s="7"/>
      <c r="Y136" s="7"/>
      <c r="Z136" s="7"/>
    </row>
    <row r="137" spans="1:26" ht="14.25" customHeight="1" x14ac:dyDescent="0.3">
      <c r="A137" s="7"/>
      <c r="B137" s="198"/>
      <c r="C137" s="198"/>
      <c r="D137" s="198"/>
      <c r="E137" s="198"/>
      <c r="F137" s="198"/>
      <c r="G137" s="7"/>
      <c r="H137" s="7"/>
      <c r="I137" s="7"/>
      <c r="J137" s="7"/>
      <c r="K137" s="7"/>
      <c r="L137" s="7"/>
      <c r="M137" s="7"/>
      <c r="N137" s="7"/>
      <c r="O137" s="7"/>
      <c r="P137" s="7"/>
      <c r="Q137" s="7"/>
      <c r="R137" s="7"/>
      <c r="S137" s="7"/>
      <c r="T137" s="7"/>
      <c r="U137" s="7"/>
      <c r="V137" s="7"/>
      <c r="W137" s="7"/>
      <c r="X137" s="7"/>
      <c r="Y137" s="7"/>
      <c r="Z137" s="7"/>
    </row>
    <row r="138" spans="1:26" ht="14.25" customHeight="1" x14ac:dyDescent="0.3">
      <c r="A138" s="7"/>
      <c r="B138" s="198"/>
      <c r="C138" s="198"/>
      <c r="D138" s="198"/>
      <c r="E138" s="198"/>
      <c r="F138" s="198"/>
      <c r="G138" s="7"/>
      <c r="H138" s="7"/>
      <c r="I138" s="7"/>
      <c r="J138" s="7"/>
      <c r="K138" s="7"/>
      <c r="L138" s="7"/>
      <c r="M138" s="7"/>
      <c r="N138" s="7"/>
      <c r="O138" s="7"/>
      <c r="P138" s="7"/>
      <c r="Q138" s="7"/>
      <c r="R138" s="7"/>
      <c r="S138" s="7"/>
      <c r="T138" s="7"/>
      <c r="U138" s="7"/>
      <c r="V138" s="7"/>
      <c r="W138" s="7"/>
      <c r="X138" s="7"/>
      <c r="Y138" s="7"/>
      <c r="Z138" s="7"/>
    </row>
    <row r="139" spans="1:26" ht="14.25" customHeight="1" x14ac:dyDescent="0.3">
      <c r="A139" s="7"/>
      <c r="B139" s="198"/>
      <c r="C139" s="198"/>
      <c r="D139" s="198"/>
      <c r="E139" s="198"/>
      <c r="F139" s="198"/>
      <c r="G139" s="7"/>
      <c r="H139" s="7"/>
      <c r="I139" s="7"/>
      <c r="J139" s="7"/>
      <c r="K139" s="7"/>
      <c r="L139" s="7"/>
      <c r="M139" s="7"/>
      <c r="N139" s="7"/>
      <c r="O139" s="7"/>
      <c r="P139" s="7"/>
      <c r="Q139" s="7"/>
      <c r="R139" s="7"/>
      <c r="S139" s="7"/>
      <c r="T139" s="7"/>
      <c r="U139" s="7"/>
      <c r="V139" s="7"/>
      <c r="W139" s="7"/>
      <c r="X139" s="7"/>
      <c r="Y139" s="7"/>
      <c r="Z139" s="7"/>
    </row>
    <row r="140" spans="1:26" ht="14.25" customHeight="1" x14ac:dyDescent="0.3">
      <c r="A140" s="7"/>
      <c r="B140" s="198"/>
      <c r="C140" s="198"/>
      <c r="D140" s="198"/>
      <c r="E140" s="198"/>
      <c r="F140" s="198"/>
      <c r="G140" s="7"/>
      <c r="H140" s="7"/>
      <c r="I140" s="7"/>
      <c r="J140" s="7"/>
      <c r="K140" s="7"/>
      <c r="L140" s="7"/>
      <c r="M140" s="7"/>
      <c r="N140" s="7"/>
      <c r="O140" s="7"/>
      <c r="P140" s="7"/>
      <c r="Q140" s="7"/>
      <c r="R140" s="7"/>
      <c r="S140" s="7"/>
      <c r="T140" s="7"/>
      <c r="U140" s="7"/>
      <c r="V140" s="7"/>
      <c r="W140" s="7"/>
      <c r="X140" s="7"/>
      <c r="Y140" s="7"/>
      <c r="Z140" s="7"/>
    </row>
    <row r="141" spans="1:26" ht="14.25" customHeight="1" x14ac:dyDescent="0.3">
      <c r="A141" s="7"/>
      <c r="B141" s="198"/>
      <c r="C141" s="198"/>
      <c r="D141" s="198"/>
      <c r="E141" s="198"/>
      <c r="F141" s="198"/>
      <c r="G141" s="7"/>
      <c r="H141" s="7"/>
      <c r="I141" s="7"/>
      <c r="J141" s="7"/>
      <c r="K141" s="7"/>
      <c r="L141" s="7"/>
      <c r="M141" s="7"/>
      <c r="N141" s="7"/>
      <c r="O141" s="7"/>
      <c r="P141" s="7"/>
      <c r="Q141" s="7"/>
      <c r="R141" s="7"/>
      <c r="S141" s="7"/>
      <c r="T141" s="7"/>
      <c r="U141" s="7"/>
      <c r="V141" s="7"/>
      <c r="W141" s="7"/>
      <c r="X141" s="7"/>
      <c r="Y141" s="7"/>
      <c r="Z141" s="7"/>
    </row>
    <row r="142" spans="1:26" ht="14.25" customHeight="1" x14ac:dyDescent="0.3">
      <c r="A142" s="7"/>
      <c r="B142" s="198"/>
      <c r="C142" s="198"/>
      <c r="D142" s="198"/>
      <c r="E142" s="198"/>
      <c r="F142" s="198"/>
      <c r="G142" s="7"/>
      <c r="H142" s="7"/>
      <c r="I142" s="7"/>
      <c r="J142" s="7"/>
      <c r="K142" s="7"/>
      <c r="L142" s="7"/>
      <c r="M142" s="7"/>
      <c r="N142" s="7"/>
      <c r="O142" s="7"/>
      <c r="P142" s="7"/>
      <c r="Q142" s="7"/>
      <c r="R142" s="7"/>
      <c r="S142" s="7"/>
      <c r="T142" s="7"/>
      <c r="U142" s="7"/>
      <c r="V142" s="7"/>
      <c r="W142" s="7"/>
      <c r="X142" s="7"/>
      <c r="Y142" s="7"/>
      <c r="Z142" s="7"/>
    </row>
    <row r="143" spans="1:26" ht="14.25" customHeight="1" x14ac:dyDescent="0.3">
      <c r="A143" s="7"/>
      <c r="B143" s="198"/>
      <c r="C143" s="198"/>
      <c r="D143" s="198"/>
      <c r="E143" s="198"/>
      <c r="F143" s="198"/>
      <c r="G143" s="7"/>
      <c r="H143" s="7"/>
      <c r="I143" s="7"/>
      <c r="J143" s="7"/>
      <c r="K143" s="7"/>
      <c r="L143" s="7"/>
      <c r="M143" s="7"/>
      <c r="N143" s="7"/>
      <c r="O143" s="7"/>
      <c r="P143" s="7"/>
      <c r="Q143" s="7"/>
      <c r="R143" s="7"/>
      <c r="S143" s="7"/>
      <c r="T143" s="7"/>
      <c r="U143" s="7"/>
      <c r="V143" s="7"/>
      <c r="W143" s="7"/>
      <c r="X143" s="7"/>
      <c r="Y143" s="7"/>
      <c r="Z143" s="7"/>
    </row>
    <row r="144" spans="1:26" ht="14.25" customHeight="1" x14ac:dyDescent="0.3">
      <c r="A144" s="7"/>
      <c r="B144" s="198"/>
      <c r="C144" s="198"/>
      <c r="D144" s="198"/>
      <c r="E144" s="198"/>
      <c r="F144" s="198"/>
      <c r="G144" s="7"/>
      <c r="H144" s="7"/>
      <c r="I144" s="7"/>
      <c r="J144" s="7"/>
      <c r="K144" s="7"/>
      <c r="L144" s="7"/>
      <c r="M144" s="7"/>
      <c r="N144" s="7"/>
      <c r="O144" s="7"/>
      <c r="P144" s="7"/>
      <c r="Q144" s="7"/>
      <c r="R144" s="7"/>
      <c r="S144" s="7"/>
      <c r="T144" s="7"/>
      <c r="U144" s="7"/>
      <c r="V144" s="7"/>
      <c r="W144" s="7"/>
      <c r="X144" s="7"/>
      <c r="Y144" s="7"/>
      <c r="Z144" s="7"/>
    </row>
    <row r="145" spans="1:26" ht="14.25" customHeight="1" x14ac:dyDescent="0.3">
      <c r="A145" s="7"/>
      <c r="B145" s="198"/>
      <c r="C145" s="198"/>
      <c r="D145" s="198"/>
      <c r="E145" s="198"/>
      <c r="F145" s="198"/>
      <c r="G145" s="7"/>
      <c r="H145" s="7"/>
      <c r="I145" s="7"/>
      <c r="J145" s="7"/>
      <c r="K145" s="7"/>
      <c r="L145" s="7"/>
      <c r="M145" s="7"/>
      <c r="N145" s="7"/>
      <c r="O145" s="7"/>
      <c r="P145" s="7"/>
      <c r="Q145" s="7"/>
      <c r="R145" s="7"/>
      <c r="S145" s="7"/>
      <c r="T145" s="7"/>
      <c r="U145" s="7"/>
      <c r="V145" s="7"/>
      <c r="W145" s="7"/>
      <c r="X145" s="7"/>
      <c r="Y145" s="7"/>
      <c r="Z145" s="7"/>
    </row>
    <row r="146" spans="1:26" ht="14.25" customHeight="1" x14ac:dyDescent="0.3">
      <c r="A146" s="7"/>
      <c r="B146" s="198"/>
      <c r="C146" s="198"/>
      <c r="D146" s="198"/>
      <c r="E146" s="198"/>
      <c r="F146" s="198"/>
      <c r="G146" s="7"/>
      <c r="H146" s="7"/>
      <c r="I146" s="7"/>
      <c r="J146" s="7"/>
      <c r="K146" s="7"/>
      <c r="L146" s="7"/>
      <c r="M146" s="7"/>
      <c r="N146" s="7"/>
      <c r="O146" s="7"/>
      <c r="P146" s="7"/>
      <c r="Q146" s="7"/>
      <c r="R146" s="7"/>
      <c r="S146" s="7"/>
      <c r="T146" s="7"/>
      <c r="U146" s="7"/>
      <c r="V146" s="7"/>
      <c r="W146" s="7"/>
      <c r="X146" s="7"/>
      <c r="Y146" s="7"/>
      <c r="Z146" s="7"/>
    </row>
    <row r="147" spans="1:26" ht="14.25" customHeight="1" x14ac:dyDescent="0.3">
      <c r="A147" s="7"/>
      <c r="B147" s="198"/>
      <c r="C147" s="198"/>
      <c r="D147" s="198"/>
      <c r="E147" s="198"/>
      <c r="F147" s="198"/>
      <c r="G147" s="7"/>
      <c r="H147" s="7"/>
      <c r="I147" s="7"/>
      <c r="J147" s="7"/>
      <c r="K147" s="7"/>
      <c r="L147" s="7"/>
      <c r="M147" s="7"/>
      <c r="N147" s="7"/>
      <c r="O147" s="7"/>
      <c r="P147" s="7"/>
      <c r="Q147" s="7"/>
      <c r="R147" s="7"/>
      <c r="S147" s="7"/>
      <c r="T147" s="7"/>
      <c r="U147" s="7"/>
      <c r="V147" s="7"/>
      <c r="W147" s="7"/>
      <c r="X147" s="7"/>
      <c r="Y147" s="7"/>
      <c r="Z147" s="7"/>
    </row>
    <row r="148" spans="1:26" ht="14.25" customHeight="1" x14ac:dyDescent="0.3">
      <c r="A148" s="7"/>
      <c r="B148" s="198"/>
      <c r="C148" s="198"/>
      <c r="D148" s="198"/>
      <c r="E148" s="198"/>
      <c r="F148" s="198"/>
      <c r="G148" s="7"/>
      <c r="H148" s="7"/>
      <c r="I148" s="7"/>
      <c r="J148" s="7"/>
      <c r="K148" s="7"/>
      <c r="L148" s="7"/>
      <c r="M148" s="7"/>
      <c r="N148" s="7"/>
      <c r="O148" s="7"/>
      <c r="P148" s="7"/>
      <c r="Q148" s="7"/>
      <c r="R148" s="7"/>
      <c r="S148" s="7"/>
      <c r="T148" s="7"/>
      <c r="U148" s="7"/>
      <c r="V148" s="7"/>
      <c r="W148" s="7"/>
      <c r="X148" s="7"/>
      <c r="Y148" s="7"/>
      <c r="Z148" s="7"/>
    </row>
    <row r="149" spans="1:26" ht="14.25" customHeight="1" x14ac:dyDescent="0.3">
      <c r="A149" s="7"/>
      <c r="B149" s="198"/>
      <c r="C149" s="198"/>
      <c r="D149" s="198"/>
      <c r="E149" s="198"/>
      <c r="F149" s="198"/>
      <c r="G149" s="7"/>
      <c r="H149" s="7"/>
      <c r="I149" s="7"/>
      <c r="J149" s="7"/>
      <c r="K149" s="7"/>
      <c r="L149" s="7"/>
      <c r="M149" s="7"/>
      <c r="N149" s="7"/>
      <c r="O149" s="7"/>
      <c r="P149" s="7"/>
      <c r="Q149" s="7"/>
      <c r="R149" s="7"/>
      <c r="S149" s="7"/>
      <c r="T149" s="7"/>
      <c r="U149" s="7"/>
      <c r="V149" s="7"/>
      <c r="W149" s="7"/>
      <c r="X149" s="7"/>
      <c r="Y149" s="7"/>
      <c r="Z149" s="7"/>
    </row>
    <row r="150" spans="1:26" ht="14.25" customHeight="1" x14ac:dyDescent="0.3">
      <c r="A150" s="7"/>
      <c r="B150" s="198"/>
      <c r="C150" s="198"/>
      <c r="D150" s="198"/>
      <c r="E150" s="198"/>
      <c r="F150" s="198"/>
      <c r="G150" s="7"/>
      <c r="H150" s="7"/>
      <c r="I150" s="7"/>
      <c r="J150" s="7"/>
      <c r="K150" s="7"/>
      <c r="L150" s="7"/>
      <c r="M150" s="7"/>
      <c r="N150" s="7"/>
      <c r="O150" s="7"/>
      <c r="P150" s="7"/>
      <c r="Q150" s="7"/>
      <c r="R150" s="7"/>
      <c r="S150" s="7"/>
      <c r="T150" s="7"/>
      <c r="U150" s="7"/>
      <c r="V150" s="7"/>
      <c r="W150" s="7"/>
      <c r="X150" s="7"/>
      <c r="Y150" s="7"/>
      <c r="Z150" s="7"/>
    </row>
    <row r="151" spans="1:26" ht="14.25" customHeight="1" x14ac:dyDescent="0.3">
      <c r="A151" s="7"/>
      <c r="B151" s="198"/>
      <c r="C151" s="198"/>
      <c r="D151" s="198"/>
      <c r="E151" s="198"/>
      <c r="F151" s="198"/>
      <c r="G151" s="7"/>
      <c r="H151" s="7"/>
      <c r="I151" s="7"/>
      <c r="J151" s="7"/>
      <c r="K151" s="7"/>
      <c r="L151" s="7"/>
      <c r="M151" s="7"/>
      <c r="N151" s="7"/>
      <c r="O151" s="7"/>
      <c r="P151" s="7"/>
      <c r="Q151" s="7"/>
      <c r="R151" s="7"/>
      <c r="S151" s="7"/>
      <c r="T151" s="7"/>
      <c r="U151" s="7"/>
      <c r="V151" s="7"/>
      <c r="W151" s="7"/>
      <c r="X151" s="7"/>
      <c r="Y151" s="7"/>
      <c r="Z151" s="7"/>
    </row>
    <row r="152" spans="1:26" ht="14.25" customHeight="1" x14ac:dyDescent="0.3">
      <c r="A152" s="7"/>
      <c r="B152" s="198"/>
      <c r="C152" s="198"/>
      <c r="D152" s="198"/>
      <c r="E152" s="198"/>
      <c r="F152" s="198"/>
      <c r="G152" s="7"/>
      <c r="H152" s="7"/>
      <c r="I152" s="7"/>
      <c r="J152" s="7"/>
      <c r="K152" s="7"/>
      <c r="L152" s="7"/>
      <c r="M152" s="7"/>
      <c r="N152" s="7"/>
      <c r="O152" s="7"/>
      <c r="P152" s="7"/>
      <c r="Q152" s="7"/>
      <c r="R152" s="7"/>
      <c r="S152" s="7"/>
      <c r="T152" s="7"/>
      <c r="U152" s="7"/>
      <c r="V152" s="7"/>
      <c r="W152" s="7"/>
      <c r="X152" s="7"/>
      <c r="Y152" s="7"/>
      <c r="Z152" s="7"/>
    </row>
    <row r="153" spans="1:26" ht="14.25" customHeight="1" x14ac:dyDescent="0.3">
      <c r="A153" s="7"/>
      <c r="B153" s="198"/>
      <c r="C153" s="198"/>
      <c r="D153" s="198"/>
      <c r="E153" s="198"/>
      <c r="F153" s="198"/>
      <c r="G153" s="7"/>
      <c r="H153" s="7"/>
      <c r="I153" s="7"/>
      <c r="J153" s="7"/>
      <c r="K153" s="7"/>
      <c r="L153" s="7"/>
      <c r="M153" s="7"/>
      <c r="N153" s="7"/>
      <c r="O153" s="7"/>
      <c r="P153" s="7"/>
      <c r="Q153" s="7"/>
      <c r="R153" s="7"/>
      <c r="S153" s="7"/>
      <c r="T153" s="7"/>
      <c r="U153" s="7"/>
      <c r="V153" s="7"/>
      <c r="W153" s="7"/>
      <c r="X153" s="7"/>
      <c r="Y153" s="7"/>
      <c r="Z153" s="7"/>
    </row>
    <row r="154" spans="1:26" ht="14.25" customHeight="1" x14ac:dyDescent="0.3">
      <c r="A154" s="7"/>
      <c r="B154" s="198"/>
      <c r="C154" s="198"/>
      <c r="D154" s="198"/>
      <c r="E154" s="198"/>
      <c r="F154" s="198"/>
      <c r="G154" s="7"/>
      <c r="H154" s="7"/>
      <c r="I154" s="7"/>
      <c r="J154" s="7"/>
      <c r="K154" s="7"/>
      <c r="L154" s="7"/>
      <c r="M154" s="7"/>
      <c r="N154" s="7"/>
      <c r="O154" s="7"/>
      <c r="P154" s="7"/>
      <c r="Q154" s="7"/>
      <c r="R154" s="7"/>
      <c r="S154" s="7"/>
      <c r="T154" s="7"/>
      <c r="U154" s="7"/>
      <c r="V154" s="7"/>
      <c r="W154" s="7"/>
      <c r="X154" s="7"/>
      <c r="Y154" s="7"/>
      <c r="Z154" s="7"/>
    </row>
    <row r="155" spans="1:26" ht="14.25" customHeight="1" x14ac:dyDescent="0.3">
      <c r="A155" s="7"/>
      <c r="B155" s="198"/>
      <c r="C155" s="198"/>
      <c r="D155" s="198"/>
      <c r="E155" s="198"/>
      <c r="F155" s="198"/>
      <c r="G155" s="7"/>
      <c r="H155" s="7"/>
      <c r="I155" s="7"/>
      <c r="J155" s="7"/>
      <c r="K155" s="7"/>
      <c r="L155" s="7"/>
      <c r="M155" s="7"/>
      <c r="N155" s="7"/>
      <c r="O155" s="7"/>
      <c r="P155" s="7"/>
      <c r="Q155" s="7"/>
      <c r="R155" s="7"/>
      <c r="S155" s="7"/>
      <c r="T155" s="7"/>
      <c r="U155" s="7"/>
      <c r="V155" s="7"/>
      <c r="W155" s="7"/>
      <c r="X155" s="7"/>
      <c r="Y155" s="7"/>
      <c r="Z155" s="7"/>
    </row>
    <row r="156" spans="1:26" ht="14.25" customHeight="1" x14ac:dyDescent="0.3">
      <c r="A156" s="7"/>
      <c r="B156" s="198"/>
      <c r="C156" s="198"/>
      <c r="D156" s="198"/>
      <c r="E156" s="198"/>
      <c r="F156" s="198"/>
      <c r="G156" s="7"/>
      <c r="H156" s="7"/>
      <c r="I156" s="7"/>
      <c r="J156" s="7"/>
      <c r="K156" s="7"/>
      <c r="L156" s="7"/>
      <c r="M156" s="7"/>
      <c r="N156" s="7"/>
      <c r="O156" s="7"/>
      <c r="P156" s="7"/>
      <c r="Q156" s="7"/>
      <c r="R156" s="7"/>
      <c r="S156" s="7"/>
      <c r="T156" s="7"/>
      <c r="U156" s="7"/>
      <c r="V156" s="7"/>
      <c r="W156" s="7"/>
      <c r="X156" s="7"/>
      <c r="Y156" s="7"/>
      <c r="Z156" s="7"/>
    </row>
    <row r="157" spans="1:26" ht="14.25" customHeight="1" x14ac:dyDescent="0.3">
      <c r="A157" s="7"/>
      <c r="B157" s="198"/>
      <c r="C157" s="198"/>
      <c r="D157" s="198"/>
      <c r="E157" s="198"/>
      <c r="F157" s="198"/>
      <c r="G157" s="7"/>
      <c r="H157" s="7"/>
      <c r="I157" s="7"/>
      <c r="J157" s="7"/>
      <c r="K157" s="7"/>
      <c r="L157" s="7"/>
      <c r="M157" s="7"/>
      <c r="N157" s="7"/>
      <c r="O157" s="7"/>
      <c r="P157" s="7"/>
      <c r="Q157" s="7"/>
      <c r="R157" s="7"/>
      <c r="S157" s="7"/>
      <c r="T157" s="7"/>
      <c r="U157" s="7"/>
      <c r="V157" s="7"/>
      <c r="W157" s="7"/>
      <c r="X157" s="7"/>
      <c r="Y157" s="7"/>
      <c r="Z157" s="7"/>
    </row>
    <row r="158" spans="1:26" ht="14.25" customHeight="1" x14ac:dyDescent="0.3">
      <c r="A158" s="7"/>
      <c r="B158" s="198"/>
      <c r="C158" s="198"/>
      <c r="D158" s="198"/>
      <c r="E158" s="198"/>
      <c r="F158" s="198"/>
      <c r="G158" s="7"/>
      <c r="H158" s="7"/>
      <c r="I158" s="7"/>
      <c r="J158" s="7"/>
      <c r="K158" s="7"/>
      <c r="L158" s="7"/>
      <c r="M158" s="7"/>
      <c r="N158" s="7"/>
      <c r="O158" s="7"/>
      <c r="P158" s="7"/>
      <c r="Q158" s="7"/>
      <c r="R158" s="7"/>
      <c r="S158" s="7"/>
      <c r="T158" s="7"/>
      <c r="U158" s="7"/>
      <c r="V158" s="7"/>
      <c r="W158" s="7"/>
      <c r="X158" s="7"/>
      <c r="Y158" s="7"/>
      <c r="Z158" s="7"/>
    </row>
    <row r="159" spans="1:26" ht="14.25" customHeight="1" x14ac:dyDescent="0.3">
      <c r="A159" s="7"/>
      <c r="B159" s="198"/>
      <c r="C159" s="198"/>
      <c r="D159" s="198"/>
      <c r="E159" s="198"/>
      <c r="F159" s="198"/>
      <c r="G159" s="7"/>
      <c r="H159" s="7"/>
      <c r="I159" s="7"/>
      <c r="J159" s="7"/>
      <c r="K159" s="7"/>
      <c r="L159" s="7"/>
      <c r="M159" s="7"/>
      <c r="N159" s="7"/>
      <c r="O159" s="7"/>
      <c r="P159" s="7"/>
      <c r="Q159" s="7"/>
      <c r="R159" s="7"/>
      <c r="S159" s="7"/>
      <c r="T159" s="7"/>
      <c r="U159" s="7"/>
      <c r="V159" s="7"/>
      <c r="W159" s="7"/>
      <c r="X159" s="7"/>
      <c r="Y159" s="7"/>
      <c r="Z159" s="7"/>
    </row>
    <row r="160" spans="1:26" ht="14.25" customHeight="1" x14ac:dyDescent="0.3">
      <c r="A160" s="7"/>
      <c r="B160" s="198"/>
      <c r="C160" s="198"/>
      <c r="D160" s="198"/>
      <c r="E160" s="198"/>
      <c r="F160" s="198"/>
      <c r="G160" s="7"/>
      <c r="H160" s="7"/>
      <c r="I160" s="7"/>
      <c r="J160" s="7"/>
      <c r="K160" s="7"/>
      <c r="L160" s="7"/>
      <c r="M160" s="7"/>
      <c r="N160" s="7"/>
      <c r="O160" s="7"/>
      <c r="P160" s="7"/>
      <c r="Q160" s="7"/>
      <c r="R160" s="7"/>
      <c r="S160" s="7"/>
      <c r="T160" s="7"/>
      <c r="U160" s="7"/>
      <c r="V160" s="7"/>
      <c r="W160" s="7"/>
      <c r="X160" s="7"/>
      <c r="Y160" s="7"/>
      <c r="Z160" s="7"/>
    </row>
    <row r="161" spans="1:26" ht="14.25" customHeight="1" x14ac:dyDescent="0.3">
      <c r="A161" s="7"/>
      <c r="B161" s="198"/>
      <c r="C161" s="198"/>
      <c r="D161" s="198"/>
      <c r="E161" s="198"/>
      <c r="F161" s="198"/>
      <c r="G161" s="7"/>
      <c r="H161" s="7"/>
      <c r="I161" s="7"/>
      <c r="J161" s="7"/>
      <c r="K161" s="7"/>
      <c r="L161" s="7"/>
      <c r="M161" s="7"/>
      <c r="N161" s="7"/>
      <c r="O161" s="7"/>
      <c r="P161" s="7"/>
      <c r="Q161" s="7"/>
      <c r="R161" s="7"/>
      <c r="S161" s="7"/>
      <c r="T161" s="7"/>
      <c r="U161" s="7"/>
      <c r="V161" s="7"/>
      <c r="W161" s="7"/>
      <c r="X161" s="7"/>
      <c r="Y161" s="7"/>
      <c r="Z161" s="7"/>
    </row>
    <row r="162" spans="1:26" ht="14.25" customHeight="1" x14ac:dyDescent="0.3">
      <c r="A162" s="7"/>
      <c r="B162" s="198"/>
      <c r="C162" s="198"/>
      <c r="D162" s="198"/>
      <c r="E162" s="198"/>
      <c r="F162" s="198"/>
      <c r="G162" s="7"/>
      <c r="H162" s="7"/>
      <c r="I162" s="7"/>
      <c r="J162" s="7"/>
      <c r="K162" s="7"/>
      <c r="L162" s="7"/>
      <c r="M162" s="7"/>
      <c r="N162" s="7"/>
      <c r="O162" s="7"/>
      <c r="P162" s="7"/>
      <c r="Q162" s="7"/>
      <c r="R162" s="7"/>
      <c r="S162" s="7"/>
      <c r="T162" s="7"/>
      <c r="U162" s="7"/>
      <c r="V162" s="7"/>
      <c r="W162" s="7"/>
      <c r="X162" s="7"/>
      <c r="Y162" s="7"/>
      <c r="Z162" s="7"/>
    </row>
    <row r="163" spans="1:26" ht="14.25" customHeight="1" x14ac:dyDescent="0.3">
      <c r="A163" s="7"/>
      <c r="B163" s="198"/>
      <c r="C163" s="198"/>
      <c r="D163" s="198"/>
      <c r="E163" s="198"/>
      <c r="F163" s="198"/>
      <c r="G163" s="7"/>
      <c r="H163" s="7"/>
      <c r="I163" s="7"/>
      <c r="J163" s="7"/>
      <c r="K163" s="7"/>
      <c r="L163" s="7"/>
      <c r="M163" s="7"/>
      <c r="N163" s="7"/>
      <c r="O163" s="7"/>
      <c r="P163" s="7"/>
      <c r="Q163" s="7"/>
      <c r="R163" s="7"/>
      <c r="S163" s="7"/>
      <c r="T163" s="7"/>
      <c r="U163" s="7"/>
      <c r="V163" s="7"/>
      <c r="W163" s="7"/>
      <c r="X163" s="7"/>
      <c r="Y163" s="7"/>
      <c r="Z163" s="7"/>
    </row>
    <row r="164" spans="1:26" ht="14.25" customHeight="1" x14ac:dyDescent="0.3">
      <c r="A164" s="7"/>
      <c r="B164" s="198"/>
      <c r="C164" s="198"/>
      <c r="D164" s="198"/>
      <c r="E164" s="198"/>
      <c r="F164" s="198"/>
      <c r="G164" s="7"/>
      <c r="H164" s="7"/>
      <c r="I164" s="7"/>
      <c r="J164" s="7"/>
      <c r="K164" s="7"/>
      <c r="L164" s="7"/>
      <c r="M164" s="7"/>
      <c r="N164" s="7"/>
      <c r="O164" s="7"/>
      <c r="P164" s="7"/>
      <c r="Q164" s="7"/>
      <c r="R164" s="7"/>
      <c r="S164" s="7"/>
      <c r="T164" s="7"/>
      <c r="U164" s="7"/>
      <c r="V164" s="7"/>
      <c r="W164" s="7"/>
      <c r="X164" s="7"/>
      <c r="Y164" s="7"/>
      <c r="Z164" s="7"/>
    </row>
    <row r="165" spans="1:26" ht="14.25" customHeight="1" x14ac:dyDescent="0.3">
      <c r="A165" s="7"/>
      <c r="B165" s="198"/>
      <c r="C165" s="198"/>
      <c r="D165" s="198"/>
      <c r="E165" s="198"/>
      <c r="F165" s="198"/>
      <c r="G165" s="7"/>
      <c r="H165" s="7"/>
      <c r="I165" s="7"/>
      <c r="J165" s="7"/>
      <c r="K165" s="7"/>
      <c r="L165" s="7"/>
      <c r="M165" s="7"/>
      <c r="N165" s="7"/>
      <c r="O165" s="7"/>
      <c r="P165" s="7"/>
      <c r="Q165" s="7"/>
      <c r="R165" s="7"/>
      <c r="S165" s="7"/>
      <c r="T165" s="7"/>
      <c r="U165" s="7"/>
      <c r="V165" s="7"/>
      <c r="W165" s="7"/>
      <c r="X165" s="7"/>
      <c r="Y165" s="7"/>
      <c r="Z165" s="7"/>
    </row>
    <row r="166" spans="1:26" ht="14.25" customHeight="1" x14ac:dyDescent="0.3">
      <c r="A166" s="7"/>
      <c r="B166" s="198"/>
      <c r="C166" s="198"/>
      <c r="D166" s="198"/>
      <c r="E166" s="198"/>
      <c r="F166" s="198"/>
      <c r="G166" s="7"/>
      <c r="H166" s="7"/>
      <c r="I166" s="7"/>
      <c r="J166" s="7"/>
      <c r="K166" s="7"/>
      <c r="L166" s="7"/>
      <c r="M166" s="7"/>
      <c r="N166" s="7"/>
      <c r="O166" s="7"/>
      <c r="P166" s="7"/>
      <c r="Q166" s="7"/>
      <c r="R166" s="7"/>
      <c r="S166" s="7"/>
      <c r="T166" s="7"/>
      <c r="U166" s="7"/>
      <c r="V166" s="7"/>
      <c r="W166" s="7"/>
      <c r="X166" s="7"/>
      <c r="Y166" s="7"/>
      <c r="Z166" s="7"/>
    </row>
    <row r="167" spans="1:26" ht="14.25" customHeight="1" x14ac:dyDescent="0.3">
      <c r="A167" s="7"/>
      <c r="B167" s="198"/>
      <c r="C167" s="198"/>
      <c r="D167" s="198"/>
      <c r="E167" s="198"/>
      <c r="F167" s="198"/>
      <c r="G167" s="7"/>
      <c r="H167" s="7"/>
      <c r="I167" s="7"/>
      <c r="J167" s="7"/>
      <c r="K167" s="7"/>
      <c r="L167" s="7"/>
      <c r="M167" s="7"/>
      <c r="N167" s="7"/>
      <c r="O167" s="7"/>
      <c r="P167" s="7"/>
      <c r="Q167" s="7"/>
      <c r="R167" s="7"/>
      <c r="S167" s="7"/>
      <c r="T167" s="7"/>
      <c r="U167" s="7"/>
      <c r="V167" s="7"/>
      <c r="W167" s="7"/>
      <c r="X167" s="7"/>
      <c r="Y167" s="7"/>
      <c r="Z167" s="7"/>
    </row>
    <row r="168" spans="1:26" ht="14.25" customHeight="1" x14ac:dyDescent="0.3">
      <c r="A168" s="7"/>
      <c r="B168" s="198"/>
      <c r="C168" s="198"/>
      <c r="D168" s="198"/>
      <c r="E168" s="198"/>
      <c r="F168" s="198"/>
      <c r="G168" s="7"/>
      <c r="H168" s="7"/>
      <c r="I168" s="7"/>
      <c r="J168" s="7"/>
      <c r="K168" s="7"/>
      <c r="L168" s="7"/>
      <c r="M168" s="7"/>
      <c r="N168" s="7"/>
      <c r="O168" s="7"/>
      <c r="P168" s="7"/>
      <c r="Q168" s="7"/>
      <c r="R168" s="7"/>
      <c r="S168" s="7"/>
      <c r="T168" s="7"/>
      <c r="U168" s="7"/>
      <c r="V168" s="7"/>
      <c r="W168" s="7"/>
      <c r="X168" s="7"/>
      <c r="Y168" s="7"/>
      <c r="Z168" s="7"/>
    </row>
    <row r="169" spans="1:26" ht="14.25" customHeight="1" x14ac:dyDescent="0.3">
      <c r="A169" s="7"/>
      <c r="B169" s="198"/>
      <c r="C169" s="198"/>
      <c r="D169" s="198"/>
      <c r="E169" s="198"/>
      <c r="F169" s="198"/>
      <c r="G169" s="7"/>
      <c r="H169" s="7"/>
      <c r="I169" s="7"/>
      <c r="J169" s="7"/>
      <c r="K169" s="7"/>
      <c r="L169" s="7"/>
      <c r="M169" s="7"/>
      <c r="N169" s="7"/>
      <c r="O169" s="7"/>
      <c r="P169" s="7"/>
      <c r="Q169" s="7"/>
      <c r="R169" s="7"/>
      <c r="S169" s="7"/>
      <c r="T169" s="7"/>
      <c r="U169" s="7"/>
      <c r="V169" s="7"/>
      <c r="W169" s="7"/>
      <c r="X169" s="7"/>
      <c r="Y169" s="7"/>
      <c r="Z169" s="7"/>
    </row>
    <row r="170" spans="1:26" ht="14.25" customHeight="1" x14ac:dyDescent="0.3">
      <c r="A170" s="7"/>
      <c r="B170" s="198"/>
      <c r="C170" s="198"/>
      <c r="D170" s="198"/>
      <c r="E170" s="198"/>
      <c r="F170" s="198"/>
      <c r="G170" s="7"/>
      <c r="H170" s="7"/>
      <c r="I170" s="7"/>
      <c r="J170" s="7"/>
      <c r="K170" s="7"/>
      <c r="L170" s="7"/>
      <c r="M170" s="7"/>
      <c r="N170" s="7"/>
      <c r="O170" s="7"/>
      <c r="P170" s="7"/>
      <c r="Q170" s="7"/>
      <c r="R170" s="7"/>
      <c r="S170" s="7"/>
      <c r="T170" s="7"/>
      <c r="U170" s="7"/>
      <c r="V170" s="7"/>
      <c r="W170" s="7"/>
      <c r="X170" s="7"/>
      <c r="Y170" s="7"/>
      <c r="Z170" s="7"/>
    </row>
    <row r="171" spans="1:26" ht="14.25" customHeight="1" x14ac:dyDescent="0.3">
      <c r="A171" s="7"/>
      <c r="B171" s="198"/>
      <c r="C171" s="198"/>
      <c r="D171" s="198"/>
      <c r="E171" s="198"/>
      <c r="F171" s="198"/>
      <c r="G171" s="7"/>
      <c r="H171" s="7"/>
      <c r="I171" s="7"/>
      <c r="J171" s="7"/>
      <c r="K171" s="7"/>
      <c r="L171" s="7"/>
      <c r="M171" s="7"/>
      <c r="N171" s="7"/>
      <c r="O171" s="7"/>
      <c r="P171" s="7"/>
      <c r="Q171" s="7"/>
      <c r="R171" s="7"/>
      <c r="S171" s="7"/>
      <c r="T171" s="7"/>
      <c r="U171" s="7"/>
      <c r="V171" s="7"/>
      <c r="W171" s="7"/>
      <c r="X171" s="7"/>
      <c r="Y171" s="7"/>
      <c r="Z171" s="7"/>
    </row>
    <row r="172" spans="1:26" ht="14.25" customHeight="1" x14ac:dyDescent="0.3">
      <c r="A172" s="7"/>
      <c r="B172" s="198"/>
      <c r="C172" s="198"/>
      <c r="D172" s="198"/>
      <c r="E172" s="198"/>
      <c r="F172" s="198"/>
      <c r="G172" s="7"/>
      <c r="H172" s="7"/>
      <c r="I172" s="7"/>
      <c r="J172" s="7"/>
      <c r="K172" s="7"/>
      <c r="L172" s="7"/>
      <c r="M172" s="7"/>
      <c r="N172" s="7"/>
      <c r="O172" s="7"/>
      <c r="P172" s="7"/>
      <c r="Q172" s="7"/>
      <c r="R172" s="7"/>
      <c r="S172" s="7"/>
      <c r="T172" s="7"/>
      <c r="U172" s="7"/>
      <c r="V172" s="7"/>
      <c r="W172" s="7"/>
      <c r="X172" s="7"/>
      <c r="Y172" s="7"/>
      <c r="Z172" s="7"/>
    </row>
    <row r="173" spans="1:26" ht="14.25" customHeight="1" x14ac:dyDescent="0.3">
      <c r="A173" s="7"/>
      <c r="B173" s="198"/>
      <c r="C173" s="198"/>
      <c r="D173" s="198"/>
      <c r="E173" s="198"/>
      <c r="F173" s="198"/>
      <c r="G173" s="7"/>
      <c r="H173" s="7"/>
      <c r="I173" s="7"/>
      <c r="J173" s="7"/>
      <c r="K173" s="7"/>
      <c r="L173" s="7"/>
      <c r="M173" s="7"/>
      <c r="N173" s="7"/>
      <c r="O173" s="7"/>
      <c r="P173" s="7"/>
      <c r="Q173" s="7"/>
      <c r="R173" s="7"/>
      <c r="S173" s="7"/>
      <c r="T173" s="7"/>
      <c r="U173" s="7"/>
      <c r="V173" s="7"/>
      <c r="W173" s="7"/>
      <c r="X173" s="7"/>
      <c r="Y173" s="7"/>
      <c r="Z173" s="7"/>
    </row>
    <row r="174" spans="1:26" ht="14.25" customHeight="1" x14ac:dyDescent="0.3">
      <c r="A174" s="7"/>
      <c r="B174" s="198"/>
      <c r="C174" s="198"/>
      <c r="D174" s="198"/>
      <c r="E174" s="198"/>
      <c r="F174" s="198"/>
      <c r="G174" s="7"/>
      <c r="H174" s="7"/>
      <c r="I174" s="7"/>
      <c r="J174" s="7"/>
      <c r="K174" s="7"/>
      <c r="L174" s="7"/>
      <c r="M174" s="7"/>
      <c r="N174" s="7"/>
      <c r="O174" s="7"/>
      <c r="P174" s="7"/>
      <c r="Q174" s="7"/>
      <c r="R174" s="7"/>
      <c r="S174" s="7"/>
      <c r="T174" s="7"/>
      <c r="U174" s="7"/>
      <c r="V174" s="7"/>
      <c r="W174" s="7"/>
      <c r="X174" s="7"/>
      <c r="Y174" s="7"/>
      <c r="Z174" s="7"/>
    </row>
    <row r="175" spans="1:26" ht="14.25" customHeight="1" x14ac:dyDescent="0.3">
      <c r="A175" s="7"/>
      <c r="B175" s="198"/>
      <c r="C175" s="198"/>
      <c r="D175" s="198"/>
      <c r="E175" s="198"/>
      <c r="F175" s="198"/>
      <c r="G175" s="7"/>
      <c r="H175" s="7"/>
      <c r="I175" s="7"/>
      <c r="J175" s="7"/>
      <c r="K175" s="7"/>
      <c r="L175" s="7"/>
      <c r="M175" s="7"/>
      <c r="N175" s="7"/>
      <c r="O175" s="7"/>
      <c r="P175" s="7"/>
      <c r="Q175" s="7"/>
      <c r="R175" s="7"/>
      <c r="S175" s="7"/>
      <c r="T175" s="7"/>
      <c r="U175" s="7"/>
      <c r="V175" s="7"/>
      <c r="W175" s="7"/>
      <c r="X175" s="7"/>
      <c r="Y175" s="7"/>
      <c r="Z175" s="7"/>
    </row>
    <row r="176" spans="1:26" ht="14.25" customHeight="1" x14ac:dyDescent="0.3">
      <c r="A176" s="7"/>
      <c r="B176" s="198"/>
      <c r="C176" s="198"/>
      <c r="D176" s="198"/>
      <c r="E176" s="198"/>
      <c r="F176" s="198"/>
      <c r="G176" s="7"/>
      <c r="H176" s="7"/>
      <c r="I176" s="7"/>
      <c r="J176" s="7"/>
      <c r="K176" s="7"/>
      <c r="L176" s="7"/>
      <c r="M176" s="7"/>
      <c r="N176" s="7"/>
      <c r="O176" s="7"/>
      <c r="P176" s="7"/>
      <c r="Q176" s="7"/>
      <c r="R176" s="7"/>
      <c r="S176" s="7"/>
      <c r="T176" s="7"/>
      <c r="U176" s="7"/>
      <c r="V176" s="7"/>
      <c r="W176" s="7"/>
      <c r="X176" s="7"/>
      <c r="Y176" s="7"/>
      <c r="Z176" s="7"/>
    </row>
    <row r="177" spans="1:26" ht="14.25" customHeight="1" x14ac:dyDescent="0.3">
      <c r="A177" s="7"/>
      <c r="B177" s="198"/>
      <c r="C177" s="198"/>
      <c r="D177" s="198"/>
      <c r="E177" s="198"/>
      <c r="F177" s="198"/>
      <c r="G177" s="7"/>
      <c r="H177" s="7"/>
      <c r="I177" s="7"/>
      <c r="J177" s="7"/>
      <c r="K177" s="7"/>
      <c r="L177" s="7"/>
      <c r="M177" s="7"/>
      <c r="N177" s="7"/>
      <c r="O177" s="7"/>
      <c r="P177" s="7"/>
      <c r="Q177" s="7"/>
      <c r="R177" s="7"/>
      <c r="S177" s="7"/>
      <c r="T177" s="7"/>
      <c r="U177" s="7"/>
      <c r="V177" s="7"/>
      <c r="W177" s="7"/>
      <c r="X177" s="7"/>
      <c r="Y177" s="7"/>
      <c r="Z177" s="7"/>
    </row>
    <row r="178" spans="1:26" ht="14.25" customHeight="1" x14ac:dyDescent="0.3">
      <c r="A178" s="7"/>
      <c r="B178" s="198"/>
      <c r="C178" s="198"/>
      <c r="D178" s="198"/>
      <c r="E178" s="198"/>
      <c r="F178" s="198"/>
      <c r="G178" s="7"/>
      <c r="H178" s="7"/>
      <c r="I178" s="7"/>
      <c r="J178" s="7"/>
      <c r="K178" s="7"/>
      <c r="L178" s="7"/>
      <c r="M178" s="7"/>
      <c r="N178" s="7"/>
      <c r="O178" s="7"/>
      <c r="P178" s="7"/>
      <c r="Q178" s="7"/>
      <c r="R178" s="7"/>
      <c r="S178" s="7"/>
      <c r="T178" s="7"/>
      <c r="U178" s="7"/>
      <c r="V178" s="7"/>
      <c r="W178" s="7"/>
      <c r="X178" s="7"/>
      <c r="Y178" s="7"/>
      <c r="Z178" s="7"/>
    </row>
    <row r="179" spans="1:26" ht="14.25" customHeight="1" x14ac:dyDescent="0.3">
      <c r="A179" s="7"/>
      <c r="B179" s="198"/>
      <c r="C179" s="198"/>
      <c r="D179" s="198"/>
      <c r="E179" s="198"/>
      <c r="F179" s="198"/>
      <c r="G179" s="7"/>
      <c r="H179" s="7"/>
      <c r="I179" s="7"/>
      <c r="J179" s="7"/>
      <c r="K179" s="7"/>
      <c r="L179" s="7"/>
      <c r="M179" s="7"/>
      <c r="N179" s="7"/>
      <c r="O179" s="7"/>
      <c r="P179" s="7"/>
      <c r="Q179" s="7"/>
      <c r="R179" s="7"/>
      <c r="S179" s="7"/>
      <c r="T179" s="7"/>
      <c r="U179" s="7"/>
      <c r="V179" s="7"/>
      <c r="W179" s="7"/>
      <c r="X179" s="7"/>
      <c r="Y179" s="7"/>
      <c r="Z179" s="7"/>
    </row>
    <row r="180" spans="1:26" ht="14.25" customHeight="1" x14ac:dyDescent="0.3">
      <c r="A180" s="7"/>
      <c r="B180" s="198"/>
      <c r="C180" s="198"/>
      <c r="D180" s="198"/>
      <c r="E180" s="198"/>
      <c r="F180" s="198"/>
      <c r="G180" s="7"/>
      <c r="H180" s="7"/>
      <c r="I180" s="7"/>
      <c r="J180" s="7"/>
      <c r="K180" s="7"/>
      <c r="L180" s="7"/>
      <c r="M180" s="7"/>
      <c r="N180" s="7"/>
      <c r="O180" s="7"/>
      <c r="P180" s="7"/>
      <c r="Q180" s="7"/>
      <c r="R180" s="7"/>
      <c r="S180" s="7"/>
      <c r="T180" s="7"/>
      <c r="U180" s="7"/>
      <c r="V180" s="7"/>
      <c r="W180" s="7"/>
      <c r="X180" s="7"/>
      <c r="Y180" s="7"/>
      <c r="Z180" s="7"/>
    </row>
    <row r="181" spans="1:26" ht="14.25" customHeight="1" x14ac:dyDescent="0.3">
      <c r="A181" s="7"/>
      <c r="B181" s="198"/>
      <c r="C181" s="198"/>
      <c r="D181" s="198"/>
      <c r="E181" s="198"/>
      <c r="F181" s="198"/>
      <c r="G181" s="7"/>
      <c r="H181" s="7"/>
      <c r="I181" s="7"/>
      <c r="J181" s="7"/>
      <c r="K181" s="7"/>
      <c r="L181" s="7"/>
      <c r="M181" s="7"/>
      <c r="N181" s="7"/>
      <c r="O181" s="7"/>
      <c r="P181" s="7"/>
      <c r="Q181" s="7"/>
      <c r="R181" s="7"/>
      <c r="S181" s="7"/>
      <c r="T181" s="7"/>
      <c r="U181" s="7"/>
      <c r="V181" s="7"/>
      <c r="W181" s="7"/>
      <c r="X181" s="7"/>
      <c r="Y181" s="7"/>
      <c r="Z181" s="7"/>
    </row>
    <row r="182" spans="1:26" ht="14.25" customHeight="1" x14ac:dyDescent="0.3">
      <c r="A182" s="7"/>
      <c r="B182" s="198"/>
      <c r="C182" s="198"/>
      <c r="D182" s="198"/>
      <c r="E182" s="198"/>
      <c r="F182" s="198"/>
      <c r="G182" s="7"/>
      <c r="H182" s="7"/>
      <c r="I182" s="7"/>
      <c r="J182" s="7"/>
      <c r="K182" s="7"/>
      <c r="L182" s="7"/>
      <c r="M182" s="7"/>
      <c r="N182" s="7"/>
      <c r="O182" s="7"/>
      <c r="P182" s="7"/>
      <c r="Q182" s="7"/>
      <c r="R182" s="7"/>
      <c r="S182" s="7"/>
      <c r="T182" s="7"/>
      <c r="U182" s="7"/>
      <c r="V182" s="7"/>
      <c r="W182" s="7"/>
      <c r="X182" s="7"/>
      <c r="Y182" s="7"/>
      <c r="Z182" s="7"/>
    </row>
    <row r="183" spans="1:26" ht="14.25" customHeight="1" x14ac:dyDescent="0.3">
      <c r="A183" s="7"/>
      <c r="B183" s="198"/>
      <c r="C183" s="198"/>
      <c r="D183" s="198"/>
      <c r="E183" s="198"/>
      <c r="F183" s="198"/>
      <c r="G183" s="7"/>
      <c r="H183" s="7"/>
      <c r="I183" s="7"/>
      <c r="J183" s="7"/>
      <c r="K183" s="7"/>
      <c r="L183" s="7"/>
      <c r="M183" s="7"/>
      <c r="N183" s="7"/>
      <c r="O183" s="7"/>
      <c r="P183" s="7"/>
      <c r="Q183" s="7"/>
      <c r="R183" s="7"/>
      <c r="S183" s="7"/>
      <c r="T183" s="7"/>
      <c r="U183" s="7"/>
      <c r="V183" s="7"/>
      <c r="W183" s="7"/>
      <c r="X183" s="7"/>
      <c r="Y183" s="7"/>
      <c r="Z183" s="7"/>
    </row>
    <row r="184" spans="1:26" ht="14.25" customHeight="1" x14ac:dyDescent="0.3">
      <c r="A184" s="7"/>
      <c r="B184" s="198"/>
      <c r="C184" s="198"/>
      <c r="D184" s="198"/>
      <c r="E184" s="198"/>
      <c r="F184" s="198"/>
      <c r="G184" s="7"/>
      <c r="H184" s="7"/>
      <c r="I184" s="7"/>
      <c r="J184" s="7"/>
      <c r="K184" s="7"/>
      <c r="L184" s="7"/>
      <c r="M184" s="7"/>
      <c r="N184" s="7"/>
      <c r="O184" s="7"/>
      <c r="P184" s="7"/>
      <c r="Q184" s="7"/>
      <c r="R184" s="7"/>
      <c r="S184" s="7"/>
      <c r="T184" s="7"/>
      <c r="U184" s="7"/>
      <c r="V184" s="7"/>
      <c r="W184" s="7"/>
      <c r="X184" s="7"/>
      <c r="Y184" s="7"/>
      <c r="Z184" s="7"/>
    </row>
    <row r="185" spans="1:26" ht="14.25" customHeight="1" x14ac:dyDescent="0.3">
      <c r="A185" s="7"/>
      <c r="B185" s="198"/>
      <c r="C185" s="198"/>
      <c r="D185" s="198"/>
      <c r="E185" s="198"/>
      <c r="F185" s="198"/>
      <c r="G185" s="7"/>
      <c r="H185" s="7"/>
      <c r="I185" s="7"/>
      <c r="J185" s="7"/>
      <c r="K185" s="7"/>
      <c r="L185" s="7"/>
      <c r="M185" s="7"/>
      <c r="N185" s="7"/>
      <c r="O185" s="7"/>
      <c r="P185" s="7"/>
      <c r="Q185" s="7"/>
      <c r="R185" s="7"/>
      <c r="S185" s="7"/>
      <c r="T185" s="7"/>
      <c r="U185" s="7"/>
      <c r="V185" s="7"/>
      <c r="W185" s="7"/>
      <c r="X185" s="7"/>
      <c r="Y185" s="7"/>
      <c r="Z185" s="7"/>
    </row>
    <row r="186" spans="1:26" ht="14.25" customHeight="1" x14ac:dyDescent="0.3">
      <c r="A186" s="7"/>
      <c r="B186" s="198"/>
      <c r="C186" s="198"/>
      <c r="D186" s="198"/>
      <c r="E186" s="198"/>
      <c r="F186" s="198"/>
      <c r="G186" s="7"/>
      <c r="H186" s="7"/>
      <c r="I186" s="7"/>
      <c r="J186" s="7"/>
      <c r="K186" s="7"/>
      <c r="L186" s="7"/>
      <c r="M186" s="7"/>
      <c r="N186" s="7"/>
      <c r="O186" s="7"/>
      <c r="P186" s="7"/>
      <c r="Q186" s="7"/>
      <c r="R186" s="7"/>
      <c r="S186" s="7"/>
      <c r="T186" s="7"/>
      <c r="U186" s="7"/>
      <c r="V186" s="7"/>
      <c r="W186" s="7"/>
      <c r="X186" s="7"/>
      <c r="Y186" s="7"/>
      <c r="Z186" s="7"/>
    </row>
    <row r="187" spans="1:26" ht="14.25" customHeight="1" x14ac:dyDescent="0.3">
      <c r="A187" s="7"/>
      <c r="B187" s="198"/>
      <c r="C187" s="198"/>
      <c r="D187" s="198"/>
      <c r="E187" s="198"/>
      <c r="F187" s="198"/>
      <c r="G187" s="7"/>
      <c r="H187" s="7"/>
      <c r="I187" s="7"/>
      <c r="J187" s="7"/>
      <c r="K187" s="7"/>
      <c r="L187" s="7"/>
      <c r="M187" s="7"/>
      <c r="N187" s="7"/>
      <c r="O187" s="7"/>
      <c r="P187" s="7"/>
      <c r="Q187" s="7"/>
      <c r="R187" s="7"/>
      <c r="S187" s="7"/>
      <c r="T187" s="7"/>
      <c r="U187" s="7"/>
      <c r="V187" s="7"/>
      <c r="W187" s="7"/>
      <c r="X187" s="7"/>
      <c r="Y187" s="7"/>
      <c r="Z187" s="7"/>
    </row>
    <row r="188" spans="1:26" ht="14.25" customHeight="1" x14ac:dyDescent="0.3">
      <c r="A188" s="7"/>
      <c r="B188" s="198"/>
      <c r="C188" s="198"/>
      <c r="D188" s="198"/>
      <c r="E188" s="198"/>
      <c r="F188" s="198"/>
      <c r="G188" s="7"/>
      <c r="H188" s="7"/>
      <c r="I188" s="7"/>
      <c r="J188" s="7"/>
      <c r="K188" s="7"/>
      <c r="L188" s="7"/>
      <c r="M188" s="7"/>
      <c r="N188" s="7"/>
      <c r="O188" s="7"/>
      <c r="P188" s="7"/>
      <c r="Q188" s="7"/>
      <c r="R188" s="7"/>
      <c r="S188" s="7"/>
      <c r="T188" s="7"/>
      <c r="U188" s="7"/>
      <c r="V188" s="7"/>
      <c r="W188" s="7"/>
      <c r="X188" s="7"/>
      <c r="Y188" s="7"/>
      <c r="Z188" s="7"/>
    </row>
    <row r="189" spans="1:26" ht="14.25" customHeight="1" x14ac:dyDescent="0.3">
      <c r="A189" s="7"/>
      <c r="B189" s="198"/>
      <c r="C189" s="198"/>
      <c r="D189" s="198"/>
      <c r="E189" s="198"/>
      <c r="F189" s="198"/>
      <c r="G189" s="7"/>
      <c r="H189" s="7"/>
      <c r="I189" s="7"/>
      <c r="J189" s="7"/>
      <c r="K189" s="7"/>
      <c r="L189" s="7"/>
      <c r="M189" s="7"/>
      <c r="N189" s="7"/>
      <c r="O189" s="7"/>
      <c r="P189" s="7"/>
      <c r="Q189" s="7"/>
      <c r="R189" s="7"/>
      <c r="S189" s="7"/>
      <c r="T189" s="7"/>
      <c r="U189" s="7"/>
      <c r="V189" s="7"/>
      <c r="W189" s="7"/>
      <c r="X189" s="7"/>
      <c r="Y189" s="7"/>
      <c r="Z189" s="7"/>
    </row>
    <row r="190" spans="1:26" ht="14.25" customHeight="1" x14ac:dyDescent="0.3">
      <c r="A190" s="7"/>
      <c r="B190" s="198"/>
      <c r="C190" s="198"/>
      <c r="D190" s="198"/>
      <c r="E190" s="198"/>
      <c r="F190" s="198"/>
      <c r="G190" s="7"/>
      <c r="H190" s="7"/>
      <c r="I190" s="7"/>
      <c r="J190" s="7"/>
      <c r="K190" s="7"/>
      <c r="L190" s="7"/>
      <c r="M190" s="7"/>
      <c r="N190" s="7"/>
      <c r="O190" s="7"/>
      <c r="P190" s="7"/>
      <c r="Q190" s="7"/>
      <c r="R190" s="7"/>
      <c r="S190" s="7"/>
      <c r="T190" s="7"/>
      <c r="U190" s="7"/>
      <c r="V190" s="7"/>
      <c r="W190" s="7"/>
      <c r="X190" s="7"/>
      <c r="Y190" s="7"/>
      <c r="Z190" s="7"/>
    </row>
    <row r="191" spans="1:26" ht="14.25" customHeight="1" x14ac:dyDescent="0.3">
      <c r="A191" s="7"/>
      <c r="B191" s="198"/>
      <c r="C191" s="198"/>
      <c r="D191" s="198"/>
      <c r="E191" s="198"/>
      <c r="F191" s="198"/>
      <c r="G191" s="7"/>
      <c r="H191" s="7"/>
      <c r="I191" s="7"/>
      <c r="J191" s="7"/>
      <c r="K191" s="7"/>
      <c r="L191" s="7"/>
      <c r="M191" s="7"/>
      <c r="N191" s="7"/>
      <c r="O191" s="7"/>
      <c r="P191" s="7"/>
      <c r="Q191" s="7"/>
      <c r="R191" s="7"/>
      <c r="S191" s="7"/>
      <c r="T191" s="7"/>
      <c r="U191" s="7"/>
      <c r="V191" s="7"/>
      <c r="W191" s="7"/>
      <c r="X191" s="7"/>
      <c r="Y191" s="7"/>
      <c r="Z191" s="7"/>
    </row>
    <row r="192" spans="1:26" ht="14.25" customHeight="1" x14ac:dyDescent="0.3">
      <c r="A192" s="7"/>
      <c r="B192" s="198"/>
      <c r="C192" s="198"/>
      <c r="D192" s="198"/>
      <c r="E192" s="198"/>
      <c r="F192" s="198"/>
      <c r="G192" s="7"/>
      <c r="H192" s="7"/>
      <c r="I192" s="7"/>
      <c r="J192" s="7"/>
      <c r="K192" s="7"/>
      <c r="L192" s="7"/>
      <c r="M192" s="7"/>
      <c r="N192" s="7"/>
      <c r="O192" s="7"/>
      <c r="P192" s="7"/>
      <c r="Q192" s="7"/>
      <c r="R192" s="7"/>
      <c r="S192" s="7"/>
      <c r="T192" s="7"/>
      <c r="U192" s="7"/>
      <c r="V192" s="7"/>
      <c r="W192" s="7"/>
      <c r="X192" s="7"/>
      <c r="Y192" s="7"/>
      <c r="Z192" s="7"/>
    </row>
    <row r="193" spans="1:26" ht="14.25" customHeight="1" x14ac:dyDescent="0.3">
      <c r="A193" s="7"/>
      <c r="B193" s="198"/>
      <c r="C193" s="198"/>
      <c r="D193" s="198"/>
      <c r="E193" s="198"/>
      <c r="F193" s="198"/>
      <c r="G193" s="7"/>
      <c r="H193" s="7"/>
      <c r="I193" s="7"/>
      <c r="J193" s="7"/>
      <c r="K193" s="7"/>
      <c r="L193" s="7"/>
      <c r="M193" s="7"/>
      <c r="N193" s="7"/>
      <c r="O193" s="7"/>
      <c r="P193" s="7"/>
      <c r="Q193" s="7"/>
      <c r="R193" s="7"/>
      <c r="S193" s="7"/>
      <c r="T193" s="7"/>
      <c r="U193" s="7"/>
      <c r="V193" s="7"/>
      <c r="W193" s="7"/>
      <c r="X193" s="7"/>
      <c r="Y193" s="7"/>
      <c r="Z193" s="7"/>
    </row>
    <row r="194" spans="1:26" ht="14.25" customHeight="1" x14ac:dyDescent="0.3">
      <c r="A194" s="7"/>
      <c r="B194" s="198"/>
      <c r="C194" s="198"/>
      <c r="D194" s="198"/>
      <c r="E194" s="198"/>
      <c r="F194" s="198"/>
      <c r="G194" s="7"/>
      <c r="H194" s="7"/>
      <c r="I194" s="7"/>
      <c r="J194" s="7"/>
      <c r="K194" s="7"/>
      <c r="L194" s="7"/>
      <c r="M194" s="7"/>
      <c r="N194" s="7"/>
      <c r="O194" s="7"/>
      <c r="P194" s="7"/>
      <c r="Q194" s="7"/>
      <c r="R194" s="7"/>
      <c r="S194" s="7"/>
      <c r="T194" s="7"/>
      <c r="U194" s="7"/>
      <c r="V194" s="7"/>
      <c r="W194" s="7"/>
      <c r="X194" s="7"/>
      <c r="Y194" s="7"/>
      <c r="Z194" s="7"/>
    </row>
    <row r="195" spans="1:26" ht="14.25" customHeight="1" x14ac:dyDescent="0.3">
      <c r="A195" s="7"/>
      <c r="B195" s="198"/>
      <c r="C195" s="198"/>
      <c r="D195" s="198"/>
      <c r="E195" s="198"/>
      <c r="F195" s="198"/>
      <c r="G195" s="7"/>
      <c r="H195" s="7"/>
      <c r="I195" s="7"/>
      <c r="J195" s="7"/>
      <c r="K195" s="7"/>
      <c r="L195" s="7"/>
      <c r="M195" s="7"/>
      <c r="N195" s="7"/>
      <c r="O195" s="7"/>
      <c r="P195" s="7"/>
      <c r="Q195" s="7"/>
      <c r="R195" s="7"/>
      <c r="S195" s="7"/>
      <c r="T195" s="7"/>
      <c r="U195" s="7"/>
      <c r="V195" s="7"/>
      <c r="W195" s="7"/>
      <c r="X195" s="7"/>
      <c r="Y195" s="7"/>
      <c r="Z195" s="7"/>
    </row>
    <row r="196" spans="1:26" ht="14.25" customHeight="1" x14ac:dyDescent="0.3">
      <c r="A196" s="7"/>
      <c r="B196" s="198"/>
      <c r="C196" s="198"/>
      <c r="D196" s="198"/>
      <c r="E196" s="198"/>
      <c r="F196" s="198"/>
      <c r="G196" s="7"/>
      <c r="H196" s="7"/>
      <c r="I196" s="7"/>
      <c r="J196" s="7"/>
      <c r="K196" s="7"/>
      <c r="L196" s="7"/>
      <c r="M196" s="7"/>
      <c r="N196" s="7"/>
      <c r="O196" s="7"/>
      <c r="P196" s="7"/>
      <c r="Q196" s="7"/>
      <c r="R196" s="7"/>
      <c r="S196" s="7"/>
      <c r="T196" s="7"/>
      <c r="U196" s="7"/>
      <c r="V196" s="7"/>
      <c r="W196" s="7"/>
      <c r="X196" s="7"/>
      <c r="Y196" s="7"/>
      <c r="Z196" s="7"/>
    </row>
    <row r="197" spans="1:26" ht="14.25" customHeight="1" x14ac:dyDescent="0.3">
      <c r="A197" s="7"/>
      <c r="B197" s="198"/>
      <c r="C197" s="198"/>
      <c r="D197" s="198"/>
      <c r="E197" s="198"/>
      <c r="F197" s="198"/>
      <c r="G197" s="7"/>
      <c r="H197" s="7"/>
      <c r="I197" s="7"/>
      <c r="J197" s="7"/>
      <c r="K197" s="7"/>
      <c r="L197" s="7"/>
      <c r="M197" s="7"/>
      <c r="N197" s="7"/>
      <c r="O197" s="7"/>
      <c r="P197" s="7"/>
      <c r="Q197" s="7"/>
      <c r="R197" s="7"/>
      <c r="S197" s="7"/>
      <c r="T197" s="7"/>
      <c r="U197" s="7"/>
      <c r="V197" s="7"/>
      <c r="W197" s="7"/>
      <c r="X197" s="7"/>
      <c r="Y197" s="7"/>
      <c r="Z197" s="7"/>
    </row>
    <row r="198" spans="1:26" ht="14.25" customHeight="1" x14ac:dyDescent="0.3">
      <c r="A198" s="7"/>
      <c r="B198" s="198"/>
      <c r="C198" s="198"/>
      <c r="D198" s="198"/>
      <c r="E198" s="198"/>
      <c r="F198" s="198"/>
      <c r="G198" s="7"/>
      <c r="H198" s="7"/>
      <c r="I198" s="7"/>
      <c r="J198" s="7"/>
      <c r="K198" s="7"/>
      <c r="L198" s="7"/>
      <c r="M198" s="7"/>
      <c r="N198" s="7"/>
      <c r="O198" s="7"/>
      <c r="P198" s="7"/>
      <c r="Q198" s="7"/>
      <c r="R198" s="7"/>
      <c r="S198" s="7"/>
      <c r="T198" s="7"/>
      <c r="U198" s="7"/>
      <c r="V198" s="7"/>
      <c r="W198" s="7"/>
      <c r="X198" s="7"/>
      <c r="Y198" s="7"/>
      <c r="Z198" s="7"/>
    </row>
    <row r="199" spans="1:26" ht="14.25" customHeight="1" x14ac:dyDescent="0.3">
      <c r="A199" s="7"/>
      <c r="B199" s="198"/>
      <c r="C199" s="198"/>
      <c r="D199" s="198"/>
      <c r="E199" s="198"/>
      <c r="F199" s="198"/>
      <c r="G199" s="7"/>
      <c r="H199" s="7"/>
      <c r="I199" s="7"/>
      <c r="J199" s="7"/>
      <c r="K199" s="7"/>
      <c r="L199" s="7"/>
      <c r="M199" s="7"/>
      <c r="N199" s="7"/>
      <c r="O199" s="7"/>
      <c r="P199" s="7"/>
      <c r="Q199" s="7"/>
      <c r="R199" s="7"/>
      <c r="S199" s="7"/>
      <c r="T199" s="7"/>
      <c r="U199" s="7"/>
      <c r="V199" s="7"/>
      <c r="W199" s="7"/>
      <c r="X199" s="7"/>
      <c r="Y199" s="7"/>
      <c r="Z199" s="7"/>
    </row>
    <row r="200" spans="1:26" ht="14.25" customHeight="1" x14ac:dyDescent="0.3">
      <c r="A200" s="7"/>
      <c r="B200" s="198"/>
      <c r="C200" s="198"/>
      <c r="D200" s="198"/>
      <c r="E200" s="198"/>
      <c r="F200" s="198"/>
      <c r="G200" s="7"/>
      <c r="H200" s="7"/>
      <c r="I200" s="7"/>
      <c r="J200" s="7"/>
      <c r="K200" s="7"/>
      <c r="L200" s="7"/>
      <c r="M200" s="7"/>
      <c r="N200" s="7"/>
      <c r="O200" s="7"/>
      <c r="P200" s="7"/>
      <c r="Q200" s="7"/>
      <c r="R200" s="7"/>
      <c r="S200" s="7"/>
      <c r="T200" s="7"/>
      <c r="U200" s="7"/>
      <c r="V200" s="7"/>
      <c r="W200" s="7"/>
      <c r="X200" s="7"/>
      <c r="Y200" s="7"/>
      <c r="Z200" s="7"/>
    </row>
    <row r="201" spans="1:26" ht="14.25" customHeight="1" x14ac:dyDescent="0.3">
      <c r="A201" s="7"/>
      <c r="B201" s="198"/>
      <c r="C201" s="198"/>
      <c r="D201" s="198"/>
      <c r="E201" s="198"/>
      <c r="F201" s="198"/>
      <c r="G201" s="7"/>
      <c r="H201" s="7"/>
      <c r="I201" s="7"/>
      <c r="J201" s="7"/>
      <c r="K201" s="7"/>
      <c r="L201" s="7"/>
      <c r="M201" s="7"/>
      <c r="N201" s="7"/>
      <c r="O201" s="7"/>
      <c r="P201" s="7"/>
      <c r="Q201" s="7"/>
      <c r="R201" s="7"/>
      <c r="S201" s="7"/>
      <c r="T201" s="7"/>
      <c r="U201" s="7"/>
      <c r="V201" s="7"/>
      <c r="W201" s="7"/>
      <c r="X201" s="7"/>
      <c r="Y201" s="7"/>
      <c r="Z201" s="7"/>
    </row>
    <row r="202" spans="1:26" ht="14.25" customHeight="1" x14ac:dyDescent="0.3">
      <c r="A202" s="7"/>
      <c r="B202" s="198"/>
      <c r="C202" s="198"/>
      <c r="D202" s="198"/>
      <c r="E202" s="198"/>
      <c r="F202" s="198"/>
      <c r="G202" s="7"/>
      <c r="H202" s="7"/>
      <c r="I202" s="7"/>
      <c r="J202" s="7"/>
      <c r="K202" s="7"/>
      <c r="L202" s="7"/>
      <c r="M202" s="7"/>
      <c r="N202" s="7"/>
      <c r="O202" s="7"/>
      <c r="P202" s="7"/>
      <c r="Q202" s="7"/>
      <c r="R202" s="7"/>
      <c r="S202" s="7"/>
      <c r="T202" s="7"/>
      <c r="U202" s="7"/>
      <c r="V202" s="7"/>
      <c r="W202" s="7"/>
      <c r="X202" s="7"/>
      <c r="Y202" s="7"/>
      <c r="Z202" s="7"/>
    </row>
    <row r="203" spans="1:26" ht="14.25" customHeight="1" x14ac:dyDescent="0.3">
      <c r="A203" s="7"/>
      <c r="B203" s="198"/>
      <c r="C203" s="198"/>
      <c r="D203" s="198"/>
      <c r="E203" s="198"/>
      <c r="F203" s="198"/>
      <c r="G203" s="7"/>
      <c r="H203" s="7"/>
      <c r="I203" s="7"/>
      <c r="J203" s="7"/>
      <c r="K203" s="7"/>
      <c r="L203" s="7"/>
      <c r="M203" s="7"/>
      <c r="N203" s="7"/>
      <c r="O203" s="7"/>
      <c r="P203" s="7"/>
      <c r="Q203" s="7"/>
      <c r="R203" s="7"/>
      <c r="S203" s="7"/>
      <c r="T203" s="7"/>
      <c r="U203" s="7"/>
      <c r="V203" s="7"/>
      <c r="W203" s="7"/>
      <c r="X203" s="7"/>
      <c r="Y203" s="7"/>
      <c r="Z203" s="7"/>
    </row>
    <row r="204" spans="1:26" ht="14.25" customHeight="1" x14ac:dyDescent="0.3">
      <c r="A204" s="7"/>
      <c r="B204" s="198"/>
      <c r="C204" s="198"/>
      <c r="D204" s="198"/>
      <c r="E204" s="198"/>
      <c r="F204" s="198"/>
      <c r="G204" s="7"/>
      <c r="H204" s="7"/>
      <c r="I204" s="7"/>
      <c r="J204" s="7"/>
      <c r="K204" s="7"/>
      <c r="L204" s="7"/>
      <c r="M204" s="7"/>
      <c r="N204" s="7"/>
      <c r="O204" s="7"/>
      <c r="P204" s="7"/>
      <c r="Q204" s="7"/>
      <c r="R204" s="7"/>
      <c r="S204" s="7"/>
      <c r="T204" s="7"/>
      <c r="U204" s="7"/>
      <c r="V204" s="7"/>
      <c r="W204" s="7"/>
      <c r="X204" s="7"/>
      <c r="Y204" s="7"/>
      <c r="Z204" s="7"/>
    </row>
    <row r="205" spans="1:26" ht="14.25" customHeight="1" x14ac:dyDescent="0.3">
      <c r="A205" s="7"/>
      <c r="B205" s="198"/>
      <c r="C205" s="198"/>
      <c r="D205" s="198"/>
      <c r="E205" s="198"/>
      <c r="F205" s="198"/>
      <c r="G205" s="7"/>
      <c r="H205" s="7"/>
      <c r="I205" s="7"/>
      <c r="J205" s="7"/>
      <c r="K205" s="7"/>
      <c r="L205" s="7"/>
      <c r="M205" s="7"/>
      <c r="N205" s="7"/>
      <c r="O205" s="7"/>
      <c r="P205" s="7"/>
      <c r="Q205" s="7"/>
      <c r="R205" s="7"/>
      <c r="S205" s="7"/>
      <c r="T205" s="7"/>
      <c r="U205" s="7"/>
      <c r="V205" s="7"/>
      <c r="W205" s="7"/>
      <c r="X205" s="7"/>
      <c r="Y205" s="7"/>
      <c r="Z205" s="7"/>
    </row>
    <row r="206" spans="1:26" ht="14.25" customHeight="1" x14ac:dyDescent="0.3">
      <c r="A206" s="7"/>
      <c r="B206" s="198"/>
      <c r="C206" s="198"/>
      <c r="D206" s="198"/>
      <c r="E206" s="198"/>
      <c r="F206" s="198"/>
      <c r="G206" s="7"/>
      <c r="H206" s="7"/>
      <c r="I206" s="7"/>
      <c r="J206" s="7"/>
      <c r="K206" s="7"/>
      <c r="L206" s="7"/>
      <c r="M206" s="7"/>
      <c r="N206" s="7"/>
      <c r="O206" s="7"/>
      <c r="P206" s="7"/>
      <c r="Q206" s="7"/>
      <c r="R206" s="7"/>
      <c r="S206" s="7"/>
      <c r="T206" s="7"/>
      <c r="U206" s="7"/>
      <c r="V206" s="7"/>
      <c r="W206" s="7"/>
      <c r="X206" s="7"/>
      <c r="Y206" s="7"/>
      <c r="Z206" s="7"/>
    </row>
    <row r="207" spans="1:26" ht="14.25" customHeight="1" x14ac:dyDescent="0.3">
      <c r="A207" s="7"/>
      <c r="B207" s="198"/>
      <c r="C207" s="198"/>
      <c r="D207" s="198"/>
      <c r="E207" s="198"/>
      <c r="F207" s="198"/>
      <c r="G207" s="7"/>
      <c r="H207" s="7"/>
      <c r="I207" s="7"/>
      <c r="J207" s="7"/>
      <c r="K207" s="7"/>
      <c r="L207" s="7"/>
      <c r="M207" s="7"/>
      <c r="N207" s="7"/>
      <c r="O207" s="7"/>
      <c r="P207" s="7"/>
      <c r="Q207" s="7"/>
      <c r="R207" s="7"/>
      <c r="S207" s="7"/>
      <c r="T207" s="7"/>
      <c r="U207" s="7"/>
      <c r="V207" s="7"/>
      <c r="W207" s="7"/>
      <c r="X207" s="7"/>
      <c r="Y207" s="7"/>
      <c r="Z207" s="7"/>
    </row>
    <row r="208" spans="1:26" ht="14.25" customHeight="1" x14ac:dyDescent="0.3">
      <c r="A208" s="7"/>
      <c r="B208" s="198"/>
      <c r="C208" s="198"/>
      <c r="D208" s="198"/>
      <c r="E208" s="198"/>
      <c r="F208" s="198"/>
      <c r="G208" s="7"/>
      <c r="H208" s="7"/>
      <c r="I208" s="7"/>
      <c r="J208" s="7"/>
      <c r="K208" s="7"/>
      <c r="L208" s="7"/>
      <c r="M208" s="7"/>
      <c r="N208" s="7"/>
      <c r="O208" s="7"/>
      <c r="P208" s="7"/>
      <c r="Q208" s="7"/>
      <c r="R208" s="7"/>
      <c r="S208" s="7"/>
      <c r="T208" s="7"/>
      <c r="U208" s="7"/>
      <c r="V208" s="7"/>
      <c r="W208" s="7"/>
      <c r="X208" s="7"/>
      <c r="Y208" s="7"/>
      <c r="Z208" s="7"/>
    </row>
    <row r="209" spans="1:26" ht="14.25" customHeight="1" x14ac:dyDescent="0.3">
      <c r="A209" s="7"/>
      <c r="B209" s="198"/>
      <c r="C209" s="198"/>
      <c r="D209" s="198"/>
      <c r="E209" s="198"/>
      <c r="F209" s="198"/>
      <c r="G209" s="7"/>
      <c r="H209" s="7"/>
      <c r="I209" s="7"/>
      <c r="J209" s="7"/>
      <c r="K209" s="7"/>
      <c r="L209" s="7"/>
      <c r="M209" s="7"/>
      <c r="N209" s="7"/>
      <c r="O209" s="7"/>
      <c r="P209" s="7"/>
      <c r="Q209" s="7"/>
      <c r="R209" s="7"/>
      <c r="S209" s="7"/>
      <c r="T209" s="7"/>
      <c r="U209" s="7"/>
      <c r="V209" s="7"/>
      <c r="W209" s="7"/>
      <c r="X209" s="7"/>
      <c r="Y209" s="7"/>
      <c r="Z209" s="7"/>
    </row>
    <row r="210" spans="1:26" ht="14.25" customHeight="1" x14ac:dyDescent="0.3">
      <c r="A210" s="7"/>
      <c r="B210" s="198"/>
      <c r="C210" s="198"/>
      <c r="D210" s="198"/>
      <c r="E210" s="198"/>
      <c r="F210" s="198"/>
      <c r="G210" s="7"/>
      <c r="H210" s="7"/>
      <c r="I210" s="7"/>
      <c r="J210" s="7"/>
      <c r="K210" s="7"/>
      <c r="L210" s="7"/>
      <c r="M210" s="7"/>
      <c r="N210" s="7"/>
      <c r="O210" s="7"/>
      <c r="P210" s="7"/>
      <c r="Q210" s="7"/>
      <c r="R210" s="7"/>
      <c r="S210" s="7"/>
      <c r="T210" s="7"/>
      <c r="U210" s="7"/>
      <c r="V210" s="7"/>
      <c r="W210" s="7"/>
      <c r="X210" s="7"/>
      <c r="Y210" s="7"/>
      <c r="Z210" s="7"/>
    </row>
    <row r="211" spans="1:26" ht="14.25" customHeight="1" x14ac:dyDescent="0.3">
      <c r="A211" s="7"/>
      <c r="B211" s="198"/>
      <c r="C211" s="198"/>
      <c r="D211" s="198"/>
      <c r="E211" s="198"/>
      <c r="F211" s="198"/>
      <c r="G211" s="7"/>
      <c r="H211" s="7"/>
      <c r="I211" s="7"/>
      <c r="J211" s="7"/>
      <c r="K211" s="7"/>
      <c r="L211" s="7"/>
      <c r="M211" s="7"/>
      <c r="N211" s="7"/>
      <c r="O211" s="7"/>
      <c r="P211" s="7"/>
      <c r="Q211" s="7"/>
      <c r="R211" s="7"/>
      <c r="S211" s="7"/>
      <c r="T211" s="7"/>
      <c r="U211" s="7"/>
      <c r="V211" s="7"/>
      <c r="W211" s="7"/>
      <c r="X211" s="7"/>
      <c r="Y211" s="7"/>
      <c r="Z211" s="7"/>
    </row>
    <row r="212" spans="1:26" ht="14.25" customHeight="1" x14ac:dyDescent="0.3">
      <c r="A212" s="7"/>
      <c r="B212" s="198"/>
      <c r="C212" s="198"/>
      <c r="D212" s="198"/>
      <c r="E212" s="198"/>
      <c r="F212" s="198"/>
      <c r="G212" s="7"/>
      <c r="H212" s="7"/>
      <c r="I212" s="7"/>
      <c r="J212" s="7"/>
      <c r="K212" s="7"/>
      <c r="L212" s="7"/>
      <c r="M212" s="7"/>
      <c r="N212" s="7"/>
      <c r="O212" s="7"/>
      <c r="P212" s="7"/>
      <c r="Q212" s="7"/>
      <c r="R212" s="7"/>
      <c r="S212" s="7"/>
      <c r="T212" s="7"/>
      <c r="U212" s="7"/>
      <c r="V212" s="7"/>
      <c r="W212" s="7"/>
      <c r="X212" s="7"/>
      <c r="Y212" s="7"/>
      <c r="Z212" s="7"/>
    </row>
    <row r="213" spans="1:26" ht="14.25" customHeight="1" x14ac:dyDescent="0.3">
      <c r="A213" s="7"/>
      <c r="B213" s="198"/>
      <c r="C213" s="198"/>
      <c r="D213" s="198"/>
      <c r="E213" s="198"/>
      <c r="F213" s="198"/>
      <c r="G213" s="7"/>
      <c r="H213" s="7"/>
      <c r="I213" s="7"/>
      <c r="J213" s="7"/>
      <c r="K213" s="7"/>
      <c r="L213" s="7"/>
      <c r="M213" s="7"/>
      <c r="N213" s="7"/>
      <c r="O213" s="7"/>
      <c r="P213" s="7"/>
      <c r="Q213" s="7"/>
      <c r="R213" s="7"/>
      <c r="S213" s="7"/>
      <c r="T213" s="7"/>
      <c r="U213" s="7"/>
      <c r="V213" s="7"/>
      <c r="W213" s="7"/>
      <c r="X213" s="7"/>
      <c r="Y213" s="7"/>
      <c r="Z213" s="7"/>
    </row>
    <row r="214" spans="1:26" ht="14.25" customHeight="1" x14ac:dyDescent="0.3">
      <c r="A214" s="7"/>
      <c r="B214" s="198"/>
      <c r="C214" s="198"/>
      <c r="D214" s="198"/>
      <c r="E214" s="198"/>
      <c r="F214" s="198"/>
      <c r="G214" s="7"/>
      <c r="H214" s="7"/>
      <c r="I214" s="7"/>
      <c r="J214" s="7"/>
      <c r="K214" s="7"/>
      <c r="L214" s="7"/>
      <c r="M214" s="7"/>
      <c r="N214" s="7"/>
      <c r="O214" s="7"/>
      <c r="P214" s="7"/>
      <c r="Q214" s="7"/>
      <c r="R214" s="7"/>
      <c r="S214" s="7"/>
      <c r="T214" s="7"/>
      <c r="U214" s="7"/>
      <c r="V214" s="7"/>
      <c r="W214" s="7"/>
      <c r="X214" s="7"/>
      <c r="Y214" s="7"/>
      <c r="Z214" s="7"/>
    </row>
    <row r="215" spans="1:26" ht="14.25" customHeight="1" x14ac:dyDescent="0.3">
      <c r="A215" s="7"/>
      <c r="B215" s="198"/>
      <c r="C215" s="198"/>
      <c r="D215" s="198"/>
      <c r="E215" s="198"/>
      <c r="F215" s="198"/>
      <c r="G215" s="7"/>
      <c r="H215" s="7"/>
      <c r="I215" s="7"/>
      <c r="J215" s="7"/>
      <c r="K215" s="7"/>
      <c r="L215" s="7"/>
      <c r="M215" s="7"/>
      <c r="N215" s="7"/>
      <c r="O215" s="7"/>
      <c r="P215" s="7"/>
      <c r="Q215" s="7"/>
      <c r="R215" s="7"/>
      <c r="S215" s="7"/>
      <c r="T215" s="7"/>
      <c r="U215" s="7"/>
      <c r="V215" s="7"/>
      <c r="W215" s="7"/>
      <c r="X215" s="7"/>
      <c r="Y215" s="7"/>
      <c r="Z215" s="7"/>
    </row>
    <row r="216" spans="1:26" ht="14.25" customHeight="1" x14ac:dyDescent="0.3">
      <c r="A216" s="7"/>
      <c r="B216" s="198"/>
      <c r="C216" s="198"/>
      <c r="D216" s="198"/>
      <c r="E216" s="198"/>
      <c r="F216" s="198"/>
      <c r="G216" s="7"/>
      <c r="H216" s="7"/>
      <c r="I216" s="7"/>
      <c r="J216" s="7"/>
      <c r="K216" s="7"/>
      <c r="L216" s="7"/>
      <c r="M216" s="7"/>
      <c r="N216" s="7"/>
      <c r="O216" s="7"/>
      <c r="P216" s="7"/>
      <c r="Q216" s="7"/>
      <c r="R216" s="7"/>
      <c r="S216" s="7"/>
      <c r="T216" s="7"/>
      <c r="U216" s="7"/>
      <c r="V216" s="7"/>
      <c r="W216" s="7"/>
      <c r="X216" s="7"/>
      <c r="Y216" s="7"/>
      <c r="Z216" s="7"/>
    </row>
    <row r="217" spans="1:26" ht="14.25" customHeight="1" x14ac:dyDescent="0.3">
      <c r="A217" s="7"/>
      <c r="B217" s="198"/>
      <c r="C217" s="198"/>
      <c r="D217" s="198"/>
      <c r="E217" s="198"/>
      <c r="F217" s="198"/>
      <c r="G217" s="7"/>
      <c r="H217" s="7"/>
      <c r="I217" s="7"/>
      <c r="J217" s="7"/>
      <c r="K217" s="7"/>
      <c r="L217" s="7"/>
      <c r="M217" s="7"/>
      <c r="N217" s="7"/>
      <c r="O217" s="7"/>
      <c r="P217" s="7"/>
      <c r="Q217" s="7"/>
      <c r="R217" s="7"/>
      <c r="S217" s="7"/>
      <c r="T217" s="7"/>
      <c r="U217" s="7"/>
      <c r="V217" s="7"/>
      <c r="W217" s="7"/>
      <c r="X217" s="7"/>
      <c r="Y217" s="7"/>
      <c r="Z217" s="7"/>
    </row>
    <row r="218" spans="1:26" ht="14.25" customHeight="1" x14ac:dyDescent="0.3">
      <c r="A218" s="7"/>
      <c r="B218" s="198"/>
      <c r="C218" s="198"/>
      <c r="D218" s="198"/>
      <c r="E218" s="198"/>
      <c r="F218" s="198"/>
      <c r="G218" s="7"/>
      <c r="H218" s="7"/>
      <c r="I218" s="7"/>
      <c r="J218" s="7"/>
      <c r="K218" s="7"/>
      <c r="L218" s="7"/>
      <c r="M218" s="7"/>
      <c r="N218" s="7"/>
      <c r="O218" s="7"/>
      <c r="P218" s="7"/>
      <c r="Q218" s="7"/>
      <c r="R218" s="7"/>
      <c r="S218" s="7"/>
      <c r="T218" s="7"/>
      <c r="U218" s="7"/>
      <c r="V218" s="7"/>
      <c r="W218" s="7"/>
      <c r="X218" s="7"/>
      <c r="Y218" s="7"/>
      <c r="Z218" s="7"/>
    </row>
    <row r="219" spans="1:26" ht="14.25" customHeight="1" x14ac:dyDescent="0.3">
      <c r="A219" s="7"/>
      <c r="B219" s="198"/>
      <c r="C219" s="198"/>
      <c r="D219" s="198"/>
      <c r="E219" s="198"/>
      <c r="F219" s="198"/>
      <c r="G219" s="7"/>
      <c r="H219" s="7"/>
      <c r="I219" s="7"/>
      <c r="J219" s="7"/>
      <c r="K219" s="7"/>
      <c r="L219" s="7"/>
      <c r="M219" s="7"/>
      <c r="N219" s="7"/>
      <c r="O219" s="7"/>
      <c r="P219" s="7"/>
      <c r="Q219" s="7"/>
      <c r="R219" s="7"/>
      <c r="S219" s="7"/>
      <c r="T219" s="7"/>
      <c r="U219" s="7"/>
      <c r="V219" s="7"/>
      <c r="W219" s="7"/>
      <c r="X219" s="7"/>
      <c r="Y219" s="7"/>
      <c r="Z219" s="7"/>
    </row>
    <row r="220" spans="1:26" ht="14.25" customHeight="1" x14ac:dyDescent="0.3">
      <c r="A220" s="7"/>
      <c r="B220" s="198"/>
      <c r="C220" s="198"/>
      <c r="D220" s="198"/>
      <c r="E220" s="198"/>
      <c r="F220" s="198"/>
      <c r="G220" s="7"/>
      <c r="H220" s="7"/>
      <c r="I220" s="7"/>
      <c r="J220" s="7"/>
      <c r="K220" s="7"/>
      <c r="L220" s="7"/>
      <c r="M220" s="7"/>
      <c r="N220" s="7"/>
      <c r="O220" s="7"/>
      <c r="P220" s="7"/>
      <c r="Q220" s="7"/>
      <c r="R220" s="7"/>
      <c r="S220" s="7"/>
      <c r="T220" s="7"/>
      <c r="U220" s="7"/>
      <c r="V220" s="7"/>
      <c r="W220" s="7"/>
      <c r="X220" s="7"/>
      <c r="Y220" s="7"/>
      <c r="Z220" s="7"/>
    </row>
    <row r="221" spans="1:26" ht="14.25" customHeight="1" x14ac:dyDescent="0.3">
      <c r="A221" s="7"/>
      <c r="B221" s="198"/>
      <c r="C221" s="198"/>
      <c r="D221" s="198"/>
      <c r="E221" s="198"/>
      <c r="F221" s="198"/>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
    <mergeCell ref="B21:C21"/>
    <mergeCell ref="B19:C19"/>
    <mergeCell ref="B20:C20"/>
    <mergeCell ref="A9:C9"/>
    <mergeCell ref="B17:C17"/>
    <mergeCell ref="B18:C18"/>
  </mergeCells>
  <pageMargins left="0.7" right="0.7" top="0.75" bottom="0.75" header="0" footer="0"/>
  <pageSetup orientation="landscape"/>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sheetViews>
  <sheetFormatPr baseColWidth="10" defaultColWidth="12.6640625" defaultRowHeight="15" customHeight="1" x14ac:dyDescent="0.3"/>
  <cols>
    <col min="1" max="6" width="11.44140625" customWidth="1"/>
    <col min="7" max="21" width="10.6640625" customWidth="1"/>
  </cols>
  <sheetData>
    <row r="1" spans="1:26" ht="14.25" customHeight="1" x14ac:dyDescent="0.3">
      <c r="A1" s="7"/>
      <c r="B1" s="7"/>
      <c r="C1" s="7"/>
      <c r="D1" s="7"/>
      <c r="E1" s="7"/>
      <c r="F1" s="7"/>
      <c r="G1" s="7"/>
      <c r="H1" s="7"/>
      <c r="I1" s="7"/>
      <c r="J1" s="7"/>
      <c r="K1" s="7"/>
      <c r="L1" s="7"/>
      <c r="M1" s="7"/>
      <c r="N1" s="7"/>
      <c r="O1" s="7"/>
      <c r="P1" s="7"/>
      <c r="Q1" s="7"/>
      <c r="R1" s="7"/>
      <c r="S1" s="7"/>
      <c r="T1" s="7"/>
      <c r="U1" s="7"/>
      <c r="V1" s="7"/>
      <c r="W1" s="7"/>
      <c r="X1" s="7"/>
      <c r="Y1" s="7"/>
      <c r="Z1" s="7"/>
    </row>
    <row r="2" spans="1:26" ht="14.25" customHeight="1" x14ac:dyDescent="0.3">
      <c r="A2" s="7" t="s">
        <v>2220</v>
      </c>
      <c r="B2" s="7"/>
      <c r="C2" s="7"/>
      <c r="D2" s="7"/>
      <c r="E2" s="7"/>
      <c r="F2" s="7"/>
      <c r="G2" s="7"/>
      <c r="H2" s="7"/>
      <c r="I2" s="7"/>
      <c r="J2" s="7"/>
      <c r="K2" s="7"/>
      <c r="L2" s="7"/>
      <c r="M2" s="7"/>
      <c r="N2" s="7"/>
      <c r="O2" s="7"/>
      <c r="P2" s="7"/>
      <c r="Q2" s="7"/>
      <c r="R2" s="7"/>
      <c r="S2" s="7"/>
      <c r="T2" s="7"/>
      <c r="U2" s="7"/>
      <c r="V2" s="7"/>
      <c r="W2" s="7"/>
      <c r="X2" s="7"/>
      <c r="Y2" s="7"/>
      <c r="Z2" s="7"/>
    </row>
    <row r="3" spans="1:26" ht="14.25" customHeight="1" x14ac:dyDescent="0.3">
      <c r="A3" s="7" t="s">
        <v>2221</v>
      </c>
      <c r="B3" s="7"/>
      <c r="C3" s="7"/>
      <c r="D3" s="7"/>
      <c r="E3" s="7"/>
      <c r="F3" s="7"/>
      <c r="G3" s="7"/>
      <c r="H3" s="7"/>
      <c r="I3" s="7"/>
      <c r="J3" s="7"/>
      <c r="K3" s="7"/>
      <c r="L3" s="7"/>
      <c r="M3" s="7"/>
      <c r="N3" s="7"/>
      <c r="O3" s="7"/>
      <c r="P3" s="7"/>
      <c r="Q3" s="7"/>
      <c r="R3" s="7"/>
      <c r="S3" s="7"/>
      <c r="T3" s="7"/>
      <c r="U3" s="7"/>
      <c r="V3" s="7"/>
      <c r="W3" s="7"/>
      <c r="X3" s="7"/>
      <c r="Y3" s="7"/>
      <c r="Z3" s="7"/>
    </row>
    <row r="4" spans="1:26" ht="14.25" customHeight="1" x14ac:dyDescent="0.3">
      <c r="A4" s="7" t="s">
        <v>2222</v>
      </c>
      <c r="B4" s="7"/>
      <c r="C4" s="7"/>
      <c r="D4" s="7"/>
      <c r="E4" s="7"/>
      <c r="F4" s="7"/>
      <c r="G4" s="7"/>
      <c r="H4" s="7"/>
      <c r="I4" s="7"/>
      <c r="J4" s="7"/>
      <c r="K4" s="7"/>
      <c r="L4" s="7"/>
      <c r="M4" s="7"/>
      <c r="N4" s="7"/>
      <c r="O4" s="7"/>
      <c r="P4" s="7"/>
      <c r="Q4" s="7"/>
      <c r="R4" s="7"/>
      <c r="S4" s="7"/>
      <c r="T4" s="7"/>
      <c r="U4" s="7"/>
      <c r="V4" s="7"/>
      <c r="W4" s="7"/>
      <c r="X4" s="7"/>
      <c r="Y4" s="7"/>
      <c r="Z4" s="7"/>
    </row>
    <row r="5" spans="1:26" ht="14.25" customHeight="1" x14ac:dyDescent="0.3">
      <c r="A5" s="7" t="s">
        <v>2223</v>
      </c>
      <c r="B5" s="7"/>
      <c r="C5" s="7"/>
      <c r="D5" s="7"/>
      <c r="E5" s="7"/>
      <c r="F5" s="7"/>
      <c r="G5" s="7"/>
      <c r="H5" s="7"/>
      <c r="I5" s="7"/>
      <c r="J5" s="7"/>
      <c r="K5" s="7"/>
      <c r="L5" s="7"/>
      <c r="M5" s="7"/>
      <c r="N5" s="7"/>
      <c r="O5" s="7"/>
      <c r="P5" s="7"/>
      <c r="Q5" s="7"/>
      <c r="R5" s="7"/>
      <c r="S5" s="7"/>
      <c r="T5" s="7"/>
      <c r="U5" s="7"/>
      <c r="V5" s="7"/>
      <c r="W5" s="7"/>
      <c r="X5" s="7"/>
      <c r="Y5" s="7"/>
      <c r="Z5" s="7"/>
    </row>
    <row r="6" spans="1:26" ht="14.25" customHeight="1" x14ac:dyDescent="0.3">
      <c r="A6" s="7"/>
      <c r="B6" s="7"/>
      <c r="C6" s="7"/>
      <c r="D6" s="7"/>
      <c r="E6" s="7"/>
      <c r="F6" s="7"/>
      <c r="G6" s="7"/>
      <c r="H6" s="7"/>
      <c r="I6" s="7"/>
      <c r="J6" s="7"/>
      <c r="K6" s="7"/>
      <c r="L6" s="7"/>
      <c r="M6" s="7"/>
      <c r="N6" s="7"/>
      <c r="O6" s="7"/>
      <c r="P6" s="7"/>
      <c r="Q6" s="7"/>
      <c r="R6" s="7"/>
      <c r="S6" s="7"/>
      <c r="T6" s="7"/>
      <c r="U6" s="7"/>
      <c r="V6" s="7"/>
      <c r="W6" s="7"/>
      <c r="X6" s="7"/>
      <c r="Y6" s="7"/>
      <c r="Z6" s="7"/>
    </row>
    <row r="7" spans="1:26" ht="14.25" customHeight="1" x14ac:dyDescent="0.3">
      <c r="A7" s="7"/>
      <c r="B7" s="7"/>
      <c r="C7" s="7"/>
      <c r="D7" s="7"/>
      <c r="E7" s="7"/>
      <c r="F7" s="7"/>
      <c r="G7" s="7"/>
      <c r="H7" s="7"/>
      <c r="I7" s="7"/>
      <c r="J7" s="7"/>
      <c r="K7" s="7"/>
      <c r="L7" s="7"/>
      <c r="M7" s="7"/>
      <c r="N7" s="7"/>
      <c r="O7" s="7"/>
      <c r="P7" s="7"/>
      <c r="Q7" s="7"/>
      <c r="R7" s="7"/>
      <c r="S7" s="7"/>
      <c r="T7" s="7"/>
      <c r="U7" s="7"/>
      <c r="V7" s="7"/>
      <c r="W7" s="7"/>
      <c r="X7" s="7"/>
      <c r="Y7" s="7"/>
      <c r="Z7" s="7"/>
    </row>
    <row r="8" spans="1:26" ht="14.25" customHeight="1" x14ac:dyDescent="0.3">
      <c r="A8" s="7"/>
      <c r="B8" s="7"/>
      <c r="C8" s="7"/>
      <c r="D8" s="7"/>
      <c r="E8" s="7"/>
      <c r="F8" s="7"/>
      <c r="G8" s="7"/>
      <c r="H8" s="7"/>
      <c r="I8" s="7"/>
      <c r="J8" s="7"/>
      <c r="K8" s="7"/>
      <c r="L8" s="7"/>
      <c r="M8" s="7"/>
      <c r="N8" s="7"/>
      <c r="O8" s="7"/>
      <c r="P8" s="7"/>
      <c r="Q8" s="7"/>
      <c r="R8" s="7"/>
      <c r="S8" s="7"/>
      <c r="T8" s="7"/>
      <c r="U8" s="7"/>
      <c r="V8" s="7"/>
      <c r="W8" s="7"/>
      <c r="X8" s="7"/>
      <c r="Y8" s="7"/>
      <c r="Z8" s="7"/>
    </row>
    <row r="9" spans="1:26" ht="14.2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4.25" customHeight="1"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4.25" customHeight="1"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4.25" customHeight="1"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25" customHeight="1"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customHeight="1"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customHeight="1"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4.2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2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000"/>
  <sheetViews>
    <sheetView showGridLines="0" workbookViewId="0"/>
  </sheetViews>
  <sheetFormatPr baseColWidth="10" defaultColWidth="12.6640625" defaultRowHeight="15" customHeight="1" x14ac:dyDescent="0.3"/>
  <cols>
    <col min="1" max="6" width="10.6640625" customWidth="1"/>
  </cols>
  <sheetData>
    <row r="1" spans="1:6" ht="14.25" customHeight="1" x14ac:dyDescent="0.3">
      <c r="A1" s="7"/>
      <c r="B1" s="7"/>
      <c r="C1" s="7"/>
      <c r="D1" s="7"/>
      <c r="E1" s="7"/>
      <c r="F1" s="7"/>
    </row>
    <row r="2" spans="1:6" ht="14.25" customHeight="1" x14ac:dyDescent="0.3">
      <c r="A2" s="7"/>
      <c r="B2" s="7"/>
      <c r="C2" s="7"/>
      <c r="D2" s="7"/>
      <c r="E2" s="7"/>
      <c r="F2" s="7"/>
    </row>
    <row r="3" spans="1:6" ht="14.25" customHeight="1" x14ac:dyDescent="0.3">
      <c r="A3" s="7"/>
      <c r="B3" s="7"/>
      <c r="C3" s="7"/>
      <c r="D3" s="7"/>
      <c r="E3" s="7"/>
      <c r="F3" s="7"/>
    </row>
    <row r="4" spans="1:6" ht="14.25" customHeight="1" x14ac:dyDescent="0.3">
      <c r="A4" s="7"/>
      <c r="B4" s="7"/>
      <c r="C4" s="7"/>
      <c r="D4" s="7"/>
      <c r="E4" s="7"/>
      <c r="F4" s="7"/>
    </row>
    <row r="5" spans="1:6" ht="14.25" customHeight="1" x14ac:dyDescent="0.3">
      <c r="A5" s="7"/>
      <c r="B5" s="7"/>
      <c r="C5" s="7"/>
      <c r="D5" s="7"/>
      <c r="E5" s="7"/>
      <c r="F5" s="7"/>
    </row>
    <row r="6" spans="1:6" ht="14.25" customHeight="1" x14ac:dyDescent="0.3">
      <c r="A6" s="7"/>
      <c r="B6" s="7"/>
      <c r="C6" s="7"/>
      <c r="D6" s="7"/>
      <c r="E6" s="7"/>
      <c r="F6" s="7"/>
    </row>
    <row r="7" spans="1:6" ht="14.25" customHeight="1" x14ac:dyDescent="0.3">
      <c r="A7" s="7"/>
      <c r="B7" s="7"/>
      <c r="C7" s="7"/>
      <c r="D7" s="7"/>
      <c r="E7" s="7"/>
      <c r="F7" s="7"/>
    </row>
    <row r="8" spans="1:6" ht="14.25" customHeight="1" x14ac:dyDescent="0.3">
      <c r="A8" s="7"/>
      <c r="B8" s="7"/>
      <c r="C8" s="7"/>
      <c r="D8" s="7"/>
      <c r="E8" s="7"/>
      <c r="F8" s="7"/>
    </row>
    <row r="9" spans="1:6" ht="14.25" customHeight="1" x14ac:dyDescent="0.3">
      <c r="A9" s="7"/>
      <c r="B9" s="7"/>
      <c r="C9" s="7"/>
      <c r="D9" s="7"/>
      <c r="E9" s="7"/>
      <c r="F9" s="7"/>
    </row>
    <row r="10" spans="1:6" ht="14.25" customHeight="1" x14ac:dyDescent="0.3">
      <c r="A10" s="7"/>
      <c r="B10" s="7"/>
      <c r="C10" s="7"/>
      <c r="D10" s="7"/>
      <c r="E10" s="7"/>
      <c r="F10" s="7"/>
    </row>
    <row r="11" spans="1:6" ht="14.25" customHeight="1" x14ac:dyDescent="0.3">
      <c r="A11" s="7"/>
      <c r="B11" s="7"/>
      <c r="C11" s="7"/>
      <c r="D11" s="7"/>
      <c r="E11" s="7"/>
      <c r="F11" s="7"/>
    </row>
    <row r="12" spans="1:6" ht="14.25" customHeight="1" x14ac:dyDescent="0.3">
      <c r="A12" s="7"/>
      <c r="B12" s="7"/>
      <c r="C12" s="7"/>
      <c r="D12" s="7"/>
      <c r="E12" s="7"/>
      <c r="F12" s="7"/>
    </row>
    <row r="13" spans="1:6" ht="14.25" customHeight="1" x14ac:dyDescent="0.3">
      <c r="A13" s="7"/>
      <c r="B13" s="7"/>
      <c r="C13" s="7"/>
      <c r="D13" s="7"/>
      <c r="E13" s="7"/>
      <c r="F13" s="7"/>
    </row>
    <row r="14" spans="1:6" ht="14.25" customHeight="1" x14ac:dyDescent="0.3">
      <c r="A14" s="7"/>
      <c r="B14" s="7"/>
      <c r="C14" s="7"/>
      <c r="D14" s="7"/>
      <c r="E14" s="7"/>
      <c r="F14" s="7"/>
    </row>
    <row r="15" spans="1:6" ht="14.25" customHeight="1" x14ac:dyDescent="0.3">
      <c r="A15" s="7"/>
      <c r="B15" s="7"/>
      <c r="C15" s="7"/>
      <c r="D15" s="7"/>
      <c r="E15" s="7"/>
      <c r="F15" s="7"/>
    </row>
    <row r="16" spans="1:6" ht="14.25" customHeight="1" x14ac:dyDescent="0.3">
      <c r="A16" s="7"/>
      <c r="B16" s="7"/>
      <c r="C16" s="7"/>
      <c r="D16" s="7"/>
      <c r="E16" s="7"/>
      <c r="F16" s="7"/>
    </row>
    <row r="17" spans="1:6" ht="14.25" customHeight="1" x14ac:dyDescent="0.3">
      <c r="A17" s="7"/>
      <c r="B17" s="7"/>
      <c r="C17" s="7"/>
      <c r="D17" s="7"/>
      <c r="E17" s="7"/>
      <c r="F17" s="7"/>
    </row>
    <row r="18" spans="1:6" ht="14.25" customHeight="1" x14ac:dyDescent="0.3">
      <c r="A18" s="7"/>
      <c r="B18" s="7"/>
      <c r="C18" s="7"/>
      <c r="D18" s="7"/>
      <c r="E18" s="7"/>
      <c r="F18" s="7"/>
    </row>
    <row r="19" spans="1:6" ht="14.25" customHeight="1" x14ac:dyDescent="0.3">
      <c r="A19" s="7"/>
      <c r="B19" s="7"/>
      <c r="C19" s="7"/>
      <c r="D19" s="7"/>
      <c r="E19" s="7"/>
      <c r="F19" s="7"/>
    </row>
    <row r="20" spans="1:6" ht="14.25" customHeight="1" x14ac:dyDescent="0.3">
      <c r="A20" s="7"/>
      <c r="B20" s="7"/>
      <c r="C20" s="7"/>
      <c r="D20" s="7"/>
      <c r="E20" s="7"/>
      <c r="F20" s="7"/>
    </row>
    <row r="21" spans="1:6" ht="14.25" customHeight="1" x14ac:dyDescent="0.3">
      <c r="A21" s="7"/>
      <c r="B21" s="7"/>
      <c r="C21" s="7"/>
      <c r="D21" s="7"/>
      <c r="E21" s="7"/>
      <c r="F21" s="7"/>
    </row>
    <row r="22" spans="1:6" ht="14.25" customHeight="1" x14ac:dyDescent="0.3">
      <c r="A22" s="7"/>
      <c r="B22" s="7"/>
      <c r="C22" s="7"/>
      <c r="D22" s="7"/>
      <c r="E22" s="7"/>
      <c r="F22" s="7"/>
    </row>
    <row r="23" spans="1:6" ht="14.25" customHeight="1" x14ac:dyDescent="0.3">
      <c r="A23" s="7"/>
      <c r="B23" s="7"/>
      <c r="C23" s="7"/>
      <c r="D23" s="7"/>
      <c r="E23" s="7"/>
      <c r="F23" s="7"/>
    </row>
    <row r="24" spans="1:6" ht="14.25" customHeight="1" x14ac:dyDescent="0.3">
      <c r="A24" s="7"/>
      <c r="B24" s="7"/>
      <c r="C24" s="7"/>
      <c r="D24" s="7"/>
      <c r="E24" s="7"/>
      <c r="F24" s="7"/>
    </row>
    <row r="25" spans="1:6" ht="14.25" customHeight="1" x14ac:dyDescent="0.3">
      <c r="A25" s="7"/>
      <c r="B25" s="7"/>
      <c r="C25" s="7"/>
      <c r="D25" s="7"/>
      <c r="E25" s="7"/>
      <c r="F25" s="7"/>
    </row>
    <row r="26" spans="1:6" ht="14.25" customHeight="1" x14ac:dyDescent="0.3">
      <c r="A26" s="7"/>
      <c r="B26" s="7"/>
      <c r="C26" s="7"/>
      <c r="D26" s="7"/>
      <c r="E26" s="7"/>
      <c r="F26" s="7"/>
    </row>
    <row r="27" spans="1:6" ht="14.25" customHeight="1" x14ac:dyDescent="0.3">
      <c r="A27" s="7"/>
      <c r="B27" s="7"/>
      <c r="C27" s="7"/>
      <c r="D27" s="7"/>
      <c r="E27" s="7"/>
      <c r="F27" s="7"/>
    </row>
    <row r="28" spans="1:6" ht="14.25" customHeight="1" x14ac:dyDescent="0.3">
      <c r="A28" s="7"/>
      <c r="B28" s="7"/>
      <c r="C28" s="7"/>
      <c r="D28" s="7"/>
      <c r="E28" s="7"/>
      <c r="F28" s="7"/>
    </row>
    <row r="29" spans="1:6" ht="14.25" customHeight="1" x14ac:dyDescent="0.3">
      <c r="A29" s="7"/>
      <c r="B29" s="7"/>
      <c r="C29" s="7"/>
      <c r="D29" s="7"/>
      <c r="E29" s="7"/>
      <c r="F29" s="7"/>
    </row>
    <row r="30" spans="1:6" ht="14.25" customHeight="1" x14ac:dyDescent="0.3">
      <c r="A30" s="7"/>
      <c r="B30" s="7"/>
      <c r="C30" s="7"/>
      <c r="D30" s="7"/>
      <c r="E30" s="7"/>
      <c r="F30" s="7"/>
    </row>
    <row r="31" spans="1:6" ht="14.25" customHeight="1" x14ac:dyDescent="0.3">
      <c r="A31" s="7"/>
      <c r="B31" s="7"/>
      <c r="C31" s="7"/>
      <c r="D31" s="7"/>
      <c r="E31" s="7"/>
      <c r="F31" s="7"/>
    </row>
    <row r="32" spans="1:6" ht="14.25" customHeight="1" x14ac:dyDescent="0.3">
      <c r="A32" s="7"/>
      <c r="B32" s="7"/>
      <c r="C32" s="7"/>
      <c r="D32" s="7"/>
      <c r="E32" s="7"/>
      <c r="F32" s="7"/>
    </row>
    <row r="33" spans="1:6" ht="14.25" customHeight="1" x14ac:dyDescent="0.3">
      <c r="A33" s="7"/>
      <c r="B33" s="7"/>
      <c r="C33" s="7"/>
      <c r="D33" s="7"/>
      <c r="E33" s="7"/>
      <c r="F33" s="7"/>
    </row>
    <row r="34" spans="1:6" ht="14.25" customHeight="1" x14ac:dyDescent="0.3">
      <c r="A34" s="7"/>
      <c r="B34" s="7"/>
      <c r="C34" s="7"/>
      <c r="D34" s="7"/>
      <c r="E34" s="7"/>
      <c r="F34" s="7"/>
    </row>
    <row r="35" spans="1:6" ht="14.25" customHeight="1" x14ac:dyDescent="0.3">
      <c r="A35" s="7"/>
      <c r="B35" s="7"/>
      <c r="C35" s="7"/>
      <c r="D35" s="7"/>
      <c r="E35" s="7"/>
      <c r="F35" s="7"/>
    </row>
    <row r="36" spans="1:6" ht="14.25" customHeight="1" x14ac:dyDescent="0.3">
      <c r="A36" s="7"/>
      <c r="B36" s="7"/>
      <c r="C36" s="7"/>
      <c r="D36" s="7"/>
      <c r="E36" s="7"/>
      <c r="F36" s="7"/>
    </row>
    <row r="37" spans="1:6" ht="14.25" customHeight="1" x14ac:dyDescent="0.3">
      <c r="A37" s="7"/>
      <c r="B37" s="7"/>
      <c r="C37" s="7"/>
      <c r="D37" s="7"/>
      <c r="E37" s="7"/>
      <c r="F37" s="7"/>
    </row>
    <row r="38" spans="1:6" ht="14.25" customHeight="1" x14ac:dyDescent="0.3">
      <c r="A38" s="7"/>
      <c r="B38" s="7"/>
      <c r="C38" s="7"/>
      <c r="D38" s="7"/>
      <c r="E38" s="7"/>
      <c r="F38" s="7"/>
    </row>
    <row r="39" spans="1:6" ht="14.25" customHeight="1" x14ac:dyDescent="0.3">
      <c r="A39" s="7"/>
      <c r="B39" s="7"/>
      <c r="C39" s="7"/>
      <c r="D39" s="7"/>
      <c r="E39" s="7"/>
      <c r="F39" s="7"/>
    </row>
    <row r="40" spans="1:6" ht="14.25" customHeight="1" x14ac:dyDescent="0.3">
      <c r="A40" s="7"/>
      <c r="B40" s="7"/>
      <c r="C40" s="7"/>
      <c r="D40" s="7"/>
      <c r="E40" s="7"/>
      <c r="F40" s="7"/>
    </row>
    <row r="41" spans="1:6" ht="14.25" customHeight="1" x14ac:dyDescent="0.3">
      <c r="A41" s="7"/>
      <c r="B41" s="7"/>
      <c r="C41" s="7"/>
      <c r="D41" s="7"/>
      <c r="E41" s="7"/>
      <c r="F41" s="7"/>
    </row>
    <row r="42" spans="1:6" ht="14.25" customHeight="1" x14ac:dyDescent="0.3">
      <c r="A42" s="7"/>
      <c r="B42" s="7"/>
      <c r="C42" s="7"/>
      <c r="D42" s="7"/>
      <c r="E42" s="7"/>
      <c r="F42" s="7"/>
    </row>
    <row r="43" spans="1:6" ht="14.25" customHeight="1" x14ac:dyDescent="0.3">
      <c r="A43" s="7"/>
      <c r="B43" s="7"/>
      <c r="C43" s="7"/>
      <c r="D43" s="7"/>
      <c r="E43" s="7"/>
      <c r="F43" s="7"/>
    </row>
    <row r="44" spans="1:6" ht="14.25" customHeight="1" x14ac:dyDescent="0.3">
      <c r="A44" s="7"/>
      <c r="B44" s="7"/>
      <c r="C44" s="7"/>
      <c r="D44" s="7"/>
      <c r="E44" s="7"/>
      <c r="F44" s="7"/>
    </row>
    <row r="45" spans="1:6" ht="14.25" customHeight="1" x14ac:dyDescent="0.3">
      <c r="A45" s="7"/>
      <c r="B45" s="7"/>
      <c r="C45" s="7"/>
      <c r="D45" s="7"/>
      <c r="E45" s="7"/>
      <c r="F45" s="7"/>
    </row>
    <row r="46" spans="1:6" ht="14.25" customHeight="1" x14ac:dyDescent="0.3">
      <c r="A46" s="7"/>
      <c r="B46" s="7"/>
      <c r="C46" s="7"/>
      <c r="D46" s="7"/>
      <c r="E46" s="7"/>
      <c r="F46" s="7"/>
    </row>
    <row r="47" spans="1:6" ht="14.25" customHeight="1" x14ac:dyDescent="0.3">
      <c r="A47" s="7"/>
      <c r="B47" s="7"/>
      <c r="C47" s="7"/>
      <c r="D47" s="7"/>
      <c r="E47" s="7"/>
      <c r="F47" s="7"/>
    </row>
    <row r="48" spans="1:6" ht="14.25" customHeight="1" x14ac:dyDescent="0.3">
      <c r="A48" s="7"/>
      <c r="B48" s="7"/>
      <c r="C48" s="7"/>
      <c r="D48" s="7"/>
      <c r="E48" s="7"/>
      <c r="F48" s="7"/>
    </row>
    <row r="49" spans="1:6" ht="14.25" customHeight="1" x14ac:dyDescent="0.3">
      <c r="A49" s="7"/>
      <c r="B49" s="7"/>
      <c r="C49" s="7"/>
      <c r="D49" s="7"/>
      <c r="E49" s="7"/>
      <c r="F49" s="7"/>
    </row>
    <row r="50" spans="1:6" ht="14.25" customHeight="1" x14ac:dyDescent="0.3">
      <c r="A50" s="7"/>
      <c r="B50" s="7"/>
      <c r="C50" s="7"/>
      <c r="D50" s="7"/>
      <c r="E50" s="7"/>
      <c r="F50" s="7"/>
    </row>
    <row r="51" spans="1:6" ht="14.25" customHeight="1" x14ac:dyDescent="0.3">
      <c r="A51" s="7"/>
      <c r="B51" s="7"/>
      <c r="C51" s="7"/>
      <c r="D51" s="7"/>
      <c r="E51" s="7"/>
      <c r="F51" s="7"/>
    </row>
    <row r="52" spans="1:6" ht="14.25" customHeight="1" x14ac:dyDescent="0.3">
      <c r="A52" s="7"/>
      <c r="B52" s="7"/>
      <c r="C52" s="7"/>
      <c r="D52" s="7"/>
      <c r="E52" s="7"/>
      <c r="F52" s="7"/>
    </row>
    <row r="53" spans="1:6" ht="14.25" customHeight="1" x14ac:dyDescent="0.3">
      <c r="A53" s="7"/>
      <c r="B53" s="7"/>
      <c r="C53" s="7"/>
      <c r="D53" s="7"/>
      <c r="E53" s="7"/>
      <c r="F53" s="7"/>
    </row>
    <row r="54" spans="1:6" ht="14.25" customHeight="1" x14ac:dyDescent="0.3">
      <c r="A54" s="7"/>
      <c r="B54" s="7"/>
      <c r="C54" s="7"/>
      <c r="D54" s="7"/>
      <c r="E54" s="7"/>
      <c r="F54" s="7"/>
    </row>
    <row r="55" spans="1:6" ht="14.25" customHeight="1" x14ac:dyDescent="0.3">
      <c r="A55" s="7"/>
      <c r="B55" s="7"/>
      <c r="C55" s="7"/>
      <c r="D55" s="7"/>
      <c r="E55" s="7"/>
      <c r="F55" s="7"/>
    </row>
    <row r="56" spans="1:6" ht="14.25" customHeight="1" x14ac:dyDescent="0.3">
      <c r="A56" s="7"/>
      <c r="B56" s="7"/>
      <c r="C56" s="7"/>
      <c r="D56" s="7"/>
      <c r="E56" s="7"/>
      <c r="F56" s="7"/>
    </row>
    <row r="57" spans="1:6" ht="14.25" customHeight="1" x14ac:dyDescent="0.3">
      <c r="A57" s="7"/>
      <c r="B57" s="7"/>
      <c r="C57" s="7"/>
      <c r="D57" s="7"/>
      <c r="E57" s="7"/>
      <c r="F57" s="7"/>
    </row>
    <row r="58" spans="1:6" ht="14.25" customHeight="1" x14ac:dyDescent="0.3">
      <c r="A58" s="7"/>
      <c r="B58" s="7"/>
      <c r="C58" s="7"/>
      <c r="D58" s="7"/>
      <c r="E58" s="7"/>
      <c r="F58" s="7"/>
    </row>
    <row r="59" spans="1:6" ht="14.25" customHeight="1" x14ac:dyDescent="0.3">
      <c r="A59" s="7"/>
      <c r="B59" s="7"/>
      <c r="C59" s="7"/>
      <c r="D59" s="7"/>
      <c r="E59" s="7"/>
      <c r="F59" s="7"/>
    </row>
    <row r="60" spans="1:6" ht="14.25" customHeight="1" x14ac:dyDescent="0.3">
      <c r="A60" s="7"/>
      <c r="B60" s="7"/>
      <c r="C60" s="7"/>
      <c r="D60" s="7"/>
      <c r="E60" s="7"/>
      <c r="F60" s="7"/>
    </row>
    <row r="61" spans="1:6" ht="14.25" customHeight="1" x14ac:dyDescent="0.3">
      <c r="A61" s="7"/>
      <c r="B61" s="7"/>
      <c r="C61" s="7"/>
      <c r="D61" s="7"/>
      <c r="E61" s="7"/>
      <c r="F61" s="7"/>
    </row>
    <row r="62" spans="1:6" ht="14.25" customHeight="1" x14ac:dyDescent="0.3">
      <c r="A62" s="7"/>
      <c r="B62" s="7"/>
      <c r="C62" s="7"/>
      <c r="D62" s="7"/>
      <c r="E62" s="7"/>
      <c r="F62" s="7"/>
    </row>
    <row r="63" spans="1:6" ht="14.25" customHeight="1" x14ac:dyDescent="0.3">
      <c r="A63" s="7"/>
      <c r="B63" s="7"/>
      <c r="C63" s="7"/>
      <c r="D63" s="7"/>
      <c r="E63" s="7"/>
      <c r="F63" s="7"/>
    </row>
    <row r="64" spans="1:6" ht="14.25" customHeight="1" x14ac:dyDescent="0.3">
      <c r="A64" s="7"/>
      <c r="B64" s="7"/>
      <c r="C64" s="7"/>
      <c r="D64" s="7"/>
      <c r="E64" s="7"/>
      <c r="F64" s="7"/>
    </row>
    <row r="65" spans="1:6" ht="14.25" customHeight="1" x14ac:dyDescent="0.3">
      <c r="A65" s="7"/>
      <c r="B65" s="7"/>
      <c r="C65" s="7"/>
      <c r="D65" s="7"/>
      <c r="E65" s="7"/>
      <c r="F65" s="7"/>
    </row>
    <row r="66" spans="1:6" ht="14.25" customHeight="1" x14ac:dyDescent="0.3">
      <c r="A66" s="7"/>
      <c r="B66" s="7"/>
      <c r="C66" s="7"/>
      <c r="D66" s="7"/>
      <c r="E66" s="7"/>
      <c r="F66" s="7"/>
    </row>
    <row r="67" spans="1:6" ht="14.25" customHeight="1" x14ac:dyDescent="0.3">
      <c r="A67" s="7"/>
      <c r="B67" s="7"/>
      <c r="C67" s="7"/>
      <c r="D67" s="7"/>
      <c r="E67" s="7"/>
      <c r="F67" s="7"/>
    </row>
    <row r="68" spans="1:6" ht="14.25" customHeight="1" x14ac:dyDescent="0.3">
      <c r="A68" s="7"/>
      <c r="B68" s="7"/>
      <c r="C68" s="7"/>
      <c r="D68" s="7"/>
      <c r="E68" s="7"/>
      <c r="F68" s="7"/>
    </row>
    <row r="69" spans="1:6" ht="14.25" customHeight="1" x14ac:dyDescent="0.3">
      <c r="A69" s="7"/>
      <c r="B69" s="7"/>
      <c r="C69" s="7"/>
      <c r="D69" s="7"/>
      <c r="E69" s="7"/>
      <c r="F69" s="7"/>
    </row>
    <row r="70" spans="1:6" ht="14.25" customHeight="1" x14ac:dyDescent="0.3">
      <c r="A70" s="7"/>
      <c r="B70" s="7"/>
      <c r="C70" s="7"/>
      <c r="D70" s="7"/>
      <c r="E70" s="7"/>
      <c r="F70" s="7"/>
    </row>
    <row r="71" spans="1:6" ht="14.25" customHeight="1" x14ac:dyDescent="0.3">
      <c r="A71" s="7"/>
      <c r="B71" s="7"/>
      <c r="C71" s="7"/>
      <c r="D71" s="7"/>
      <c r="E71" s="7"/>
      <c r="F71" s="7"/>
    </row>
    <row r="72" spans="1:6" ht="14.25" customHeight="1" x14ac:dyDescent="0.3">
      <c r="A72" s="7"/>
      <c r="B72" s="7"/>
      <c r="C72" s="7"/>
      <c r="D72" s="7"/>
      <c r="E72" s="7"/>
      <c r="F72" s="7"/>
    </row>
    <row r="73" spans="1:6" ht="14.25" customHeight="1" x14ac:dyDescent="0.3">
      <c r="A73" s="7"/>
      <c r="B73" s="7"/>
      <c r="C73" s="7"/>
      <c r="D73" s="7"/>
      <c r="E73" s="7"/>
      <c r="F73" s="7"/>
    </row>
    <row r="74" spans="1:6" ht="14.25" customHeight="1" x14ac:dyDescent="0.3">
      <c r="A74" s="7"/>
      <c r="B74" s="7"/>
      <c r="C74" s="7"/>
      <c r="D74" s="7"/>
      <c r="E74" s="7"/>
      <c r="F74" s="7"/>
    </row>
    <row r="75" spans="1:6" ht="14.25" customHeight="1" x14ac:dyDescent="0.3">
      <c r="A75" s="7"/>
      <c r="B75" s="7"/>
      <c r="C75" s="7"/>
      <c r="D75" s="7"/>
      <c r="E75" s="7"/>
      <c r="F75" s="7"/>
    </row>
    <row r="76" spans="1:6" ht="14.25" customHeight="1" x14ac:dyDescent="0.3">
      <c r="A76" s="7"/>
      <c r="B76" s="7"/>
      <c r="C76" s="7"/>
      <c r="D76" s="7"/>
      <c r="E76" s="7"/>
      <c r="F76" s="7"/>
    </row>
    <row r="77" spans="1:6" ht="14.25" customHeight="1" x14ac:dyDescent="0.3">
      <c r="A77" s="7"/>
      <c r="B77" s="7"/>
      <c r="C77" s="7"/>
      <c r="D77" s="7"/>
      <c r="E77" s="7"/>
      <c r="F77" s="7"/>
    </row>
    <row r="78" spans="1:6" ht="14.25" customHeight="1" x14ac:dyDescent="0.3">
      <c r="A78" s="7"/>
      <c r="B78" s="7"/>
      <c r="C78" s="7"/>
      <c r="D78" s="7"/>
      <c r="E78" s="7"/>
      <c r="F78" s="7"/>
    </row>
    <row r="79" spans="1:6" ht="14.25" customHeight="1" x14ac:dyDescent="0.3">
      <c r="A79" s="7"/>
      <c r="B79" s="7"/>
      <c r="C79" s="7"/>
      <c r="D79" s="7"/>
      <c r="E79" s="7"/>
      <c r="F79" s="7"/>
    </row>
    <row r="80" spans="1:6" ht="14.25" customHeight="1" x14ac:dyDescent="0.3">
      <c r="A80" s="7"/>
      <c r="B80" s="7"/>
      <c r="C80" s="7"/>
      <c r="D80" s="7"/>
      <c r="E80" s="7"/>
      <c r="F80" s="7"/>
    </row>
    <row r="81" spans="1:6" ht="14.25" customHeight="1" x14ac:dyDescent="0.3">
      <c r="A81" s="7"/>
      <c r="B81" s="7"/>
      <c r="C81" s="7"/>
      <c r="D81" s="7"/>
      <c r="E81" s="7"/>
      <c r="F81" s="7"/>
    </row>
    <row r="82" spans="1:6" ht="14.25" customHeight="1" x14ac:dyDescent="0.3">
      <c r="A82" s="7"/>
      <c r="B82" s="7"/>
      <c r="C82" s="7"/>
      <c r="D82" s="7"/>
      <c r="E82" s="7"/>
      <c r="F82" s="7"/>
    </row>
    <row r="83" spans="1:6" ht="14.25" customHeight="1" x14ac:dyDescent="0.3">
      <c r="A83" s="7"/>
      <c r="B83" s="7"/>
      <c r="C83" s="7"/>
      <c r="D83" s="7"/>
      <c r="E83" s="7"/>
      <c r="F83" s="7"/>
    </row>
    <row r="84" spans="1:6" ht="14.25" customHeight="1" x14ac:dyDescent="0.3">
      <c r="A84" s="7"/>
      <c r="B84" s="7"/>
      <c r="C84" s="7"/>
      <c r="D84" s="7"/>
      <c r="E84" s="7"/>
      <c r="F84" s="7"/>
    </row>
    <row r="85" spans="1:6" ht="14.25" customHeight="1" x14ac:dyDescent="0.3">
      <c r="A85" s="7"/>
      <c r="B85" s="7"/>
      <c r="C85" s="7"/>
      <c r="D85" s="7"/>
      <c r="E85" s="7"/>
      <c r="F85" s="7"/>
    </row>
    <row r="86" spans="1:6" ht="14.25" customHeight="1" x14ac:dyDescent="0.3">
      <c r="A86" s="7"/>
      <c r="B86" s="7"/>
      <c r="C86" s="7"/>
      <c r="D86" s="7"/>
      <c r="E86" s="7"/>
      <c r="F86" s="7"/>
    </row>
    <row r="87" spans="1:6" ht="14.25" customHeight="1" x14ac:dyDescent="0.3">
      <c r="A87" s="7"/>
      <c r="B87" s="7"/>
      <c r="C87" s="7"/>
      <c r="D87" s="7"/>
      <c r="E87" s="7"/>
      <c r="F87" s="7"/>
    </row>
    <row r="88" spans="1:6" ht="14.25" customHeight="1" x14ac:dyDescent="0.3">
      <c r="A88" s="7"/>
      <c r="B88" s="7"/>
      <c r="C88" s="7"/>
      <c r="D88" s="7"/>
      <c r="E88" s="7"/>
      <c r="F88" s="7"/>
    </row>
    <row r="89" spans="1:6" ht="14.25" customHeight="1" x14ac:dyDescent="0.3">
      <c r="A89" s="7"/>
      <c r="B89" s="7"/>
      <c r="C89" s="7"/>
      <c r="D89" s="7"/>
      <c r="E89" s="7"/>
      <c r="F89" s="7"/>
    </row>
    <row r="90" spans="1:6" ht="14.25" customHeight="1" x14ac:dyDescent="0.3">
      <c r="A90" s="7"/>
      <c r="B90" s="7"/>
      <c r="C90" s="7"/>
      <c r="D90" s="7"/>
      <c r="E90" s="7"/>
      <c r="F90" s="7"/>
    </row>
    <row r="91" spans="1:6" ht="14.25" customHeight="1" x14ac:dyDescent="0.3">
      <c r="A91" s="7"/>
      <c r="B91" s="7"/>
      <c r="C91" s="7"/>
      <c r="D91" s="7"/>
      <c r="E91" s="7"/>
      <c r="F91" s="7"/>
    </row>
    <row r="92" spans="1:6" ht="14.25" customHeight="1" x14ac:dyDescent="0.3">
      <c r="A92" s="7"/>
      <c r="B92" s="7"/>
      <c r="C92" s="7"/>
      <c r="D92" s="7"/>
      <c r="E92" s="7"/>
      <c r="F92" s="7"/>
    </row>
    <row r="93" spans="1:6" ht="14.25" customHeight="1" x14ac:dyDescent="0.3">
      <c r="A93" s="7"/>
      <c r="B93" s="7"/>
      <c r="C93" s="7"/>
      <c r="D93" s="7"/>
      <c r="E93" s="7"/>
      <c r="F93" s="7"/>
    </row>
    <row r="94" spans="1:6" ht="14.25" customHeight="1" x14ac:dyDescent="0.3">
      <c r="A94" s="7"/>
      <c r="B94" s="7"/>
      <c r="C94" s="7"/>
      <c r="D94" s="7"/>
      <c r="E94" s="7"/>
      <c r="F94" s="7"/>
    </row>
    <row r="95" spans="1:6" ht="14.25" customHeight="1" x14ac:dyDescent="0.3">
      <c r="A95" s="7"/>
      <c r="B95" s="7"/>
      <c r="C95" s="7"/>
      <c r="D95" s="7"/>
      <c r="E95" s="7"/>
      <c r="F95" s="7"/>
    </row>
    <row r="96" spans="1:6" ht="14.25" customHeight="1" x14ac:dyDescent="0.3">
      <c r="A96" s="7"/>
      <c r="B96" s="7"/>
      <c r="C96" s="7"/>
      <c r="D96" s="7"/>
      <c r="E96" s="7"/>
      <c r="F96" s="7"/>
    </row>
    <row r="97" spans="1:6" ht="14.25" customHeight="1" x14ac:dyDescent="0.3">
      <c r="A97" s="7"/>
      <c r="B97" s="7"/>
      <c r="C97" s="7"/>
      <c r="D97" s="7"/>
      <c r="E97" s="7"/>
      <c r="F97" s="7"/>
    </row>
    <row r="98" spans="1:6" ht="14.25" customHeight="1" x14ac:dyDescent="0.3">
      <c r="A98" s="7"/>
      <c r="B98" s="7"/>
      <c r="C98" s="7"/>
      <c r="D98" s="7"/>
      <c r="E98" s="7"/>
      <c r="F98" s="7"/>
    </row>
    <row r="99" spans="1:6" ht="14.25" customHeight="1" x14ac:dyDescent="0.3">
      <c r="A99" s="7"/>
      <c r="B99" s="7"/>
      <c r="C99" s="7"/>
      <c r="D99" s="7"/>
      <c r="E99" s="7"/>
      <c r="F99" s="7"/>
    </row>
    <row r="100" spans="1:6" ht="14.25" customHeight="1" x14ac:dyDescent="0.3">
      <c r="A100" s="7"/>
      <c r="B100" s="7"/>
      <c r="C100" s="7"/>
      <c r="D100" s="7"/>
      <c r="E100" s="7"/>
      <c r="F100" s="7"/>
    </row>
    <row r="101" spans="1:6" ht="14.25" customHeight="1" x14ac:dyDescent="0.3">
      <c r="A101" s="7"/>
      <c r="B101" s="7"/>
      <c r="C101" s="7"/>
      <c r="D101" s="7"/>
      <c r="E101" s="7"/>
      <c r="F101" s="7"/>
    </row>
    <row r="102" spans="1:6" ht="14.25" customHeight="1" x14ac:dyDescent="0.3">
      <c r="A102" s="7"/>
      <c r="B102" s="7"/>
      <c r="C102" s="7"/>
      <c r="D102" s="7"/>
      <c r="E102" s="7"/>
      <c r="F102" s="7"/>
    </row>
    <row r="103" spans="1:6" ht="14.25" customHeight="1" x14ac:dyDescent="0.3">
      <c r="A103" s="7"/>
      <c r="B103" s="7"/>
      <c r="C103" s="7"/>
      <c r="D103" s="7"/>
      <c r="E103" s="7"/>
      <c r="F103" s="7"/>
    </row>
    <row r="104" spans="1:6" ht="14.25" customHeight="1" x14ac:dyDescent="0.3">
      <c r="A104" s="7"/>
      <c r="B104" s="7"/>
      <c r="C104" s="7"/>
      <c r="D104" s="7"/>
      <c r="E104" s="7"/>
      <c r="F104" s="7"/>
    </row>
    <row r="105" spans="1:6" ht="14.25" customHeight="1" x14ac:dyDescent="0.3">
      <c r="A105" s="7"/>
      <c r="B105" s="7"/>
      <c r="C105" s="7"/>
      <c r="D105" s="7"/>
      <c r="E105" s="7"/>
      <c r="F105" s="7"/>
    </row>
    <row r="106" spans="1:6" ht="14.25" customHeight="1" x14ac:dyDescent="0.3">
      <c r="A106" s="7"/>
      <c r="B106" s="7"/>
      <c r="C106" s="7"/>
      <c r="D106" s="7"/>
      <c r="E106" s="7"/>
      <c r="F106" s="7"/>
    </row>
    <row r="107" spans="1:6" ht="14.25" customHeight="1" x14ac:dyDescent="0.3">
      <c r="A107" s="7"/>
      <c r="B107" s="7"/>
      <c r="C107" s="7"/>
      <c r="D107" s="7"/>
      <c r="E107" s="7"/>
      <c r="F107" s="7"/>
    </row>
    <row r="108" spans="1:6" ht="14.25" customHeight="1" x14ac:dyDescent="0.3">
      <c r="A108" s="7"/>
      <c r="B108" s="7"/>
      <c r="C108" s="7"/>
      <c r="D108" s="7"/>
      <c r="E108" s="7"/>
      <c r="F108" s="7"/>
    </row>
    <row r="109" spans="1:6" ht="14.25" customHeight="1" x14ac:dyDescent="0.3">
      <c r="A109" s="7"/>
      <c r="B109" s="7"/>
      <c r="C109" s="7"/>
      <c r="D109" s="7"/>
      <c r="E109" s="7"/>
      <c r="F109" s="7"/>
    </row>
    <row r="110" spans="1:6" ht="14.25" customHeight="1" x14ac:dyDescent="0.3">
      <c r="A110" s="7"/>
      <c r="B110" s="7"/>
      <c r="C110" s="7"/>
      <c r="D110" s="7"/>
      <c r="E110" s="7"/>
      <c r="F110" s="7"/>
    </row>
    <row r="111" spans="1:6" ht="14.25" customHeight="1" x14ac:dyDescent="0.3">
      <c r="A111" s="7"/>
      <c r="B111" s="7"/>
      <c r="C111" s="7"/>
      <c r="D111" s="7"/>
      <c r="E111" s="7"/>
      <c r="F111" s="7"/>
    </row>
    <row r="112" spans="1:6" ht="14.25" customHeight="1" x14ac:dyDescent="0.3">
      <c r="A112" s="7"/>
      <c r="B112" s="7"/>
      <c r="C112" s="7"/>
      <c r="D112" s="7"/>
      <c r="E112" s="7"/>
      <c r="F112" s="7"/>
    </row>
    <row r="113" spans="1:6" ht="14.25" customHeight="1" x14ac:dyDescent="0.3">
      <c r="A113" s="7"/>
      <c r="B113" s="7"/>
      <c r="C113" s="7"/>
      <c r="D113" s="7"/>
      <c r="E113" s="7"/>
      <c r="F113" s="7"/>
    </row>
    <row r="114" spans="1:6" ht="14.25" customHeight="1" x14ac:dyDescent="0.3">
      <c r="A114" s="7"/>
      <c r="B114" s="7"/>
      <c r="C114" s="7"/>
      <c r="D114" s="7"/>
      <c r="E114" s="7"/>
      <c r="F114" s="7"/>
    </row>
    <row r="115" spans="1:6" ht="14.25" customHeight="1" x14ac:dyDescent="0.3">
      <c r="A115" s="7"/>
      <c r="B115" s="7"/>
      <c r="C115" s="7"/>
      <c r="D115" s="7"/>
      <c r="E115" s="7"/>
      <c r="F115" s="7"/>
    </row>
    <row r="116" spans="1:6" ht="14.25" customHeight="1" x14ac:dyDescent="0.3">
      <c r="A116" s="7"/>
      <c r="B116" s="7"/>
      <c r="C116" s="7"/>
      <c r="D116" s="7"/>
      <c r="E116" s="7"/>
      <c r="F116" s="7"/>
    </row>
    <row r="117" spans="1:6" ht="14.25" customHeight="1" x14ac:dyDescent="0.3">
      <c r="A117" s="7"/>
      <c r="B117" s="7"/>
      <c r="C117" s="7"/>
      <c r="D117" s="7"/>
      <c r="E117" s="7"/>
      <c r="F117" s="7"/>
    </row>
    <row r="118" spans="1:6" ht="14.25" customHeight="1" x14ac:dyDescent="0.3">
      <c r="A118" s="7"/>
      <c r="B118" s="7"/>
      <c r="C118" s="7"/>
      <c r="D118" s="7"/>
      <c r="E118" s="7"/>
      <c r="F118" s="7"/>
    </row>
    <row r="119" spans="1:6" ht="14.25" customHeight="1" x14ac:dyDescent="0.3">
      <c r="A119" s="7"/>
      <c r="B119" s="7"/>
      <c r="C119" s="7"/>
      <c r="D119" s="7"/>
      <c r="E119" s="7"/>
      <c r="F119" s="7"/>
    </row>
    <row r="120" spans="1:6" ht="14.25" customHeight="1" x14ac:dyDescent="0.3">
      <c r="A120" s="7"/>
      <c r="B120" s="7"/>
      <c r="C120" s="7"/>
      <c r="D120" s="7"/>
      <c r="E120" s="7"/>
      <c r="F120" s="7"/>
    </row>
    <row r="121" spans="1:6" ht="14.25" customHeight="1" x14ac:dyDescent="0.3">
      <c r="A121" s="7"/>
      <c r="B121" s="7"/>
      <c r="C121" s="7"/>
      <c r="D121" s="7"/>
      <c r="E121" s="7"/>
      <c r="F121" s="7"/>
    </row>
    <row r="122" spans="1:6" ht="14.25" customHeight="1" x14ac:dyDescent="0.3">
      <c r="A122" s="7"/>
      <c r="B122" s="7"/>
      <c r="C122" s="7"/>
      <c r="D122" s="7"/>
      <c r="E122" s="7"/>
      <c r="F122" s="7"/>
    </row>
    <row r="123" spans="1:6" ht="14.25" customHeight="1" x14ac:dyDescent="0.3">
      <c r="A123" s="7"/>
      <c r="B123" s="7"/>
      <c r="C123" s="7"/>
      <c r="D123" s="7"/>
      <c r="E123" s="7"/>
      <c r="F123" s="7"/>
    </row>
    <row r="124" spans="1:6" ht="14.25" customHeight="1" x14ac:dyDescent="0.3">
      <c r="A124" s="7"/>
      <c r="B124" s="7"/>
      <c r="C124" s="7"/>
      <c r="D124" s="7"/>
      <c r="E124" s="7"/>
      <c r="F124" s="7"/>
    </row>
    <row r="125" spans="1:6" ht="14.25" customHeight="1" x14ac:dyDescent="0.3">
      <c r="A125" s="7"/>
      <c r="B125" s="7"/>
      <c r="C125" s="7"/>
      <c r="D125" s="7"/>
      <c r="E125" s="7"/>
      <c r="F125" s="7"/>
    </row>
    <row r="126" spans="1:6" ht="14.25" customHeight="1" x14ac:dyDescent="0.3">
      <c r="A126" s="7"/>
      <c r="B126" s="7"/>
      <c r="C126" s="7"/>
      <c r="D126" s="7"/>
      <c r="E126" s="7"/>
      <c r="F126" s="7"/>
    </row>
    <row r="127" spans="1:6" ht="14.25" customHeight="1" x14ac:dyDescent="0.3">
      <c r="A127" s="7"/>
      <c r="B127" s="7"/>
      <c r="C127" s="7"/>
      <c r="D127" s="7"/>
      <c r="E127" s="7"/>
      <c r="F127" s="7"/>
    </row>
    <row r="128" spans="1:6" ht="14.25" customHeight="1" x14ac:dyDescent="0.3">
      <c r="A128" s="7"/>
      <c r="B128" s="7"/>
      <c r="C128" s="7"/>
      <c r="D128" s="7"/>
      <c r="E128" s="7"/>
      <c r="F128" s="7"/>
    </row>
    <row r="129" spans="1:6" ht="14.25" customHeight="1" x14ac:dyDescent="0.3">
      <c r="A129" s="7"/>
      <c r="B129" s="7"/>
      <c r="C129" s="7"/>
      <c r="D129" s="7"/>
      <c r="E129" s="7"/>
      <c r="F129" s="7"/>
    </row>
    <row r="130" spans="1:6" ht="14.25" customHeight="1" x14ac:dyDescent="0.3">
      <c r="A130" s="7"/>
      <c r="B130" s="7"/>
      <c r="C130" s="7"/>
      <c r="D130" s="7"/>
      <c r="E130" s="7"/>
      <c r="F130" s="7"/>
    </row>
    <row r="131" spans="1:6" ht="14.25" customHeight="1" x14ac:dyDescent="0.3">
      <c r="A131" s="7"/>
      <c r="B131" s="7"/>
      <c r="C131" s="7"/>
      <c r="D131" s="7"/>
      <c r="E131" s="7"/>
      <c r="F131" s="7"/>
    </row>
    <row r="132" spans="1:6" ht="14.25" customHeight="1" x14ac:dyDescent="0.3">
      <c r="A132" s="7"/>
      <c r="B132" s="7"/>
      <c r="C132" s="7"/>
      <c r="D132" s="7"/>
      <c r="E132" s="7"/>
      <c r="F132" s="7"/>
    </row>
    <row r="133" spans="1:6" ht="14.25" customHeight="1" x14ac:dyDescent="0.3">
      <c r="A133" s="7"/>
      <c r="B133" s="7"/>
      <c r="C133" s="7"/>
      <c r="D133" s="7"/>
      <c r="E133" s="7"/>
      <c r="F133" s="7"/>
    </row>
    <row r="134" spans="1:6" ht="14.25" customHeight="1" x14ac:dyDescent="0.3">
      <c r="A134" s="7"/>
      <c r="B134" s="7"/>
      <c r="C134" s="7"/>
      <c r="D134" s="7"/>
      <c r="E134" s="7"/>
      <c r="F134" s="7"/>
    </row>
    <row r="135" spans="1:6" ht="14.25" customHeight="1" x14ac:dyDescent="0.3">
      <c r="A135" s="7"/>
      <c r="B135" s="7"/>
      <c r="C135" s="7"/>
      <c r="D135" s="7"/>
      <c r="E135" s="7"/>
      <c r="F135" s="7"/>
    </row>
    <row r="136" spans="1:6" ht="14.25" customHeight="1" x14ac:dyDescent="0.3">
      <c r="A136" s="7"/>
      <c r="B136" s="7"/>
      <c r="C136" s="7"/>
      <c r="D136" s="7"/>
      <c r="E136" s="7"/>
      <c r="F136" s="7"/>
    </row>
    <row r="137" spans="1:6" ht="14.25" customHeight="1" x14ac:dyDescent="0.3">
      <c r="A137" s="7"/>
      <c r="B137" s="7"/>
      <c r="C137" s="7"/>
      <c r="D137" s="7"/>
      <c r="E137" s="7"/>
      <c r="F137" s="7"/>
    </row>
    <row r="138" spans="1:6" ht="14.25" customHeight="1" x14ac:dyDescent="0.3">
      <c r="A138" s="7"/>
      <c r="B138" s="7"/>
      <c r="C138" s="7"/>
      <c r="D138" s="7"/>
      <c r="E138" s="7"/>
      <c r="F138" s="7"/>
    </row>
    <row r="139" spans="1:6" ht="14.25" customHeight="1" x14ac:dyDescent="0.3">
      <c r="A139" s="7"/>
      <c r="B139" s="7"/>
      <c r="C139" s="7"/>
      <c r="D139" s="7"/>
      <c r="E139" s="7"/>
      <c r="F139" s="7"/>
    </row>
    <row r="140" spans="1:6" ht="14.25" customHeight="1" x14ac:dyDescent="0.3">
      <c r="A140" s="7"/>
      <c r="B140" s="7"/>
      <c r="C140" s="7"/>
      <c r="D140" s="7"/>
      <c r="E140" s="7"/>
      <c r="F140" s="7"/>
    </row>
    <row r="141" spans="1:6" ht="14.25" customHeight="1" x14ac:dyDescent="0.3">
      <c r="A141" s="7"/>
      <c r="B141" s="7"/>
      <c r="C141" s="7"/>
      <c r="D141" s="7"/>
      <c r="E141" s="7"/>
      <c r="F141" s="7"/>
    </row>
    <row r="142" spans="1:6" ht="14.25" customHeight="1" x14ac:dyDescent="0.3">
      <c r="A142" s="7"/>
      <c r="B142" s="7"/>
      <c r="C142" s="7"/>
      <c r="D142" s="7"/>
      <c r="E142" s="7"/>
      <c r="F142" s="7"/>
    </row>
    <row r="143" spans="1:6" ht="14.25" customHeight="1" x14ac:dyDescent="0.3">
      <c r="A143" s="7"/>
      <c r="B143" s="7"/>
      <c r="C143" s="7"/>
      <c r="D143" s="7"/>
      <c r="E143" s="7"/>
      <c r="F143" s="7"/>
    </row>
    <row r="144" spans="1:6" ht="14.25" customHeight="1" x14ac:dyDescent="0.3">
      <c r="A144" s="7"/>
      <c r="B144" s="7"/>
      <c r="C144" s="7"/>
      <c r="D144" s="7"/>
      <c r="E144" s="7"/>
      <c r="F144" s="7"/>
    </row>
    <row r="145" spans="1:6" ht="14.25" customHeight="1" x14ac:dyDescent="0.3">
      <c r="A145" s="7"/>
      <c r="B145" s="7"/>
      <c r="C145" s="7"/>
      <c r="D145" s="7"/>
      <c r="E145" s="7"/>
      <c r="F145" s="7"/>
    </row>
    <row r="146" spans="1:6" ht="14.25" customHeight="1" x14ac:dyDescent="0.3">
      <c r="A146" s="7"/>
      <c r="B146" s="7"/>
      <c r="C146" s="7"/>
      <c r="D146" s="7"/>
      <c r="E146" s="7"/>
      <c r="F146" s="7"/>
    </row>
    <row r="147" spans="1:6" ht="14.25" customHeight="1" x14ac:dyDescent="0.3">
      <c r="A147" s="7"/>
      <c r="B147" s="7"/>
      <c r="C147" s="7"/>
      <c r="D147" s="7"/>
      <c r="E147" s="7"/>
      <c r="F147" s="7"/>
    </row>
    <row r="148" spans="1:6" ht="14.25" customHeight="1" x14ac:dyDescent="0.3">
      <c r="A148" s="7"/>
      <c r="B148" s="7"/>
      <c r="C148" s="7"/>
      <c r="D148" s="7"/>
      <c r="E148" s="7"/>
      <c r="F148" s="7"/>
    </row>
    <row r="149" spans="1:6" ht="14.25" customHeight="1" x14ac:dyDescent="0.3">
      <c r="A149" s="7"/>
      <c r="B149" s="7"/>
      <c r="C149" s="7"/>
      <c r="D149" s="7"/>
      <c r="E149" s="7"/>
      <c r="F149" s="7"/>
    </row>
    <row r="150" spans="1:6" ht="14.25" customHeight="1" x14ac:dyDescent="0.3">
      <c r="A150" s="7"/>
      <c r="B150" s="7"/>
      <c r="C150" s="7"/>
      <c r="D150" s="7"/>
      <c r="E150" s="7"/>
      <c r="F150" s="7"/>
    </row>
    <row r="151" spans="1:6" ht="14.25" customHeight="1" x14ac:dyDescent="0.3">
      <c r="A151" s="7"/>
      <c r="B151" s="7"/>
      <c r="C151" s="7"/>
      <c r="D151" s="7"/>
      <c r="E151" s="7"/>
      <c r="F151" s="7"/>
    </row>
    <row r="152" spans="1:6" ht="14.25" customHeight="1" x14ac:dyDescent="0.3">
      <c r="A152" s="7"/>
      <c r="B152" s="7"/>
      <c r="C152" s="7"/>
      <c r="D152" s="7"/>
      <c r="E152" s="7"/>
      <c r="F152" s="7"/>
    </row>
    <row r="153" spans="1:6" ht="14.25" customHeight="1" x14ac:dyDescent="0.3">
      <c r="A153" s="7"/>
      <c r="B153" s="7"/>
      <c r="C153" s="7"/>
      <c r="D153" s="7"/>
      <c r="E153" s="7"/>
      <c r="F153" s="7"/>
    </row>
    <row r="154" spans="1:6" ht="14.25" customHeight="1" x14ac:dyDescent="0.3">
      <c r="A154" s="7"/>
      <c r="B154" s="7"/>
      <c r="C154" s="7"/>
      <c r="D154" s="7"/>
      <c r="E154" s="7"/>
      <c r="F154" s="7"/>
    </row>
    <row r="155" spans="1:6" ht="14.25" customHeight="1" x14ac:dyDescent="0.3">
      <c r="A155" s="7"/>
      <c r="B155" s="7"/>
      <c r="C155" s="7"/>
      <c r="D155" s="7"/>
      <c r="E155" s="7"/>
      <c r="F155" s="7"/>
    </row>
    <row r="156" spans="1:6" ht="14.25" customHeight="1" x14ac:dyDescent="0.3">
      <c r="A156" s="7"/>
      <c r="B156" s="7"/>
      <c r="C156" s="7"/>
      <c r="D156" s="7"/>
      <c r="E156" s="7"/>
      <c r="F156" s="7"/>
    </row>
    <row r="157" spans="1:6" ht="14.25" customHeight="1" x14ac:dyDescent="0.3">
      <c r="A157" s="7"/>
      <c r="B157" s="7"/>
      <c r="C157" s="7"/>
      <c r="D157" s="7"/>
      <c r="E157" s="7"/>
      <c r="F157" s="7"/>
    </row>
    <row r="158" spans="1:6" ht="14.25" customHeight="1" x14ac:dyDescent="0.3">
      <c r="A158" s="7"/>
      <c r="B158" s="7"/>
      <c r="C158" s="7"/>
      <c r="D158" s="7"/>
      <c r="E158" s="7"/>
      <c r="F158" s="7"/>
    </row>
    <row r="159" spans="1:6" ht="14.25" customHeight="1" x14ac:dyDescent="0.3">
      <c r="A159" s="7"/>
      <c r="B159" s="7"/>
      <c r="C159" s="7"/>
      <c r="D159" s="7"/>
      <c r="E159" s="7"/>
      <c r="F159" s="7"/>
    </row>
    <row r="160" spans="1:6" ht="14.25" customHeight="1" x14ac:dyDescent="0.3">
      <c r="A160" s="7"/>
      <c r="B160" s="7"/>
      <c r="C160" s="7"/>
      <c r="D160" s="7"/>
      <c r="E160" s="7"/>
      <c r="F160" s="7"/>
    </row>
    <row r="161" spans="1:6" ht="14.25" customHeight="1" x14ac:dyDescent="0.3">
      <c r="A161" s="7"/>
      <c r="B161" s="7"/>
      <c r="C161" s="7"/>
      <c r="D161" s="7"/>
      <c r="E161" s="7"/>
      <c r="F161" s="7"/>
    </row>
    <row r="162" spans="1:6" ht="14.25" customHeight="1" x14ac:dyDescent="0.3">
      <c r="A162" s="7"/>
      <c r="B162" s="7"/>
      <c r="C162" s="7"/>
      <c r="D162" s="7"/>
      <c r="E162" s="7"/>
      <c r="F162" s="7"/>
    </row>
    <row r="163" spans="1:6" ht="14.25" customHeight="1" x14ac:dyDescent="0.3">
      <c r="A163" s="7"/>
      <c r="B163" s="7"/>
      <c r="C163" s="7"/>
      <c r="D163" s="7"/>
      <c r="E163" s="7"/>
      <c r="F163" s="7"/>
    </row>
    <row r="164" spans="1:6" ht="14.25" customHeight="1" x14ac:dyDescent="0.3">
      <c r="A164" s="7"/>
      <c r="B164" s="7"/>
      <c r="C164" s="7"/>
      <c r="D164" s="7"/>
      <c r="E164" s="7"/>
      <c r="F164" s="7"/>
    </row>
    <row r="165" spans="1:6" ht="14.25" customHeight="1" x14ac:dyDescent="0.3">
      <c r="A165" s="7"/>
      <c r="B165" s="7"/>
      <c r="C165" s="7"/>
      <c r="D165" s="7"/>
      <c r="E165" s="7"/>
      <c r="F165" s="7"/>
    </row>
    <row r="166" spans="1:6" ht="14.25" customHeight="1" x14ac:dyDescent="0.3">
      <c r="A166" s="7"/>
      <c r="B166" s="7"/>
      <c r="C166" s="7"/>
      <c r="D166" s="7"/>
      <c r="E166" s="7"/>
      <c r="F166" s="7"/>
    </row>
    <row r="167" spans="1:6" ht="14.25" customHeight="1" x14ac:dyDescent="0.3">
      <c r="A167" s="7"/>
      <c r="B167" s="7"/>
      <c r="C167" s="7"/>
      <c r="D167" s="7"/>
      <c r="E167" s="7"/>
      <c r="F167" s="7"/>
    </row>
    <row r="168" spans="1:6" ht="14.25" customHeight="1" x14ac:dyDescent="0.3">
      <c r="A168" s="7"/>
      <c r="B168" s="7"/>
      <c r="C168" s="7"/>
      <c r="D168" s="7"/>
      <c r="E168" s="7"/>
      <c r="F168" s="7"/>
    </row>
    <row r="169" spans="1:6" ht="14.25" customHeight="1" x14ac:dyDescent="0.3">
      <c r="A169" s="7"/>
      <c r="B169" s="7"/>
      <c r="C169" s="7"/>
      <c r="D169" s="7"/>
      <c r="E169" s="7"/>
      <c r="F169" s="7"/>
    </row>
    <row r="170" spans="1:6" ht="14.25" customHeight="1" x14ac:dyDescent="0.3">
      <c r="A170" s="7"/>
      <c r="B170" s="7"/>
      <c r="C170" s="7"/>
      <c r="D170" s="7"/>
      <c r="E170" s="7"/>
      <c r="F170" s="7"/>
    </row>
    <row r="171" spans="1:6" ht="14.25" customHeight="1" x14ac:dyDescent="0.3">
      <c r="A171" s="7"/>
      <c r="B171" s="7"/>
      <c r="C171" s="7"/>
      <c r="D171" s="7"/>
      <c r="E171" s="7"/>
      <c r="F171" s="7"/>
    </row>
    <row r="172" spans="1:6" ht="14.25" customHeight="1" x14ac:dyDescent="0.3">
      <c r="A172" s="7"/>
      <c r="B172" s="7"/>
      <c r="C172" s="7"/>
      <c r="D172" s="7"/>
      <c r="E172" s="7"/>
      <c r="F172" s="7"/>
    </row>
    <row r="173" spans="1:6" ht="14.25" customHeight="1" x14ac:dyDescent="0.3">
      <c r="A173" s="7"/>
      <c r="B173" s="7"/>
      <c r="C173" s="7"/>
      <c r="D173" s="7"/>
      <c r="E173" s="7"/>
      <c r="F173" s="7"/>
    </row>
    <row r="174" spans="1:6" ht="14.25" customHeight="1" x14ac:dyDescent="0.3">
      <c r="A174" s="7"/>
      <c r="B174" s="7"/>
      <c r="C174" s="7"/>
      <c r="D174" s="7"/>
      <c r="E174" s="7"/>
      <c r="F174" s="7"/>
    </row>
    <row r="175" spans="1:6" ht="14.25" customHeight="1" x14ac:dyDescent="0.3">
      <c r="A175" s="7"/>
      <c r="B175" s="7"/>
      <c r="C175" s="7"/>
      <c r="D175" s="7"/>
      <c r="E175" s="7"/>
      <c r="F175" s="7"/>
    </row>
    <row r="176" spans="1:6" ht="14.25" customHeight="1" x14ac:dyDescent="0.3">
      <c r="A176" s="7"/>
      <c r="B176" s="7"/>
      <c r="C176" s="7"/>
      <c r="D176" s="7"/>
      <c r="E176" s="7"/>
      <c r="F176" s="7"/>
    </row>
    <row r="177" spans="1:6" ht="14.25" customHeight="1" x14ac:dyDescent="0.3">
      <c r="A177" s="7"/>
      <c r="B177" s="7"/>
      <c r="C177" s="7"/>
      <c r="D177" s="7"/>
      <c r="E177" s="7"/>
      <c r="F177" s="7"/>
    </row>
    <row r="178" spans="1:6" ht="14.25" customHeight="1" x14ac:dyDescent="0.3">
      <c r="A178" s="7"/>
      <c r="B178" s="7"/>
      <c r="C178" s="7"/>
      <c r="D178" s="7"/>
      <c r="E178" s="7"/>
      <c r="F178" s="7"/>
    </row>
    <row r="179" spans="1:6" ht="14.25" customHeight="1" x14ac:dyDescent="0.3">
      <c r="A179" s="7"/>
      <c r="B179" s="7"/>
      <c r="C179" s="7"/>
      <c r="D179" s="7"/>
      <c r="E179" s="7"/>
      <c r="F179" s="7"/>
    </row>
    <row r="180" spans="1:6" ht="14.25" customHeight="1" x14ac:dyDescent="0.3">
      <c r="A180" s="7"/>
      <c r="B180" s="7"/>
      <c r="C180" s="7"/>
      <c r="D180" s="7"/>
      <c r="E180" s="7"/>
      <c r="F180" s="7"/>
    </row>
    <row r="181" spans="1:6" ht="14.25" customHeight="1" x14ac:dyDescent="0.3">
      <c r="A181" s="7"/>
      <c r="B181" s="7"/>
      <c r="C181" s="7"/>
      <c r="D181" s="7"/>
      <c r="E181" s="7"/>
      <c r="F181" s="7"/>
    </row>
    <row r="182" spans="1:6" ht="14.25" customHeight="1" x14ac:dyDescent="0.3">
      <c r="A182" s="7"/>
      <c r="B182" s="7"/>
      <c r="C182" s="7"/>
      <c r="D182" s="7"/>
      <c r="E182" s="7"/>
      <c r="F182" s="7"/>
    </row>
    <row r="183" spans="1:6" ht="14.25" customHeight="1" x14ac:dyDescent="0.3">
      <c r="A183" s="7"/>
      <c r="B183" s="7"/>
      <c r="C183" s="7"/>
      <c r="D183" s="7"/>
      <c r="E183" s="7"/>
      <c r="F183" s="7"/>
    </row>
    <row r="184" spans="1:6" ht="14.25" customHeight="1" x14ac:dyDescent="0.3">
      <c r="A184" s="7"/>
      <c r="B184" s="7"/>
      <c r="C184" s="7"/>
      <c r="D184" s="7"/>
      <c r="E184" s="7"/>
      <c r="F184" s="7"/>
    </row>
    <row r="185" spans="1:6" ht="14.25" customHeight="1" x14ac:dyDescent="0.3">
      <c r="A185" s="7"/>
      <c r="B185" s="7"/>
      <c r="C185" s="7"/>
      <c r="D185" s="7"/>
      <c r="E185" s="7"/>
      <c r="F185" s="7"/>
    </row>
    <row r="186" spans="1:6" ht="14.25" customHeight="1" x14ac:dyDescent="0.3">
      <c r="A186" s="7"/>
      <c r="B186" s="7"/>
      <c r="C186" s="7"/>
      <c r="D186" s="7"/>
      <c r="E186" s="7"/>
      <c r="F186" s="7"/>
    </row>
    <row r="187" spans="1:6" ht="14.25" customHeight="1" x14ac:dyDescent="0.3">
      <c r="A187" s="7"/>
      <c r="B187" s="7"/>
      <c r="C187" s="7"/>
      <c r="D187" s="7"/>
      <c r="E187" s="7"/>
      <c r="F187" s="7"/>
    </row>
    <row r="188" spans="1:6" ht="14.25" customHeight="1" x14ac:dyDescent="0.3">
      <c r="A188" s="7"/>
      <c r="B188" s="7"/>
      <c r="C188" s="7"/>
      <c r="D188" s="7"/>
      <c r="E188" s="7"/>
      <c r="F188" s="7"/>
    </row>
    <row r="189" spans="1:6" ht="14.25" customHeight="1" x14ac:dyDescent="0.3">
      <c r="A189" s="7"/>
      <c r="B189" s="7"/>
      <c r="C189" s="7"/>
      <c r="D189" s="7"/>
      <c r="E189" s="7"/>
      <c r="F189" s="7"/>
    </row>
    <row r="190" spans="1:6" ht="14.25" customHeight="1" x14ac:dyDescent="0.3">
      <c r="A190" s="7"/>
      <c r="B190" s="7"/>
      <c r="C190" s="7"/>
      <c r="D190" s="7"/>
      <c r="E190" s="7"/>
      <c r="F190" s="7"/>
    </row>
    <row r="191" spans="1:6" ht="14.25" customHeight="1" x14ac:dyDescent="0.3">
      <c r="A191" s="7"/>
      <c r="B191" s="7"/>
      <c r="C191" s="7"/>
      <c r="D191" s="7"/>
      <c r="E191" s="7"/>
      <c r="F191" s="7"/>
    </row>
    <row r="192" spans="1:6" ht="14.25" customHeight="1" x14ac:dyDescent="0.3">
      <c r="A192" s="7"/>
      <c r="B192" s="7"/>
      <c r="C192" s="7"/>
      <c r="D192" s="7"/>
      <c r="E192" s="7"/>
      <c r="F192" s="7"/>
    </row>
    <row r="193" spans="1:6" ht="14.25" customHeight="1" x14ac:dyDescent="0.3">
      <c r="A193" s="7"/>
      <c r="B193" s="7"/>
      <c r="C193" s="7"/>
      <c r="D193" s="7"/>
      <c r="E193" s="7"/>
      <c r="F193" s="7"/>
    </row>
    <row r="194" spans="1:6" ht="14.25" customHeight="1" x14ac:dyDescent="0.3">
      <c r="A194" s="7"/>
      <c r="B194" s="7"/>
      <c r="C194" s="7"/>
      <c r="D194" s="7"/>
      <c r="E194" s="7"/>
      <c r="F194" s="7"/>
    </row>
    <row r="195" spans="1:6" ht="14.25" customHeight="1" x14ac:dyDescent="0.3">
      <c r="A195" s="7"/>
      <c r="B195" s="7"/>
      <c r="C195" s="7"/>
      <c r="D195" s="7"/>
      <c r="E195" s="7"/>
      <c r="F195" s="7"/>
    </row>
    <row r="196" spans="1:6" ht="14.25" customHeight="1" x14ac:dyDescent="0.3">
      <c r="A196" s="7"/>
      <c r="B196" s="7"/>
      <c r="C196" s="7"/>
      <c r="D196" s="7"/>
      <c r="E196" s="7"/>
      <c r="F196" s="7"/>
    </row>
    <row r="197" spans="1:6" ht="14.25" customHeight="1" x14ac:dyDescent="0.3">
      <c r="A197" s="7"/>
      <c r="B197" s="7"/>
      <c r="C197" s="7"/>
      <c r="D197" s="7"/>
      <c r="E197" s="7"/>
      <c r="F197" s="7"/>
    </row>
    <row r="198" spans="1:6" ht="14.25" customHeight="1" x14ac:dyDescent="0.3">
      <c r="A198" s="7"/>
      <c r="B198" s="7"/>
      <c r="C198" s="7"/>
      <c r="D198" s="7"/>
      <c r="E198" s="7"/>
      <c r="F198" s="7"/>
    </row>
    <row r="199" spans="1:6" ht="14.25" customHeight="1" x14ac:dyDescent="0.3">
      <c r="A199" s="7"/>
      <c r="B199" s="7"/>
      <c r="C199" s="7"/>
      <c r="D199" s="7"/>
      <c r="E199" s="7"/>
      <c r="F199" s="7"/>
    </row>
    <row r="200" spans="1:6" ht="14.25" customHeight="1" x14ac:dyDescent="0.3">
      <c r="A200" s="7"/>
      <c r="B200" s="7"/>
      <c r="C200" s="7"/>
      <c r="D200" s="7"/>
      <c r="E200" s="7"/>
      <c r="F200" s="7"/>
    </row>
    <row r="201" spans="1:6" ht="14.25" customHeight="1" x14ac:dyDescent="0.3">
      <c r="A201" s="7"/>
      <c r="B201" s="7"/>
      <c r="C201" s="7"/>
      <c r="D201" s="7"/>
      <c r="E201" s="7"/>
      <c r="F201" s="7"/>
    </row>
    <row r="202" spans="1:6" ht="14.25" customHeight="1" x14ac:dyDescent="0.3">
      <c r="A202" s="7"/>
      <c r="B202" s="7"/>
      <c r="C202" s="7"/>
      <c r="D202" s="7"/>
      <c r="E202" s="7"/>
      <c r="F202" s="7"/>
    </row>
    <row r="203" spans="1:6" ht="14.25" customHeight="1" x14ac:dyDescent="0.3">
      <c r="A203" s="7"/>
      <c r="B203" s="7"/>
      <c r="C203" s="7"/>
      <c r="D203" s="7"/>
      <c r="E203" s="7"/>
      <c r="F203" s="7"/>
    </row>
    <row r="204" spans="1:6" ht="14.25" customHeight="1" x14ac:dyDescent="0.3">
      <c r="A204" s="7"/>
      <c r="B204" s="7"/>
      <c r="C204" s="7"/>
      <c r="D204" s="7"/>
      <c r="E204" s="7"/>
      <c r="F204" s="7"/>
    </row>
    <row r="205" spans="1:6" ht="14.25" customHeight="1" x14ac:dyDescent="0.3">
      <c r="A205" s="7"/>
      <c r="B205" s="7"/>
      <c r="C205" s="7"/>
      <c r="D205" s="7"/>
      <c r="E205" s="7"/>
      <c r="F205" s="7"/>
    </row>
    <row r="206" spans="1:6" ht="14.25" customHeight="1" x14ac:dyDescent="0.3">
      <c r="A206" s="7"/>
      <c r="B206" s="7"/>
      <c r="C206" s="7"/>
      <c r="D206" s="7"/>
      <c r="E206" s="7"/>
      <c r="F206" s="7"/>
    </row>
    <row r="207" spans="1:6" ht="14.25" customHeight="1" x14ac:dyDescent="0.3">
      <c r="A207" s="7"/>
      <c r="B207" s="7"/>
      <c r="C207" s="7"/>
      <c r="D207" s="7"/>
      <c r="E207" s="7"/>
      <c r="F207" s="7"/>
    </row>
    <row r="208" spans="1:6" ht="14.25" customHeight="1" x14ac:dyDescent="0.3">
      <c r="A208" s="7"/>
      <c r="B208" s="7"/>
      <c r="C208" s="7"/>
      <c r="D208" s="7"/>
      <c r="E208" s="7"/>
      <c r="F208" s="7"/>
    </row>
    <row r="209" spans="1:6" ht="14.25" customHeight="1" x14ac:dyDescent="0.3">
      <c r="A209" s="7"/>
      <c r="B209" s="7"/>
      <c r="C209" s="7"/>
      <c r="D209" s="7"/>
      <c r="E209" s="7"/>
      <c r="F209" s="7"/>
    </row>
    <row r="210" spans="1:6" ht="14.25" customHeight="1" x14ac:dyDescent="0.3">
      <c r="A210" s="7"/>
      <c r="B210" s="7"/>
      <c r="C210" s="7"/>
      <c r="D210" s="7"/>
      <c r="E210" s="7"/>
      <c r="F210" s="7"/>
    </row>
    <row r="211" spans="1:6" ht="14.25" customHeight="1" x14ac:dyDescent="0.3">
      <c r="A211" s="7"/>
      <c r="B211" s="7"/>
      <c r="C211" s="7"/>
      <c r="D211" s="7"/>
      <c r="E211" s="7"/>
      <c r="F211" s="7"/>
    </row>
    <row r="212" spans="1:6" ht="14.25" customHeight="1" x14ac:dyDescent="0.3">
      <c r="A212" s="7"/>
      <c r="B212" s="7"/>
      <c r="C212" s="7"/>
      <c r="D212" s="7"/>
      <c r="E212" s="7"/>
      <c r="F212" s="7"/>
    </row>
    <row r="213" spans="1:6" ht="14.25" customHeight="1" x14ac:dyDescent="0.3">
      <c r="A213" s="7"/>
      <c r="B213" s="7"/>
      <c r="C213" s="7"/>
      <c r="D213" s="7"/>
      <c r="E213" s="7"/>
      <c r="F213" s="7"/>
    </row>
    <row r="214" spans="1:6" ht="14.25" customHeight="1" x14ac:dyDescent="0.3">
      <c r="A214" s="7"/>
      <c r="B214" s="7"/>
      <c r="C214" s="7"/>
      <c r="D214" s="7"/>
      <c r="E214" s="7"/>
      <c r="F214" s="7"/>
    </row>
    <row r="215" spans="1:6" ht="14.25" customHeight="1" x14ac:dyDescent="0.3">
      <c r="A215" s="7"/>
      <c r="B215" s="7"/>
      <c r="C215" s="7"/>
      <c r="D215" s="7"/>
      <c r="E215" s="7"/>
      <c r="F215" s="7"/>
    </row>
    <row r="216" spans="1:6" ht="14.25" customHeight="1" x14ac:dyDescent="0.3">
      <c r="A216" s="7"/>
      <c r="B216" s="7"/>
      <c r="C216" s="7"/>
      <c r="D216" s="7"/>
      <c r="E216" s="7"/>
      <c r="F216" s="7"/>
    </row>
    <row r="217" spans="1:6" ht="14.25" customHeight="1" x14ac:dyDescent="0.3">
      <c r="A217" s="7"/>
      <c r="B217" s="7"/>
      <c r="C217" s="7"/>
      <c r="D217" s="7"/>
      <c r="E217" s="7"/>
      <c r="F217" s="7"/>
    </row>
    <row r="218" spans="1:6" ht="14.25" customHeight="1" x14ac:dyDescent="0.3">
      <c r="A218" s="7"/>
      <c r="B218" s="7"/>
      <c r="C218" s="7"/>
      <c r="D218" s="7"/>
      <c r="E218" s="7"/>
      <c r="F218" s="7"/>
    </row>
    <row r="219" spans="1:6" ht="14.25" customHeight="1" x14ac:dyDescent="0.3">
      <c r="A219" s="7"/>
      <c r="B219" s="7"/>
      <c r="C219" s="7"/>
      <c r="D219" s="7"/>
      <c r="E219" s="7"/>
      <c r="F219" s="7"/>
    </row>
    <row r="220" spans="1:6" ht="14.25" customHeight="1" x14ac:dyDescent="0.3">
      <c r="A220" s="7"/>
      <c r="B220" s="7"/>
      <c r="C220" s="7"/>
      <c r="D220" s="7"/>
      <c r="E220" s="7"/>
      <c r="F220" s="7"/>
    </row>
    <row r="221" spans="1:6" ht="15.75" customHeight="1" x14ac:dyDescent="0.3"/>
    <row r="222" spans="1:6" ht="15.75" customHeight="1" x14ac:dyDescent="0.3"/>
    <row r="223" spans="1:6" ht="15.75" customHeight="1" x14ac:dyDescent="0.3"/>
    <row r="224" spans="1: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1000"/>
  <sheetViews>
    <sheetView workbookViewId="0"/>
  </sheetViews>
  <sheetFormatPr baseColWidth="10" defaultColWidth="12.6640625" defaultRowHeight="15" customHeight="1" x14ac:dyDescent="0.3"/>
  <cols>
    <col min="1" max="1" width="5.44140625" customWidth="1"/>
    <col min="2" max="12" width="10.6640625" customWidth="1"/>
  </cols>
  <sheetData>
    <row r="1" spans="1:12" ht="14.25" customHeight="1" x14ac:dyDescent="0.3">
      <c r="A1" s="7"/>
      <c r="B1" s="7"/>
      <c r="C1" s="7"/>
      <c r="D1" s="7"/>
      <c r="E1" s="7"/>
      <c r="F1" s="7"/>
      <c r="G1" s="7"/>
      <c r="H1" s="7"/>
      <c r="I1" s="7"/>
      <c r="J1" s="7"/>
      <c r="K1" s="7"/>
      <c r="L1" s="7"/>
    </row>
    <row r="2" spans="1:12" ht="14.25" customHeight="1" x14ac:dyDescent="0.3">
      <c r="A2" s="7"/>
      <c r="B2" s="262" t="s">
        <v>2224</v>
      </c>
      <c r="C2" s="7"/>
      <c r="D2" s="7"/>
      <c r="E2" s="7"/>
      <c r="F2" s="7"/>
      <c r="G2" s="7"/>
      <c r="H2" s="7"/>
      <c r="I2" s="7" t="s">
        <v>2161</v>
      </c>
      <c r="J2" s="7" t="s">
        <v>2176</v>
      </c>
      <c r="K2" s="7" t="s">
        <v>2177</v>
      </c>
      <c r="L2" s="7" t="s">
        <v>2225</v>
      </c>
    </row>
    <row r="3" spans="1:12" ht="14.25" customHeight="1" x14ac:dyDescent="0.3">
      <c r="A3" s="7"/>
      <c r="B3" s="268" t="s">
        <v>2226</v>
      </c>
      <c r="C3" s="1048" t="s">
        <v>2227</v>
      </c>
      <c r="D3" s="1048"/>
      <c r="E3" s="1049">
        <v>13.5412</v>
      </c>
      <c r="F3" s="261">
        <v>28</v>
      </c>
      <c r="G3" s="1049">
        <f>E3*F3</f>
        <v>379.15359999999998</v>
      </c>
      <c r="H3" s="7"/>
      <c r="I3" s="7">
        <f>+F3+1</f>
        <v>29</v>
      </c>
      <c r="J3" s="7">
        <v>30</v>
      </c>
      <c r="K3" s="7">
        <v>30</v>
      </c>
      <c r="L3" s="7">
        <v>31</v>
      </c>
    </row>
    <row r="4" spans="1:12" ht="14.25" customHeight="1" x14ac:dyDescent="0.3">
      <c r="A4" s="7"/>
      <c r="B4" s="268"/>
      <c r="C4" s="1048" t="s">
        <v>2228</v>
      </c>
      <c r="D4" s="1048"/>
      <c r="E4" s="1049">
        <v>14.5</v>
      </c>
      <c r="F4" s="1048">
        <v>3</v>
      </c>
      <c r="G4" s="1049">
        <f>E4*F4</f>
        <v>43.5</v>
      </c>
      <c r="H4" s="7"/>
      <c r="I4" s="7">
        <f>+F4</f>
        <v>3</v>
      </c>
      <c r="J4" s="7">
        <f t="shared" ref="J4:L5" si="0">+I4</f>
        <v>3</v>
      </c>
      <c r="K4" s="7">
        <f t="shared" si="0"/>
        <v>3</v>
      </c>
      <c r="L4" s="7">
        <f t="shared" si="0"/>
        <v>3</v>
      </c>
    </row>
    <row r="5" spans="1:12" ht="14.25" customHeight="1" x14ac:dyDescent="0.3">
      <c r="A5" s="7"/>
      <c r="B5" s="268"/>
      <c r="C5" s="1048" t="s">
        <v>2229</v>
      </c>
      <c r="D5" s="1048"/>
      <c r="E5" s="1049">
        <v>20.93</v>
      </c>
      <c r="F5" s="261">
        <v>2</v>
      </c>
      <c r="G5" s="1049">
        <f>E5*F5</f>
        <v>41.86</v>
      </c>
      <c r="H5" s="7"/>
      <c r="I5" s="7">
        <f>+F5</f>
        <v>2</v>
      </c>
      <c r="J5" s="7">
        <f t="shared" si="0"/>
        <v>2</v>
      </c>
      <c r="K5" s="7">
        <f t="shared" si="0"/>
        <v>2</v>
      </c>
      <c r="L5" s="7">
        <f t="shared" si="0"/>
        <v>2</v>
      </c>
    </row>
    <row r="6" spans="1:12" ht="14.25" customHeight="1" x14ac:dyDescent="0.3">
      <c r="A6" s="7"/>
      <c r="B6" s="7"/>
      <c r="C6" s="1048" t="s">
        <v>2230</v>
      </c>
      <c r="D6" s="1050"/>
      <c r="E6" s="1049"/>
      <c r="F6" s="1051"/>
      <c r="G6" s="1052">
        <f>SUM(G3:G5)</f>
        <v>464.5136</v>
      </c>
      <c r="H6" s="7"/>
      <c r="I6" s="7"/>
      <c r="J6" s="7"/>
      <c r="K6" s="7"/>
      <c r="L6" s="7"/>
    </row>
    <row r="7" spans="1:12" ht="14.25" customHeight="1" x14ac:dyDescent="0.3">
      <c r="A7" s="7"/>
      <c r="B7" s="7"/>
      <c r="C7" s="7"/>
      <c r="D7" s="7"/>
      <c r="E7" s="7"/>
      <c r="F7" s="7"/>
      <c r="G7" s="7"/>
      <c r="H7" s="7"/>
      <c r="I7" s="1053">
        <f>+I3*$E$3+I4*$E$4+I5*$E$5</f>
        <v>478.0548</v>
      </c>
      <c r="J7" s="1053">
        <f>+J3*$E$3+J4*$E$4+J5*$E$5</f>
        <v>491.596</v>
      </c>
      <c r="K7" s="1053">
        <f>+K3*$E$3+K4*$E$4+K5*$E$5</f>
        <v>491.596</v>
      </c>
      <c r="L7" s="1053">
        <f>+L3*$E$3+L4*$E$4+L5*$E$5</f>
        <v>505.13720000000001</v>
      </c>
    </row>
    <row r="8" spans="1:12" ht="14.25" customHeight="1" x14ac:dyDescent="0.3">
      <c r="A8" s="7"/>
      <c r="B8" s="7"/>
      <c r="C8" s="7"/>
      <c r="D8" s="7"/>
      <c r="E8" s="7"/>
      <c r="F8" s="7"/>
      <c r="G8" s="7"/>
      <c r="H8" s="7"/>
      <c r="I8" s="7"/>
      <c r="J8" s="7"/>
      <c r="K8" s="7"/>
      <c r="L8" s="7"/>
    </row>
    <row r="9" spans="1:12" ht="14.25" customHeight="1" x14ac:dyDescent="0.3">
      <c r="A9" s="7"/>
      <c r="B9" s="7"/>
      <c r="C9" s="7"/>
      <c r="D9" s="7"/>
      <c r="E9" s="7"/>
      <c r="F9" s="7"/>
      <c r="G9" s="7"/>
      <c r="H9" s="7"/>
      <c r="I9" s="7"/>
      <c r="J9" s="7"/>
      <c r="K9" s="7"/>
      <c r="L9" s="7"/>
    </row>
    <row r="10" spans="1:12" ht="14.25" customHeight="1" x14ac:dyDescent="0.3">
      <c r="A10" s="7"/>
      <c r="B10" s="7"/>
      <c r="C10" s="7"/>
      <c r="D10" s="7"/>
      <c r="E10" s="7"/>
      <c r="F10" s="7"/>
      <c r="G10" s="7"/>
      <c r="H10" s="7"/>
      <c r="I10" s="7"/>
      <c r="J10" s="7"/>
      <c r="K10" s="7"/>
      <c r="L10" s="7"/>
    </row>
    <row r="11" spans="1:12" ht="14.25" customHeight="1" x14ac:dyDescent="0.3">
      <c r="A11" s="7"/>
      <c r="B11" s="7"/>
      <c r="C11" s="7"/>
      <c r="D11" s="7"/>
      <c r="E11" s="7"/>
      <c r="F11" s="7"/>
      <c r="G11" s="7"/>
      <c r="H11" s="7"/>
      <c r="I11" s="7"/>
      <c r="J11" s="7"/>
      <c r="K11" s="7"/>
      <c r="L11" s="7"/>
    </row>
    <row r="12" spans="1:12" ht="14.25" customHeight="1" x14ac:dyDescent="0.3">
      <c r="A12" s="7"/>
      <c r="B12" s="7"/>
      <c r="C12" s="7"/>
      <c r="D12" s="7"/>
      <c r="E12" s="7"/>
      <c r="F12" s="7"/>
      <c r="G12" s="7"/>
      <c r="H12" s="7"/>
      <c r="I12" s="7"/>
      <c r="J12" s="7"/>
      <c r="K12" s="7"/>
      <c r="L12" s="7"/>
    </row>
    <row r="13" spans="1:12" ht="14.25" customHeight="1" x14ac:dyDescent="0.3">
      <c r="A13" s="7"/>
      <c r="B13" s="7"/>
      <c r="C13" s="7"/>
      <c r="D13" s="7"/>
      <c r="E13" s="7"/>
      <c r="F13" s="7"/>
      <c r="G13" s="7"/>
      <c r="H13" s="7"/>
      <c r="I13" s="7"/>
      <c r="J13" s="7"/>
      <c r="K13" s="7"/>
      <c r="L13" s="7"/>
    </row>
    <row r="14" spans="1:12" ht="14.25" customHeight="1" x14ac:dyDescent="0.3">
      <c r="A14" s="7"/>
      <c r="B14" s="7"/>
      <c r="C14" s="7"/>
      <c r="D14" s="7"/>
      <c r="E14" s="7"/>
      <c r="F14" s="7"/>
      <c r="G14" s="7"/>
      <c r="H14" s="7"/>
      <c r="I14" s="7"/>
      <c r="J14" s="7"/>
      <c r="K14" s="7"/>
      <c r="L14" s="7"/>
    </row>
    <row r="15" spans="1:12" ht="14.25" customHeight="1" x14ac:dyDescent="0.3">
      <c r="A15" s="7"/>
      <c r="B15" s="7"/>
      <c r="C15" s="7"/>
      <c r="D15" s="7"/>
      <c r="E15" s="7"/>
      <c r="F15" s="7"/>
      <c r="G15" s="7"/>
      <c r="H15" s="7"/>
      <c r="I15" s="7"/>
      <c r="J15" s="7"/>
      <c r="K15" s="7"/>
      <c r="L15" s="7"/>
    </row>
    <row r="16" spans="1:12" ht="14.25" customHeight="1" x14ac:dyDescent="0.3">
      <c r="A16" s="7"/>
      <c r="B16" s="7"/>
      <c r="C16" s="7"/>
      <c r="D16" s="7"/>
      <c r="E16" s="7"/>
      <c r="F16" s="7"/>
      <c r="G16" s="7"/>
      <c r="H16" s="7"/>
      <c r="I16" s="7"/>
      <c r="J16" s="7"/>
      <c r="K16" s="7"/>
      <c r="L16" s="7"/>
    </row>
    <row r="17" spans="1:12" ht="14.25" customHeight="1" x14ac:dyDescent="0.3">
      <c r="A17" s="7"/>
      <c r="B17" s="7"/>
      <c r="C17" s="7"/>
      <c r="D17" s="7"/>
      <c r="E17" s="7"/>
      <c r="F17" s="7"/>
      <c r="G17" s="7"/>
      <c r="H17" s="7"/>
      <c r="I17" s="7"/>
      <c r="J17" s="7"/>
      <c r="K17" s="7"/>
      <c r="L17" s="7"/>
    </row>
    <row r="18" spans="1:12" ht="14.25" customHeight="1" x14ac:dyDescent="0.3">
      <c r="A18" s="7"/>
      <c r="B18" s="7"/>
      <c r="C18" s="7"/>
      <c r="D18" s="7"/>
      <c r="E18" s="7"/>
      <c r="F18" s="7"/>
      <c r="G18" s="7"/>
      <c r="H18" s="7"/>
      <c r="I18" s="7"/>
      <c r="J18" s="7"/>
      <c r="K18" s="7"/>
      <c r="L18" s="7"/>
    </row>
    <row r="19" spans="1:12" ht="14.25" customHeight="1" x14ac:dyDescent="0.3">
      <c r="A19" s="7"/>
      <c r="B19" s="7"/>
      <c r="C19" s="7"/>
      <c r="D19" s="7"/>
      <c r="E19" s="7"/>
      <c r="F19" s="7"/>
      <c r="G19" s="7"/>
      <c r="H19" s="7"/>
      <c r="I19" s="7"/>
      <c r="J19" s="7"/>
      <c r="K19" s="7"/>
      <c r="L19" s="7"/>
    </row>
    <row r="20" spans="1:12" ht="14.25" customHeight="1" x14ac:dyDescent="0.3">
      <c r="A20" s="7"/>
      <c r="B20" s="7"/>
      <c r="C20" s="7"/>
      <c r="D20" s="7"/>
      <c r="E20" s="7"/>
      <c r="F20" s="7"/>
      <c r="G20" s="7"/>
      <c r="H20" s="7"/>
      <c r="I20" s="7"/>
      <c r="J20" s="7"/>
      <c r="K20" s="7"/>
      <c r="L20" s="7"/>
    </row>
    <row r="21" spans="1:12" ht="14.25" customHeight="1" x14ac:dyDescent="0.3">
      <c r="A21" s="7"/>
      <c r="B21" s="7"/>
      <c r="C21" s="7"/>
      <c r="D21" s="7"/>
      <c r="E21" s="7"/>
      <c r="F21" s="7"/>
      <c r="G21" s="7"/>
      <c r="H21" s="7"/>
      <c r="I21" s="7"/>
      <c r="J21" s="7"/>
      <c r="K21" s="7"/>
      <c r="L21" s="7"/>
    </row>
    <row r="22" spans="1:12" ht="14.25" customHeight="1" x14ac:dyDescent="0.3">
      <c r="A22" s="7"/>
      <c r="B22" s="7"/>
      <c r="C22" s="7"/>
      <c r="D22" s="7"/>
      <c r="E22" s="7"/>
      <c r="F22" s="7"/>
      <c r="G22" s="7"/>
      <c r="H22" s="7"/>
      <c r="I22" s="7"/>
      <c r="J22" s="7"/>
      <c r="K22" s="7"/>
      <c r="L22" s="7"/>
    </row>
    <row r="23" spans="1:12" ht="14.25" customHeight="1" x14ac:dyDescent="0.3">
      <c r="A23" s="7"/>
      <c r="B23" s="7"/>
      <c r="C23" s="7"/>
      <c r="D23" s="7"/>
      <c r="E23" s="7"/>
      <c r="F23" s="7"/>
      <c r="G23" s="7"/>
      <c r="H23" s="7"/>
      <c r="I23" s="7"/>
      <c r="J23" s="7"/>
      <c r="K23" s="7"/>
      <c r="L23" s="7"/>
    </row>
    <row r="24" spans="1:12" ht="14.25" customHeight="1" x14ac:dyDescent="0.3">
      <c r="A24" s="7"/>
      <c r="B24" s="7"/>
      <c r="C24" s="7"/>
      <c r="D24" s="7"/>
      <c r="E24" s="7"/>
      <c r="F24" s="7"/>
      <c r="G24" s="7"/>
      <c r="H24" s="7"/>
      <c r="I24" s="7"/>
      <c r="J24" s="7"/>
      <c r="K24" s="7"/>
      <c r="L24" s="7"/>
    </row>
    <row r="25" spans="1:12" ht="14.25" customHeight="1" x14ac:dyDescent="0.3">
      <c r="A25" s="7"/>
      <c r="B25" s="7"/>
      <c r="C25" s="7"/>
      <c r="D25" s="7"/>
      <c r="E25" s="7"/>
      <c r="F25" s="7"/>
      <c r="G25" s="7"/>
      <c r="H25" s="7"/>
      <c r="I25" s="7"/>
      <c r="J25" s="7"/>
      <c r="K25" s="7"/>
      <c r="L25" s="7"/>
    </row>
    <row r="26" spans="1:12" ht="14.25" customHeight="1" x14ac:dyDescent="0.3">
      <c r="A26" s="7"/>
      <c r="B26" s="7"/>
      <c r="C26" s="7"/>
      <c r="D26" s="7"/>
      <c r="E26" s="7"/>
      <c r="F26" s="7"/>
      <c r="G26" s="7"/>
      <c r="H26" s="7"/>
      <c r="I26" s="7"/>
      <c r="J26" s="7"/>
      <c r="K26" s="7"/>
      <c r="L26" s="7"/>
    </row>
    <row r="27" spans="1:12" ht="14.25" customHeight="1" x14ac:dyDescent="0.3">
      <c r="A27" s="7"/>
      <c r="B27" s="7"/>
      <c r="C27" s="7"/>
      <c r="D27" s="7"/>
      <c r="E27" s="7"/>
      <c r="F27" s="7"/>
      <c r="G27" s="7"/>
      <c r="H27" s="7"/>
      <c r="I27" s="7"/>
      <c r="J27" s="7"/>
      <c r="K27" s="7"/>
      <c r="L27" s="7"/>
    </row>
    <row r="28" spans="1:12" ht="14.25" customHeight="1" x14ac:dyDescent="0.3">
      <c r="A28" s="7"/>
      <c r="B28" s="7"/>
      <c r="C28" s="7"/>
      <c r="D28" s="7"/>
      <c r="E28" s="7"/>
      <c r="F28" s="7"/>
      <c r="G28" s="7"/>
      <c r="H28" s="7"/>
      <c r="I28" s="7"/>
      <c r="J28" s="7"/>
      <c r="K28" s="7"/>
      <c r="L28" s="7"/>
    </row>
    <row r="29" spans="1:12" ht="14.25" customHeight="1" x14ac:dyDescent="0.3">
      <c r="A29" s="7"/>
      <c r="B29" s="7"/>
      <c r="C29" s="7"/>
      <c r="D29" s="7"/>
      <c r="E29" s="7"/>
      <c r="F29" s="7"/>
      <c r="G29" s="7"/>
      <c r="H29" s="7"/>
      <c r="I29" s="7"/>
      <c r="J29" s="7"/>
      <c r="K29" s="7"/>
      <c r="L29" s="7"/>
    </row>
    <row r="30" spans="1:12" ht="14.25" customHeight="1" x14ac:dyDescent="0.3">
      <c r="A30" s="7"/>
      <c r="B30" s="7"/>
      <c r="C30" s="7"/>
      <c r="D30" s="7"/>
      <c r="E30" s="7"/>
      <c r="F30" s="7"/>
      <c r="G30" s="7"/>
      <c r="H30" s="7"/>
      <c r="I30" s="7"/>
      <c r="J30" s="7"/>
      <c r="K30" s="7"/>
      <c r="L30" s="7"/>
    </row>
    <row r="31" spans="1:12" ht="14.25" customHeight="1" x14ac:dyDescent="0.3">
      <c r="A31" s="7"/>
      <c r="B31" s="7"/>
      <c r="C31" s="7"/>
      <c r="D31" s="7"/>
      <c r="E31" s="7"/>
      <c r="F31" s="7"/>
      <c r="G31" s="7"/>
      <c r="H31" s="7"/>
      <c r="I31" s="7"/>
      <c r="J31" s="7"/>
      <c r="K31" s="7"/>
      <c r="L31" s="7"/>
    </row>
    <row r="32" spans="1:12" ht="14.25" customHeight="1" x14ac:dyDescent="0.3">
      <c r="A32" s="7"/>
      <c r="B32" s="7"/>
      <c r="C32" s="7"/>
      <c r="D32" s="7"/>
      <c r="E32" s="7"/>
      <c r="F32" s="7"/>
      <c r="G32" s="7"/>
      <c r="H32" s="7"/>
      <c r="I32" s="7"/>
      <c r="J32" s="7"/>
      <c r="K32" s="7"/>
      <c r="L32" s="7"/>
    </row>
    <row r="33" spans="1:12" ht="14.25" customHeight="1" x14ac:dyDescent="0.3">
      <c r="A33" s="7"/>
      <c r="B33" s="7"/>
      <c r="C33" s="7"/>
      <c r="D33" s="7"/>
      <c r="E33" s="7"/>
      <c r="F33" s="7"/>
      <c r="G33" s="7"/>
      <c r="H33" s="7"/>
      <c r="I33" s="7"/>
      <c r="J33" s="7"/>
      <c r="K33" s="7"/>
      <c r="L33" s="7"/>
    </row>
    <row r="34" spans="1:12" ht="14.25" customHeight="1" x14ac:dyDescent="0.3">
      <c r="A34" s="7"/>
      <c r="B34" s="7"/>
      <c r="C34" s="7"/>
      <c r="D34" s="7"/>
      <c r="E34" s="7"/>
      <c r="F34" s="7"/>
      <c r="G34" s="7"/>
      <c r="H34" s="7"/>
      <c r="I34" s="7"/>
      <c r="J34" s="7"/>
      <c r="K34" s="7"/>
      <c r="L34" s="7"/>
    </row>
    <row r="35" spans="1:12" ht="14.25" customHeight="1" x14ac:dyDescent="0.3">
      <c r="A35" s="7"/>
      <c r="B35" s="7"/>
      <c r="C35" s="7"/>
      <c r="D35" s="7"/>
      <c r="E35" s="7"/>
      <c r="F35" s="7"/>
      <c r="G35" s="7"/>
      <c r="H35" s="7"/>
      <c r="I35" s="7"/>
      <c r="J35" s="7"/>
      <c r="K35" s="7"/>
      <c r="L35" s="7"/>
    </row>
    <row r="36" spans="1:12" ht="14.25" customHeight="1" x14ac:dyDescent="0.3">
      <c r="A36" s="7"/>
      <c r="B36" s="7"/>
      <c r="C36" s="7"/>
      <c r="D36" s="7"/>
      <c r="E36" s="7"/>
      <c r="F36" s="7"/>
      <c r="G36" s="7"/>
      <c r="H36" s="7"/>
      <c r="I36" s="7"/>
      <c r="J36" s="7"/>
      <c r="K36" s="7"/>
      <c r="L36" s="7"/>
    </row>
    <row r="37" spans="1:12" ht="14.25" customHeight="1" x14ac:dyDescent="0.3">
      <c r="A37" s="7"/>
      <c r="B37" s="7"/>
      <c r="C37" s="7"/>
      <c r="D37" s="7"/>
      <c r="E37" s="7"/>
      <c r="F37" s="7"/>
      <c r="G37" s="7"/>
      <c r="H37" s="7"/>
      <c r="I37" s="7"/>
      <c r="J37" s="7"/>
      <c r="K37" s="7"/>
      <c r="L37" s="7"/>
    </row>
    <row r="38" spans="1:12" ht="14.25" customHeight="1" x14ac:dyDescent="0.3">
      <c r="A38" s="7"/>
      <c r="B38" s="7"/>
      <c r="C38" s="7"/>
      <c r="D38" s="7"/>
      <c r="E38" s="7"/>
      <c r="F38" s="7"/>
      <c r="G38" s="7"/>
      <c r="H38" s="7"/>
      <c r="I38" s="7"/>
      <c r="J38" s="7"/>
      <c r="K38" s="7"/>
      <c r="L38" s="7"/>
    </row>
    <row r="39" spans="1:12" ht="14.25" customHeight="1" x14ac:dyDescent="0.3">
      <c r="A39" s="7"/>
      <c r="B39" s="7"/>
      <c r="C39" s="7"/>
      <c r="D39" s="7"/>
      <c r="E39" s="7"/>
      <c r="F39" s="7"/>
      <c r="G39" s="7"/>
      <c r="H39" s="7"/>
      <c r="I39" s="7"/>
      <c r="J39" s="7"/>
      <c r="K39" s="7"/>
      <c r="L39" s="7"/>
    </row>
    <row r="40" spans="1:12" ht="14.25" customHeight="1" x14ac:dyDescent="0.3">
      <c r="A40" s="7"/>
      <c r="B40" s="7"/>
      <c r="C40" s="7"/>
      <c r="D40" s="7"/>
      <c r="E40" s="7"/>
      <c r="F40" s="7"/>
      <c r="G40" s="7"/>
      <c r="H40" s="7"/>
      <c r="I40" s="7"/>
      <c r="J40" s="7"/>
      <c r="K40" s="7"/>
      <c r="L40" s="7"/>
    </row>
    <row r="41" spans="1:12" ht="14.25" customHeight="1" x14ac:dyDescent="0.3">
      <c r="A41" s="7"/>
      <c r="B41" s="7"/>
      <c r="C41" s="7"/>
      <c r="D41" s="7"/>
      <c r="E41" s="7"/>
      <c r="F41" s="7"/>
      <c r="G41" s="7"/>
      <c r="H41" s="7"/>
      <c r="I41" s="7"/>
      <c r="J41" s="7"/>
      <c r="K41" s="7"/>
      <c r="L41" s="7"/>
    </row>
    <row r="42" spans="1:12" ht="14.25" customHeight="1" x14ac:dyDescent="0.3">
      <c r="A42" s="7"/>
      <c r="B42" s="7"/>
      <c r="C42" s="7"/>
      <c r="D42" s="7"/>
      <c r="E42" s="7"/>
      <c r="F42" s="7"/>
      <c r="G42" s="7"/>
      <c r="H42" s="7"/>
      <c r="I42" s="7"/>
      <c r="J42" s="7"/>
      <c r="K42" s="7"/>
      <c r="L42" s="7"/>
    </row>
    <row r="43" spans="1:12" ht="14.25" customHeight="1" x14ac:dyDescent="0.3">
      <c r="A43" s="7"/>
      <c r="B43" s="7"/>
      <c r="C43" s="7"/>
      <c r="D43" s="7"/>
      <c r="E43" s="7"/>
      <c r="F43" s="7"/>
      <c r="G43" s="7"/>
      <c r="H43" s="7"/>
      <c r="I43" s="7"/>
      <c r="J43" s="7"/>
      <c r="K43" s="7"/>
      <c r="L43" s="7"/>
    </row>
    <row r="44" spans="1:12" ht="14.25" customHeight="1" x14ac:dyDescent="0.3">
      <c r="A44" s="7"/>
      <c r="B44" s="7"/>
      <c r="C44" s="7"/>
      <c r="D44" s="7"/>
      <c r="E44" s="7"/>
      <c r="F44" s="7"/>
      <c r="G44" s="7"/>
      <c r="H44" s="7"/>
      <c r="I44" s="7"/>
      <c r="J44" s="7"/>
      <c r="K44" s="7"/>
      <c r="L44" s="7"/>
    </row>
    <row r="45" spans="1:12" ht="14.25" customHeight="1" x14ac:dyDescent="0.3">
      <c r="A45" s="7"/>
      <c r="B45" s="7"/>
      <c r="C45" s="7"/>
      <c r="D45" s="7"/>
      <c r="E45" s="7"/>
      <c r="F45" s="7"/>
      <c r="G45" s="7"/>
      <c r="H45" s="7"/>
      <c r="I45" s="7"/>
      <c r="J45" s="7"/>
      <c r="K45" s="7"/>
      <c r="L45" s="7"/>
    </row>
    <row r="46" spans="1:12" ht="14.25" customHeight="1" x14ac:dyDescent="0.3">
      <c r="A46" s="7"/>
      <c r="B46" s="7"/>
      <c r="C46" s="7"/>
      <c r="D46" s="7"/>
      <c r="E46" s="7"/>
      <c r="F46" s="7"/>
      <c r="G46" s="7"/>
      <c r="H46" s="7"/>
      <c r="I46" s="7"/>
      <c r="J46" s="7"/>
      <c r="K46" s="7"/>
      <c r="L46" s="7"/>
    </row>
    <row r="47" spans="1:12" ht="14.25" customHeight="1" x14ac:dyDescent="0.3">
      <c r="A47" s="7"/>
      <c r="B47" s="7"/>
      <c r="C47" s="7"/>
      <c r="D47" s="7"/>
      <c r="E47" s="7"/>
      <c r="F47" s="7"/>
      <c r="G47" s="7"/>
      <c r="H47" s="7"/>
      <c r="I47" s="7"/>
      <c r="J47" s="7"/>
      <c r="K47" s="7"/>
      <c r="L47" s="7"/>
    </row>
    <row r="48" spans="1:12" ht="14.25" customHeight="1" x14ac:dyDescent="0.3">
      <c r="A48" s="7"/>
      <c r="B48" s="7"/>
      <c r="C48" s="7"/>
      <c r="D48" s="7"/>
      <c r="E48" s="7"/>
      <c r="F48" s="7"/>
      <c r="G48" s="7"/>
      <c r="H48" s="7"/>
      <c r="I48" s="7"/>
      <c r="J48" s="7"/>
      <c r="K48" s="7"/>
      <c r="L48" s="7"/>
    </row>
    <row r="49" spans="1:12" ht="14.25" customHeight="1" x14ac:dyDescent="0.3">
      <c r="A49" s="7"/>
      <c r="B49" s="7"/>
      <c r="C49" s="7"/>
      <c r="D49" s="7"/>
      <c r="E49" s="7"/>
      <c r="F49" s="7"/>
      <c r="G49" s="7"/>
      <c r="H49" s="7"/>
      <c r="I49" s="7"/>
      <c r="J49" s="7"/>
      <c r="K49" s="7"/>
      <c r="L49" s="7"/>
    </row>
    <row r="50" spans="1:12" ht="14.25" customHeight="1" x14ac:dyDescent="0.3">
      <c r="A50" s="7"/>
      <c r="B50" s="7"/>
      <c r="C50" s="7"/>
      <c r="D50" s="7"/>
      <c r="E50" s="7"/>
      <c r="F50" s="7"/>
      <c r="G50" s="7"/>
      <c r="H50" s="7"/>
      <c r="I50" s="7"/>
      <c r="J50" s="7"/>
      <c r="K50" s="7"/>
      <c r="L50" s="7"/>
    </row>
    <row r="51" spans="1:12" ht="14.25" customHeight="1" x14ac:dyDescent="0.3">
      <c r="A51" s="7"/>
      <c r="B51" s="7"/>
      <c r="C51" s="7"/>
      <c r="D51" s="7"/>
      <c r="E51" s="7"/>
      <c r="F51" s="7"/>
      <c r="G51" s="7"/>
      <c r="H51" s="7"/>
      <c r="I51" s="7"/>
      <c r="J51" s="7"/>
      <c r="K51" s="7"/>
      <c r="L51" s="7"/>
    </row>
    <row r="52" spans="1:12" ht="14.25" customHeight="1" x14ac:dyDescent="0.3">
      <c r="A52" s="7"/>
      <c r="B52" s="7"/>
      <c r="C52" s="7"/>
      <c r="D52" s="7"/>
      <c r="E52" s="7"/>
      <c r="F52" s="7"/>
      <c r="G52" s="7"/>
      <c r="H52" s="7"/>
      <c r="I52" s="7"/>
      <c r="J52" s="7"/>
      <c r="K52" s="7"/>
      <c r="L52" s="7"/>
    </row>
    <row r="53" spans="1:12" ht="14.25" customHeight="1" x14ac:dyDescent="0.3">
      <c r="A53" s="7"/>
      <c r="B53" s="7"/>
      <c r="C53" s="7"/>
      <c r="D53" s="7"/>
      <c r="E53" s="7"/>
      <c r="F53" s="7"/>
      <c r="G53" s="7"/>
      <c r="H53" s="7"/>
      <c r="I53" s="7"/>
      <c r="J53" s="7"/>
      <c r="K53" s="7"/>
      <c r="L53" s="7"/>
    </row>
    <row r="54" spans="1:12" ht="14.25" customHeight="1" x14ac:dyDescent="0.3">
      <c r="A54" s="7"/>
      <c r="B54" s="7"/>
      <c r="C54" s="7"/>
      <c r="D54" s="7"/>
      <c r="E54" s="7"/>
      <c r="F54" s="7"/>
      <c r="G54" s="7"/>
      <c r="H54" s="7"/>
      <c r="I54" s="7"/>
      <c r="J54" s="7"/>
      <c r="K54" s="7"/>
      <c r="L54" s="7"/>
    </row>
    <row r="55" spans="1:12" ht="14.25" customHeight="1" x14ac:dyDescent="0.3">
      <c r="A55" s="7"/>
      <c r="B55" s="7"/>
      <c r="C55" s="7"/>
      <c r="D55" s="7"/>
      <c r="E55" s="7"/>
      <c r="F55" s="7"/>
      <c r="G55" s="7"/>
      <c r="H55" s="7"/>
      <c r="I55" s="7"/>
      <c r="J55" s="7"/>
      <c r="K55" s="7"/>
      <c r="L55" s="7"/>
    </row>
    <row r="56" spans="1:12" ht="14.25" customHeight="1" x14ac:dyDescent="0.3">
      <c r="A56" s="7"/>
      <c r="B56" s="7"/>
      <c r="C56" s="7"/>
      <c r="D56" s="7"/>
      <c r="E56" s="7"/>
      <c r="F56" s="7"/>
      <c r="G56" s="7"/>
      <c r="H56" s="7"/>
      <c r="I56" s="7"/>
      <c r="J56" s="7"/>
      <c r="K56" s="7"/>
      <c r="L56" s="7"/>
    </row>
    <row r="57" spans="1:12" ht="14.25" customHeight="1" x14ac:dyDescent="0.3">
      <c r="A57" s="7"/>
      <c r="B57" s="7"/>
      <c r="C57" s="7"/>
      <c r="D57" s="7"/>
      <c r="E57" s="7"/>
      <c r="F57" s="7"/>
      <c r="G57" s="7"/>
      <c r="H57" s="7"/>
      <c r="I57" s="7"/>
      <c r="J57" s="7"/>
      <c r="K57" s="7"/>
      <c r="L57" s="7"/>
    </row>
    <row r="58" spans="1:12" ht="14.25" customHeight="1" x14ac:dyDescent="0.3">
      <c r="A58" s="7"/>
      <c r="B58" s="7"/>
      <c r="C58" s="7"/>
      <c r="D58" s="7"/>
      <c r="E58" s="7"/>
      <c r="F58" s="7"/>
      <c r="G58" s="7"/>
      <c r="H58" s="7"/>
      <c r="I58" s="7"/>
      <c r="J58" s="7"/>
      <c r="K58" s="7"/>
      <c r="L58" s="7"/>
    </row>
    <row r="59" spans="1:12" ht="14.25" customHeight="1" x14ac:dyDescent="0.3">
      <c r="A59" s="7"/>
      <c r="B59" s="7"/>
      <c r="C59" s="7"/>
      <c r="D59" s="7"/>
      <c r="E59" s="7"/>
      <c r="F59" s="7"/>
      <c r="G59" s="7"/>
      <c r="H59" s="7"/>
      <c r="I59" s="7"/>
      <c r="J59" s="7"/>
      <c r="K59" s="7"/>
      <c r="L59" s="7"/>
    </row>
    <row r="60" spans="1:12" ht="14.25" customHeight="1" x14ac:dyDescent="0.3">
      <c r="A60" s="7"/>
      <c r="B60" s="7"/>
      <c r="C60" s="7"/>
      <c r="D60" s="7"/>
      <c r="E60" s="7"/>
      <c r="F60" s="7"/>
      <c r="G60" s="7"/>
      <c r="H60" s="7"/>
      <c r="I60" s="7"/>
      <c r="J60" s="7"/>
      <c r="K60" s="7"/>
      <c r="L60" s="7"/>
    </row>
    <row r="61" spans="1:12" ht="14.25" customHeight="1" x14ac:dyDescent="0.3">
      <c r="A61" s="7"/>
      <c r="B61" s="7"/>
      <c r="C61" s="7"/>
      <c r="D61" s="7"/>
      <c r="E61" s="7"/>
      <c r="F61" s="7"/>
      <c r="G61" s="7"/>
      <c r="H61" s="7"/>
      <c r="I61" s="7"/>
      <c r="J61" s="7"/>
      <c r="K61" s="7"/>
      <c r="L61" s="7"/>
    </row>
    <row r="62" spans="1:12" ht="14.25" customHeight="1" x14ac:dyDescent="0.3">
      <c r="A62" s="7"/>
      <c r="B62" s="7"/>
      <c r="C62" s="7"/>
      <c r="D62" s="7"/>
      <c r="E62" s="7"/>
      <c r="F62" s="7"/>
      <c r="G62" s="7"/>
      <c r="H62" s="7"/>
      <c r="I62" s="7"/>
      <c r="J62" s="7"/>
      <c r="K62" s="7"/>
      <c r="L62" s="7"/>
    </row>
    <row r="63" spans="1:12" ht="14.25" customHeight="1" x14ac:dyDescent="0.3">
      <c r="A63" s="7"/>
      <c r="B63" s="7"/>
      <c r="C63" s="7"/>
      <c r="D63" s="7"/>
      <c r="E63" s="7"/>
      <c r="F63" s="7"/>
      <c r="G63" s="7"/>
      <c r="H63" s="7"/>
      <c r="I63" s="7"/>
      <c r="J63" s="7"/>
      <c r="K63" s="7"/>
      <c r="L63" s="7"/>
    </row>
    <row r="64" spans="1:12" ht="14.25" customHeight="1" x14ac:dyDescent="0.3">
      <c r="A64" s="7"/>
      <c r="B64" s="7"/>
      <c r="C64" s="7"/>
      <c r="D64" s="7"/>
      <c r="E64" s="7"/>
      <c r="F64" s="7"/>
      <c r="G64" s="7"/>
      <c r="H64" s="7"/>
      <c r="I64" s="7"/>
      <c r="J64" s="7"/>
      <c r="K64" s="7"/>
      <c r="L64" s="7"/>
    </row>
    <row r="65" spans="1:12" ht="14.25" customHeight="1" x14ac:dyDescent="0.3">
      <c r="A65" s="7"/>
      <c r="B65" s="7"/>
      <c r="C65" s="7"/>
      <c r="D65" s="7"/>
      <c r="E65" s="7"/>
      <c r="F65" s="7"/>
      <c r="G65" s="7"/>
      <c r="H65" s="7"/>
      <c r="I65" s="7"/>
      <c r="J65" s="7"/>
      <c r="K65" s="7"/>
      <c r="L65" s="7"/>
    </row>
    <row r="66" spans="1:12" ht="14.25" customHeight="1" x14ac:dyDescent="0.3">
      <c r="A66" s="7"/>
      <c r="B66" s="7"/>
      <c r="C66" s="7"/>
      <c r="D66" s="7"/>
      <c r="E66" s="7"/>
      <c r="F66" s="7"/>
      <c r="G66" s="7"/>
      <c r="H66" s="7"/>
      <c r="I66" s="7"/>
      <c r="J66" s="7"/>
      <c r="K66" s="7"/>
      <c r="L66" s="7"/>
    </row>
    <row r="67" spans="1:12" ht="14.25" customHeight="1" x14ac:dyDescent="0.3">
      <c r="A67" s="7"/>
      <c r="B67" s="7"/>
      <c r="C67" s="7"/>
      <c r="D67" s="7"/>
      <c r="E67" s="7"/>
      <c r="F67" s="7"/>
      <c r="G67" s="7"/>
      <c r="H67" s="7"/>
      <c r="I67" s="7"/>
      <c r="J67" s="7"/>
      <c r="K67" s="7"/>
      <c r="L67" s="7"/>
    </row>
    <row r="68" spans="1:12" ht="14.25" customHeight="1" x14ac:dyDescent="0.3">
      <c r="A68" s="7"/>
      <c r="B68" s="7"/>
      <c r="C68" s="7"/>
      <c r="D68" s="7"/>
      <c r="E68" s="7"/>
      <c r="F68" s="7"/>
      <c r="G68" s="7"/>
      <c r="H68" s="7"/>
      <c r="I68" s="7"/>
      <c r="J68" s="7"/>
      <c r="K68" s="7"/>
      <c r="L68" s="7"/>
    </row>
    <row r="69" spans="1:12" ht="14.25" customHeight="1" x14ac:dyDescent="0.3">
      <c r="A69" s="7"/>
      <c r="B69" s="7"/>
      <c r="C69" s="7"/>
      <c r="D69" s="7"/>
      <c r="E69" s="7"/>
      <c r="F69" s="7"/>
      <c r="G69" s="7"/>
      <c r="H69" s="7"/>
      <c r="I69" s="7"/>
      <c r="J69" s="7"/>
      <c r="K69" s="7"/>
      <c r="L69" s="7"/>
    </row>
    <row r="70" spans="1:12" ht="14.25" customHeight="1" x14ac:dyDescent="0.3">
      <c r="A70" s="7"/>
      <c r="B70" s="7"/>
      <c r="C70" s="7"/>
      <c r="D70" s="7"/>
      <c r="E70" s="7"/>
      <c r="F70" s="7"/>
      <c r="G70" s="7"/>
      <c r="H70" s="7"/>
      <c r="I70" s="7"/>
      <c r="J70" s="7"/>
      <c r="K70" s="7"/>
      <c r="L70" s="7"/>
    </row>
    <row r="71" spans="1:12" ht="14.25" customHeight="1" x14ac:dyDescent="0.3">
      <c r="A71" s="7"/>
      <c r="B71" s="7"/>
      <c r="C71" s="7"/>
      <c r="D71" s="7"/>
      <c r="E71" s="7"/>
      <c r="F71" s="7"/>
      <c r="G71" s="7"/>
      <c r="H71" s="7"/>
      <c r="I71" s="7"/>
      <c r="J71" s="7"/>
      <c r="K71" s="7"/>
      <c r="L71" s="7"/>
    </row>
    <row r="72" spans="1:12" ht="14.25" customHeight="1" x14ac:dyDescent="0.3">
      <c r="A72" s="7"/>
      <c r="B72" s="7"/>
      <c r="C72" s="7"/>
      <c r="D72" s="7"/>
      <c r="E72" s="7"/>
      <c r="F72" s="7"/>
      <c r="G72" s="7"/>
      <c r="H72" s="7"/>
      <c r="I72" s="7"/>
      <c r="J72" s="7"/>
      <c r="K72" s="7"/>
      <c r="L72" s="7"/>
    </row>
    <row r="73" spans="1:12" ht="14.25" customHeight="1" x14ac:dyDescent="0.3">
      <c r="A73" s="7"/>
      <c r="B73" s="7"/>
      <c r="C73" s="7"/>
      <c r="D73" s="7"/>
      <c r="E73" s="7"/>
      <c r="F73" s="7"/>
      <c r="G73" s="7"/>
      <c r="H73" s="7"/>
      <c r="I73" s="7"/>
      <c r="J73" s="7"/>
      <c r="K73" s="7"/>
      <c r="L73" s="7"/>
    </row>
    <row r="74" spans="1:12" ht="14.25" customHeight="1" x14ac:dyDescent="0.3">
      <c r="A74" s="7"/>
      <c r="B74" s="7"/>
      <c r="C74" s="7"/>
      <c r="D74" s="7"/>
      <c r="E74" s="7"/>
      <c r="F74" s="7"/>
      <c r="G74" s="7"/>
      <c r="H74" s="7"/>
      <c r="I74" s="7"/>
      <c r="J74" s="7"/>
      <c r="K74" s="7"/>
      <c r="L74" s="7"/>
    </row>
    <row r="75" spans="1:12" ht="14.25" customHeight="1" x14ac:dyDescent="0.3">
      <c r="A75" s="7"/>
      <c r="B75" s="7"/>
      <c r="C75" s="7"/>
      <c r="D75" s="7"/>
      <c r="E75" s="7"/>
      <c r="F75" s="7"/>
      <c r="G75" s="7"/>
      <c r="H75" s="7"/>
      <c r="I75" s="7"/>
      <c r="J75" s="7"/>
      <c r="K75" s="7"/>
      <c r="L75" s="7"/>
    </row>
    <row r="76" spans="1:12" ht="14.25" customHeight="1" x14ac:dyDescent="0.3">
      <c r="A76" s="7"/>
      <c r="B76" s="7"/>
      <c r="C76" s="7"/>
      <c r="D76" s="7"/>
      <c r="E76" s="7"/>
      <c r="F76" s="7"/>
      <c r="G76" s="7"/>
      <c r="H76" s="7"/>
      <c r="I76" s="7"/>
      <c r="J76" s="7"/>
      <c r="K76" s="7"/>
      <c r="L76" s="7"/>
    </row>
    <row r="77" spans="1:12" ht="14.25" customHeight="1" x14ac:dyDescent="0.3">
      <c r="A77" s="7"/>
      <c r="B77" s="7"/>
      <c r="C77" s="7"/>
      <c r="D77" s="7"/>
      <c r="E77" s="7"/>
      <c r="F77" s="7"/>
      <c r="G77" s="7"/>
      <c r="H77" s="7"/>
      <c r="I77" s="7"/>
      <c r="J77" s="7"/>
      <c r="K77" s="7"/>
      <c r="L77" s="7"/>
    </row>
    <row r="78" spans="1:12" ht="14.25" customHeight="1" x14ac:dyDescent="0.3">
      <c r="A78" s="7"/>
      <c r="B78" s="7"/>
      <c r="C78" s="7"/>
      <c r="D78" s="7"/>
      <c r="E78" s="7"/>
      <c r="F78" s="7"/>
      <c r="G78" s="7"/>
      <c r="H78" s="7"/>
      <c r="I78" s="7"/>
      <c r="J78" s="7"/>
      <c r="K78" s="7"/>
      <c r="L78" s="7"/>
    </row>
    <row r="79" spans="1:12" ht="14.25" customHeight="1" x14ac:dyDescent="0.3">
      <c r="A79" s="7"/>
      <c r="B79" s="7"/>
      <c r="C79" s="7"/>
      <c r="D79" s="7"/>
      <c r="E79" s="7"/>
      <c r="F79" s="7"/>
      <c r="G79" s="7"/>
      <c r="H79" s="7"/>
      <c r="I79" s="7"/>
      <c r="J79" s="7"/>
      <c r="K79" s="7"/>
      <c r="L79" s="7"/>
    </row>
    <row r="80" spans="1:12" ht="14.25" customHeight="1" x14ac:dyDescent="0.3">
      <c r="A80" s="7"/>
      <c r="B80" s="7"/>
      <c r="C80" s="7"/>
      <c r="D80" s="7"/>
      <c r="E80" s="7"/>
      <c r="F80" s="7"/>
      <c r="G80" s="7"/>
      <c r="H80" s="7"/>
      <c r="I80" s="7"/>
      <c r="J80" s="7"/>
      <c r="K80" s="7"/>
      <c r="L80" s="7"/>
    </row>
    <row r="81" spans="1:12" ht="14.25" customHeight="1" x14ac:dyDescent="0.3">
      <c r="A81" s="7"/>
      <c r="B81" s="7"/>
      <c r="C81" s="7"/>
      <c r="D81" s="7"/>
      <c r="E81" s="7"/>
      <c r="F81" s="7"/>
      <c r="G81" s="7"/>
      <c r="H81" s="7"/>
      <c r="I81" s="7"/>
      <c r="J81" s="7"/>
      <c r="K81" s="7"/>
      <c r="L81" s="7"/>
    </row>
    <row r="82" spans="1:12" ht="14.25" customHeight="1" x14ac:dyDescent="0.3">
      <c r="A82" s="7"/>
      <c r="B82" s="7"/>
      <c r="C82" s="7"/>
      <c r="D82" s="7"/>
      <c r="E82" s="7"/>
      <c r="F82" s="7"/>
      <c r="G82" s="7"/>
      <c r="H82" s="7"/>
      <c r="I82" s="7"/>
      <c r="J82" s="7"/>
      <c r="K82" s="7"/>
      <c r="L82" s="7"/>
    </row>
    <row r="83" spans="1:12" ht="14.25" customHeight="1" x14ac:dyDescent="0.3">
      <c r="A83" s="7"/>
      <c r="B83" s="7"/>
      <c r="C83" s="7"/>
      <c r="D83" s="7"/>
      <c r="E83" s="7"/>
      <c r="F83" s="7"/>
      <c r="G83" s="7"/>
      <c r="H83" s="7"/>
      <c r="I83" s="7"/>
      <c r="J83" s="7"/>
      <c r="K83" s="7"/>
      <c r="L83" s="7"/>
    </row>
    <row r="84" spans="1:12" ht="14.25" customHeight="1" x14ac:dyDescent="0.3">
      <c r="A84" s="7"/>
      <c r="B84" s="7"/>
      <c r="C84" s="7"/>
      <c r="D84" s="7"/>
      <c r="E84" s="7"/>
      <c r="F84" s="7"/>
      <c r="G84" s="7"/>
      <c r="H84" s="7"/>
      <c r="I84" s="7"/>
      <c r="J84" s="7"/>
      <c r="K84" s="7"/>
      <c r="L84" s="7"/>
    </row>
    <row r="85" spans="1:12" ht="14.25" customHeight="1" x14ac:dyDescent="0.3">
      <c r="A85" s="7"/>
      <c r="B85" s="7"/>
      <c r="C85" s="7"/>
      <c r="D85" s="7"/>
      <c r="E85" s="7"/>
      <c r="F85" s="7"/>
      <c r="G85" s="7"/>
      <c r="H85" s="7"/>
      <c r="I85" s="7"/>
      <c r="J85" s="7"/>
      <c r="K85" s="7"/>
      <c r="L85" s="7"/>
    </row>
    <row r="86" spans="1:12" ht="14.25" customHeight="1" x14ac:dyDescent="0.3">
      <c r="A86" s="7"/>
      <c r="B86" s="7"/>
      <c r="C86" s="7"/>
      <c r="D86" s="7"/>
      <c r="E86" s="7"/>
      <c r="F86" s="7"/>
      <c r="G86" s="7"/>
      <c r="H86" s="7"/>
      <c r="I86" s="7"/>
      <c r="J86" s="7"/>
      <c r="K86" s="7"/>
      <c r="L86" s="7"/>
    </row>
    <row r="87" spans="1:12" ht="14.25" customHeight="1" x14ac:dyDescent="0.3">
      <c r="A87" s="7"/>
      <c r="B87" s="7"/>
      <c r="C87" s="7"/>
      <c r="D87" s="7"/>
      <c r="E87" s="7"/>
      <c r="F87" s="7"/>
      <c r="G87" s="7"/>
      <c r="H87" s="7"/>
      <c r="I87" s="7"/>
      <c r="J87" s="7"/>
      <c r="K87" s="7"/>
      <c r="L87" s="7"/>
    </row>
    <row r="88" spans="1:12" ht="14.25" customHeight="1" x14ac:dyDescent="0.3">
      <c r="A88" s="7"/>
      <c r="B88" s="7"/>
      <c r="C88" s="7"/>
      <c r="D88" s="7"/>
      <c r="E88" s="7"/>
      <c r="F88" s="7"/>
      <c r="G88" s="7"/>
      <c r="H88" s="7"/>
      <c r="I88" s="7"/>
      <c r="J88" s="7"/>
      <c r="K88" s="7"/>
      <c r="L88" s="7"/>
    </row>
    <row r="89" spans="1:12" ht="14.25" customHeight="1" x14ac:dyDescent="0.3">
      <c r="A89" s="7"/>
      <c r="B89" s="7"/>
      <c r="C89" s="7"/>
      <c r="D89" s="7"/>
      <c r="E89" s="7"/>
      <c r="F89" s="7"/>
      <c r="G89" s="7"/>
      <c r="H89" s="7"/>
      <c r="I89" s="7"/>
      <c r="J89" s="7"/>
      <c r="K89" s="7"/>
      <c r="L89" s="7"/>
    </row>
    <row r="90" spans="1:12" ht="14.25" customHeight="1" x14ac:dyDescent="0.3">
      <c r="A90" s="7"/>
      <c r="B90" s="7"/>
      <c r="C90" s="7"/>
      <c r="D90" s="7"/>
      <c r="E90" s="7"/>
      <c r="F90" s="7"/>
      <c r="G90" s="7"/>
      <c r="H90" s="7"/>
      <c r="I90" s="7"/>
      <c r="J90" s="7"/>
      <c r="K90" s="7"/>
      <c r="L90" s="7"/>
    </row>
    <row r="91" spans="1:12" ht="14.25" customHeight="1" x14ac:dyDescent="0.3">
      <c r="A91" s="7"/>
      <c r="B91" s="7"/>
      <c r="C91" s="7"/>
      <c r="D91" s="7"/>
      <c r="E91" s="7"/>
      <c r="F91" s="7"/>
      <c r="G91" s="7"/>
      <c r="H91" s="7"/>
      <c r="I91" s="7"/>
      <c r="J91" s="7"/>
      <c r="K91" s="7"/>
      <c r="L91" s="7"/>
    </row>
    <row r="92" spans="1:12" ht="14.25" customHeight="1" x14ac:dyDescent="0.3">
      <c r="A92" s="7"/>
      <c r="B92" s="7"/>
      <c r="C92" s="7"/>
      <c r="D92" s="7"/>
      <c r="E92" s="7"/>
      <c r="F92" s="7"/>
      <c r="G92" s="7"/>
      <c r="H92" s="7"/>
      <c r="I92" s="7"/>
      <c r="J92" s="7"/>
      <c r="K92" s="7"/>
      <c r="L92" s="7"/>
    </row>
    <row r="93" spans="1:12" ht="14.25" customHeight="1" x14ac:dyDescent="0.3">
      <c r="A93" s="7"/>
      <c r="B93" s="7"/>
      <c r="C93" s="7"/>
      <c r="D93" s="7"/>
      <c r="E93" s="7"/>
      <c r="F93" s="7"/>
      <c r="G93" s="7"/>
      <c r="H93" s="7"/>
      <c r="I93" s="7"/>
      <c r="J93" s="7"/>
      <c r="K93" s="7"/>
      <c r="L93" s="7"/>
    </row>
    <row r="94" spans="1:12" ht="14.25" customHeight="1" x14ac:dyDescent="0.3">
      <c r="A94" s="7"/>
      <c r="B94" s="7"/>
      <c r="C94" s="7"/>
      <c r="D94" s="7"/>
      <c r="E94" s="7"/>
      <c r="F94" s="7"/>
      <c r="G94" s="7"/>
      <c r="H94" s="7"/>
      <c r="I94" s="7"/>
      <c r="J94" s="7"/>
      <c r="K94" s="7"/>
      <c r="L94" s="7"/>
    </row>
    <row r="95" spans="1:12" ht="14.25" customHeight="1" x14ac:dyDescent="0.3">
      <c r="A95" s="7"/>
      <c r="B95" s="7"/>
      <c r="C95" s="7"/>
      <c r="D95" s="7"/>
      <c r="E95" s="7"/>
      <c r="F95" s="7"/>
      <c r="G95" s="7"/>
      <c r="H95" s="7"/>
      <c r="I95" s="7"/>
      <c r="J95" s="7"/>
      <c r="K95" s="7"/>
      <c r="L95" s="7"/>
    </row>
    <row r="96" spans="1:12" ht="14.25" customHeight="1" x14ac:dyDescent="0.3">
      <c r="A96" s="7"/>
      <c r="B96" s="7"/>
      <c r="C96" s="7"/>
      <c r="D96" s="7"/>
      <c r="E96" s="7"/>
      <c r="F96" s="7"/>
      <c r="G96" s="7"/>
      <c r="H96" s="7"/>
      <c r="I96" s="7"/>
      <c r="J96" s="7"/>
      <c r="K96" s="7"/>
      <c r="L96" s="7"/>
    </row>
    <row r="97" spans="1:12" ht="14.25" customHeight="1" x14ac:dyDescent="0.3">
      <c r="A97" s="7"/>
      <c r="B97" s="7"/>
      <c r="C97" s="7"/>
      <c r="D97" s="7"/>
      <c r="E97" s="7"/>
      <c r="F97" s="7"/>
      <c r="G97" s="7"/>
      <c r="H97" s="7"/>
      <c r="I97" s="7"/>
      <c r="J97" s="7"/>
      <c r="K97" s="7"/>
      <c r="L97" s="7"/>
    </row>
    <row r="98" spans="1:12" ht="14.25" customHeight="1" x14ac:dyDescent="0.3">
      <c r="A98" s="7"/>
      <c r="B98" s="7"/>
      <c r="C98" s="7"/>
      <c r="D98" s="7"/>
      <c r="E98" s="7"/>
      <c r="F98" s="7"/>
      <c r="G98" s="7"/>
      <c r="H98" s="7"/>
      <c r="I98" s="7"/>
      <c r="J98" s="7"/>
      <c r="K98" s="7"/>
      <c r="L98" s="7"/>
    </row>
    <row r="99" spans="1:12" ht="14.25" customHeight="1" x14ac:dyDescent="0.3">
      <c r="A99" s="7"/>
      <c r="B99" s="7"/>
      <c r="C99" s="7"/>
      <c r="D99" s="7"/>
      <c r="E99" s="7"/>
      <c r="F99" s="7"/>
      <c r="G99" s="7"/>
      <c r="H99" s="7"/>
      <c r="I99" s="7"/>
      <c r="J99" s="7"/>
      <c r="K99" s="7"/>
      <c r="L99" s="7"/>
    </row>
    <row r="100" spans="1:12" ht="14.25" customHeight="1" x14ac:dyDescent="0.3">
      <c r="A100" s="7"/>
      <c r="B100" s="7"/>
      <c r="C100" s="7"/>
      <c r="D100" s="7"/>
      <c r="E100" s="7"/>
      <c r="F100" s="7"/>
      <c r="G100" s="7"/>
      <c r="H100" s="7"/>
      <c r="I100" s="7"/>
      <c r="J100" s="7"/>
      <c r="K100" s="7"/>
      <c r="L100" s="7"/>
    </row>
    <row r="101" spans="1:12" ht="14.25" customHeight="1" x14ac:dyDescent="0.3">
      <c r="A101" s="7"/>
      <c r="B101" s="7"/>
      <c r="C101" s="7"/>
      <c r="D101" s="7"/>
      <c r="E101" s="7"/>
      <c r="F101" s="7"/>
      <c r="G101" s="7"/>
      <c r="H101" s="7"/>
      <c r="I101" s="7"/>
      <c r="J101" s="7"/>
      <c r="K101" s="7"/>
      <c r="L101" s="7"/>
    </row>
    <row r="102" spans="1:12" ht="14.25" customHeight="1" x14ac:dyDescent="0.3">
      <c r="A102" s="7"/>
      <c r="B102" s="7"/>
      <c r="C102" s="7"/>
      <c r="D102" s="7"/>
      <c r="E102" s="7"/>
      <c r="F102" s="7"/>
      <c r="G102" s="7"/>
      <c r="H102" s="7"/>
      <c r="I102" s="7"/>
      <c r="J102" s="7"/>
      <c r="K102" s="7"/>
      <c r="L102" s="7"/>
    </row>
    <row r="103" spans="1:12" ht="14.25" customHeight="1" x14ac:dyDescent="0.3">
      <c r="A103" s="7"/>
      <c r="B103" s="7"/>
      <c r="C103" s="7"/>
      <c r="D103" s="7"/>
      <c r="E103" s="7"/>
      <c r="F103" s="7"/>
      <c r="G103" s="7"/>
      <c r="H103" s="7"/>
      <c r="I103" s="7"/>
      <c r="J103" s="7"/>
      <c r="K103" s="7"/>
      <c r="L103" s="7"/>
    </row>
    <row r="104" spans="1:12" ht="14.25" customHeight="1" x14ac:dyDescent="0.3">
      <c r="A104" s="7"/>
      <c r="B104" s="7"/>
      <c r="C104" s="7"/>
      <c r="D104" s="7"/>
      <c r="E104" s="7"/>
      <c r="F104" s="7"/>
      <c r="G104" s="7"/>
      <c r="H104" s="7"/>
      <c r="I104" s="7"/>
      <c r="J104" s="7"/>
      <c r="K104" s="7"/>
      <c r="L104" s="7"/>
    </row>
    <row r="105" spans="1:12" ht="14.25" customHeight="1" x14ac:dyDescent="0.3">
      <c r="A105" s="7"/>
      <c r="B105" s="7"/>
      <c r="C105" s="7"/>
      <c r="D105" s="7"/>
      <c r="E105" s="7"/>
      <c r="F105" s="7"/>
      <c r="G105" s="7"/>
      <c r="H105" s="7"/>
      <c r="I105" s="7"/>
      <c r="J105" s="7"/>
      <c r="K105" s="7"/>
      <c r="L105" s="7"/>
    </row>
    <row r="106" spans="1:12" ht="14.25" customHeight="1" x14ac:dyDescent="0.3">
      <c r="A106" s="7"/>
      <c r="B106" s="7"/>
      <c r="C106" s="7"/>
      <c r="D106" s="7"/>
      <c r="E106" s="7"/>
      <c r="F106" s="7"/>
      <c r="G106" s="7"/>
      <c r="H106" s="7"/>
      <c r="I106" s="7"/>
      <c r="J106" s="7"/>
      <c r="K106" s="7"/>
      <c r="L106" s="7"/>
    </row>
    <row r="107" spans="1:12" ht="14.25" customHeight="1" x14ac:dyDescent="0.3">
      <c r="A107" s="7"/>
      <c r="B107" s="7"/>
      <c r="C107" s="7"/>
      <c r="D107" s="7"/>
      <c r="E107" s="7"/>
      <c r="F107" s="7"/>
      <c r="G107" s="7"/>
      <c r="H107" s="7"/>
      <c r="I107" s="7"/>
      <c r="J107" s="7"/>
      <c r="K107" s="7"/>
      <c r="L107" s="7"/>
    </row>
    <row r="108" spans="1:12" ht="14.25" customHeight="1" x14ac:dyDescent="0.3">
      <c r="A108" s="7"/>
      <c r="B108" s="7"/>
      <c r="C108" s="7"/>
      <c r="D108" s="7"/>
      <c r="E108" s="7"/>
      <c r="F108" s="7"/>
      <c r="G108" s="7"/>
      <c r="H108" s="7"/>
      <c r="I108" s="7"/>
      <c r="J108" s="7"/>
      <c r="K108" s="7"/>
      <c r="L108" s="7"/>
    </row>
    <row r="109" spans="1:12" ht="14.25" customHeight="1" x14ac:dyDescent="0.3">
      <c r="A109" s="7"/>
      <c r="B109" s="7"/>
      <c r="C109" s="7"/>
      <c r="D109" s="7"/>
      <c r="E109" s="7"/>
      <c r="F109" s="7"/>
      <c r="G109" s="7"/>
      <c r="H109" s="7"/>
      <c r="I109" s="7"/>
      <c r="J109" s="7"/>
      <c r="K109" s="7"/>
      <c r="L109" s="7"/>
    </row>
    <row r="110" spans="1:12" ht="14.25" customHeight="1" x14ac:dyDescent="0.3">
      <c r="A110" s="7"/>
      <c r="B110" s="7"/>
      <c r="C110" s="7"/>
      <c r="D110" s="7"/>
      <c r="E110" s="7"/>
      <c r="F110" s="7"/>
      <c r="G110" s="7"/>
      <c r="H110" s="7"/>
      <c r="I110" s="7"/>
      <c r="J110" s="7"/>
      <c r="K110" s="7"/>
      <c r="L110" s="7"/>
    </row>
    <row r="111" spans="1:12" ht="14.25" customHeight="1" x14ac:dyDescent="0.3">
      <c r="A111" s="7"/>
      <c r="B111" s="7"/>
      <c r="C111" s="7"/>
      <c r="D111" s="7"/>
      <c r="E111" s="7"/>
      <c r="F111" s="7"/>
      <c r="G111" s="7"/>
      <c r="H111" s="7"/>
      <c r="I111" s="7"/>
      <c r="J111" s="7"/>
      <c r="K111" s="7"/>
      <c r="L111" s="7"/>
    </row>
    <row r="112" spans="1:12" ht="14.25" customHeight="1" x14ac:dyDescent="0.3">
      <c r="A112" s="7"/>
      <c r="B112" s="7"/>
      <c r="C112" s="7"/>
      <c r="D112" s="7"/>
      <c r="E112" s="7"/>
      <c r="F112" s="7"/>
      <c r="G112" s="7"/>
      <c r="H112" s="7"/>
      <c r="I112" s="7"/>
      <c r="J112" s="7"/>
      <c r="K112" s="7"/>
      <c r="L112" s="7"/>
    </row>
    <row r="113" spans="1:12" ht="14.25" customHeight="1" x14ac:dyDescent="0.3">
      <c r="A113" s="7"/>
      <c r="B113" s="7"/>
      <c r="C113" s="7"/>
      <c r="D113" s="7"/>
      <c r="E113" s="7"/>
      <c r="F113" s="7"/>
      <c r="G113" s="7"/>
      <c r="H113" s="7"/>
      <c r="I113" s="7"/>
      <c r="J113" s="7"/>
      <c r="K113" s="7"/>
      <c r="L113" s="7"/>
    </row>
    <row r="114" spans="1:12" ht="14.25" customHeight="1" x14ac:dyDescent="0.3">
      <c r="A114" s="7"/>
      <c r="B114" s="7"/>
      <c r="C114" s="7"/>
      <c r="D114" s="7"/>
      <c r="E114" s="7"/>
      <c r="F114" s="7"/>
      <c r="G114" s="7"/>
      <c r="H114" s="7"/>
      <c r="I114" s="7"/>
      <c r="J114" s="7"/>
      <c r="K114" s="7"/>
      <c r="L114" s="7"/>
    </row>
    <row r="115" spans="1:12" ht="14.25" customHeight="1" x14ac:dyDescent="0.3">
      <c r="A115" s="7"/>
      <c r="B115" s="7"/>
      <c r="C115" s="7"/>
      <c r="D115" s="7"/>
      <c r="E115" s="7"/>
      <c r="F115" s="7"/>
      <c r="G115" s="7"/>
      <c r="H115" s="7"/>
      <c r="I115" s="7"/>
      <c r="J115" s="7"/>
      <c r="K115" s="7"/>
      <c r="L115" s="7"/>
    </row>
    <row r="116" spans="1:12" ht="14.25" customHeight="1" x14ac:dyDescent="0.3">
      <c r="A116" s="7"/>
      <c r="B116" s="7"/>
      <c r="C116" s="7"/>
      <c r="D116" s="7"/>
      <c r="E116" s="7"/>
      <c r="F116" s="7"/>
      <c r="G116" s="7"/>
      <c r="H116" s="7"/>
      <c r="I116" s="7"/>
      <c r="J116" s="7"/>
      <c r="K116" s="7"/>
      <c r="L116" s="7"/>
    </row>
    <row r="117" spans="1:12" ht="14.25" customHeight="1" x14ac:dyDescent="0.3">
      <c r="A117" s="7"/>
      <c r="B117" s="7"/>
      <c r="C117" s="7"/>
      <c r="D117" s="7"/>
      <c r="E117" s="7"/>
      <c r="F117" s="7"/>
      <c r="G117" s="7"/>
      <c r="H117" s="7"/>
      <c r="I117" s="7"/>
      <c r="J117" s="7"/>
      <c r="K117" s="7"/>
      <c r="L117" s="7"/>
    </row>
    <row r="118" spans="1:12" ht="14.25" customHeight="1" x14ac:dyDescent="0.3">
      <c r="A118" s="7"/>
      <c r="B118" s="7"/>
      <c r="C118" s="7"/>
      <c r="D118" s="7"/>
      <c r="E118" s="7"/>
      <c r="F118" s="7"/>
      <c r="G118" s="7"/>
      <c r="H118" s="7"/>
      <c r="I118" s="7"/>
      <c r="J118" s="7"/>
      <c r="K118" s="7"/>
      <c r="L118" s="7"/>
    </row>
    <row r="119" spans="1:12" ht="14.25" customHeight="1" x14ac:dyDescent="0.3">
      <c r="A119" s="7"/>
      <c r="B119" s="7"/>
      <c r="C119" s="7"/>
      <c r="D119" s="7"/>
      <c r="E119" s="7"/>
      <c r="F119" s="7"/>
      <c r="G119" s="7"/>
      <c r="H119" s="7"/>
      <c r="I119" s="7"/>
      <c r="J119" s="7"/>
      <c r="K119" s="7"/>
      <c r="L119" s="7"/>
    </row>
    <row r="120" spans="1:12" ht="14.25" customHeight="1" x14ac:dyDescent="0.3">
      <c r="A120" s="7"/>
      <c r="B120" s="7"/>
      <c r="C120" s="7"/>
      <c r="D120" s="7"/>
      <c r="E120" s="7"/>
      <c r="F120" s="7"/>
      <c r="G120" s="7"/>
      <c r="H120" s="7"/>
      <c r="I120" s="7"/>
      <c r="J120" s="7"/>
      <c r="K120" s="7"/>
      <c r="L120" s="7"/>
    </row>
    <row r="121" spans="1:12" ht="14.25" customHeight="1" x14ac:dyDescent="0.3">
      <c r="A121" s="7"/>
      <c r="B121" s="7"/>
      <c r="C121" s="7"/>
      <c r="D121" s="7"/>
      <c r="E121" s="7"/>
      <c r="F121" s="7"/>
      <c r="G121" s="7"/>
      <c r="H121" s="7"/>
      <c r="I121" s="7"/>
      <c r="J121" s="7"/>
      <c r="K121" s="7"/>
      <c r="L121" s="7"/>
    </row>
    <row r="122" spans="1:12" ht="14.25" customHeight="1" x14ac:dyDescent="0.3">
      <c r="A122" s="7"/>
      <c r="B122" s="7"/>
      <c r="C122" s="7"/>
      <c r="D122" s="7"/>
      <c r="E122" s="7"/>
      <c r="F122" s="7"/>
      <c r="G122" s="7"/>
      <c r="H122" s="7"/>
      <c r="I122" s="7"/>
      <c r="J122" s="7"/>
      <c r="K122" s="7"/>
      <c r="L122" s="7"/>
    </row>
    <row r="123" spans="1:12" ht="14.25" customHeight="1" x14ac:dyDescent="0.3">
      <c r="A123" s="7"/>
      <c r="B123" s="7"/>
      <c r="C123" s="7"/>
      <c r="D123" s="7"/>
      <c r="E123" s="7"/>
      <c r="F123" s="7"/>
      <c r="G123" s="7"/>
      <c r="H123" s="7"/>
      <c r="I123" s="7"/>
      <c r="J123" s="7"/>
      <c r="K123" s="7"/>
      <c r="L123" s="7"/>
    </row>
    <row r="124" spans="1:12" ht="14.25" customHeight="1" x14ac:dyDescent="0.3">
      <c r="A124" s="7"/>
      <c r="B124" s="7"/>
      <c r="C124" s="7"/>
      <c r="D124" s="7"/>
      <c r="E124" s="7"/>
      <c r="F124" s="7"/>
      <c r="G124" s="7"/>
      <c r="H124" s="7"/>
      <c r="I124" s="7"/>
      <c r="J124" s="7"/>
      <c r="K124" s="7"/>
      <c r="L124" s="7"/>
    </row>
    <row r="125" spans="1:12" ht="14.25" customHeight="1" x14ac:dyDescent="0.3">
      <c r="A125" s="7"/>
      <c r="B125" s="7"/>
      <c r="C125" s="7"/>
      <c r="D125" s="7"/>
      <c r="E125" s="7"/>
      <c r="F125" s="7"/>
      <c r="G125" s="7"/>
      <c r="H125" s="7"/>
      <c r="I125" s="7"/>
      <c r="J125" s="7"/>
      <c r="K125" s="7"/>
      <c r="L125" s="7"/>
    </row>
    <row r="126" spans="1:12" ht="14.25" customHeight="1" x14ac:dyDescent="0.3">
      <c r="A126" s="7"/>
      <c r="B126" s="7"/>
      <c r="C126" s="7"/>
      <c r="D126" s="7"/>
      <c r="E126" s="7"/>
      <c r="F126" s="7"/>
      <c r="G126" s="7"/>
      <c r="H126" s="7"/>
      <c r="I126" s="7"/>
      <c r="J126" s="7"/>
      <c r="K126" s="7"/>
      <c r="L126" s="7"/>
    </row>
    <row r="127" spans="1:12" ht="14.25" customHeight="1" x14ac:dyDescent="0.3">
      <c r="A127" s="7"/>
      <c r="B127" s="7"/>
      <c r="C127" s="7"/>
      <c r="D127" s="7"/>
      <c r="E127" s="7"/>
      <c r="F127" s="7"/>
      <c r="G127" s="7"/>
      <c r="H127" s="7"/>
      <c r="I127" s="7"/>
      <c r="J127" s="7"/>
      <c r="K127" s="7"/>
      <c r="L127" s="7"/>
    </row>
    <row r="128" spans="1:12" ht="14.25" customHeight="1" x14ac:dyDescent="0.3">
      <c r="A128" s="7"/>
      <c r="B128" s="7"/>
      <c r="C128" s="7"/>
      <c r="D128" s="7"/>
      <c r="E128" s="7"/>
      <c r="F128" s="7"/>
      <c r="G128" s="7"/>
      <c r="H128" s="7"/>
      <c r="I128" s="7"/>
      <c r="J128" s="7"/>
      <c r="K128" s="7"/>
      <c r="L128" s="7"/>
    </row>
    <row r="129" spans="1:12" ht="14.25" customHeight="1" x14ac:dyDescent="0.3">
      <c r="A129" s="7"/>
      <c r="B129" s="7"/>
      <c r="C129" s="7"/>
      <c r="D129" s="7"/>
      <c r="E129" s="7"/>
      <c r="F129" s="7"/>
      <c r="G129" s="7"/>
      <c r="H129" s="7"/>
      <c r="I129" s="7"/>
      <c r="J129" s="7"/>
      <c r="K129" s="7"/>
      <c r="L129" s="7"/>
    </row>
    <row r="130" spans="1:12" ht="14.25" customHeight="1" x14ac:dyDescent="0.3">
      <c r="A130" s="7"/>
      <c r="B130" s="7"/>
      <c r="C130" s="7"/>
      <c r="D130" s="7"/>
      <c r="E130" s="7"/>
      <c r="F130" s="7"/>
      <c r="G130" s="7"/>
      <c r="H130" s="7"/>
      <c r="I130" s="7"/>
      <c r="J130" s="7"/>
      <c r="K130" s="7"/>
      <c r="L130" s="7"/>
    </row>
    <row r="131" spans="1:12" ht="14.25" customHeight="1" x14ac:dyDescent="0.3">
      <c r="A131" s="7"/>
      <c r="B131" s="7"/>
      <c r="C131" s="7"/>
      <c r="D131" s="7"/>
      <c r="E131" s="7"/>
      <c r="F131" s="7"/>
      <c r="G131" s="7"/>
      <c r="H131" s="7"/>
      <c r="I131" s="7"/>
      <c r="J131" s="7"/>
      <c r="K131" s="7"/>
      <c r="L131" s="7"/>
    </row>
    <row r="132" spans="1:12" ht="14.25" customHeight="1" x14ac:dyDescent="0.3">
      <c r="A132" s="7"/>
      <c r="B132" s="7"/>
      <c r="C132" s="7"/>
      <c r="D132" s="7"/>
      <c r="E132" s="7"/>
      <c r="F132" s="7"/>
      <c r="G132" s="7"/>
      <c r="H132" s="7"/>
      <c r="I132" s="7"/>
      <c r="J132" s="7"/>
      <c r="K132" s="7"/>
      <c r="L132" s="7"/>
    </row>
    <row r="133" spans="1:12" ht="14.25" customHeight="1" x14ac:dyDescent="0.3">
      <c r="A133" s="7"/>
      <c r="B133" s="7"/>
      <c r="C133" s="7"/>
      <c r="D133" s="7"/>
      <c r="E133" s="7"/>
      <c r="F133" s="7"/>
      <c r="G133" s="7"/>
      <c r="H133" s="7"/>
      <c r="I133" s="7"/>
      <c r="J133" s="7"/>
      <c r="K133" s="7"/>
      <c r="L133" s="7"/>
    </row>
    <row r="134" spans="1:12" ht="14.25" customHeight="1" x14ac:dyDescent="0.3">
      <c r="A134" s="7"/>
      <c r="B134" s="7"/>
      <c r="C134" s="7"/>
      <c r="D134" s="7"/>
      <c r="E134" s="7"/>
      <c r="F134" s="7"/>
      <c r="G134" s="7"/>
      <c r="H134" s="7"/>
      <c r="I134" s="7"/>
      <c r="J134" s="7"/>
      <c r="K134" s="7"/>
      <c r="L134" s="7"/>
    </row>
    <row r="135" spans="1:12" ht="14.25" customHeight="1" x14ac:dyDescent="0.3">
      <c r="A135" s="7"/>
      <c r="B135" s="7"/>
      <c r="C135" s="7"/>
      <c r="D135" s="7"/>
      <c r="E135" s="7"/>
      <c r="F135" s="7"/>
      <c r="G135" s="7"/>
      <c r="H135" s="7"/>
      <c r="I135" s="7"/>
      <c r="J135" s="7"/>
      <c r="K135" s="7"/>
      <c r="L135" s="7"/>
    </row>
    <row r="136" spans="1:12" ht="14.25" customHeight="1" x14ac:dyDescent="0.3">
      <c r="A136" s="7"/>
      <c r="B136" s="7"/>
      <c r="C136" s="7"/>
      <c r="D136" s="7"/>
      <c r="E136" s="7"/>
      <c r="F136" s="7"/>
      <c r="G136" s="7"/>
      <c r="H136" s="7"/>
      <c r="I136" s="7"/>
      <c r="J136" s="7"/>
      <c r="K136" s="7"/>
      <c r="L136" s="7"/>
    </row>
    <row r="137" spans="1:12" ht="14.25" customHeight="1" x14ac:dyDescent="0.3">
      <c r="A137" s="7"/>
      <c r="B137" s="7"/>
      <c r="C137" s="7"/>
      <c r="D137" s="7"/>
      <c r="E137" s="7"/>
      <c r="F137" s="7"/>
      <c r="G137" s="7"/>
      <c r="H137" s="7"/>
      <c r="I137" s="7"/>
      <c r="J137" s="7"/>
      <c r="K137" s="7"/>
      <c r="L137" s="7"/>
    </row>
    <row r="138" spans="1:12" ht="14.25" customHeight="1" x14ac:dyDescent="0.3">
      <c r="A138" s="7"/>
      <c r="B138" s="7"/>
      <c r="C138" s="7"/>
      <c r="D138" s="7"/>
      <c r="E138" s="7"/>
      <c r="F138" s="7"/>
      <c r="G138" s="7"/>
      <c r="H138" s="7"/>
      <c r="I138" s="7"/>
      <c r="J138" s="7"/>
      <c r="K138" s="7"/>
      <c r="L138" s="7"/>
    </row>
    <row r="139" spans="1:12" ht="14.25" customHeight="1" x14ac:dyDescent="0.3">
      <c r="A139" s="7"/>
      <c r="B139" s="7"/>
      <c r="C139" s="7"/>
      <c r="D139" s="7"/>
      <c r="E139" s="7"/>
      <c r="F139" s="7"/>
      <c r="G139" s="7"/>
      <c r="H139" s="7"/>
      <c r="I139" s="7"/>
      <c r="J139" s="7"/>
      <c r="K139" s="7"/>
      <c r="L139" s="7"/>
    </row>
    <row r="140" spans="1:12" ht="14.25" customHeight="1" x14ac:dyDescent="0.3">
      <c r="A140" s="7"/>
      <c r="B140" s="7"/>
      <c r="C140" s="7"/>
      <c r="D140" s="7"/>
      <c r="E140" s="7"/>
      <c r="F140" s="7"/>
      <c r="G140" s="7"/>
      <c r="H140" s="7"/>
      <c r="I140" s="7"/>
      <c r="J140" s="7"/>
      <c r="K140" s="7"/>
      <c r="L140" s="7"/>
    </row>
    <row r="141" spans="1:12" ht="14.25" customHeight="1" x14ac:dyDescent="0.3">
      <c r="A141" s="7"/>
      <c r="B141" s="7"/>
      <c r="C141" s="7"/>
      <c r="D141" s="7"/>
      <c r="E141" s="7"/>
      <c r="F141" s="7"/>
      <c r="G141" s="7"/>
      <c r="H141" s="7"/>
      <c r="I141" s="7"/>
      <c r="J141" s="7"/>
      <c r="K141" s="7"/>
      <c r="L141" s="7"/>
    </row>
    <row r="142" spans="1:12" ht="14.25" customHeight="1" x14ac:dyDescent="0.3">
      <c r="A142" s="7"/>
      <c r="B142" s="7"/>
      <c r="C142" s="7"/>
      <c r="D142" s="7"/>
      <c r="E142" s="7"/>
      <c r="F142" s="7"/>
      <c r="G142" s="7"/>
      <c r="H142" s="7"/>
      <c r="I142" s="7"/>
      <c r="J142" s="7"/>
      <c r="K142" s="7"/>
      <c r="L142" s="7"/>
    </row>
    <row r="143" spans="1:12" ht="14.25" customHeight="1" x14ac:dyDescent="0.3">
      <c r="A143" s="7"/>
      <c r="B143" s="7"/>
      <c r="C143" s="7"/>
      <c r="D143" s="7"/>
      <c r="E143" s="7"/>
      <c r="F143" s="7"/>
      <c r="G143" s="7"/>
      <c r="H143" s="7"/>
      <c r="I143" s="7"/>
      <c r="J143" s="7"/>
      <c r="K143" s="7"/>
      <c r="L143" s="7"/>
    </row>
    <row r="144" spans="1:12" ht="14.25" customHeight="1" x14ac:dyDescent="0.3">
      <c r="A144" s="7"/>
      <c r="B144" s="7"/>
      <c r="C144" s="7"/>
      <c r="D144" s="7"/>
      <c r="E144" s="7"/>
      <c r="F144" s="7"/>
      <c r="G144" s="7"/>
      <c r="H144" s="7"/>
      <c r="I144" s="7"/>
      <c r="J144" s="7"/>
      <c r="K144" s="7"/>
      <c r="L144" s="7"/>
    </row>
    <row r="145" spans="1:12" ht="14.25" customHeight="1" x14ac:dyDescent="0.3">
      <c r="A145" s="7"/>
      <c r="B145" s="7"/>
      <c r="C145" s="7"/>
      <c r="D145" s="7"/>
      <c r="E145" s="7"/>
      <c r="F145" s="7"/>
      <c r="G145" s="7"/>
      <c r="H145" s="7"/>
      <c r="I145" s="7"/>
      <c r="J145" s="7"/>
      <c r="K145" s="7"/>
      <c r="L145" s="7"/>
    </row>
    <row r="146" spans="1:12" ht="14.25" customHeight="1" x14ac:dyDescent="0.3">
      <c r="A146" s="7"/>
      <c r="B146" s="7"/>
      <c r="C146" s="7"/>
      <c r="D146" s="7"/>
      <c r="E146" s="7"/>
      <c r="F146" s="7"/>
      <c r="G146" s="7"/>
      <c r="H146" s="7"/>
      <c r="I146" s="7"/>
      <c r="J146" s="7"/>
      <c r="K146" s="7"/>
      <c r="L146" s="7"/>
    </row>
    <row r="147" spans="1:12" ht="14.25" customHeight="1" x14ac:dyDescent="0.3">
      <c r="A147" s="7"/>
      <c r="B147" s="7"/>
      <c r="C147" s="7"/>
      <c r="D147" s="7"/>
      <c r="E147" s="7"/>
      <c r="F147" s="7"/>
      <c r="G147" s="7"/>
      <c r="H147" s="7"/>
      <c r="I147" s="7"/>
      <c r="J147" s="7"/>
      <c r="K147" s="7"/>
      <c r="L147" s="7"/>
    </row>
    <row r="148" spans="1:12" ht="14.25" customHeight="1" x14ac:dyDescent="0.3">
      <c r="A148" s="7"/>
      <c r="B148" s="7"/>
      <c r="C148" s="7"/>
      <c r="D148" s="7"/>
      <c r="E148" s="7"/>
      <c r="F148" s="7"/>
      <c r="G148" s="7"/>
      <c r="H148" s="7"/>
      <c r="I148" s="7"/>
      <c r="J148" s="7"/>
      <c r="K148" s="7"/>
      <c r="L148" s="7"/>
    </row>
    <row r="149" spans="1:12" ht="14.25" customHeight="1" x14ac:dyDescent="0.3">
      <c r="A149" s="7"/>
      <c r="B149" s="7"/>
      <c r="C149" s="7"/>
      <c r="D149" s="7"/>
      <c r="E149" s="7"/>
      <c r="F149" s="7"/>
      <c r="G149" s="7"/>
      <c r="H149" s="7"/>
      <c r="I149" s="7"/>
      <c r="J149" s="7"/>
      <c r="K149" s="7"/>
      <c r="L149" s="7"/>
    </row>
    <row r="150" spans="1:12" ht="14.25" customHeight="1" x14ac:dyDescent="0.3">
      <c r="A150" s="7"/>
      <c r="B150" s="7"/>
      <c r="C150" s="7"/>
      <c r="D150" s="7"/>
      <c r="E150" s="7"/>
      <c r="F150" s="7"/>
      <c r="G150" s="7"/>
      <c r="H150" s="7"/>
      <c r="I150" s="7"/>
      <c r="J150" s="7"/>
      <c r="K150" s="7"/>
      <c r="L150" s="7"/>
    </row>
    <row r="151" spans="1:12" ht="14.25" customHeight="1" x14ac:dyDescent="0.3">
      <c r="A151" s="7"/>
      <c r="B151" s="7"/>
      <c r="C151" s="7"/>
      <c r="D151" s="7"/>
      <c r="E151" s="7"/>
      <c r="F151" s="7"/>
      <c r="G151" s="7"/>
      <c r="H151" s="7"/>
      <c r="I151" s="7"/>
      <c r="J151" s="7"/>
      <c r="K151" s="7"/>
      <c r="L151" s="7"/>
    </row>
    <row r="152" spans="1:12" ht="14.25" customHeight="1" x14ac:dyDescent="0.3">
      <c r="A152" s="7"/>
      <c r="B152" s="7"/>
      <c r="C152" s="7"/>
      <c r="D152" s="7"/>
      <c r="E152" s="7"/>
      <c r="F152" s="7"/>
      <c r="G152" s="7"/>
      <c r="H152" s="7"/>
      <c r="I152" s="7"/>
      <c r="J152" s="7"/>
      <c r="K152" s="7"/>
      <c r="L152" s="7"/>
    </row>
    <row r="153" spans="1:12" ht="14.25" customHeight="1" x14ac:dyDescent="0.3">
      <c r="A153" s="7"/>
      <c r="B153" s="7"/>
      <c r="C153" s="7"/>
      <c r="D153" s="7"/>
      <c r="E153" s="7"/>
      <c r="F153" s="7"/>
      <c r="G153" s="7"/>
      <c r="H153" s="7"/>
      <c r="I153" s="7"/>
      <c r="J153" s="7"/>
      <c r="K153" s="7"/>
      <c r="L153" s="7"/>
    </row>
    <row r="154" spans="1:12" ht="14.25" customHeight="1" x14ac:dyDescent="0.3">
      <c r="A154" s="7"/>
      <c r="B154" s="7"/>
      <c r="C154" s="7"/>
      <c r="D154" s="7"/>
      <c r="E154" s="7"/>
      <c r="F154" s="7"/>
      <c r="G154" s="7"/>
      <c r="H154" s="7"/>
      <c r="I154" s="7"/>
      <c r="J154" s="7"/>
      <c r="K154" s="7"/>
      <c r="L154" s="7"/>
    </row>
    <row r="155" spans="1:12" ht="14.25" customHeight="1" x14ac:dyDescent="0.3">
      <c r="A155" s="7"/>
      <c r="B155" s="7"/>
      <c r="C155" s="7"/>
      <c r="D155" s="7"/>
      <c r="E155" s="7"/>
      <c r="F155" s="7"/>
      <c r="G155" s="7"/>
      <c r="H155" s="7"/>
      <c r="I155" s="7"/>
      <c r="J155" s="7"/>
      <c r="K155" s="7"/>
      <c r="L155" s="7"/>
    </row>
    <row r="156" spans="1:12" ht="14.25" customHeight="1" x14ac:dyDescent="0.3">
      <c r="A156" s="7"/>
      <c r="B156" s="7"/>
      <c r="C156" s="7"/>
      <c r="D156" s="7"/>
      <c r="E156" s="7"/>
      <c r="F156" s="7"/>
      <c r="G156" s="7"/>
      <c r="H156" s="7"/>
      <c r="I156" s="7"/>
      <c r="J156" s="7"/>
      <c r="K156" s="7"/>
      <c r="L156" s="7"/>
    </row>
    <row r="157" spans="1:12" ht="14.25" customHeight="1" x14ac:dyDescent="0.3">
      <c r="A157" s="7"/>
      <c r="B157" s="7"/>
      <c r="C157" s="7"/>
      <c r="D157" s="7"/>
      <c r="E157" s="7"/>
      <c r="F157" s="7"/>
      <c r="G157" s="7"/>
      <c r="H157" s="7"/>
      <c r="I157" s="7"/>
      <c r="J157" s="7"/>
      <c r="K157" s="7"/>
      <c r="L157" s="7"/>
    </row>
    <row r="158" spans="1:12" ht="14.25" customHeight="1" x14ac:dyDescent="0.3">
      <c r="A158" s="7"/>
      <c r="B158" s="7"/>
      <c r="C158" s="7"/>
      <c r="D158" s="7"/>
      <c r="E158" s="7"/>
      <c r="F158" s="7"/>
      <c r="G158" s="7"/>
      <c r="H158" s="7"/>
      <c r="I158" s="7"/>
      <c r="J158" s="7"/>
      <c r="K158" s="7"/>
      <c r="L158" s="7"/>
    </row>
    <row r="159" spans="1:12" ht="14.25" customHeight="1" x14ac:dyDescent="0.3">
      <c r="A159" s="7"/>
      <c r="B159" s="7"/>
      <c r="C159" s="7"/>
      <c r="D159" s="7"/>
      <c r="E159" s="7"/>
      <c r="F159" s="7"/>
      <c r="G159" s="7"/>
      <c r="H159" s="7"/>
      <c r="I159" s="7"/>
      <c r="J159" s="7"/>
      <c r="K159" s="7"/>
      <c r="L159" s="7"/>
    </row>
    <row r="160" spans="1:12" ht="14.25" customHeight="1" x14ac:dyDescent="0.3">
      <c r="A160" s="7"/>
      <c r="B160" s="7"/>
      <c r="C160" s="7"/>
      <c r="D160" s="7"/>
      <c r="E160" s="7"/>
      <c r="F160" s="7"/>
      <c r="G160" s="7"/>
      <c r="H160" s="7"/>
      <c r="I160" s="7"/>
      <c r="J160" s="7"/>
      <c r="K160" s="7"/>
      <c r="L160" s="7"/>
    </row>
    <row r="161" spans="1:12" ht="14.25" customHeight="1" x14ac:dyDescent="0.3">
      <c r="A161" s="7"/>
      <c r="B161" s="7"/>
      <c r="C161" s="7"/>
      <c r="D161" s="7"/>
      <c r="E161" s="7"/>
      <c r="F161" s="7"/>
      <c r="G161" s="7"/>
      <c r="H161" s="7"/>
      <c r="I161" s="7"/>
      <c r="J161" s="7"/>
      <c r="K161" s="7"/>
      <c r="L161" s="7"/>
    </row>
    <row r="162" spans="1:12" ht="14.25" customHeight="1" x14ac:dyDescent="0.3">
      <c r="A162" s="7"/>
      <c r="B162" s="7"/>
      <c r="C162" s="7"/>
      <c r="D162" s="7"/>
      <c r="E162" s="7"/>
      <c r="F162" s="7"/>
      <c r="G162" s="7"/>
      <c r="H162" s="7"/>
      <c r="I162" s="7"/>
      <c r="J162" s="7"/>
      <c r="K162" s="7"/>
      <c r="L162" s="7"/>
    </row>
    <row r="163" spans="1:12" ht="14.25" customHeight="1" x14ac:dyDescent="0.3">
      <c r="A163" s="7"/>
      <c r="B163" s="7"/>
      <c r="C163" s="7"/>
      <c r="D163" s="7"/>
      <c r="E163" s="7"/>
      <c r="F163" s="7"/>
      <c r="G163" s="7"/>
      <c r="H163" s="7"/>
      <c r="I163" s="7"/>
      <c r="J163" s="7"/>
      <c r="K163" s="7"/>
      <c r="L163" s="7"/>
    </row>
    <row r="164" spans="1:12" ht="14.25" customHeight="1" x14ac:dyDescent="0.3">
      <c r="A164" s="7"/>
      <c r="B164" s="7"/>
      <c r="C164" s="7"/>
      <c r="D164" s="7"/>
      <c r="E164" s="7"/>
      <c r="F164" s="7"/>
      <c r="G164" s="7"/>
      <c r="H164" s="7"/>
      <c r="I164" s="7"/>
      <c r="J164" s="7"/>
      <c r="K164" s="7"/>
      <c r="L164" s="7"/>
    </row>
    <row r="165" spans="1:12" ht="14.25" customHeight="1" x14ac:dyDescent="0.3">
      <c r="A165" s="7"/>
      <c r="B165" s="7"/>
      <c r="C165" s="7"/>
      <c r="D165" s="7"/>
      <c r="E165" s="7"/>
      <c r="F165" s="7"/>
      <c r="G165" s="7"/>
      <c r="H165" s="7"/>
      <c r="I165" s="7"/>
      <c r="J165" s="7"/>
      <c r="K165" s="7"/>
      <c r="L165" s="7"/>
    </row>
    <row r="166" spans="1:12" ht="14.25" customHeight="1" x14ac:dyDescent="0.3">
      <c r="A166" s="7"/>
      <c r="B166" s="7"/>
      <c r="C166" s="7"/>
      <c r="D166" s="7"/>
      <c r="E166" s="7"/>
      <c r="F166" s="7"/>
      <c r="G166" s="7"/>
      <c r="H166" s="7"/>
      <c r="I166" s="7"/>
      <c r="J166" s="7"/>
      <c r="K166" s="7"/>
      <c r="L166" s="7"/>
    </row>
    <row r="167" spans="1:12" ht="14.25" customHeight="1" x14ac:dyDescent="0.3">
      <c r="A167" s="7"/>
      <c r="B167" s="7"/>
      <c r="C167" s="7"/>
      <c r="D167" s="7"/>
      <c r="E167" s="7"/>
      <c r="F167" s="7"/>
      <c r="G167" s="7"/>
      <c r="H167" s="7"/>
      <c r="I167" s="7"/>
      <c r="J167" s="7"/>
      <c r="K167" s="7"/>
      <c r="L167" s="7"/>
    </row>
    <row r="168" spans="1:12" ht="14.25" customHeight="1" x14ac:dyDescent="0.3">
      <c r="A168" s="7"/>
      <c r="B168" s="7"/>
      <c r="C168" s="7"/>
      <c r="D168" s="7"/>
      <c r="E168" s="7"/>
      <c r="F168" s="7"/>
      <c r="G168" s="7"/>
      <c r="H168" s="7"/>
      <c r="I168" s="7"/>
      <c r="J168" s="7"/>
      <c r="K168" s="7"/>
      <c r="L168" s="7"/>
    </row>
    <row r="169" spans="1:12" ht="14.25" customHeight="1" x14ac:dyDescent="0.3">
      <c r="A169" s="7"/>
      <c r="B169" s="7"/>
      <c r="C169" s="7"/>
      <c r="D169" s="7"/>
      <c r="E169" s="7"/>
      <c r="F169" s="7"/>
      <c r="G169" s="7"/>
      <c r="H169" s="7"/>
      <c r="I169" s="7"/>
      <c r="J169" s="7"/>
      <c r="K169" s="7"/>
      <c r="L169" s="7"/>
    </row>
    <row r="170" spans="1:12" ht="14.25" customHeight="1" x14ac:dyDescent="0.3">
      <c r="A170" s="7"/>
      <c r="B170" s="7"/>
      <c r="C170" s="7"/>
      <c r="D170" s="7"/>
      <c r="E170" s="7"/>
      <c r="F170" s="7"/>
      <c r="G170" s="7"/>
      <c r="H170" s="7"/>
      <c r="I170" s="7"/>
      <c r="J170" s="7"/>
      <c r="K170" s="7"/>
      <c r="L170" s="7"/>
    </row>
    <row r="171" spans="1:12" ht="14.25" customHeight="1" x14ac:dyDescent="0.3">
      <c r="A171" s="7"/>
      <c r="B171" s="7"/>
      <c r="C171" s="7"/>
      <c r="D171" s="7"/>
      <c r="E171" s="7"/>
      <c r="F171" s="7"/>
      <c r="G171" s="7"/>
      <c r="H171" s="7"/>
      <c r="I171" s="7"/>
      <c r="J171" s="7"/>
      <c r="K171" s="7"/>
      <c r="L171" s="7"/>
    </row>
    <row r="172" spans="1:12" ht="14.25" customHeight="1" x14ac:dyDescent="0.3">
      <c r="A172" s="7"/>
      <c r="B172" s="7"/>
      <c r="C172" s="7"/>
      <c r="D172" s="7"/>
      <c r="E172" s="7"/>
      <c r="F172" s="7"/>
      <c r="G172" s="7"/>
      <c r="H172" s="7"/>
      <c r="I172" s="7"/>
      <c r="J172" s="7"/>
      <c r="K172" s="7"/>
      <c r="L172" s="7"/>
    </row>
    <row r="173" spans="1:12" ht="14.25" customHeight="1" x14ac:dyDescent="0.3">
      <c r="A173" s="7"/>
      <c r="B173" s="7"/>
      <c r="C173" s="7"/>
      <c r="D173" s="7"/>
      <c r="E173" s="7"/>
      <c r="F173" s="7"/>
      <c r="G173" s="7"/>
      <c r="H173" s="7"/>
      <c r="I173" s="7"/>
      <c r="J173" s="7"/>
      <c r="K173" s="7"/>
      <c r="L173" s="7"/>
    </row>
    <row r="174" spans="1:12" ht="14.25" customHeight="1" x14ac:dyDescent="0.3">
      <c r="A174" s="7"/>
      <c r="B174" s="7"/>
      <c r="C174" s="7"/>
      <c r="D174" s="7"/>
      <c r="E174" s="7"/>
      <c r="F174" s="7"/>
      <c r="G174" s="7"/>
      <c r="H174" s="7"/>
      <c r="I174" s="7"/>
      <c r="J174" s="7"/>
      <c r="K174" s="7"/>
      <c r="L174" s="7"/>
    </row>
    <row r="175" spans="1:12" ht="14.25" customHeight="1" x14ac:dyDescent="0.3">
      <c r="A175" s="7"/>
      <c r="B175" s="7"/>
      <c r="C175" s="7"/>
      <c r="D175" s="7"/>
      <c r="E175" s="7"/>
      <c r="F175" s="7"/>
      <c r="G175" s="7"/>
      <c r="H175" s="7"/>
      <c r="I175" s="7"/>
      <c r="J175" s="7"/>
      <c r="K175" s="7"/>
      <c r="L175" s="7"/>
    </row>
    <row r="176" spans="1:12" ht="14.25" customHeight="1" x14ac:dyDescent="0.3">
      <c r="A176" s="7"/>
      <c r="B176" s="7"/>
      <c r="C176" s="7"/>
      <c r="D176" s="7"/>
      <c r="E176" s="7"/>
      <c r="F176" s="7"/>
      <c r="G176" s="7"/>
      <c r="H176" s="7"/>
      <c r="I176" s="7"/>
      <c r="J176" s="7"/>
      <c r="K176" s="7"/>
      <c r="L176" s="7"/>
    </row>
    <row r="177" spans="1:12" ht="14.25" customHeight="1" x14ac:dyDescent="0.3">
      <c r="A177" s="7"/>
      <c r="B177" s="7"/>
      <c r="C177" s="7"/>
      <c r="D177" s="7"/>
      <c r="E177" s="7"/>
      <c r="F177" s="7"/>
      <c r="G177" s="7"/>
      <c r="H177" s="7"/>
      <c r="I177" s="7"/>
      <c r="J177" s="7"/>
      <c r="K177" s="7"/>
      <c r="L177" s="7"/>
    </row>
    <row r="178" spans="1:12" ht="14.25" customHeight="1" x14ac:dyDescent="0.3">
      <c r="A178" s="7"/>
      <c r="B178" s="7"/>
      <c r="C178" s="7"/>
      <c r="D178" s="7"/>
      <c r="E178" s="7"/>
      <c r="F178" s="7"/>
      <c r="G178" s="7"/>
      <c r="H178" s="7"/>
      <c r="I178" s="7"/>
      <c r="J178" s="7"/>
      <c r="K178" s="7"/>
      <c r="L178" s="7"/>
    </row>
    <row r="179" spans="1:12" ht="14.25" customHeight="1" x14ac:dyDescent="0.3">
      <c r="A179" s="7"/>
      <c r="B179" s="7"/>
      <c r="C179" s="7"/>
      <c r="D179" s="7"/>
      <c r="E179" s="7"/>
      <c r="F179" s="7"/>
      <c r="G179" s="7"/>
      <c r="H179" s="7"/>
      <c r="I179" s="7"/>
      <c r="J179" s="7"/>
      <c r="K179" s="7"/>
      <c r="L179" s="7"/>
    </row>
    <row r="180" spans="1:12" ht="14.25" customHeight="1" x14ac:dyDescent="0.3">
      <c r="A180" s="7"/>
      <c r="B180" s="7"/>
      <c r="C180" s="7"/>
      <c r="D180" s="7"/>
      <c r="E180" s="7"/>
      <c r="F180" s="7"/>
      <c r="G180" s="7"/>
      <c r="H180" s="7"/>
      <c r="I180" s="7"/>
      <c r="J180" s="7"/>
      <c r="K180" s="7"/>
      <c r="L180" s="7"/>
    </row>
    <row r="181" spans="1:12" ht="14.25" customHeight="1" x14ac:dyDescent="0.3">
      <c r="A181" s="7"/>
      <c r="B181" s="7"/>
      <c r="C181" s="7"/>
      <c r="D181" s="7"/>
      <c r="E181" s="7"/>
      <c r="F181" s="7"/>
      <c r="G181" s="7"/>
      <c r="H181" s="7"/>
      <c r="I181" s="7"/>
      <c r="J181" s="7"/>
      <c r="K181" s="7"/>
      <c r="L181" s="7"/>
    </row>
    <row r="182" spans="1:12" ht="14.25" customHeight="1" x14ac:dyDescent="0.3">
      <c r="A182" s="7"/>
      <c r="B182" s="7"/>
      <c r="C182" s="7"/>
      <c r="D182" s="7"/>
      <c r="E182" s="7"/>
      <c r="F182" s="7"/>
      <c r="G182" s="7"/>
      <c r="H182" s="7"/>
      <c r="I182" s="7"/>
      <c r="J182" s="7"/>
      <c r="K182" s="7"/>
      <c r="L182" s="7"/>
    </row>
    <row r="183" spans="1:12" ht="14.25" customHeight="1" x14ac:dyDescent="0.3">
      <c r="A183" s="7"/>
      <c r="B183" s="7"/>
      <c r="C183" s="7"/>
      <c r="D183" s="7"/>
      <c r="E183" s="7"/>
      <c r="F183" s="7"/>
      <c r="G183" s="7"/>
      <c r="H183" s="7"/>
      <c r="I183" s="7"/>
      <c r="J183" s="7"/>
      <c r="K183" s="7"/>
      <c r="L183" s="7"/>
    </row>
    <row r="184" spans="1:12" ht="14.25" customHeight="1" x14ac:dyDescent="0.3">
      <c r="A184" s="7"/>
      <c r="B184" s="7"/>
      <c r="C184" s="7"/>
      <c r="D184" s="7"/>
      <c r="E184" s="7"/>
      <c r="F184" s="7"/>
      <c r="G184" s="7"/>
      <c r="H184" s="7"/>
      <c r="I184" s="7"/>
      <c r="J184" s="7"/>
      <c r="K184" s="7"/>
      <c r="L184" s="7"/>
    </row>
    <row r="185" spans="1:12" ht="14.25" customHeight="1" x14ac:dyDescent="0.3">
      <c r="A185" s="7"/>
      <c r="B185" s="7"/>
      <c r="C185" s="7"/>
      <c r="D185" s="7"/>
      <c r="E185" s="7"/>
      <c r="F185" s="7"/>
      <c r="G185" s="7"/>
      <c r="H185" s="7"/>
      <c r="I185" s="7"/>
      <c r="J185" s="7"/>
      <c r="K185" s="7"/>
      <c r="L185" s="7"/>
    </row>
    <row r="186" spans="1:12" ht="14.25" customHeight="1" x14ac:dyDescent="0.3">
      <c r="A186" s="7"/>
      <c r="B186" s="7"/>
      <c r="C186" s="7"/>
      <c r="D186" s="7"/>
      <c r="E186" s="7"/>
      <c r="F186" s="7"/>
      <c r="G186" s="7"/>
      <c r="H186" s="7"/>
      <c r="I186" s="7"/>
      <c r="J186" s="7"/>
      <c r="K186" s="7"/>
      <c r="L186" s="7"/>
    </row>
    <row r="187" spans="1:12" ht="14.25" customHeight="1" x14ac:dyDescent="0.3">
      <c r="A187" s="7"/>
      <c r="B187" s="7"/>
      <c r="C187" s="7"/>
      <c r="D187" s="7"/>
      <c r="E187" s="7"/>
      <c r="F187" s="7"/>
      <c r="G187" s="7"/>
      <c r="H187" s="7"/>
      <c r="I187" s="7"/>
      <c r="J187" s="7"/>
      <c r="K187" s="7"/>
      <c r="L187" s="7"/>
    </row>
    <row r="188" spans="1:12" ht="14.25" customHeight="1" x14ac:dyDescent="0.3">
      <c r="A188" s="7"/>
      <c r="B188" s="7"/>
      <c r="C188" s="7"/>
      <c r="D188" s="7"/>
      <c r="E188" s="7"/>
      <c r="F188" s="7"/>
      <c r="G188" s="7"/>
      <c r="H188" s="7"/>
      <c r="I188" s="7"/>
      <c r="J188" s="7"/>
      <c r="K188" s="7"/>
      <c r="L188" s="7"/>
    </row>
    <row r="189" spans="1:12" ht="14.25" customHeight="1" x14ac:dyDescent="0.3">
      <c r="A189" s="7"/>
      <c r="B189" s="7"/>
      <c r="C189" s="7"/>
      <c r="D189" s="7"/>
      <c r="E189" s="7"/>
      <c r="F189" s="7"/>
      <c r="G189" s="7"/>
      <c r="H189" s="7"/>
      <c r="I189" s="7"/>
      <c r="J189" s="7"/>
      <c r="K189" s="7"/>
      <c r="L189" s="7"/>
    </row>
    <row r="190" spans="1:12" ht="14.25" customHeight="1" x14ac:dyDescent="0.3">
      <c r="A190" s="7"/>
      <c r="B190" s="7"/>
      <c r="C190" s="7"/>
      <c r="D190" s="7"/>
      <c r="E190" s="7"/>
      <c r="F190" s="7"/>
      <c r="G190" s="7"/>
      <c r="H190" s="7"/>
      <c r="I190" s="7"/>
      <c r="J190" s="7"/>
      <c r="K190" s="7"/>
      <c r="L190" s="7"/>
    </row>
    <row r="191" spans="1:12" ht="14.25" customHeight="1" x14ac:dyDescent="0.3">
      <c r="A191" s="7"/>
      <c r="B191" s="7"/>
      <c r="C191" s="7"/>
      <c r="D191" s="7"/>
      <c r="E191" s="7"/>
      <c r="F191" s="7"/>
      <c r="G191" s="7"/>
      <c r="H191" s="7"/>
      <c r="I191" s="7"/>
      <c r="J191" s="7"/>
      <c r="K191" s="7"/>
      <c r="L191" s="7"/>
    </row>
    <row r="192" spans="1:12" ht="14.25" customHeight="1" x14ac:dyDescent="0.3">
      <c r="A192" s="7"/>
      <c r="B192" s="7"/>
      <c r="C192" s="7"/>
      <c r="D192" s="7"/>
      <c r="E192" s="7"/>
      <c r="F192" s="7"/>
      <c r="G192" s="7"/>
      <c r="H192" s="7"/>
      <c r="I192" s="7"/>
      <c r="J192" s="7"/>
      <c r="K192" s="7"/>
      <c r="L192" s="7"/>
    </row>
    <row r="193" spans="1:12" ht="14.25" customHeight="1" x14ac:dyDescent="0.3">
      <c r="A193" s="7"/>
      <c r="B193" s="7"/>
      <c r="C193" s="7"/>
      <c r="D193" s="7"/>
      <c r="E193" s="7"/>
      <c r="F193" s="7"/>
      <c r="G193" s="7"/>
      <c r="H193" s="7"/>
      <c r="I193" s="7"/>
      <c r="J193" s="7"/>
      <c r="K193" s="7"/>
      <c r="L193" s="7"/>
    </row>
    <row r="194" spans="1:12" ht="14.25" customHeight="1" x14ac:dyDescent="0.3">
      <c r="A194" s="7"/>
      <c r="B194" s="7"/>
      <c r="C194" s="7"/>
      <c r="D194" s="7"/>
      <c r="E194" s="7"/>
      <c r="F194" s="7"/>
      <c r="G194" s="7"/>
      <c r="H194" s="7"/>
      <c r="I194" s="7"/>
      <c r="J194" s="7"/>
      <c r="K194" s="7"/>
      <c r="L194" s="7"/>
    </row>
    <row r="195" spans="1:12" ht="14.25" customHeight="1" x14ac:dyDescent="0.3">
      <c r="A195" s="7"/>
      <c r="B195" s="7"/>
      <c r="C195" s="7"/>
      <c r="D195" s="7"/>
      <c r="E195" s="7"/>
      <c r="F195" s="7"/>
      <c r="G195" s="7"/>
      <c r="H195" s="7"/>
      <c r="I195" s="7"/>
      <c r="J195" s="7"/>
      <c r="K195" s="7"/>
      <c r="L195" s="7"/>
    </row>
    <row r="196" spans="1:12" ht="14.25" customHeight="1" x14ac:dyDescent="0.3">
      <c r="A196" s="7"/>
      <c r="B196" s="7"/>
      <c r="C196" s="7"/>
      <c r="D196" s="7"/>
      <c r="E196" s="7"/>
      <c r="F196" s="7"/>
      <c r="G196" s="7"/>
      <c r="H196" s="7"/>
      <c r="I196" s="7"/>
      <c r="J196" s="7"/>
      <c r="K196" s="7"/>
      <c r="L196" s="7"/>
    </row>
    <row r="197" spans="1:12" ht="14.25" customHeight="1" x14ac:dyDescent="0.3">
      <c r="A197" s="7"/>
      <c r="B197" s="7"/>
      <c r="C197" s="7"/>
      <c r="D197" s="7"/>
      <c r="E197" s="7"/>
      <c r="F197" s="7"/>
      <c r="G197" s="7"/>
      <c r="H197" s="7"/>
      <c r="I197" s="7"/>
      <c r="J197" s="7"/>
      <c r="K197" s="7"/>
      <c r="L197" s="7"/>
    </row>
    <row r="198" spans="1:12" ht="14.25" customHeight="1" x14ac:dyDescent="0.3">
      <c r="A198" s="7"/>
      <c r="B198" s="7"/>
      <c r="C198" s="7"/>
      <c r="D198" s="7"/>
      <c r="E198" s="7"/>
      <c r="F198" s="7"/>
      <c r="G198" s="7"/>
      <c r="H198" s="7"/>
      <c r="I198" s="7"/>
      <c r="J198" s="7"/>
      <c r="K198" s="7"/>
      <c r="L198" s="7"/>
    </row>
    <row r="199" spans="1:12" ht="14.25" customHeight="1" x14ac:dyDescent="0.3">
      <c r="A199" s="7"/>
      <c r="B199" s="7"/>
      <c r="C199" s="7"/>
      <c r="D199" s="7"/>
      <c r="E199" s="7"/>
      <c r="F199" s="7"/>
      <c r="G199" s="7"/>
      <c r="H199" s="7"/>
      <c r="I199" s="7"/>
      <c r="J199" s="7"/>
      <c r="K199" s="7"/>
      <c r="L199" s="7"/>
    </row>
    <row r="200" spans="1:12" ht="14.25" customHeight="1" x14ac:dyDescent="0.3">
      <c r="A200" s="7"/>
      <c r="B200" s="7"/>
      <c r="C200" s="7"/>
      <c r="D200" s="7"/>
      <c r="E200" s="7"/>
      <c r="F200" s="7"/>
      <c r="G200" s="7"/>
      <c r="H200" s="7"/>
      <c r="I200" s="7"/>
      <c r="J200" s="7"/>
      <c r="K200" s="7"/>
      <c r="L200" s="7"/>
    </row>
    <row r="201" spans="1:12" ht="14.25" customHeight="1" x14ac:dyDescent="0.3">
      <c r="A201" s="7"/>
      <c r="B201" s="7"/>
      <c r="C201" s="7"/>
      <c r="D201" s="7"/>
      <c r="E201" s="7"/>
      <c r="F201" s="7"/>
      <c r="G201" s="7"/>
      <c r="H201" s="7"/>
      <c r="I201" s="7"/>
      <c r="J201" s="7"/>
      <c r="K201" s="7"/>
      <c r="L201" s="7"/>
    </row>
    <row r="202" spans="1:12" ht="14.25" customHeight="1" x14ac:dyDescent="0.3">
      <c r="A202" s="7"/>
      <c r="B202" s="7"/>
      <c r="C202" s="7"/>
      <c r="D202" s="7"/>
      <c r="E202" s="7"/>
      <c r="F202" s="7"/>
      <c r="G202" s="7"/>
      <c r="H202" s="7"/>
      <c r="I202" s="7"/>
      <c r="J202" s="7"/>
      <c r="K202" s="7"/>
      <c r="L202" s="7"/>
    </row>
    <row r="203" spans="1:12" ht="14.25" customHeight="1" x14ac:dyDescent="0.3">
      <c r="A203" s="7"/>
      <c r="B203" s="7"/>
      <c r="C203" s="7"/>
      <c r="D203" s="7"/>
      <c r="E203" s="7"/>
      <c r="F203" s="7"/>
      <c r="G203" s="7"/>
      <c r="H203" s="7"/>
      <c r="I203" s="7"/>
      <c r="J203" s="7"/>
      <c r="K203" s="7"/>
      <c r="L203" s="7"/>
    </row>
    <row r="204" spans="1:12" ht="14.25" customHeight="1" x14ac:dyDescent="0.3">
      <c r="A204" s="7"/>
      <c r="B204" s="7"/>
      <c r="C204" s="7"/>
      <c r="D204" s="7"/>
      <c r="E204" s="7"/>
      <c r="F204" s="7"/>
      <c r="G204" s="7"/>
      <c r="H204" s="7"/>
      <c r="I204" s="7"/>
      <c r="J204" s="7"/>
      <c r="K204" s="7"/>
      <c r="L204" s="7"/>
    </row>
    <row r="205" spans="1:12" ht="14.25" customHeight="1" x14ac:dyDescent="0.3">
      <c r="A205" s="7"/>
      <c r="B205" s="7"/>
      <c r="C205" s="7"/>
      <c r="D205" s="7"/>
      <c r="E205" s="7"/>
      <c r="F205" s="7"/>
      <c r="G205" s="7"/>
      <c r="H205" s="7"/>
      <c r="I205" s="7"/>
      <c r="J205" s="7"/>
      <c r="K205" s="7"/>
      <c r="L205" s="7"/>
    </row>
    <row r="206" spans="1:12" ht="14.25" customHeight="1" x14ac:dyDescent="0.3">
      <c r="A206" s="7"/>
      <c r="B206" s="7"/>
      <c r="C206" s="7"/>
      <c r="D206" s="7"/>
      <c r="E206" s="7"/>
      <c r="F206" s="7"/>
      <c r="G206" s="7"/>
      <c r="H206" s="7"/>
      <c r="I206" s="7"/>
      <c r="J206" s="7"/>
      <c r="K206" s="7"/>
      <c r="L206" s="7"/>
    </row>
    <row r="207" spans="1:12" ht="14.25" customHeight="1" x14ac:dyDescent="0.3">
      <c r="A207" s="7"/>
      <c r="B207" s="7"/>
      <c r="C207" s="7"/>
      <c r="D207" s="7"/>
      <c r="E207" s="7"/>
      <c r="F207" s="7"/>
      <c r="G207" s="7"/>
      <c r="H207" s="7"/>
      <c r="I207" s="7"/>
      <c r="J207" s="7"/>
      <c r="K207" s="7"/>
      <c r="L207" s="7"/>
    </row>
    <row r="208" spans="1:12" ht="14.25" customHeight="1" x14ac:dyDescent="0.3">
      <c r="A208" s="7"/>
      <c r="B208" s="7"/>
      <c r="C208" s="7"/>
      <c r="D208" s="7"/>
      <c r="E208" s="7"/>
      <c r="F208" s="7"/>
      <c r="G208" s="7"/>
      <c r="H208" s="7"/>
      <c r="I208" s="7"/>
      <c r="J208" s="7"/>
      <c r="K208" s="7"/>
      <c r="L208" s="7"/>
    </row>
    <row r="209" spans="1:12" ht="14.25" customHeight="1" x14ac:dyDescent="0.3">
      <c r="A209" s="7"/>
      <c r="B209" s="7"/>
      <c r="C209" s="7"/>
      <c r="D209" s="7"/>
      <c r="E209" s="7"/>
      <c r="F209" s="7"/>
      <c r="G209" s="7"/>
      <c r="H209" s="7"/>
      <c r="I209" s="7"/>
      <c r="J209" s="7"/>
      <c r="K209" s="7"/>
      <c r="L209" s="7"/>
    </row>
    <row r="210" spans="1:12" ht="14.25" customHeight="1" x14ac:dyDescent="0.3">
      <c r="A210" s="7"/>
      <c r="B210" s="7"/>
      <c r="C210" s="7"/>
      <c r="D210" s="7"/>
      <c r="E210" s="7"/>
      <c r="F210" s="7"/>
      <c r="G210" s="7"/>
      <c r="H210" s="7"/>
      <c r="I210" s="7"/>
      <c r="J210" s="7"/>
      <c r="K210" s="7"/>
      <c r="L210" s="7"/>
    </row>
    <row r="211" spans="1:12" ht="14.25" customHeight="1" x14ac:dyDescent="0.3">
      <c r="A211" s="7"/>
      <c r="B211" s="7"/>
      <c r="C211" s="7"/>
      <c r="D211" s="7"/>
      <c r="E211" s="7"/>
      <c r="F211" s="7"/>
      <c r="G211" s="7"/>
      <c r="H211" s="7"/>
      <c r="I211" s="7"/>
      <c r="J211" s="7"/>
      <c r="K211" s="7"/>
      <c r="L211" s="7"/>
    </row>
    <row r="212" spans="1:12" ht="14.25" customHeight="1" x14ac:dyDescent="0.3">
      <c r="A212" s="7"/>
      <c r="B212" s="7"/>
      <c r="C212" s="7"/>
      <c r="D212" s="7"/>
      <c r="E212" s="7"/>
      <c r="F212" s="7"/>
      <c r="G212" s="7"/>
      <c r="H212" s="7"/>
      <c r="I212" s="7"/>
      <c r="J212" s="7"/>
      <c r="K212" s="7"/>
      <c r="L212" s="7"/>
    </row>
    <row r="213" spans="1:12" ht="14.25" customHeight="1" x14ac:dyDescent="0.3">
      <c r="A213" s="7"/>
      <c r="B213" s="7"/>
      <c r="C213" s="7"/>
      <c r="D213" s="7"/>
      <c r="E213" s="7"/>
      <c r="F213" s="7"/>
      <c r="G213" s="7"/>
      <c r="H213" s="7"/>
      <c r="I213" s="7"/>
      <c r="J213" s="7"/>
      <c r="K213" s="7"/>
      <c r="L213" s="7"/>
    </row>
    <row r="214" spans="1:12" ht="14.25" customHeight="1" x14ac:dyDescent="0.3">
      <c r="A214" s="7"/>
      <c r="B214" s="7"/>
      <c r="C214" s="7"/>
      <c r="D214" s="7"/>
      <c r="E214" s="7"/>
      <c r="F214" s="7"/>
      <c r="G214" s="7"/>
      <c r="H214" s="7"/>
      <c r="I214" s="7"/>
      <c r="J214" s="7"/>
      <c r="K214" s="7"/>
      <c r="L214" s="7"/>
    </row>
    <row r="215" spans="1:12" ht="14.25" customHeight="1" x14ac:dyDescent="0.3">
      <c r="A215" s="7"/>
      <c r="B215" s="7"/>
      <c r="C215" s="7"/>
      <c r="D215" s="7"/>
      <c r="E215" s="7"/>
      <c r="F215" s="7"/>
      <c r="G215" s="7"/>
      <c r="H215" s="7"/>
      <c r="I215" s="7"/>
      <c r="J215" s="7"/>
      <c r="K215" s="7"/>
      <c r="L215" s="7"/>
    </row>
    <row r="216" spans="1:12" ht="14.25" customHeight="1" x14ac:dyDescent="0.3">
      <c r="A216" s="7"/>
      <c r="B216" s="7"/>
      <c r="C216" s="7"/>
      <c r="D216" s="7"/>
      <c r="E216" s="7"/>
      <c r="F216" s="7"/>
      <c r="G216" s="7"/>
      <c r="H216" s="7"/>
      <c r="I216" s="7"/>
      <c r="J216" s="7"/>
      <c r="K216" s="7"/>
      <c r="L216" s="7"/>
    </row>
    <row r="217" spans="1:12" ht="14.25" customHeight="1" x14ac:dyDescent="0.3">
      <c r="A217" s="7"/>
      <c r="B217" s="7"/>
      <c r="C217" s="7"/>
      <c r="D217" s="7"/>
      <c r="E217" s="7"/>
      <c r="F217" s="7"/>
      <c r="G217" s="7"/>
      <c r="H217" s="7"/>
      <c r="I217" s="7"/>
      <c r="J217" s="7"/>
      <c r="K217" s="7"/>
      <c r="L217" s="7"/>
    </row>
    <row r="218" spans="1:12" ht="14.25" customHeight="1" x14ac:dyDescent="0.3">
      <c r="A218" s="7"/>
      <c r="B218" s="7"/>
      <c r="C218" s="7"/>
      <c r="D218" s="7"/>
      <c r="E218" s="7"/>
      <c r="F218" s="7"/>
      <c r="G218" s="7"/>
      <c r="H218" s="7"/>
      <c r="I218" s="7"/>
      <c r="J218" s="7"/>
      <c r="K218" s="7"/>
      <c r="L218" s="7"/>
    </row>
    <row r="219" spans="1:12" ht="14.25" customHeight="1" x14ac:dyDescent="0.3">
      <c r="A219" s="7"/>
      <c r="B219" s="7"/>
      <c r="C219" s="7"/>
      <c r="D219" s="7"/>
      <c r="E219" s="7"/>
      <c r="F219" s="7"/>
      <c r="G219" s="7"/>
      <c r="H219" s="7"/>
      <c r="I219" s="7"/>
      <c r="J219" s="7"/>
      <c r="K219" s="7"/>
      <c r="L219" s="7"/>
    </row>
    <row r="220" spans="1:12" ht="14.25" customHeight="1" x14ac:dyDescent="0.3">
      <c r="A220" s="7"/>
      <c r="B220" s="7"/>
      <c r="C220" s="7"/>
      <c r="D220" s="7"/>
      <c r="E220" s="7"/>
      <c r="F220" s="7"/>
      <c r="G220" s="7"/>
      <c r="H220" s="7"/>
      <c r="I220" s="7"/>
      <c r="J220" s="7"/>
      <c r="K220" s="7"/>
      <c r="L220" s="7"/>
    </row>
    <row r="221" spans="1:12" ht="15.75" customHeight="1" x14ac:dyDescent="0.3"/>
    <row r="222" spans="1:12" ht="15.75" customHeight="1" x14ac:dyDescent="0.3"/>
    <row r="223" spans="1:12" ht="15.75" customHeight="1" x14ac:dyDescent="0.3"/>
    <row r="224" spans="1:1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workbookViewId="0"/>
  </sheetViews>
  <sheetFormatPr baseColWidth="10" defaultColWidth="12.6640625" defaultRowHeight="15" customHeight="1" x14ac:dyDescent="0.3"/>
  <cols>
    <col min="1" max="1" width="17" customWidth="1"/>
    <col min="2" max="2" width="6" customWidth="1"/>
    <col min="3" max="3" width="15.33203125" customWidth="1"/>
    <col min="4" max="5" width="14.33203125" customWidth="1"/>
    <col min="6" max="6" width="15.33203125" customWidth="1"/>
    <col min="7" max="14" width="14.33203125" customWidth="1"/>
    <col min="15" max="15" width="16.44140625" customWidth="1"/>
    <col min="16" max="26" width="10.6640625" customWidth="1"/>
  </cols>
  <sheetData>
    <row r="1" spans="1:26" ht="14.25" customHeight="1" x14ac:dyDescent="0.3">
      <c r="A1" s="678"/>
      <c r="B1" s="678"/>
      <c r="C1" s="678"/>
      <c r="D1" s="678"/>
      <c r="E1" s="678"/>
      <c r="F1" s="678"/>
      <c r="G1" s="678"/>
      <c r="H1" s="678"/>
      <c r="I1" s="678"/>
      <c r="J1" s="678"/>
      <c r="K1" s="678"/>
      <c r="L1" s="678"/>
      <c r="M1" s="678"/>
      <c r="N1" s="678"/>
      <c r="O1" s="678"/>
      <c r="P1" s="678"/>
      <c r="Q1" s="678"/>
      <c r="R1" s="678"/>
      <c r="S1" s="678"/>
      <c r="T1" s="678"/>
      <c r="U1" s="678"/>
      <c r="V1" s="678"/>
      <c r="W1" s="678"/>
      <c r="X1" s="678"/>
      <c r="Y1" s="678"/>
      <c r="Z1" s="678"/>
    </row>
    <row r="2" spans="1:26" ht="14.25" customHeight="1" x14ac:dyDescent="0.3">
      <c r="A2" s="678"/>
      <c r="B2" s="678"/>
      <c r="C2" s="1054" t="s">
        <v>2231</v>
      </c>
      <c r="D2" s="1054" t="s">
        <v>2232</v>
      </c>
      <c r="E2" s="1054" t="s">
        <v>2233</v>
      </c>
      <c r="F2" s="1054" t="s">
        <v>2234</v>
      </c>
      <c r="G2" s="1054" t="s">
        <v>2235</v>
      </c>
      <c r="H2" s="1054" t="s">
        <v>2236</v>
      </c>
      <c r="I2" s="1054" t="s">
        <v>2237</v>
      </c>
      <c r="J2" s="1054" t="s">
        <v>2238</v>
      </c>
      <c r="K2" s="1054" t="s">
        <v>2239</v>
      </c>
      <c r="L2" s="1055">
        <v>45931</v>
      </c>
      <c r="M2" s="1055">
        <v>45962</v>
      </c>
      <c r="N2" s="1055">
        <v>45992</v>
      </c>
      <c r="O2" s="1054" t="s">
        <v>1778</v>
      </c>
      <c r="P2" s="678"/>
      <c r="Q2" s="678"/>
      <c r="R2" s="678"/>
      <c r="S2" s="678"/>
      <c r="T2" s="678"/>
      <c r="U2" s="678"/>
      <c r="V2" s="678"/>
      <c r="W2" s="678"/>
      <c r="X2" s="678"/>
      <c r="Y2" s="678"/>
      <c r="Z2" s="678"/>
    </row>
    <row r="3" spans="1:26" ht="14.25" customHeight="1" x14ac:dyDescent="0.3">
      <c r="A3" s="1056" t="s">
        <v>2240</v>
      </c>
      <c r="B3" s="678"/>
      <c r="C3" s="1057">
        <v>1813724</v>
      </c>
      <c r="D3" s="1057">
        <v>1671217</v>
      </c>
      <c r="E3" s="1057">
        <v>2125158</v>
      </c>
      <c r="F3" s="1057">
        <v>2116452</v>
      </c>
      <c r="G3" s="1057">
        <v>2144363</v>
      </c>
      <c r="H3" s="1057">
        <v>2284131</v>
      </c>
      <c r="I3" s="1057">
        <v>2417469</v>
      </c>
      <c r="J3" s="1057">
        <v>2340806</v>
      </c>
      <c r="K3" s="1057">
        <v>2329318</v>
      </c>
      <c r="L3" s="1057">
        <f>K3</f>
        <v>2329318</v>
      </c>
      <c r="M3" s="1057">
        <f>L3</f>
        <v>2329318</v>
      </c>
      <c r="N3" s="1057">
        <f>M3</f>
        <v>2329318</v>
      </c>
      <c r="O3" s="1057">
        <f>SUM(C3:N3)</f>
        <v>26230592</v>
      </c>
      <c r="P3" s="678"/>
      <c r="Q3" s="678"/>
      <c r="R3" s="678"/>
      <c r="S3" s="678"/>
      <c r="T3" s="678"/>
      <c r="U3" s="678"/>
      <c r="V3" s="678"/>
      <c r="W3" s="678"/>
      <c r="X3" s="678"/>
      <c r="Y3" s="678"/>
      <c r="Z3" s="678"/>
    </row>
    <row r="4" spans="1:26" ht="14.25" customHeight="1" x14ac:dyDescent="0.3">
      <c r="A4" s="678"/>
      <c r="B4" s="678"/>
      <c r="C4" s="1057"/>
      <c r="D4" s="1057"/>
      <c r="E4" s="1057"/>
      <c r="F4" s="1057"/>
      <c r="G4" s="1057"/>
      <c r="H4" s="1057"/>
      <c r="I4" s="1057"/>
      <c r="J4" s="1057"/>
      <c r="K4" s="1057"/>
      <c r="L4" s="1057"/>
      <c r="M4" s="1057"/>
      <c r="N4" s="1057"/>
      <c r="O4" s="1057"/>
      <c r="P4" s="678"/>
      <c r="Q4" s="678"/>
      <c r="R4" s="678"/>
      <c r="S4" s="678"/>
      <c r="T4" s="678"/>
      <c r="U4" s="678"/>
      <c r="V4" s="678"/>
      <c r="W4" s="678"/>
      <c r="X4" s="678"/>
      <c r="Y4" s="678"/>
      <c r="Z4" s="678"/>
    </row>
    <row r="5" spans="1:26" ht="14.25" customHeight="1" x14ac:dyDescent="0.3">
      <c r="A5" s="678" t="s">
        <v>2241</v>
      </c>
      <c r="B5" s="678"/>
      <c r="C5" s="1057">
        <f t="shared" ref="C5:N5" si="0">C3/2</f>
        <v>906862</v>
      </c>
      <c r="D5" s="1057">
        <f t="shared" si="0"/>
        <v>835608.5</v>
      </c>
      <c r="E5" s="1057">
        <f t="shared" si="0"/>
        <v>1062579</v>
      </c>
      <c r="F5" s="1057">
        <f t="shared" si="0"/>
        <v>1058226</v>
      </c>
      <c r="G5" s="1057">
        <f t="shared" si="0"/>
        <v>1072181.5</v>
      </c>
      <c r="H5" s="1057">
        <f t="shared" si="0"/>
        <v>1142065.5</v>
      </c>
      <c r="I5" s="1057">
        <f t="shared" si="0"/>
        <v>1208734.5</v>
      </c>
      <c r="J5" s="1057">
        <f t="shared" si="0"/>
        <v>1170403</v>
      </c>
      <c r="K5" s="1057">
        <f t="shared" si="0"/>
        <v>1164659</v>
      </c>
      <c r="L5" s="1057">
        <f t="shared" si="0"/>
        <v>1164659</v>
      </c>
      <c r="M5" s="1057">
        <f t="shared" si="0"/>
        <v>1164659</v>
      </c>
      <c r="N5" s="1057">
        <f t="shared" si="0"/>
        <v>1164659</v>
      </c>
      <c r="O5" s="1057">
        <f>SUM(C5:N5)</f>
        <v>13115296</v>
      </c>
      <c r="P5" s="678"/>
      <c r="Q5" s="678"/>
      <c r="R5" s="678"/>
      <c r="S5" s="678"/>
      <c r="T5" s="678"/>
      <c r="U5" s="678"/>
      <c r="V5" s="678"/>
      <c r="W5" s="678"/>
      <c r="X5" s="678"/>
      <c r="Y5" s="678"/>
      <c r="Z5" s="678"/>
    </row>
    <row r="6" spans="1:26" ht="14.25" customHeight="1" x14ac:dyDescent="0.3">
      <c r="A6" s="678" t="s">
        <v>2242</v>
      </c>
      <c r="B6" s="678"/>
      <c r="C6" s="1057">
        <f t="shared" ref="C6:N6" si="1">C3/2</f>
        <v>906862</v>
      </c>
      <c r="D6" s="1057">
        <f t="shared" si="1"/>
        <v>835608.5</v>
      </c>
      <c r="E6" s="1057">
        <f t="shared" si="1"/>
        <v>1062579</v>
      </c>
      <c r="F6" s="1057">
        <f t="shared" si="1"/>
        <v>1058226</v>
      </c>
      <c r="G6" s="1057">
        <f t="shared" si="1"/>
        <v>1072181.5</v>
      </c>
      <c r="H6" s="1057">
        <f t="shared" si="1"/>
        <v>1142065.5</v>
      </c>
      <c r="I6" s="1057">
        <f t="shared" si="1"/>
        <v>1208734.5</v>
      </c>
      <c r="J6" s="1057">
        <f t="shared" si="1"/>
        <v>1170403</v>
      </c>
      <c r="K6" s="1057">
        <f t="shared" si="1"/>
        <v>1164659</v>
      </c>
      <c r="L6" s="1057">
        <f t="shared" si="1"/>
        <v>1164659</v>
      </c>
      <c r="M6" s="1057">
        <f t="shared" si="1"/>
        <v>1164659</v>
      </c>
      <c r="N6" s="1057">
        <f t="shared" si="1"/>
        <v>1164659</v>
      </c>
      <c r="O6" s="1057">
        <f>SUM(C6:N6)</f>
        <v>13115296</v>
      </c>
      <c r="P6" s="678"/>
      <c r="Q6" s="678"/>
      <c r="R6" s="678"/>
      <c r="S6" s="678"/>
      <c r="T6" s="678"/>
      <c r="U6" s="678"/>
      <c r="V6" s="678"/>
      <c r="W6" s="678"/>
      <c r="X6" s="678"/>
      <c r="Y6" s="678"/>
      <c r="Z6" s="678"/>
    </row>
    <row r="7" spans="1:26" ht="14.25" customHeight="1" x14ac:dyDescent="0.3">
      <c r="A7" s="678"/>
      <c r="B7" s="678"/>
      <c r="C7" s="1057"/>
      <c r="D7" s="1057"/>
      <c r="E7" s="1057"/>
      <c r="F7" s="1057"/>
      <c r="G7" s="1057"/>
      <c r="H7" s="1057"/>
      <c r="I7" s="1057"/>
      <c r="J7" s="1057"/>
      <c r="K7" s="1057"/>
      <c r="L7" s="1057"/>
      <c r="M7" s="1057"/>
      <c r="N7" s="1057"/>
      <c r="O7" s="1057"/>
      <c r="P7" s="678"/>
      <c r="Q7" s="678"/>
      <c r="R7" s="678"/>
      <c r="S7" s="678"/>
      <c r="T7" s="678"/>
      <c r="U7" s="678"/>
      <c r="V7" s="678"/>
      <c r="W7" s="678"/>
      <c r="X7" s="678"/>
      <c r="Y7" s="678"/>
      <c r="Z7" s="678"/>
    </row>
    <row r="8" spans="1:26" ht="14.25" customHeight="1" x14ac:dyDescent="0.3">
      <c r="A8" s="1058" t="s">
        <v>2243</v>
      </c>
      <c r="B8" s="1059"/>
      <c r="C8" s="1060"/>
      <c r="D8" s="1060"/>
      <c r="E8" s="1060"/>
      <c r="F8" s="1060"/>
      <c r="G8" s="1060"/>
      <c r="H8" s="1060"/>
      <c r="I8" s="1060"/>
      <c r="J8" s="1060"/>
      <c r="K8" s="1060"/>
      <c r="L8" s="1060"/>
      <c r="M8" s="1060"/>
      <c r="N8" s="1060"/>
      <c r="O8" s="1060"/>
      <c r="P8" s="678"/>
      <c r="Q8" s="678"/>
      <c r="R8" s="678"/>
      <c r="S8" s="678"/>
      <c r="T8" s="678"/>
      <c r="U8" s="678"/>
      <c r="V8" s="678"/>
      <c r="W8" s="678"/>
      <c r="X8" s="678"/>
      <c r="Y8" s="678"/>
      <c r="Z8" s="678"/>
    </row>
    <row r="9" spans="1:26" ht="14.25" customHeight="1" x14ac:dyDescent="0.3">
      <c r="A9" s="678"/>
      <c r="B9" s="678"/>
      <c r="C9" s="678"/>
      <c r="D9" s="678"/>
      <c r="E9" s="678"/>
      <c r="F9" s="678"/>
      <c r="G9" s="678"/>
      <c r="H9" s="678"/>
      <c r="I9" s="678"/>
      <c r="J9" s="678"/>
      <c r="K9" s="678"/>
      <c r="L9" s="678"/>
      <c r="M9" s="678"/>
      <c r="N9" s="678"/>
      <c r="O9" s="678"/>
      <c r="P9" s="678"/>
      <c r="Q9" s="678"/>
      <c r="R9" s="678"/>
      <c r="S9" s="678"/>
      <c r="T9" s="678"/>
      <c r="U9" s="678"/>
      <c r="V9" s="678"/>
      <c r="W9" s="678"/>
      <c r="X9" s="678"/>
      <c r="Y9" s="678"/>
      <c r="Z9" s="678"/>
    </row>
    <row r="10" spans="1:26" ht="14.25" customHeight="1" x14ac:dyDescent="0.3">
      <c r="A10" s="678" t="s">
        <v>2244</v>
      </c>
      <c r="B10" s="1061">
        <v>4.0810000000000004</v>
      </c>
      <c r="C10" s="689">
        <f t="shared" ref="C10:N10" si="2">C5*0.7*$B$10</f>
        <v>2590632.6754000001</v>
      </c>
      <c r="D10" s="689">
        <f t="shared" si="2"/>
        <v>2387082.8019500002</v>
      </c>
      <c r="E10" s="689">
        <f t="shared" si="2"/>
        <v>3035469.4293</v>
      </c>
      <c r="F10" s="689">
        <f t="shared" si="2"/>
        <v>3023034.2142000003</v>
      </c>
      <c r="G10" s="689">
        <f t="shared" si="2"/>
        <v>3062900.8910500002</v>
      </c>
      <c r="H10" s="689">
        <f t="shared" si="2"/>
        <v>3262538.5138500002</v>
      </c>
      <c r="I10" s="689">
        <f t="shared" si="2"/>
        <v>3452991.8461500001</v>
      </c>
      <c r="J10" s="689">
        <f t="shared" si="2"/>
        <v>3343490.2501000003</v>
      </c>
      <c r="K10" s="689">
        <f t="shared" si="2"/>
        <v>3327081.3653000002</v>
      </c>
      <c r="L10" s="689">
        <f t="shared" si="2"/>
        <v>3327081.3653000002</v>
      </c>
      <c r="M10" s="689">
        <f t="shared" si="2"/>
        <v>3327081.3653000002</v>
      </c>
      <c r="N10" s="689">
        <f t="shared" si="2"/>
        <v>3327081.3653000002</v>
      </c>
      <c r="O10" s="689">
        <f>SUM(B10:N10)</f>
        <v>37466470.1642</v>
      </c>
      <c r="P10" s="678"/>
      <c r="Q10" s="678"/>
      <c r="R10" s="678"/>
      <c r="S10" s="678"/>
      <c r="T10" s="678"/>
      <c r="U10" s="678"/>
      <c r="V10" s="678"/>
      <c r="W10" s="678"/>
      <c r="X10" s="678"/>
      <c r="Y10" s="678"/>
      <c r="Z10" s="678"/>
    </row>
    <row r="11" spans="1:26" ht="14.25" customHeight="1" x14ac:dyDescent="0.3">
      <c r="A11" s="678" t="s">
        <v>2245</v>
      </c>
      <c r="B11" s="1061">
        <v>5.7030000000000003</v>
      </c>
      <c r="C11" s="689">
        <f t="shared" ref="C11:N11" si="3">C5*0.3*$B$11</f>
        <v>1551550.1957999999</v>
      </c>
      <c r="D11" s="689">
        <f t="shared" si="3"/>
        <v>1429642.58265</v>
      </c>
      <c r="E11" s="689">
        <f t="shared" si="3"/>
        <v>1817966.4111000001</v>
      </c>
      <c r="F11" s="689">
        <f t="shared" si="3"/>
        <v>1810518.8633999999</v>
      </c>
      <c r="G11" s="689">
        <f t="shared" si="3"/>
        <v>1834395.3283500001</v>
      </c>
      <c r="H11" s="689">
        <f t="shared" si="3"/>
        <v>1953959.8639499999</v>
      </c>
      <c r="I11" s="689">
        <f t="shared" si="3"/>
        <v>2068023.8560500001</v>
      </c>
      <c r="J11" s="689">
        <f t="shared" si="3"/>
        <v>2002442.4926999998</v>
      </c>
      <c r="K11" s="689">
        <f t="shared" si="3"/>
        <v>1992615.0831000002</v>
      </c>
      <c r="L11" s="689">
        <f t="shared" si="3"/>
        <v>1992615.0831000002</v>
      </c>
      <c r="M11" s="689">
        <f t="shared" si="3"/>
        <v>1992615.0831000002</v>
      </c>
      <c r="N11" s="689">
        <f t="shared" si="3"/>
        <v>1992615.0831000002</v>
      </c>
      <c r="O11" s="689">
        <f>SUM(B11:N11)</f>
        <v>22438965.629399996</v>
      </c>
      <c r="P11" s="678"/>
      <c r="Q11" s="678"/>
      <c r="R11" s="678"/>
      <c r="S11" s="678"/>
      <c r="T11" s="678"/>
      <c r="U11" s="678"/>
      <c r="V11" s="678"/>
      <c r="W11" s="678"/>
      <c r="X11" s="678"/>
      <c r="Y11" s="678"/>
      <c r="Z11" s="678"/>
    </row>
    <row r="12" spans="1:26" ht="14.25" customHeight="1" x14ac:dyDescent="0.3">
      <c r="A12" s="678"/>
      <c r="B12" s="678"/>
      <c r="C12" s="1062">
        <f t="shared" ref="C12:N12" si="4">SUM(C10:C11)</f>
        <v>4142182.8711999999</v>
      </c>
      <c r="D12" s="1062">
        <f t="shared" si="4"/>
        <v>3816725.3846000005</v>
      </c>
      <c r="E12" s="1062">
        <f t="shared" si="4"/>
        <v>4853435.8404000001</v>
      </c>
      <c r="F12" s="1062">
        <f t="shared" si="4"/>
        <v>4833553.0776000004</v>
      </c>
      <c r="G12" s="1062">
        <f t="shared" si="4"/>
        <v>4897296.2193999998</v>
      </c>
      <c r="H12" s="1062">
        <f t="shared" si="4"/>
        <v>5216498.3777999999</v>
      </c>
      <c r="I12" s="1062">
        <f t="shared" si="4"/>
        <v>5521015.7022000002</v>
      </c>
      <c r="J12" s="1062">
        <f t="shared" si="4"/>
        <v>5345932.7428000001</v>
      </c>
      <c r="K12" s="1062">
        <f t="shared" si="4"/>
        <v>5319696.4484000001</v>
      </c>
      <c r="L12" s="1062">
        <f t="shared" si="4"/>
        <v>5319696.4484000001</v>
      </c>
      <c r="M12" s="1062">
        <f t="shared" si="4"/>
        <v>5319696.4484000001</v>
      </c>
      <c r="N12" s="1062">
        <f t="shared" si="4"/>
        <v>5319696.4484000001</v>
      </c>
      <c r="O12" s="1062">
        <f>SUM(B12:N12)</f>
        <v>59905426.009599991</v>
      </c>
      <c r="P12" s="678"/>
      <c r="Q12" s="678"/>
      <c r="R12" s="678"/>
      <c r="S12" s="678"/>
      <c r="T12" s="678"/>
      <c r="U12" s="678"/>
      <c r="V12" s="678"/>
      <c r="W12" s="678"/>
      <c r="X12" s="678"/>
      <c r="Y12" s="678"/>
      <c r="Z12" s="678"/>
    </row>
    <row r="13" spans="1:26" ht="14.25" customHeight="1" x14ac:dyDescent="0.3">
      <c r="A13" s="678"/>
      <c r="B13" s="678"/>
      <c r="C13" s="689"/>
      <c r="D13" s="689"/>
      <c r="E13" s="689"/>
      <c r="F13" s="689"/>
      <c r="G13" s="689"/>
      <c r="H13" s="689"/>
      <c r="I13" s="689"/>
      <c r="J13" s="689"/>
      <c r="K13" s="689"/>
      <c r="L13" s="689"/>
      <c r="M13" s="689"/>
      <c r="N13" s="689"/>
      <c r="O13" s="689"/>
      <c r="P13" s="678"/>
      <c r="Q13" s="678"/>
      <c r="R13" s="678"/>
      <c r="S13" s="678"/>
      <c r="T13" s="678"/>
      <c r="U13" s="678"/>
      <c r="V13" s="678"/>
      <c r="W13" s="678"/>
      <c r="X13" s="678"/>
      <c r="Y13" s="678"/>
      <c r="Z13" s="678"/>
    </row>
    <row r="14" spans="1:26" ht="14.25" customHeight="1" x14ac:dyDescent="0.3">
      <c r="A14" s="678" t="s">
        <v>2246</v>
      </c>
      <c r="B14" s="1061">
        <v>5.101</v>
      </c>
      <c r="C14" s="689">
        <f t="shared" ref="C14:N14" si="5">C6*0.7*$B$14</f>
        <v>3238132.1433999995</v>
      </c>
      <c r="D14" s="689">
        <f t="shared" si="5"/>
        <v>2983707.2709499998</v>
      </c>
      <c r="E14" s="689">
        <f t="shared" si="5"/>
        <v>3794150.8352999995</v>
      </c>
      <c r="F14" s="689">
        <f t="shared" si="5"/>
        <v>3778607.5781999999</v>
      </c>
      <c r="G14" s="689">
        <f t="shared" si="5"/>
        <v>3828438.4820499998</v>
      </c>
      <c r="H14" s="689">
        <f t="shared" si="5"/>
        <v>4077973.2808499997</v>
      </c>
      <c r="I14" s="689">
        <f t="shared" si="5"/>
        <v>4316028.2791499998</v>
      </c>
      <c r="J14" s="689">
        <f t="shared" si="5"/>
        <v>4179157.9920999999</v>
      </c>
      <c r="K14" s="689">
        <f t="shared" si="5"/>
        <v>4158647.8912999998</v>
      </c>
      <c r="L14" s="689">
        <f t="shared" si="5"/>
        <v>4158647.8912999998</v>
      </c>
      <c r="M14" s="689">
        <f t="shared" si="5"/>
        <v>4158647.8912999998</v>
      </c>
      <c r="N14" s="689">
        <f t="shared" si="5"/>
        <v>4158647.8912999998</v>
      </c>
      <c r="O14" s="689">
        <f>SUM(B14:N14)</f>
        <v>46830792.528200001</v>
      </c>
      <c r="P14" s="678"/>
      <c r="Q14" s="678"/>
      <c r="R14" s="678"/>
      <c r="S14" s="678"/>
      <c r="T14" s="678"/>
      <c r="U14" s="678"/>
      <c r="V14" s="678"/>
      <c r="W14" s="678"/>
      <c r="X14" s="678"/>
      <c r="Y14" s="678"/>
      <c r="Z14" s="678"/>
    </row>
    <row r="15" spans="1:26" ht="14.25" customHeight="1" x14ac:dyDescent="0.3">
      <c r="A15" s="678" t="s">
        <v>2247</v>
      </c>
      <c r="B15" s="1061">
        <v>7.1849999999999996</v>
      </c>
      <c r="C15" s="689">
        <f t="shared" ref="C15:N15" si="6">C6*0.3*$B$15</f>
        <v>1954741.0409999997</v>
      </c>
      <c r="D15" s="689">
        <f t="shared" si="6"/>
        <v>1801154.1217499999</v>
      </c>
      <c r="E15" s="689">
        <f t="shared" si="6"/>
        <v>2290389.0345000001</v>
      </c>
      <c r="F15" s="689">
        <f t="shared" si="6"/>
        <v>2281006.1429999997</v>
      </c>
      <c r="G15" s="689">
        <f t="shared" si="6"/>
        <v>2311087.2232499998</v>
      </c>
      <c r="H15" s="689">
        <f t="shared" si="6"/>
        <v>2461722.1852499996</v>
      </c>
      <c r="I15" s="689">
        <f t="shared" si="6"/>
        <v>2605427.2147499998</v>
      </c>
      <c r="J15" s="689">
        <f t="shared" si="6"/>
        <v>2522803.6664999998</v>
      </c>
      <c r="K15" s="689">
        <f t="shared" si="6"/>
        <v>2510422.4745</v>
      </c>
      <c r="L15" s="689">
        <f t="shared" si="6"/>
        <v>2510422.4745</v>
      </c>
      <c r="M15" s="689">
        <f t="shared" si="6"/>
        <v>2510422.4745</v>
      </c>
      <c r="N15" s="689">
        <f t="shared" si="6"/>
        <v>2510422.4745</v>
      </c>
      <c r="O15" s="689">
        <f>SUM(B15:N15)</f>
        <v>28270027.713</v>
      </c>
      <c r="P15" s="678"/>
      <c r="Q15" s="678"/>
      <c r="R15" s="678"/>
      <c r="S15" s="678"/>
      <c r="T15" s="678"/>
      <c r="U15" s="678"/>
      <c r="V15" s="678"/>
      <c r="W15" s="678"/>
      <c r="X15" s="678"/>
      <c r="Y15" s="678"/>
      <c r="Z15" s="678"/>
    </row>
    <row r="16" spans="1:26" ht="14.25" customHeight="1" x14ac:dyDescent="0.3">
      <c r="A16" s="678"/>
      <c r="B16" s="678"/>
      <c r="C16" s="1062">
        <f t="shared" ref="C16:N16" si="7">SUM(C14:C15)</f>
        <v>5192873.1843999997</v>
      </c>
      <c r="D16" s="1062">
        <f t="shared" si="7"/>
        <v>4784861.3926999997</v>
      </c>
      <c r="E16" s="1062">
        <f t="shared" si="7"/>
        <v>6084539.8697999995</v>
      </c>
      <c r="F16" s="1062">
        <f t="shared" si="7"/>
        <v>6059613.7211999996</v>
      </c>
      <c r="G16" s="1062">
        <f t="shared" si="7"/>
        <v>6139525.7052999996</v>
      </c>
      <c r="H16" s="1062">
        <f t="shared" si="7"/>
        <v>6539695.4660999998</v>
      </c>
      <c r="I16" s="1062">
        <f t="shared" si="7"/>
        <v>6921455.4938999992</v>
      </c>
      <c r="J16" s="1062">
        <f t="shared" si="7"/>
        <v>6701961.6585999997</v>
      </c>
      <c r="K16" s="1062">
        <f t="shared" si="7"/>
        <v>6669070.3657999998</v>
      </c>
      <c r="L16" s="1062">
        <f t="shared" si="7"/>
        <v>6669070.3657999998</v>
      </c>
      <c r="M16" s="1062">
        <f t="shared" si="7"/>
        <v>6669070.3657999998</v>
      </c>
      <c r="N16" s="1062">
        <f t="shared" si="7"/>
        <v>6669070.3657999998</v>
      </c>
      <c r="O16" s="1062">
        <f>SUM(B16:N16)</f>
        <v>75100807.955199987</v>
      </c>
      <c r="P16" s="678"/>
      <c r="Q16" s="678"/>
      <c r="R16" s="678"/>
      <c r="S16" s="678"/>
      <c r="T16" s="678"/>
      <c r="U16" s="678"/>
      <c r="V16" s="678"/>
      <c r="W16" s="678"/>
      <c r="X16" s="678"/>
      <c r="Y16" s="678"/>
      <c r="Z16" s="678"/>
    </row>
    <row r="17" spans="1:26" ht="14.25" customHeight="1" x14ac:dyDescent="0.3">
      <c r="A17" s="678"/>
      <c r="B17" s="678"/>
      <c r="C17" s="689"/>
      <c r="D17" s="689"/>
      <c r="E17" s="689"/>
      <c r="F17" s="689"/>
      <c r="G17" s="689"/>
      <c r="H17" s="689"/>
      <c r="I17" s="689"/>
      <c r="J17" s="689"/>
      <c r="K17" s="689"/>
      <c r="L17" s="689"/>
      <c r="M17" s="689"/>
      <c r="N17" s="689"/>
      <c r="O17" s="689"/>
      <c r="P17" s="678"/>
      <c r="Q17" s="678"/>
      <c r="R17" s="678"/>
      <c r="S17" s="678"/>
      <c r="T17" s="678"/>
      <c r="U17" s="678"/>
      <c r="V17" s="678"/>
      <c r="W17" s="678"/>
      <c r="X17" s="678"/>
      <c r="Y17" s="678"/>
      <c r="Z17" s="678"/>
    </row>
    <row r="18" spans="1:26" ht="14.25" customHeight="1" x14ac:dyDescent="0.3">
      <c r="A18" s="678"/>
      <c r="B18" s="678"/>
      <c r="C18" s="689"/>
      <c r="D18" s="689"/>
      <c r="E18" s="689"/>
      <c r="F18" s="689"/>
      <c r="G18" s="689"/>
      <c r="H18" s="689"/>
      <c r="I18" s="689"/>
      <c r="J18" s="689"/>
      <c r="K18" s="689"/>
      <c r="L18" s="689"/>
      <c r="M18" s="689"/>
      <c r="N18" s="689"/>
      <c r="O18" s="689"/>
      <c r="P18" s="678"/>
      <c r="Q18" s="678"/>
      <c r="R18" s="678"/>
      <c r="S18" s="678"/>
      <c r="T18" s="678"/>
      <c r="U18" s="678"/>
      <c r="V18" s="678"/>
      <c r="W18" s="678"/>
      <c r="X18" s="678"/>
      <c r="Y18" s="678"/>
      <c r="Z18" s="678"/>
    </row>
    <row r="19" spans="1:26" ht="14.25" customHeight="1" x14ac:dyDescent="0.3">
      <c r="A19" s="678"/>
      <c r="B19" s="678"/>
      <c r="C19" s="689"/>
      <c r="D19" s="689"/>
      <c r="E19" s="689"/>
      <c r="F19" s="689"/>
      <c r="G19" s="689"/>
      <c r="H19" s="689"/>
      <c r="I19" s="689"/>
      <c r="J19" s="689"/>
      <c r="K19" s="689"/>
      <c r="L19" s="689"/>
      <c r="M19" s="689"/>
      <c r="N19" s="689"/>
      <c r="O19" s="1062">
        <f>O16+O12</f>
        <v>135006233.96479997</v>
      </c>
      <c r="P19" s="678"/>
      <c r="Q19" s="678"/>
      <c r="R19" s="678"/>
      <c r="S19" s="678"/>
      <c r="T19" s="678"/>
      <c r="U19" s="678"/>
      <c r="V19" s="678"/>
      <c r="W19" s="678"/>
      <c r="X19" s="678"/>
      <c r="Y19" s="678"/>
      <c r="Z19" s="678"/>
    </row>
    <row r="20" spans="1:26" ht="14.25" customHeight="1" x14ac:dyDescent="0.3">
      <c r="A20" s="678" t="s">
        <v>2248</v>
      </c>
      <c r="B20" s="678">
        <v>12</v>
      </c>
      <c r="C20" s="1063">
        <v>4044535.75</v>
      </c>
      <c r="D20" s="689"/>
      <c r="E20" s="689"/>
      <c r="F20" s="689"/>
      <c r="G20" s="689"/>
      <c r="H20" s="689"/>
      <c r="I20" s="689"/>
      <c r="J20" s="689"/>
      <c r="K20" s="689"/>
      <c r="L20" s="689"/>
      <c r="M20" s="689"/>
      <c r="N20" s="689"/>
      <c r="O20" s="689">
        <f>C20*B20</f>
        <v>48534429</v>
      </c>
      <c r="P20" s="678"/>
      <c r="Q20" s="678"/>
      <c r="R20" s="678"/>
      <c r="S20" s="678"/>
      <c r="T20" s="678"/>
      <c r="U20" s="678"/>
      <c r="V20" s="678"/>
      <c r="W20" s="678"/>
      <c r="X20" s="678"/>
      <c r="Y20" s="678"/>
      <c r="Z20" s="678"/>
    </row>
    <row r="21" spans="1:26" ht="14.25" customHeight="1" x14ac:dyDescent="0.3">
      <c r="A21" s="678" t="s">
        <v>2249</v>
      </c>
      <c r="B21" s="678"/>
      <c r="C21" s="1063">
        <v>23835.29</v>
      </c>
      <c r="D21" s="689"/>
      <c r="E21" s="689"/>
      <c r="F21" s="689"/>
      <c r="G21" s="689"/>
      <c r="H21" s="689"/>
      <c r="I21" s="689"/>
      <c r="J21" s="689"/>
      <c r="K21" s="689"/>
      <c r="L21" s="689"/>
      <c r="M21" s="689"/>
      <c r="N21" s="689"/>
      <c r="O21" s="689"/>
      <c r="P21" s="678"/>
      <c r="Q21" s="678"/>
      <c r="R21" s="678"/>
      <c r="S21" s="678"/>
      <c r="T21" s="678"/>
      <c r="U21" s="678"/>
      <c r="V21" s="678"/>
      <c r="W21" s="678"/>
      <c r="X21" s="678"/>
      <c r="Y21" s="678"/>
      <c r="Z21" s="678"/>
    </row>
    <row r="22" spans="1:26" ht="14.25" customHeight="1" x14ac:dyDescent="0.3">
      <c r="A22" s="678"/>
      <c r="B22" s="678"/>
      <c r="C22" s="689"/>
      <c r="D22" s="689"/>
      <c r="E22" s="689"/>
      <c r="F22" s="689"/>
      <c r="G22" s="689"/>
      <c r="H22" s="689"/>
      <c r="I22" s="689"/>
      <c r="J22" s="689"/>
      <c r="K22" s="689"/>
      <c r="L22" s="689"/>
      <c r="M22" s="689"/>
      <c r="N22" s="689"/>
      <c r="O22" s="1062">
        <f>SUM(O19:O21)</f>
        <v>183540662.96479997</v>
      </c>
      <c r="P22" s="678"/>
      <c r="Q22" s="678"/>
      <c r="R22" s="678"/>
      <c r="S22" s="678"/>
      <c r="T22" s="678"/>
      <c r="U22" s="678"/>
      <c r="V22" s="678"/>
      <c r="W22" s="678"/>
      <c r="X22" s="678"/>
      <c r="Y22" s="678"/>
      <c r="Z22" s="678"/>
    </row>
    <row r="23" spans="1:26" ht="14.25" customHeight="1" x14ac:dyDescent="0.3">
      <c r="A23" s="678"/>
      <c r="B23" s="678"/>
      <c r="C23" s="678"/>
      <c r="D23" s="678"/>
      <c r="E23" s="678"/>
      <c r="F23" s="678"/>
      <c r="G23" s="678"/>
      <c r="H23" s="678"/>
      <c r="I23" s="678"/>
      <c r="J23" s="678"/>
      <c r="K23" s="678"/>
      <c r="L23" s="678"/>
      <c r="M23" s="678"/>
      <c r="N23" s="678"/>
      <c r="O23" s="678"/>
      <c r="P23" s="678"/>
      <c r="Q23" s="678"/>
      <c r="R23" s="678"/>
      <c r="S23" s="678"/>
      <c r="T23" s="678"/>
      <c r="U23" s="678"/>
      <c r="V23" s="678"/>
      <c r="W23" s="678"/>
      <c r="X23" s="678"/>
      <c r="Y23" s="678"/>
      <c r="Z23" s="678"/>
    </row>
    <row r="24" spans="1:26" ht="14.25" customHeight="1" x14ac:dyDescent="0.3">
      <c r="A24" s="708" t="s">
        <v>2250</v>
      </c>
      <c r="B24" s="1059"/>
      <c r="C24" s="1059"/>
      <c r="D24" s="1059"/>
      <c r="E24" s="1059"/>
      <c r="F24" s="1059"/>
      <c r="G24" s="1059"/>
      <c r="H24" s="1059"/>
      <c r="I24" s="1059"/>
      <c r="J24" s="1059"/>
      <c r="K24" s="1059"/>
      <c r="L24" s="1059"/>
      <c r="M24" s="1059"/>
      <c r="N24" s="1059"/>
      <c r="O24" s="1059"/>
      <c r="P24" s="678"/>
      <c r="Q24" s="678"/>
      <c r="R24" s="678"/>
      <c r="S24" s="678"/>
      <c r="T24" s="678"/>
      <c r="U24" s="678"/>
      <c r="V24" s="678"/>
      <c r="W24" s="678"/>
      <c r="X24" s="678"/>
      <c r="Y24" s="678"/>
      <c r="Z24" s="678"/>
    </row>
    <row r="25" spans="1:26" ht="14.25" customHeight="1" x14ac:dyDescent="0.3">
      <c r="A25" s="678"/>
      <c r="B25" s="678"/>
      <c r="C25" s="678"/>
      <c r="D25" s="678"/>
      <c r="E25" s="678"/>
      <c r="F25" s="678"/>
      <c r="G25" s="678"/>
      <c r="H25" s="678"/>
      <c r="I25" s="678"/>
      <c r="J25" s="678"/>
      <c r="K25" s="678"/>
      <c r="L25" s="678"/>
      <c r="M25" s="678"/>
      <c r="N25" s="678"/>
      <c r="O25" s="678"/>
      <c r="P25" s="678"/>
      <c r="Q25" s="678"/>
      <c r="R25" s="678"/>
      <c r="S25" s="678"/>
      <c r="T25" s="678"/>
      <c r="U25" s="678"/>
      <c r="V25" s="678"/>
      <c r="W25" s="678"/>
      <c r="X25" s="678"/>
      <c r="Y25" s="678"/>
      <c r="Z25" s="678"/>
    </row>
    <row r="26" spans="1:26" ht="14.25" customHeight="1" x14ac:dyDescent="0.3">
      <c r="A26" s="678" t="s">
        <v>1979</v>
      </c>
      <c r="B26" s="678">
        <v>1</v>
      </c>
      <c r="C26" s="689">
        <f t="shared" ref="C26:N26" si="8">C3</f>
        <v>1813724</v>
      </c>
      <c r="D26" s="689">
        <f t="shared" si="8"/>
        <v>1671217</v>
      </c>
      <c r="E26" s="689">
        <f t="shared" si="8"/>
        <v>2125158</v>
      </c>
      <c r="F26" s="689">
        <f t="shared" si="8"/>
        <v>2116452</v>
      </c>
      <c r="G26" s="689">
        <f t="shared" si="8"/>
        <v>2144363</v>
      </c>
      <c r="H26" s="689">
        <f t="shared" si="8"/>
        <v>2284131</v>
      </c>
      <c r="I26" s="689">
        <f t="shared" si="8"/>
        <v>2417469</v>
      </c>
      <c r="J26" s="689">
        <f t="shared" si="8"/>
        <v>2340806</v>
      </c>
      <c r="K26" s="689">
        <f t="shared" si="8"/>
        <v>2329318</v>
      </c>
      <c r="L26" s="689">
        <f t="shared" si="8"/>
        <v>2329318</v>
      </c>
      <c r="M26" s="689">
        <f t="shared" si="8"/>
        <v>2329318</v>
      </c>
      <c r="N26" s="689">
        <f t="shared" si="8"/>
        <v>2329318</v>
      </c>
      <c r="O26" s="689">
        <f>SUM(B26:N26)</f>
        <v>26230593</v>
      </c>
      <c r="P26" s="678"/>
      <c r="Q26" s="678"/>
      <c r="R26" s="678"/>
      <c r="S26" s="678"/>
      <c r="T26" s="678"/>
      <c r="U26" s="678"/>
      <c r="V26" s="678"/>
      <c r="W26" s="678"/>
      <c r="X26" s="678"/>
      <c r="Y26" s="678"/>
      <c r="Z26" s="678"/>
    </row>
    <row r="27" spans="1:26" ht="14.25" customHeight="1" x14ac:dyDescent="0.3">
      <c r="A27" s="678" t="s">
        <v>9</v>
      </c>
      <c r="B27" s="678">
        <v>1</v>
      </c>
      <c r="C27" s="689">
        <v>649317</v>
      </c>
      <c r="D27" s="689">
        <v>580580</v>
      </c>
      <c r="E27" s="689">
        <v>715129</v>
      </c>
      <c r="F27" s="689">
        <v>703296</v>
      </c>
      <c r="G27" s="689">
        <v>721649</v>
      </c>
      <c r="H27" s="689">
        <v>815405</v>
      </c>
      <c r="I27" s="689">
        <v>843356</v>
      </c>
      <c r="J27" s="689">
        <v>825122</v>
      </c>
      <c r="K27" s="689">
        <v>706480</v>
      </c>
      <c r="L27" s="689">
        <v>706480</v>
      </c>
      <c r="M27" s="689">
        <v>706480</v>
      </c>
      <c r="N27" s="689">
        <v>706480</v>
      </c>
      <c r="O27" s="1064">
        <f>SUM(B27:N27)</f>
        <v>8679775</v>
      </c>
      <c r="P27" s="678"/>
      <c r="Q27" s="678"/>
      <c r="R27" s="678"/>
      <c r="S27" s="678"/>
      <c r="T27" s="678"/>
      <c r="U27" s="678"/>
      <c r="V27" s="678"/>
      <c r="W27" s="678"/>
      <c r="X27" s="678"/>
      <c r="Y27" s="678"/>
      <c r="Z27" s="678"/>
    </row>
    <row r="28" spans="1:26" ht="14.25" customHeight="1" x14ac:dyDescent="0.3">
      <c r="A28" s="709" t="s">
        <v>2251</v>
      </c>
      <c r="B28" s="678"/>
      <c r="C28" s="1065">
        <f t="shared" ref="C28:O28" si="9">SUM(C26:C27)</f>
        <v>2463041</v>
      </c>
      <c r="D28" s="1065">
        <f t="shared" si="9"/>
        <v>2251797</v>
      </c>
      <c r="E28" s="1065">
        <f t="shared" si="9"/>
        <v>2840287</v>
      </c>
      <c r="F28" s="1065">
        <f t="shared" si="9"/>
        <v>2819748</v>
      </c>
      <c r="G28" s="1065">
        <f t="shared" si="9"/>
        <v>2866012</v>
      </c>
      <c r="H28" s="1065">
        <f t="shared" si="9"/>
        <v>3099536</v>
      </c>
      <c r="I28" s="1065">
        <f t="shared" si="9"/>
        <v>3260825</v>
      </c>
      <c r="J28" s="1065">
        <f t="shared" si="9"/>
        <v>3165928</v>
      </c>
      <c r="K28" s="1065">
        <f t="shared" si="9"/>
        <v>3035798</v>
      </c>
      <c r="L28" s="1065">
        <f t="shared" si="9"/>
        <v>3035798</v>
      </c>
      <c r="M28" s="1065">
        <f t="shared" si="9"/>
        <v>3035798</v>
      </c>
      <c r="N28" s="1065">
        <f t="shared" si="9"/>
        <v>3035798</v>
      </c>
      <c r="O28" s="1065">
        <f t="shared" si="9"/>
        <v>34910368</v>
      </c>
      <c r="P28" s="678"/>
      <c r="Q28" s="678"/>
      <c r="R28" s="678"/>
      <c r="S28" s="678"/>
      <c r="T28" s="678"/>
      <c r="U28" s="678"/>
      <c r="V28" s="678"/>
      <c r="W28" s="678"/>
      <c r="X28" s="678"/>
      <c r="Y28" s="678"/>
      <c r="Z28" s="678"/>
    </row>
    <row r="29" spans="1:26" ht="14.25" customHeight="1" x14ac:dyDescent="0.3">
      <c r="A29" s="678"/>
      <c r="B29" s="678"/>
      <c r="C29" s="678"/>
      <c r="D29" s="678"/>
      <c r="E29" s="678"/>
      <c r="F29" s="678"/>
      <c r="G29" s="678"/>
      <c r="H29" s="678"/>
      <c r="I29" s="678"/>
      <c r="J29" s="678"/>
      <c r="K29" s="678"/>
      <c r="L29" s="678"/>
      <c r="M29" s="678"/>
      <c r="N29" s="678"/>
      <c r="O29" s="678"/>
      <c r="P29" s="678"/>
      <c r="Q29" s="678"/>
      <c r="R29" s="678"/>
      <c r="S29" s="678"/>
      <c r="T29" s="678"/>
      <c r="U29" s="678"/>
      <c r="V29" s="678"/>
      <c r="W29" s="678"/>
      <c r="X29" s="678"/>
      <c r="Y29" s="678"/>
      <c r="Z29" s="678"/>
    </row>
    <row r="30" spans="1:26" ht="14.25" customHeight="1" x14ac:dyDescent="0.3">
      <c r="A30" s="678"/>
      <c r="B30" s="678"/>
      <c r="C30" s="678"/>
      <c r="D30" s="678"/>
      <c r="E30" s="678"/>
      <c r="F30" s="678"/>
      <c r="G30" s="678"/>
      <c r="H30" s="678"/>
      <c r="I30" s="678"/>
      <c r="J30" s="678"/>
      <c r="K30" s="678"/>
      <c r="L30" s="678"/>
      <c r="M30" s="678"/>
      <c r="N30" s="678"/>
      <c r="O30" s="678"/>
      <c r="P30" s="678"/>
      <c r="Q30" s="678"/>
      <c r="R30" s="678"/>
      <c r="S30" s="678"/>
      <c r="T30" s="678"/>
      <c r="U30" s="678"/>
      <c r="V30" s="678"/>
      <c r="W30" s="678"/>
      <c r="X30" s="678"/>
      <c r="Y30" s="678"/>
      <c r="Z30" s="678"/>
    </row>
    <row r="31" spans="1:26" ht="14.25" customHeight="1" x14ac:dyDescent="0.3">
      <c r="A31" s="678"/>
      <c r="B31" s="678"/>
      <c r="C31" s="678"/>
      <c r="D31" s="678"/>
      <c r="E31" s="678"/>
      <c r="F31" s="678"/>
      <c r="G31" s="678"/>
      <c r="H31" s="678"/>
      <c r="I31" s="678"/>
      <c r="J31" s="678"/>
      <c r="K31" s="678"/>
      <c r="L31" s="678"/>
      <c r="M31" s="678"/>
      <c r="N31" s="678"/>
      <c r="O31" s="678"/>
      <c r="P31" s="678"/>
      <c r="Q31" s="678"/>
      <c r="R31" s="678"/>
      <c r="S31" s="678"/>
      <c r="T31" s="678"/>
      <c r="U31" s="678"/>
      <c r="V31" s="678"/>
      <c r="W31" s="678"/>
      <c r="X31" s="678"/>
      <c r="Y31" s="678"/>
      <c r="Z31" s="678"/>
    </row>
    <row r="32" spans="1:26" ht="14.25" customHeight="1" x14ac:dyDescent="0.3">
      <c r="A32" s="678"/>
      <c r="B32" s="678"/>
      <c r="C32" s="678"/>
      <c r="D32" s="678"/>
      <c r="E32" s="678"/>
      <c r="F32" s="678"/>
      <c r="G32" s="678"/>
      <c r="H32" s="678"/>
      <c r="I32" s="678"/>
      <c r="J32" s="678"/>
      <c r="K32" s="678"/>
      <c r="L32" s="678"/>
      <c r="M32" s="678"/>
      <c r="N32" s="678"/>
      <c r="O32" s="678"/>
      <c r="P32" s="678"/>
      <c r="Q32" s="678"/>
      <c r="R32" s="678"/>
      <c r="S32" s="678"/>
      <c r="T32" s="678"/>
      <c r="U32" s="678"/>
      <c r="V32" s="678"/>
      <c r="W32" s="678"/>
      <c r="X32" s="678"/>
      <c r="Y32" s="678"/>
      <c r="Z32" s="678"/>
    </row>
    <row r="33" spans="1:26" ht="14.25" customHeight="1" x14ac:dyDescent="0.3">
      <c r="A33" s="678"/>
      <c r="B33" s="678"/>
      <c r="C33" s="678"/>
      <c r="D33" s="678"/>
      <c r="E33" s="678"/>
      <c r="F33" s="678"/>
      <c r="G33" s="678"/>
      <c r="H33" s="678"/>
      <c r="I33" s="678"/>
      <c r="J33" s="678"/>
      <c r="K33" s="678"/>
      <c r="L33" s="678"/>
      <c r="M33" s="678"/>
      <c r="N33" s="678"/>
      <c r="O33" s="678"/>
      <c r="P33" s="678"/>
      <c r="Q33" s="678"/>
      <c r="R33" s="678"/>
      <c r="S33" s="678"/>
      <c r="T33" s="678"/>
      <c r="U33" s="678"/>
      <c r="V33" s="678"/>
      <c r="W33" s="678"/>
      <c r="X33" s="678"/>
      <c r="Y33" s="678"/>
      <c r="Z33" s="678"/>
    </row>
    <row r="34" spans="1:26" ht="14.25" customHeight="1" x14ac:dyDescent="0.3">
      <c r="A34" s="678"/>
      <c r="B34" s="678"/>
      <c r="C34" s="678"/>
      <c r="D34" s="678"/>
      <c r="E34" s="678"/>
      <c r="F34" s="678"/>
      <c r="G34" s="678"/>
      <c r="H34" s="678"/>
      <c r="I34" s="678"/>
      <c r="J34" s="678"/>
      <c r="K34" s="678"/>
      <c r="L34" s="678"/>
      <c r="M34" s="678"/>
      <c r="N34" s="678"/>
      <c r="O34" s="678"/>
      <c r="P34" s="678"/>
      <c r="Q34" s="678"/>
      <c r="R34" s="678"/>
      <c r="S34" s="678"/>
      <c r="T34" s="678"/>
      <c r="U34" s="678"/>
      <c r="V34" s="678"/>
      <c r="W34" s="678"/>
      <c r="X34" s="678"/>
      <c r="Y34" s="678"/>
      <c r="Z34" s="678"/>
    </row>
    <row r="35" spans="1:26" ht="14.25" customHeight="1" x14ac:dyDescent="0.3">
      <c r="A35" s="678"/>
      <c r="B35" s="678"/>
      <c r="C35" s="678"/>
      <c r="D35" s="678"/>
      <c r="E35" s="678"/>
      <c r="F35" s="678"/>
      <c r="G35" s="678"/>
      <c r="H35" s="678"/>
      <c r="I35" s="678"/>
      <c r="J35" s="678"/>
      <c r="K35" s="678"/>
      <c r="L35" s="678"/>
      <c r="M35" s="678"/>
      <c r="N35" s="678"/>
      <c r="O35" s="678"/>
      <c r="P35" s="678"/>
      <c r="Q35" s="678"/>
      <c r="R35" s="678"/>
      <c r="S35" s="678"/>
      <c r="T35" s="678"/>
      <c r="U35" s="678"/>
      <c r="V35" s="678"/>
      <c r="W35" s="678"/>
      <c r="X35" s="678"/>
      <c r="Y35" s="678"/>
      <c r="Z35" s="678"/>
    </row>
    <row r="36" spans="1:26" ht="14.25" customHeight="1" x14ac:dyDescent="0.3">
      <c r="A36" s="678"/>
      <c r="B36" s="678"/>
      <c r="C36" s="678"/>
      <c r="D36" s="678"/>
      <c r="E36" s="678"/>
      <c r="F36" s="678"/>
      <c r="G36" s="678"/>
      <c r="H36" s="678"/>
      <c r="I36" s="678"/>
      <c r="J36" s="678"/>
      <c r="K36" s="678"/>
      <c r="L36" s="678"/>
      <c r="M36" s="678"/>
      <c r="N36" s="678"/>
      <c r="O36" s="678"/>
      <c r="P36" s="678"/>
      <c r="Q36" s="678"/>
      <c r="R36" s="678"/>
      <c r="S36" s="678"/>
      <c r="T36" s="678"/>
      <c r="U36" s="678"/>
      <c r="V36" s="678"/>
      <c r="W36" s="678"/>
      <c r="X36" s="678"/>
      <c r="Y36" s="678"/>
      <c r="Z36" s="678"/>
    </row>
    <row r="37" spans="1:26" ht="14.25" customHeight="1" x14ac:dyDescent="0.3">
      <c r="A37" s="678"/>
      <c r="B37" s="678"/>
      <c r="C37" s="678"/>
      <c r="D37" s="678"/>
      <c r="E37" s="678"/>
      <c r="F37" s="678"/>
      <c r="G37" s="678"/>
      <c r="H37" s="678"/>
      <c r="I37" s="678"/>
      <c r="J37" s="678"/>
      <c r="K37" s="678"/>
      <c r="L37" s="678"/>
      <c r="M37" s="678"/>
      <c r="N37" s="678"/>
      <c r="O37" s="678"/>
      <c r="P37" s="678"/>
      <c r="Q37" s="678"/>
      <c r="R37" s="678"/>
      <c r="S37" s="678"/>
      <c r="T37" s="678"/>
      <c r="U37" s="678"/>
      <c r="V37" s="678"/>
      <c r="W37" s="678"/>
      <c r="X37" s="678"/>
      <c r="Y37" s="678"/>
      <c r="Z37" s="678"/>
    </row>
    <row r="38" spans="1:26" ht="14.25" customHeight="1" x14ac:dyDescent="0.3">
      <c r="A38" s="678"/>
      <c r="B38" s="678"/>
      <c r="C38" s="678"/>
      <c r="D38" s="678"/>
      <c r="E38" s="678"/>
      <c r="F38" s="678"/>
      <c r="G38" s="678"/>
      <c r="H38" s="678"/>
      <c r="I38" s="678"/>
      <c r="J38" s="678"/>
      <c r="K38" s="678"/>
      <c r="L38" s="678"/>
      <c r="M38" s="678"/>
      <c r="N38" s="678"/>
      <c r="O38" s="678"/>
      <c r="P38" s="678"/>
      <c r="Q38" s="678"/>
      <c r="R38" s="678"/>
      <c r="S38" s="678"/>
      <c r="T38" s="678"/>
      <c r="U38" s="678"/>
      <c r="V38" s="678"/>
      <c r="W38" s="678"/>
      <c r="X38" s="678"/>
      <c r="Y38" s="678"/>
      <c r="Z38" s="678"/>
    </row>
    <row r="39" spans="1:26" ht="14.25" customHeight="1" x14ac:dyDescent="0.3">
      <c r="A39" s="678"/>
      <c r="B39" s="678"/>
      <c r="C39" s="678"/>
      <c r="D39" s="678"/>
      <c r="E39" s="678"/>
      <c r="F39" s="678"/>
      <c r="G39" s="678"/>
      <c r="H39" s="678"/>
      <c r="I39" s="678"/>
      <c r="J39" s="678"/>
      <c r="K39" s="678"/>
      <c r="L39" s="678"/>
      <c r="M39" s="678"/>
      <c r="N39" s="678"/>
      <c r="O39" s="678"/>
      <c r="P39" s="678"/>
      <c r="Q39" s="678"/>
      <c r="R39" s="678"/>
      <c r="S39" s="678"/>
      <c r="T39" s="678"/>
      <c r="U39" s="678"/>
      <c r="V39" s="678"/>
      <c r="W39" s="678"/>
      <c r="X39" s="678"/>
      <c r="Y39" s="678"/>
      <c r="Z39" s="678"/>
    </row>
    <row r="40" spans="1:26" ht="14.25" customHeight="1" x14ac:dyDescent="0.3">
      <c r="A40" s="678"/>
      <c r="B40" s="678"/>
      <c r="C40" s="678"/>
      <c r="D40" s="678"/>
      <c r="E40" s="678"/>
      <c r="F40" s="678"/>
      <c r="G40" s="678"/>
      <c r="H40" s="678"/>
      <c r="I40" s="678"/>
      <c r="J40" s="678"/>
      <c r="K40" s="678"/>
      <c r="L40" s="678"/>
      <c r="M40" s="678"/>
      <c r="N40" s="678"/>
      <c r="O40" s="678"/>
      <c r="P40" s="678"/>
      <c r="Q40" s="678"/>
      <c r="R40" s="678"/>
      <c r="S40" s="678"/>
      <c r="T40" s="678"/>
      <c r="U40" s="678"/>
      <c r="V40" s="678"/>
      <c r="W40" s="678"/>
      <c r="X40" s="678"/>
      <c r="Y40" s="678"/>
      <c r="Z40" s="678"/>
    </row>
    <row r="41" spans="1:26" ht="14.25" customHeight="1" x14ac:dyDescent="0.3">
      <c r="A41" s="678"/>
      <c r="B41" s="678"/>
      <c r="C41" s="678"/>
      <c r="D41" s="678"/>
      <c r="E41" s="678"/>
      <c r="F41" s="678"/>
      <c r="G41" s="678"/>
      <c r="H41" s="678"/>
      <c r="I41" s="678"/>
      <c r="J41" s="678"/>
      <c r="K41" s="678"/>
      <c r="L41" s="678"/>
      <c r="M41" s="678"/>
      <c r="N41" s="678"/>
      <c r="O41" s="678"/>
      <c r="P41" s="678"/>
      <c r="Q41" s="678"/>
      <c r="R41" s="678"/>
      <c r="S41" s="678"/>
      <c r="T41" s="678"/>
      <c r="U41" s="678"/>
      <c r="V41" s="678"/>
      <c r="W41" s="678"/>
      <c r="X41" s="678"/>
      <c r="Y41" s="678"/>
      <c r="Z41" s="678"/>
    </row>
    <row r="42" spans="1:26" ht="14.25" customHeight="1" x14ac:dyDescent="0.3">
      <c r="A42" s="678"/>
      <c r="B42" s="678"/>
      <c r="C42" s="678"/>
      <c r="D42" s="678"/>
      <c r="E42" s="678"/>
      <c r="F42" s="678"/>
      <c r="G42" s="678"/>
      <c r="H42" s="678"/>
      <c r="I42" s="678"/>
      <c r="J42" s="678"/>
      <c r="K42" s="678"/>
      <c r="L42" s="678"/>
      <c r="M42" s="678"/>
      <c r="N42" s="678"/>
      <c r="O42" s="678"/>
      <c r="P42" s="678"/>
      <c r="Q42" s="678"/>
      <c r="R42" s="678"/>
      <c r="S42" s="678"/>
      <c r="T42" s="678"/>
      <c r="U42" s="678"/>
      <c r="V42" s="678"/>
      <c r="W42" s="678"/>
      <c r="X42" s="678"/>
      <c r="Y42" s="678"/>
      <c r="Z42" s="678"/>
    </row>
    <row r="43" spans="1:26" ht="14.25" customHeight="1" x14ac:dyDescent="0.3">
      <c r="A43" s="678"/>
      <c r="B43" s="678"/>
      <c r="C43" s="678"/>
      <c r="D43" s="678"/>
      <c r="E43" s="678"/>
      <c r="F43" s="678"/>
      <c r="G43" s="678"/>
      <c r="H43" s="678"/>
      <c r="I43" s="678"/>
      <c r="J43" s="678"/>
      <c r="K43" s="678"/>
      <c r="L43" s="678"/>
      <c r="M43" s="678"/>
      <c r="N43" s="678"/>
      <c r="O43" s="678"/>
      <c r="P43" s="678"/>
      <c r="Q43" s="678"/>
      <c r="R43" s="678"/>
      <c r="S43" s="678"/>
      <c r="T43" s="678"/>
      <c r="U43" s="678"/>
      <c r="V43" s="678"/>
      <c r="W43" s="678"/>
      <c r="X43" s="678"/>
      <c r="Y43" s="678"/>
      <c r="Z43" s="678"/>
    </row>
    <row r="44" spans="1:26" ht="14.25" customHeight="1" x14ac:dyDescent="0.3">
      <c r="A44" s="678"/>
      <c r="B44" s="678"/>
      <c r="C44" s="678"/>
      <c r="D44" s="678"/>
      <c r="E44" s="678"/>
      <c r="F44" s="678"/>
      <c r="G44" s="678"/>
      <c r="H44" s="678"/>
      <c r="I44" s="678"/>
      <c r="J44" s="678"/>
      <c r="K44" s="678"/>
      <c r="L44" s="678"/>
      <c r="M44" s="678"/>
      <c r="N44" s="678"/>
      <c r="O44" s="678"/>
      <c r="P44" s="678"/>
      <c r="Q44" s="678"/>
      <c r="R44" s="678"/>
      <c r="S44" s="678"/>
      <c r="T44" s="678"/>
      <c r="U44" s="678"/>
      <c r="V44" s="678"/>
      <c r="W44" s="678"/>
      <c r="X44" s="678"/>
      <c r="Y44" s="678"/>
      <c r="Z44" s="678"/>
    </row>
    <row r="45" spans="1:26" ht="14.25" customHeight="1" x14ac:dyDescent="0.3">
      <c r="A45" s="678"/>
      <c r="B45" s="678"/>
      <c r="C45" s="678"/>
      <c r="D45" s="678"/>
      <c r="E45" s="678"/>
      <c r="F45" s="678"/>
      <c r="G45" s="678"/>
      <c r="H45" s="678"/>
      <c r="I45" s="678"/>
      <c r="J45" s="678"/>
      <c r="K45" s="678"/>
      <c r="L45" s="678"/>
      <c r="M45" s="678"/>
      <c r="N45" s="678"/>
      <c r="O45" s="678"/>
      <c r="P45" s="678"/>
      <c r="Q45" s="678"/>
      <c r="R45" s="678"/>
      <c r="S45" s="678"/>
      <c r="T45" s="678"/>
      <c r="U45" s="678"/>
      <c r="V45" s="678"/>
      <c r="W45" s="678"/>
      <c r="X45" s="678"/>
      <c r="Y45" s="678"/>
      <c r="Z45" s="678"/>
    </row>
    <row r="46" spans="1:26" ht="14.25" customHeight="1" x14ac:dyDescent="0.3">
      <c r="A46" s="678"/>
      <c r="B46" s="678"/>
      <c r="C46" s="678"/>
      <c r="D46" s="678"/>
      <c r="E46" s="678"/>
      <c r="F46" s="678"/>
      <c r="G46" s="678"/>
      <c r="H46" s="678"/>
      <c r="I46" s="678"/>
      <c r="J46" s="678"/>
      <c r="K46" s="678"/>
      <c r="L46" s="678"/>
      <c r="M46" s="678"/>
      <c r="N46" s="678"/>
      <c r="O46" s="678"/>
      <c r="P46" s="678"/>
      <c r="Q46" s="678"/>
      <c r="R46" s="678"/>
      <c r="S46" s="678"/>
      <c r="T46" s="678"/>
      <c r="U46" s="678"/>
      <c r="V46" s="678"/>
      <c r="W46" s="678"/>
      <c r="X46" s="678"/>
      <c r="Y46" s="678"/>
      <c r="Z46" s="678"/>
    </row>
    <row r="47" spans="1:26" ht="14.25" customHeight="1" x14ac:dyDescent="0.3">
      <c r="A47" s="678"/>
      <c r="B47" s="678"/>
      <c r="C47" s="678"/>
      <c r="D47" s="678"/>
      <c r="E47" s="678"/>
      <c r="F47" s="678"/>
      <c r="G47" s="678"/>
      <c r="H47" s="678"/>
      <c r="I47" s="678"/>
      <c r="J47" s="678"/>
      <c r="K47" s="678"/>
      <c r="L47" s="678"/>
      <c r="M47" s="678"/>
      <c r="N47" s="678"/>
      <c r="O47" s="678"/>
      <c r="P47" s="678"/>
      <c r="Q47" s="678"/>
      <c r="R47" s="678"/>
      <c r="S47" s="678"/>
      <c r="T47" s="678"/>
      <c r="U47" s="678"/>
      <c r="V47" s="678"/>
      <c r="W47" s="678"/>
      <c r="X47" s="678"/>
      <c r="Y47" s="678"/>
      <c r="Z47" s="678"/>
    </row>
    <row r="48" spans="1:26" ht="14.25" customHeight="1" x14ac:dyDescent="0.3">
      <c r="A48" s="678"/>
      <c r="B48" s="678"/>
      <c r="C48" s="678"/>
      <c r="D48" s="678"/>
      <c r="E48" s="678"/>
      <c r="F48" s="678"/>
      <c r="G48" s="678"/>
      <c r="H48" s="678"/>
      <c r="I48" s="678"/>
      <c r="J48" s="678"/>
      <c r="K48" s="678"/>
      <c r="L48" s="678"/>
      <c r="M48" s="678"/>
      <c r="N48" s="678"/>
      <c r="O48" s="678"/>
      <c r="P48" s="678"/>
      <c r="Q48" s="678"/>
      <c r="R48" s="678"/>
      <c r="S48" s="678"/>
      <c r="T48" s="678"/>
      <c r="U48" s="678"/>
      <c r="V48" s="678"/>
      <c r="W48" s="678"/>
      <c r="X48" s="678"/>
      <c r="Y48" s="678"/>
      <c r="Z48" s="678"/>
    </row>
    <row r="49" spans="1:26" ht="14.25" customHeight="1" x14ac:dyDescent="0.3">
      <c r="A49" s="678"/>
      <c r="B49" s="678"/>
      <c r="C49" s="678"/>
      <c r="D49" s="678"/>
      <c r="E49" s="678"/>
      <c r="F49" s="678"/>
      <c r="G49" s="678"/>
      <c r="H49" s="678"/>
      <c r="I49" s="678"/>
      <c r="J49" s="678"/>
      <c r="K49" s="678"/>
      <c r="L49" s="678"/>
      <c r="M49" s="678"/>
      <c r="N49" s="678"/>
      <c r="O49" s="678"/>
      <c r="P49" s="678"/>
      <c r="Q49" s="678"/>
      <c r="R49" s="678"/>
      <c r="S49" s="678"/>
      <c r="T49" s="678"/>
      <c r="U49" s="678"/>
      <c r="V49" s="678"/>
      <c r="W49" s="678"/>
      <c r="X49" s="678"/>
      <c r="Y49" s="678"/>
      <c r="Z49" s="678"/>
    </row>
    <row r="50" spans="1:26" ht="14.25" customHeight="1" x14ac:dyDescent="0.3">
      <c r="A50" s="678"/>
      <c r="B50" s="678"/>
      <c r="C50" s="678"/>
      <c r="D50" s="678"/>
      <c r="E50" s="678"/>
      <c r="F50" s="678"/>
      <c r="G50" s="678"/>
      <c r="H50" s="678"/>
      <c r="I50" s="678"/>
      <c r="J50" s="678"/>
      <c r="K50" s="678"/>
      <c r="L50" s="678"/>
      <c r="M50" s="678"/>
      <c r="N50" s="678"/>
      <c r="O50" s="678"/>
      <c r="P50" s="678"/>
      <c r="Q50" s="678"/>
      <c r="R50" s="678"/>
      <c r="S50" s="678"/>
      <c r="T50" s="678"/>
      <c r="U50" s="678"/>
      <c r="V50" s="678"/>
      <c r="W50" s="678"/>
      <c r="X50" s="678"/>
      <c r="Y50" s="678"/>
      <c r="Z50" s="678"/>
    </row>
    <row r="51" spans="1:26" ht="14.25" customHeight="1" x14ac:dyDescent="0.3">
      <c r="A51" s="678"/>
      <c r="B51" s="678"/>
      <c r="C51" s="678"/>
      <c r="D51" s="678"/>
      <c r="E51" s="678"/>
      <c r="F51" s="678"/>
      <c r="G51" s="678"/>
      <c r="H51" s="678"/>
      <c r="I51" s="678"/>
      <c r="J51" s="678"/>
      <c r="K51" s="678"/>
      <c r="L51" s="678"/>
      <c r="M51" s="678"/>
      <c r="N51" s="678"/>
      <c r="O51" s="678"/>
      <c r="P51" s="678"/>
      <c r="Q51" s="678"/>
      <c r="R51" s="678"/>
      <c r="S51" s="678"/>
      <c r="T51" s="678"/>
      <c r="U51" s="678"/>
      <c r="V51" s="678"/>
      <c r="W51" s="678"/>
      <c r="X51" s="678"/>
      <c r="Y51" s="678"/>
      <c r="Z51" s="678"/>
    </row>
    <row r="52" spans="1:26" ht="14.25" customHeight="1" x14ac:dyDescent="0.3">
      <c r="A52" s="678"/>
      <c r="B52" s="678"/>
      <c r="C52" s="678"/>
      <c r="D52" s="678"/>
      <c r="E52" s="678"/>
      <c r="F52" s="678"/>
      <c r="G52" s="678"/>
      <c r="H52" s="678"/>
      <c r="I52" s="678"/>
      <c r="J52" s="678"/>
      <c r="K52" s="678"/>
      <c r="L52" s="678"/>
      <c r="M52" s="678"/>
      <c r="N52" s="678"/>
      <c r="O52" s="678"/>
      <c r="P52" s="678"/>
      <c r="Q52" s="678"/>
      <c r="R52" s="678"/>
      <c r="S52" s="678"/>
      <c r="T52" s="678"/>
      <c r="U52" s="678"/>
      <c r="V52" s="678"/>
      <c r="W52" s="678"/>
      <c r="X52" s="678"/>
      <c r="Y52" s="678"/>
      <c r="Z52" s="678"/>
    </row>
    <row r="53" spans="1:26" ht="14.25" customHeight="1" x14ac:dyDescent="0.3">
      <c r="A53" s="678"/>
      <c r="B53" s="678"/>
      <c r="C53" s="678"/>
      <c r="D53" s="678"/>
      <c r="E53" s="678"/>
      <c r="F53" s="678"/>
      <c r="G53" s="678"/>
      <c r="H53" s="678"/>
      <c r="I53" s="678"/>
      <c r="J53" s="678"/>
      <c r="K53" s="678"/>
      <c r="L53" s="678"/>
      <c r="M53" s="678"/>
      <c r="N53" s="678"/>
      <c r="O53" s="678"/>
      <c r="P53" s="678"/>
      <c r="Q53" s="678"/>
      <c r="R53" s="678"/>
      <c r="S53" s="678"/>
      <c r="T53" s="678"/>
      <c r="U53" s="678"/>
      <c r="V53" s="678"/>
      <c r="W53" s="678"/>
      <c r="X53" s="678"/>
      <c r="Y53" s="678"/>
      <c r="Z53" s="678"/>
    </row>
    <row r="54" spans="1:26" ht="14.25" customHeight="1" x14ac:dyDescent="0.3">
      <c r="A54" s="678"/>
      <c r="B54" s="678"/>
      <c r="C54" s="678"/>
      <c r="D54" s="678"/>
      <c r="E54" s="678"/>
      <c r="F54" s="678"/>
      <c r="G54" s="678"/>
      <c r="H54" s="678"/>
      <c r="I54" s="678"/>
      <c r="J54" s="678"/>
      <c r="K54" s="678"/>
      <c r="L54" s="678"/>
      <c r="M54" s="678"/>
      <c r="N54" s="678"/>
      <c r="O54" s="678"/>
      <c r="P54" s="678"/>
      <c r="Q54" s="678"/>
      <c r="R54" s="678"/>
      <c r="S54" s="678"/>
      <c r="T54" s="678"/>
      <c r="U54" s="678"/>
      <c r="V54" s="678"/>
      <c r="W54" s="678"/>
      <c r="X54" s="678"/>
      <c r="Y54" s="678"/>
      <c r="Z54" s="678"/>
    </row>
    <row r="55" spans="1:26" ht="14.25" customHeight="1" x14ac:dyDescent="0.3">
      <c r="A55" s="678"/>
      <c r="B55" s="678"/>
      <c r="C55" s="678"/>
      <c r="D55" s="678"/>
      <c r="E55" s="678"/>
      <c r="F55" s="678"/>
      <c r="G55" s="678"/>
      <c r="H55" s="678"/>
      <c r="I55" s="678"/>
      <c r="J55" s="678"/>
      <c r="K55" s="678"/>
      <c r="L55" s="678"/>
      <c r="M55" s="678"/>
      <c r="N55" s="678"/>
      <c r="O55" s="678"/>
      <c r="P55" s="678"/>
      <c r="Q55" s="678"/>
      <c r="R55" s="678"/>
      <c r="S55" s="678"/>
      <c r="T55" s="678"/>
      <c r="U55" s="678"/>
      <c r="V55" s="678"/>
      <c r="W55" s="678"/>
      <c r="X55" s="678"/>
      <c r="Y55" s="678"/>
      <c r="Z55" s="678"/>
    </row>
    <row r="56" spans="1:26" ht="14.25" customHeight="1" x14ac:dyDescent="0.3">
      <c r="A56" s="678"/>
      <c r="B56" s="678"/>
      <c r="C56" s="678"/>
      <c r="D56" s="678"/>
      <c r="E56" s="678"/>
      <c r="F56" s="678"/>
      <c r="G56" s="678"/>
      <c r="H56" s="678"/>
      <c r="I56" s="678"/>
      <c r="J56" s="678"/>
      <c r="K56" s="678"/>
      <c r="L56" s="678"/>
      <c r="M56" s="678"/>
      <c r="N56" s="678"/>
      <c r="O56" s="678"/>
      <c r="P56" s="678"/>
      <c r="Q56" s="678"/>
      <c r="R56" s="678"/>
      <c r="S56" s="678"/>
      <c r="T56" s="678"/>
      <c r="U56" s="678"/>
      <c r="V56" s="678"/>
      <c r="W56" s="678"/>
      <c r="X56" s="678"/>
      <c r="Y56" s="678"/>
      <c r="Z56" s="678"/>
    </row>
    <row r="57" spans="1:26" ht="14.25" customHeight="1" x14ac:dyDescent="0.3">
      <c r="A57" s="678"/>
      <c r="B57" s="678"/>
      <c r="C57" s="678"/>
      <c r="D57" s="678"/>
      <c r="E57" s="678"/>
      <c r="F57" s="678"/>
      <c r="G57" s="678"/>
      <c r="H57" s="678"/>
      <c r="I57" s="678"/>
      <c r="J57" s="678"/>
      <c r="K57" s="678"/>
      <c r="L57" s="678"/>
      <c r="M57" s="678"/>
      <c r="N57" s="678"/>
      <c r="O57" s="678"/>
      <c r="P57" s="678"/>
      <c r="Q57" s="678"/>
      <c r="R57" s="678"/>
      <c r="S57" s="678"/>
      <c r="T57" s="678"/>
      <c r="U57" s="678"/>
      <c r="V57" s="678"/>
      <c r="W57" s="678"/>
      <c r="X57" s="678"/>
      <c r="Y57" s="678"/>
      <c r="Z57" s="678"/>
    </row>
    <row r="58" spans="1:26" ht="14.25" customHeight="1" x14ac:dyDescent="0.3">
      <c r="A58" s="678"/>
      <c r="B58" s="678"/>
      <c r="C58" s="678"/>
      <c r="D58" s="678"/>
      <c r="E58" s="678"/>
      <c r="F58" s="678"/>
      <c r="G58" s="678"/>
      <c r="H58" s="678"/>
      <c r="I58" s="678"/>
      <c r="J58" s="678"/>
      <c r="K58" s="678"/>
      <c r="L58" s="678"/>
      <c r="M58" s="678"/>
      <c r="N58" s="678"/>
      <c r="O58" s="678"/>
      <c r="P58" s="678"/>
      <c r="Q58" s="678"/>
      <c r="R58" s="678"/>
      <c r="S58" s="678"/>
      <c r="T58" s="678"/>
      <c r="U58" s="678"/>
      <c r="V58" s="678"/>
      <c r="W58" s="678"/>
      <c r="X58" s="678"/>
      <c r="Y58" s="678"/>
      <c r="Z58" s="678"/>
    </row>
    <row r="59" spans="1:26" ht="14.25" customHeight="1" x14ac:dyDescent="0.3">
      <c r="A59" s="678"/>
      <c r="B59" s="678"/>
      <c r="C59" s="678"/>
      <c r="D59" s="678"/>
      <c r="E59" s="678"/>
      <c r="F59" s="678"/>
      <c r="G59" s="678"/>
      <c r="H59" s="678"/>
      <c r="I59" s="678"/>
      <c r="J59" s="678"/>
      <c r="K59" s="678"/>
      <c r="L59" s="678"/>
      <c r="M59" s="678"/>
      <c r="N59" s="678"/>
      <c r="O59" s="678"/>
      <c r="P59" s="678"/>
      <c r="Q59" s="678"/>
      <c r="R59" s="678"/>
      <c r="S59" s="678"/>
      <c r="T59" s="678"/>
      <c r="U59" s="678"/>
      <c r="V59" s="678"/>
      <c r="W59" s="678"/>
      <c r="X59" s="678"/>
      <c r="Y59" s="678"/>
      <c r="Z59" s="678"/>
    </row>
    <row r="60" spans="1:26" ht="14.25" customHeight="1" x14ac:dyDescent="0.3">
      <c r="A60" s="678"/>
      <c r="B60" s="678"/>
      <c r="C60" s="678"/>
      <c r="D60" s="678"/>
      <c r="E60" s="678"/>
      <c r="F60" s="678"/>
      <c r="G60" s="678"/>
      <c r="H60" s="678"/>
      <c r="I60" s="678"/>
      <c r="J60" s="678"/>
      <c r="K60" s="678"/>
      <c r="L60" s="678"/>
      <c r="M60" s="678"/>
      <c r="N60" s="678"/>
      <c r="O60" s="678"/>
      <c r="P60" s="678"/>
      <c r="Q60" s="678"/>
      <c r="R60" s="678"/>
      <c r="S60" s="678"/>
      <c r="T60" s="678"/>
      <c r="U60" s="678"/>
      <c r="V60" s="678"/>
      <c r="W60" s="678"/>
      <c r="X60" s="678"/>
      <c r="Y60" s="678"/>
      <c r="Z60" s="678"/>
    </row>
    <row r="61" spans="1:26" ht="14.25" customHeight="1" x14ac:dyDescent="0.3">
      <c r="A61" s="678"/>
      <c r="B61" s="678"/>
      <c r="C61" s="678"/>
      <c r="D61" s="678"/>
      <c r="E61" s="678"/>
      <c r="F61" s="678"/>
      <c r="G61" s="678"/>
      <c r="H61" s="678"/>
      <c r="I61" s="678"/>
      <c r="J61" s="678"/>
      <c r="K61" s="678"/>
      <c r="L61" s="678"/>
      <c r="M61" s="678"/>
      <c r="N61" s="678"/>
      <c r="O61" s="678"/>
      <c r="P61" s="678"/>
      <c r="Q61" s="678"/>
      <c r="R61" s="678"/>
      <c r="S61" s="678"/>
      <c r="T61" s="678"/>
      <c r="U61" s="678"/>
      <c r="V61" s="678"/>
      <c r="W61" s="678"/>
      <c r="X61" s="678"/>
      <c r="Y61" s="678"/>
      <c r="Z61" s="678"/>
    </row>
    <row r="62" spans="1:26" ht="14.25" customHeight="1" x14ac:dyDescent="0.3">
      <c r="A62" s="678"/>
      <c r="B62" s="678"/>
      <c r="C62" s="678"/>
      <c r="D62" s="678"/>
      <c r="E62" s="678"/>
      <c r="F62" s="678"/>
      <c r="G62" s="678"/>
      <c r="H62" s="678"/>
      <c r="I62" s="678"/>
      <c r="J62" s="678"/>
      <c r="K62" s="678"/>
      <c r="L62" s="678"/>
      <c r="M62" s="678"/>
      <c r="N62" s="678"/>
      <c r="O62" s="678"/>
      <c r="P62" s="678"/>
      <c r="Q62" s="678"/>
      <c r="R62" s="678"/>
      <c r="S62" s="678"/>
      <c r="T62" s="678"/>
      <c r="U62" s="678"/>
      <c r="V62" s="678"/>
      <c r="W62" s="678"/>
      <c r="X62" s="678"/>
      <c r="Y62" s="678"/>
      <c r="Z62" s="678"/>
    </row>
    <row r="63" spans="1:26" ht="14.25" customHeight="1" x14ac:dyDescent="0.3">
      <c r="A63" s="678"/>
      <c r="B63" s="678"/>
      <c r="C63" s="678"/>
      <c r="D63" s="678"/>
      <c r="E63" s="678"/>
      <c r="F63" s="678"/>
      <c r="G63" s="678"/>
      <c r="H63" s="678"/>
      <c r="I63" s="678"/>
      <c r="J63" s="678"/>
      <c r="K63" s="678"/>
      <c r="L63" s="678"/>
      <c r="M63" s="678"/>
      <c r="N63" s="678"/>
      <c r="O63" s="678"/>
      <c r="P63" s="678"/>
      <c r="Q63" s="678"/>
      <c r="R63" s="678"/>
      <c r="S63" s="678"/>
      <c r="T63" s="678"/>
      <c r="U63" s="678"/>
      <c r="V63" s="678"/>
      <c r="W63" s="678"/>
      <c r="X63" s="678"/>
      <c r="Y63" s="678"/>
      <c r="Z63" s="678"/>
    </row>
    <row r="64" spans="1:26" ht="14.25" customHeight="1" x14ac:dyDescent="0.3">
      <c r="A64" s="678"/>
      <c r="B64" s="678"/>
      <c r="C64" s="678"/>
      <c r="D64" s="678"/>
      <c r="E64" s="678"/>
      <c r="F64" s="678"/>
      <c r="G64" s="678"/>
      <c r="H64" s="678"/>
      <c r="I64" s="678"/>
      <c r="J64" s="678"/>
      <c r="K64" s="678"/>
      <c r="L64" s="678"/>
      <c r="M64" s="678"/>
      <c r="N64" s="678"/>
      <c r="O64" s="678"/>
      <c r="P64" s="678"/>
      <c r="Q64" s="678"/>
      <c r="R64" s="678"/>
      <c r="S64" s="678"/>
      <c r="T64" s="678"/>
      <c r="U64" s="678"/>
      <c r="V64" s="678"/>
      <c r="W64" s="678"/>
      <c r="X64" s="678"/>
      <c r="Y64" s="678"/>
      <c r="Z64" s="678"/>
    </row>
    <row r="65" spans="1:26" ht="14.25" customHeight="1" x14ac:dyDescent="0.3">
      <c r="A65" s="678"/>
      <c r="B65" s="678"/>
      <c r="C65" s="678"/>
      <c r="D65" s="678"/>
      <c r="E65" s="678"/>
      <c r="F65" s="678"/>
      <c r="G65" s="678"/>
      <c r="H65" s="678"/>
      <c r="I65" s="678"/>
      <c r="J65" s="678"/>
      <c r="K65" s="678"/>
      <c r="L65" s="678"/>
      <c r="M65" s="678"/>
      <c r="N65" s="678"/>
      <c r="O65" s="678"/>
      <c r="P65" s="678"/>
      <c r="Q65" s="678"/>
      <c r="R65" s="678"/>
      <c r="S65" s="678"/>
      <c r="T65" s="678"/>
      <c r="U65" s="678"/>
      <c r="V65" s="678"/>
      <c r="W65" s="678"/>
      <c r="X65" s="678"/>
      <c r="Y65" s="678"/>
      <c r="Z65" s="678"/>
    </row>
    <row r="66" spans="1:26" ht="14.25" customHeight="1" x14ac:dyDescent="0.3">
      <c r="A66" s="678"/>
      <c r="B66" s="678"/>
      <c r="C66" s="678"/>
      <c r="D66" s="678"/>
      <c r="E66" s="678"/>
      <c r="F66" s="678"/>
      <c r="G66" s="678"/>
      <c r="H66" s="678"/>
      <c r="I66" s="678"/>
      <c r="J66" s="678"/>
      <c r="K66" s="678"/>
      <c r="L66" s="678"/>
      <c r="M66" s="678"/>
      <c r="N66" s="678"/>
      <c r="O66" s="678"/>
      <c r="P66" s="678"/>
      <c r="Q66" s="678"/>
      <c r="R66" s="678"/>
      <c r="S66" s="678"/>
      <c r="T66" s="678"/>
      <c r="U66" s="678"/>
      <c r="V66" s="678"/>
      <c r="W66" s="678"/>
      <c r="X66" s="678"/>
      <c r="Y66" s="678"/>
      <c r="Z66" s="678"/>
    </row>
    <row r="67" spans="1:26" ht="14.25" customHeight="1" x14ac:dyDescent="0.3">
      <c r="A67" s="678"/>
      <c r="B67" s="678"/>
      <c r="C67" s="678"/>
      <c r="D67" s="678"/>
      <c r="E67" s="678"/>
      <c r="F67" s="678"/>
      <c r="G67" s="678"/>
      <c r="H67" s="678"/>
      <c r="I67" s="678"/>
      <c r="J67" s="678"/>
      <c r="K67" s="678"/>
      <c r="L67" s="678"/>
      <c r="M67" s="678"/>
      <c r="N67" s="678"/>
      <c r="O67" s="678"/>
      <c r="P67" s="678"/>
      <c r="Q67" s="678"/>
      <c r="R67" s="678"/>
      <c r="S67" s="678"/>
      <c r="T67" s="678"/>
      <c r="U67" s="678"/>
      <c r="V67" s="678"/>
      <c r="W67" s="678"/>
      <c r="X67" s="678"/>
      <c r="Y67" s="678"/>
      <c r="Z67" s="678"/>
    </row>
    <row r="68" spans="1:26" ht="14.25" customHeight="1" x14ac:dyDescent="0.3">
      <c r="A68" s="678"/>
      <c r="B68" s="678"/>
      <c r="C68" s="678"/>
      <c r="D68" s="678"/>
      <c r="E68" s="678"/>
      <c r="F68" s="678"/>
      <c r="G68" s="678"/>
      <c r="H68" s="678"/>
      <c r="I68" s="678"/>
      <c r="J68" s="678"/>
      <c r="K68" s="678"/>
      <c r="L68" s="678"/>
      <c r="M68" s="678"/>
      <c r="N68" s="678"/>
      <c r="O68" s="678"/>
      <c r="P68" s="678"/>
      <c r="Q68" s="678"/>
      <c r="R68" s="678"/>
      <c r="S68" s="678"/>
      <c r="T68" s="678"/>
      <c r="U68" s="678"/>
      <c r="V68" s="678"/>
      <c r="W68" s="678"/>
      <c r="X68" s="678"/>
      <c r="Y68" s="678"/>
      <c r="Z68" s="678"/>
    </row>
    <row r="69" spans="1:26" ht="14.25" customHeight="1" x14ac:dyDescent="0.3">
      <c r="A69" s="678"/>
      <c r="B69" s="678"/>
      <c r="C69" s="678"/>
      <c r="D69" s="678"/>
      <c r="E69" s="678"/>
      <c r="F69" s="678"/>
      <c r="G69" s="678"/>
      <c r="H69" s="678"/>
      <c r="I69" s="678"/>
      <c r="J69" s="678"/>
      <c r="K69" s="678"/>
      <c r="L69" s="678"/>
      <c r="M69" s="678"/>
      <c r="N69" s="678"/>
      <c r="O69" s="678"/>
      <c r="P69" s="678"/>
      <c r="Q69" s="678"/>
      <c r="R69" s="678"/>
      <c r="S69" s="678"/>
      <c r="T69" s="678"/>
      <c r="U69" s="678"/>
      <c r="V69" s="678"/>
      <c r="W69" s="678"/>
      <c r="X69" s="678"/>
      <c r="Y69" s="678"/>
      <c r="Z69" s="678"/>
    </row>
    <row r="70" spans="1:26" ht="14.25" customHeight="1" x14ac:dyDescent="0.3">
      <c r="A70" s="678"/>
      <c r="B70" s="678"/>
      <c r="C70" s="678"/>
      <c r="D70" s="678"/>
      <c r="E70" s="678"/>
      <c r="F70" s="678"/>
      <c r="G70" s="678"/>
      <c r="H70" s="678"/>
      <c r="I70" s="678"/>
      <c r="J70" s="678"/>
      <c r="K70" s="678"/>
      <c r="L70" s="678"/>
      <c r="M70" s="678"/>
      <c r="N70" s="678"/>
      <c r="O70" s="678"/>
      <c r="P70" s="678"/>
      <c r="Q70" s="678"/>
      <c r="R70" s="678"/>
      <c r="S70" s="678"/>
      <c r="T70" s="678"/>
      <c r="U70" s="678"/>
      <c r="V70" s="678"/>
      <c r="W70" s="678"/>
      <c r="X70" s="678"/>
      <c r="Y70" s="678"/>
      <c r="Z70" s="678"/>
    </row>
    <row r="71" spans="1:26" ht="14.25" customHeight="1" x14ac:dyDescent="0.3">
      <c r="A71" s="678"/>
      <c r="B71" s="678"/>
      <c r="C71" s="678"/>
      <c r="D71" s="678"/>
      <c r="E71" s="678"/>
      <c r="F71" s="678"/>
      <c r="G71" s="678"/>
      <c r="H71" s="678"/>
      <c r="I71" s="678"/>
      <c r="J71" s="678"/>
      <c r="K71" s="678"/>
      <c r="L71" s="678"/>
      <c r="M71" s="678"/>
      <c r="N71" s="678"/>
      <c r="O71" s="678"/>
      <c r="P71" s="678"/>
      <c r="Q71" s="678"/>
      <c r="R71" s="678"/>
      <c r="S71" s="678"/>
      <c r="T71" s="678"/>
      <c r="U71" s="678"/>
      <c r="V71" s="678"/>
      <c r="W71" s="678"/>
      <c r="X71" s="678"/>
      <c r="Y71" s="678"/>
      <c r="Z71" s="678"/>
    </row>
    <row r="72" spans="1:26" ht="14.25" customHeight="1" x14ac:dyDescent="0.3">
      <c r="A72" s="678"/>
      <c r="B72" s="678"/>
      <c r="C72" s="678"/>
      <c r="D72" s="678"/>
      <c r="E72" s="678"/>
      <c r="F72" s="678"/>
      <c r="G72" s="678"/>
      <c r="H72" s="678"/>
      <c r="I72" s="678"/>
      <c r="J72" s="678"/>
      <c r="K72" s="678"/>
      <c r="L72" s="678"/>
      <c r="M72" s="678"/>
      <c r="N72" s="678"/>
      <c r="O72" s="678"/>
      <c r="P72" s="678"/>
      <c r="Q72" s="678"/>
      <c r="R72" s="678"/>
      <c r="S72" s="678"/>
      <c r="T72" s="678"/>
      <c r="U72" s="678"/>
      <c r="V72" s="678"/>
      <c r="W72" s="678"/>
      <c r="X72" s="678"/>
      <c r="Y72" s="678"/>
      <c r="Z72" s="678"/>
    </row>
    <row r="73" spans="1:26" ht="14.25" customHeight="1" x14ac:dyDescent="0.3">
      <c r="A73" s="678"/>
      <c r="B73" s="678"/>
      <c r="C73" s="678"/>
      <c r="D73" s="678"/>
      <c r="E73" s="678"/>
      <c r="F73" s="678"/>
      <c r="G73" s="678"/>
      <c r="H73" s="678"/>
      <c r="I73" s="678"/>
      <c r="J73" s="678"/>
      <c r="K73" s="678"/>
      <c r="L73" s="678"/>
      <c r="M73" s="678"/>
      <c r="N73" s="678"/>
      <c r="O73" s="678"/>
      <c r="P73" s="678"/>
      <c r="Q73" s="678"/>
      <c r="R73" s="678"/>
      <c r="S73" s="678"/>
      <c r="T73" s="678"/>
      <c r="U73" s="678"/>
      <c r="V73" s="678"/>
      <c r="W73" s="678"/>
      <c r="X73" s="678"/>
      <c r="Y73" s="678"/>
      <c r="Z73" s="678"/>
    </row>
    <row r="74" spans="1:26" ht="14.25" customHeight="1" x14ac:dyDescent="0.3">
      <c r="A74" s="678"/>
      <c r="B74" s="678"/>
      <c r="C74" s="678"/>
      <c r="D74" s="678"/>
      <c r="E74" s="678"/>
      <c r="F74" s="678"/>
      <c r="G74" s="678"/>
      <c r="H74" s="678"/>
      <c r="I74" s="678"/>
      <c r="J74" s="678"/>
      <c r="K74" s="678"/>
      <c r="L74" s="678"/>
      <c r="M74" s="678"/>
      <c r="N74" s="678"/>
      <c r="O74" s="678"/>
      <c r="P74" s="678"/>
      <c r="Q74" s="678"/>
      <c r="R74" s="678"/>
      <c r="S74" s="678"/>
      <c r="T74" s="678"/>
      <c r="U74" s="678"/>
      <c r="V74" s="678"/>
      <c r="W74" s="678"/>
      <c r="X74" s="678"/>
      <c r="Y74" s="678"/>
      <c r="Z74" s="678"/>
    </row>
    <row r="75" spans="1:26" ht="14.25" customHeight="1" x14ac:dyDescent="0.3">
      <c r="A75" s="678"/>
      <c r="B75" s="678"/>
      <c r="C75" s="678"/>
      <c r="D75" s="678"/>
      <c r="E75" s="678"/>
      <c r="F75" s="678"/>
      <c r="G75" s="678"/>
      <c r="H75" s="678"/>
      <c r="I75" s="678"/>
      <c r="J75" s="678"/>
      <c r="K75" s="678"/>
      <c r="L75" s="678"/>
      <c r="M75" s="678"/>
      <c r="N75" s="678"/>
      <c r="O75" s="678"/>
      <c r="P75" s="678"/>
      <c r="Q75" s="678"/>
      <c r="R75" s="678"/>
      <c r="S75" s="678"/>
      <c r="T75" s="678"/>
      <c r="U75" s="678"/>
      <c r="V75" s="678"/>
      <c r="W75" s="678"/>
      <c r="X75" s="678"/>
      <c r="Y75" s="678"/>
      <c r="Z75" s="678"/>
    </row>
    <row r="76" spans="1:26" ht="14.25" customHeight="1" x14ac:dyDescent="0.3">
      <c r="A76" s="678"/>
      <c r="B76" s="678"/>
      <c r="C76" s="678"/>
      <c r="D76" s="678"/>
      <c r="E76" s="678"/>
      <c r="F76" s="678"/>
      <c r="G76" s="678"/>
      <c r="H76" s="678"/>
      <c r="I76" s="678"/>
      <c r="J76" s="678"/>
      <c r="K76" s="678"/>
      <c r="L76" s="678"/>
      <c r="M76" s="678"/>
      <c r="N76" s="678"/>
      <c r="O76" s="678"/>
      <c r="P76" s="678"/>
      <c r="Q76" s="678"/>
      <c r="R76" s="678"/>
      <c r="S76" s="678"/>
      <c r="T76" s="678"/>
      <c r="U76" s="678"/>
      <c r="V76" s="678"/>
      <c r="W76" s="678"/>
      <c r="X76" s="678"/>
      <c r="Y76" s="678"/>
      <c r="Z76" s="678"/>
    </row>
    <row r="77" spans="1:26" ht="14.25" customHeight="1" x14ac:dyDescent="0.3">
      <c r="A77" s="678"/>
      <c r="B77" s="678"/>
      <c r="C77" s="678"/>
      <c r="D77" s="678"/>
      <c r="E77" s="678"/>
      <c r="F77" s="678"/>
      <c r="G77" s="678"/>
      <c r="H77" s="678"/>
      <c r="I77" s="678"/>
      <c r="J77" s="678"/>
      <c r="K77" s="678"/>
      <c r="L77" s="678"/>
      <c r="M77" s="678"/>
      <c r="N77" s="678"/>
      <c r="O77" s="678"/>
      <c r="P77" s="678"/>
      <c r="Q77" s="678"/>
      <c r="R77" s="678"/>
      <c r="S77" s="678"/>
      <c r="T77" s="678"/>
      <c r="U77" s="678"/>
      <c r="V77" s="678"/>
      <c r="W77" s="678"/>
      <c r="X77" s="678"/>
      <c r="Y77" s="678"/>
      <c r="Z77" s="678"/>
    </row>
    <row r="78" spans="1:26" ht="14.25" customHeight="1" x14ac:dyDescent="0.3">
      <c r="A78" s="678"/>
      <c r="B78" s="678"/>
      <c r="C78" s="678"/>
      <c r="D78" s="678"/>
      <c r="E78" s="678"/>
      <c r="F78" s="678"/>
      <c r="G78" s="678"/>
      <c r="H78" s="678"/>
      <c r="I78" s="678"/>
      <c r="J78" s="678"/>
      <c r="K78" s="678"/>
      <c r="L78" s="678"/>
      <c r="M78" s="678"/>
      <c r="N78" s="678"/>
      <c r="O78" s="678"/>
      <c r="P78" s="678"/>
      <c r="Q78" s="678"/>
      <c r="R78" s="678"/>
      <c r="S78" s="678"/>
      <c r="T78" s="678"/>
      <c r="U78" s="678"/>
      <c r="V78" s="678"/>
      <c r="W78" s="678"/>
      <c r="X78" s="678"/>
      <c r="Y78" s="678"/>
      <c r="Z78" s="678"/>
    </row>
    <row r="79" spans="1:26" ht="14.25" customHeight="1" x14ac:dyDescent="0.3">
      <c r="A79" s="678"/>
      <c r="B79" s="678"/>
      <c r="C79" s="678"/>
      <c r="D79" s="678"/>
      <c r="E79" s="678"/>
      <c r="F79" s="678"/>
      <c r="G79" s="678"/>
      <c r="H79" s="678"/>
      <c r="I79" s="678"/>
      <c r="J79" s="678"/>
      <c r="K79" s="678"/>
      <c r="L79" s="678"/>
      <c r="M79" s="678"/>
      <c r="N79" s="678"/>
      <c r="O79" s="678"/>
      <c r="P79" s="678"/>
      <c r="Q79" s="678"/>
      <c r="R79" s="678"/>
      <c r="S79" s="678"/>
      <c r="T79" s="678"/>
      <c r="U79" s="678"/>
      <c r="V79" s="678"/>
      <c r="W79" s="678"/>
      <c r="X79" s="678"/>
      <c r="Y79" s="678"/>
      <c r="Z79" s="678"/>
    </row>
    <row r="80" spans="1:26" ht="14.25" customHeight="1" x14ac:dyDescent="0.3">
      <c r="A80" s="678"/>
      <c r="B80" s="678"/>
      <c r="C80" s="678"/>
      <c r="D80" s="678"/>
      <c r="E80" s="678"/>
      <c r="F80" s="678"/>
      <c r="G80" s="678"/>
      <c r="H80" s="678"/>
      <c r="I80" s="678"/>
      <c r="J80" s="678"/>
      <c r="K80" s="678"/>
      <c r="L80" s="678"/>
      <c r="M80" s="678"/>
      <c r="N80" s="678"/>
      <c r="O80" s="678"/>
      <c r="P80" s="678"/>
      <c r="Q80" s="678"/>
      <c r="R80" s="678"/>
      <c r="S80" s="678"/>
      <c r="T80" s="678"/>
      <c r="U80" s="678"/>
      <c r="V80" s="678"/>
      <c r="W80" s="678"/>
      <c r="X80" s="678"/>
      <c r="Y80" s="678"/>
      <c r="Z80" s="678"/>
    </row>
    <row r="81" spans="1:26" ht="14.25" customHeight="1" x14ac:dyDescent="0.3">
      <c r="A81" s="678"/>
      <c r="B81" s="678"/>
      <c r="C81" s="678"/>
      <c r="D81" s="678"/>
      <c r="E81" s="678"/>
      <c r="F81" s="678"/>
      <c r="G81" s="678"/>
      <c r="H81" s="678"/>
      <c r="I81" s="678"/>
      <c r="J81" s="678"/>
      <c r="K81" s="678"/>
      <c r="L81" s="678"/>
      <c r="M81" s="678"/>
      <c r="N81" s="678"/>
      <c r="O81" s="678"/>
      <c r="P81" s="678"/>
      <c r="Q81" s="678"/>
      <c r="R81" s="678"/>
      <c r="S81" s="678"/>
      <c r="T81" s="678"/>
      <c r="U81" s="678"/>
      <c r="V81" s="678"/>
      <c r="W81" s="678"/>
      <c r="X81" s="678"/>
      <c r="Y81" s="678"/>
      <c r="Z81" s="678"/>
    </row>
    <row r="82" spans="1:26" ht="14.25" customHeight="1" x14ac:dyDescent="0.3">
      <c r="A82" s="678"/>
      <c r="B82" s="678"/>
      <c r="C82" s="678"/>
      <c r="D82" s="678"/>
      <c r="E82" s="678"/>
      <c r="F82" s="678"/>
      <c r="G82" s="678"/>
      <c r="H82" s="678"/>
      <c r="I82" s="678"/>
      <c r="J82" s="678"/>
      <c r="K82" s="678"/>
      <c r="L82" s="678"/>
      <c r="M82" s="678"/>
      <c r="N82" s="678"/>
      <c r="O82" s="678"/>
      <c r="P82" s="678"/>
      <c r="Q82" s="678"/>
      <c r="R82" s="678"/>
      <c r="S82" s="678"/>
      <c r="T82" s="678"/>
      <c r="U82" s="678"/>
      <c r="V82" s="678"/>
      <c r="W82" s="678"/>
      <c r="X82" s="678"/>
      <c r="Y82" s="678"/>
      <c r="Z82" s="678"/>
    </row>
    <row r="83" spans="1:26" ht="14.25" customHeight="1" x14ac:dyDescent="0.3">
      <c r="A83" s="678"/>
      <c r="B83" s="678"/>
      <c r="C83" s="678"/>
      <c r="D83" s="678"/>
      <c r="E83" s="678"/>
      <c r="F83" s="678"/>
      <c r="G83" s="678"/>
      <c r="H83" s="678"/>
      <c r="I83" s="678"/>
      <c r="J83" s="678"/>
      <c r="K83" s="678"/>
      <c r="L83" s="678"/>
      <c r="M83" s="678"/>
      <c r="N83" s="678"/>
      <c r="O83" s="678"/>
      <c r="P83" s="678"/>
      <c r="Q83" s="678"/>
      <c r="R83" s="678"/>
      <c r="S83" s="678"/>
      <c r="T83" s="678"/>
      <c r="U83" s="678"/>
      <c r="V83" s="678"/>
      <c r="W83" s="678"/>
      <c r="X83" s="678"/>
      <c r="Y83" s="678"/>
      <c r="Z83" s="678"/>
    </row>
    <row r="84" spans="1:26" ht="14.25" customHeight="1" x14ac:dyDescent="0.3">
      <c r="A84" s="678"/>
      <c r="B84" s="678"/>
      <c r="C84" s="678"/>
      <c r="D84" s="678"/>
      <c r="E84" s="678"/>
      <c r="F84" s="678"/>
      <c r="G84" s="678"/>
      <c r="H84" s="678"/>
      <c r="I84" s="678"/>
      <c r="J84" s="678"/>
      <c r="K84" s="678"/>
      <c r="L84" s="678"/>
      <c r="M84" s="678"/>
      <c r="N84" s="678"/>
      <c r="O84" s="678"/>
      <c r="P84" s="678"/>
      <c r="Q84" s="678"/>
      <c r="R84" s="678"/>
      <c r="S84" s="678"/>
      <c r="T84" s="678"/>
      <c r="U84" s="678"/>
      <c r="V84" s="678"/>
      <c r="W84" s="678"/>
      <c r="X84" s="678"/>
      <c r="Y84" s="678"/>
      <c r="Z84" s="678"/>
    </row>
    <row r="85" spans="1:26" ht="14.25" customHeight="1" x14ac:dyDescent="0.3">
      <c r="A85" s="678"/>
      <c r="B85" s="678"/>
      <c r="C85" s="678"/>
      <c r="D85" s="678"/>
      <c r="E85" s="678"/>
      <c r="F85" s="678"/>
      <c r="G85" s="678"/>
      <c r="H85" s="678"/>
      <c r="I85" s="678"/>
      <c r="J85" s="678"/>
      <c r="K85" s="678"/>
      <c r="L85" s="678"/>
      <c r="M85" s="678"/>
      <c r="N85" s="678"/>
      <c r="O85" s="678"/>
      <c r="P85" s="678"/>
      <c r="Q85" s="678"/>
      <c r="R85" s="678"/>
      <c r="S85" s="678"/>
      <c r="T85" s="678"/>
      <c r="U85" s="678"/>
      <c r="V85" s="678"/>
      <c r="W85" s="678"/>
      <c r="X85" s="678"/>
      <c r="Y85" s="678"/>
      <c r="Z85" s="678"/>
    </row>
    <row r="86" spans="1:26" ht="14.25" customHeight="1" x14ac:dyDescent="0.3">
      <c r="A86" s="678"/>
      <c r="B86" s="678"/>
      <c r="C86" s="678"/>
      <c r="D86" s="678"/>
      <c r="E86" s="678"/>
      <c r="F86" s="678"/>
      <c r="G86" s="678"/>
      <c r="H86" s="678"/>
      <c r="I86" s="678"/>
      <c r="J86" s="678"/>
      <c r="K86" s="678"/>
      <c r="L86" s="678"/>
      <c r="M86" s="678"/>
      <c r="N86" s="678"/>
      <c r="O86" s="678"/>
      <c r="P86" s="678"/>
      <c r="Q86" s="678"/>
      <c r="R86" s="678"/>
      <c r="S86" s="678"/>
      <c r="T86" s="678"/>
      <c r="U86" s="678"/>
      <c r="V86" s="678"/>
      <c r="W86" s="678"/>
      <c r="X86" s="678"/>
      <c r="Y86" s="678"/>
      <c r="Z86" s="678"/>
    </row>
    <row r="87" spans="1:26" ht="14.25" customHeight="1" x14ac:dyDescent="0.3">
      <c r="A87" s="678"/>
      <c r="B87" s="678"/>
      <c r="C87" s="678"/>
      <c r="D87" s="678"/>
      <c r="E87" s="678"/>
      <c r="F87" s="678"/>
      <c r="G87" s="678"/>
      <c r="H87" s="678"/>
      <c r="I87" s="678"/>
      <c r="J87" s="678"/>
      <c r="K87" s="678"/>
      <c r="L87" s="678"/>
      <c r="M87" s="678"/>
      <c r="N87" s="678"/>
      <c r="O87" s="678"/>
      <c r="P87" s="678"/>
      <c r="Q87" s="678"/>
      <c r="R87" s="678"/>
      <c r="S87" s="678"/>
      <c r="T87" s="678"/>
      <c r="U87" s="678"/>
      <c r="V87" s="678"/>
      <c r="W87" s="678"/>
      <c r="X87" s="678"/>
      <c r="Y87" s="678"/>
      <c r="Z87" s="678"/>
    </row>
    <row r="88" spans="1:26" ht="14.25" customHeight="1" x14ac:dyDescent="0.3">
      <c r="A88" s="678"/>
      <c r="B88" s="678"/>
      <c r="C88" s="678"/>
      <c r="D88" s="678"/>
      <c r="E88" s="678"/>
      <c r="F88" s="678"/>
      <c r="G88" s="678"/>
      <c r="H88" s="678"/>
      <c r="I88" s="678"/>
      <c r="J88" s="678"/>
      <c r="K88" s="678"/>
      <c r="L88" s="678"/>
      <c r="M88" s="678"/>
      <c r="N88" s="678"/>
      <c r="O88" s="678"/>
      <c r="P88" s="678"/>
      <c r="Q88" s="678"/>
      <c r="R88" s="678"/>
      <c r="S88" s="678"/>
      <c r="T88" s="678"/>
      <c r="U88" s="678"/>
      <c r="V88" s="678"/>
      <c r="W88" s="678"/>
      <c r="X88" s="678"/>
      <c r="Y88" s="678"/>
      <c r="Z88" s="678"/>
    </row>
    <row r="89" spans="1:26" ht="14.25" customHeight="1" x14ac:dyDescent="0.3">
      <c r="A89" s="678"/>
      <c r="B89" s="678"/>
      <c r="C89" s="678"/>
      <c r="D89" s="678"/>
      <c r="E89" s="678"/>
      <c r="F89" s="678"/>
      <c r="G89" s="678"/>
      <c r="H89" s="678"/>
      <c r="I89" s="678"/>
      <c r="J89" s="678"/>
      <c r="K89" s="678"/>
      <c r="L89" s="678"/>
      <c r="M89" s="678"/>
      <c r="N89" s="678"/>
      <c r="O89" s="678"/>
      <c r="P89" s="678"/>
      <c r="Q89" s="678"/>
      <c r="R89" s="678"/>
      <c r="S89" s="678"/>
      <c r="T89" s="678"/>
      <c r="U89" s="678"/>
      <c r="V89" s="678"/>
      <c r="W89" s="678"/>
      <c r="X89" s="678"/>
      <c r="Y89" s="678"/>
      <c r="Z89" s="678"/>
    </row>
    <row r="90" spans="1:26" ht="14.25" customHeight="1" x14ac:dyDescent="0.3">
      <c r="A90" s="678"/>
      <c r="B90" s="678"/>
      <c r="C90" s="678"/>
      <c r="D90" s="678"/>
      <c r="E90" s="678"/>
      <c r="F90" s="678"/>
      <c r="G90" s="678"/>
      <c r="H90" s="678"/>
      <c r="I90" s="678"/>
      <c r="J90" s="678"/>
      <c r="K90" s="678"/>
      <c r="L90" s="678"/>
      <c r="M90" s="678"/>
      <c r="N90" s="678"/>
      <c r="O90" s="678"/>
      <c r="P90" s="678"/>
      <c r="Q90" s="678"/>
      <c r="R90" s="678"/>
      <c r="S90" s="678"/>
      <c r="T90" s="678"/>
      <c r="U90" s="678"/>
      <c r="V90" s="678"/>
      <c r="W90" s="678"/>
      <c r="X90" s="678"/>
      <c r="Y90" s="678"/>
      <c r="Z90" s="678"/>
    </row>
    <row r="91" spans="1:26" ht="14.25" customHeight="1" x14ac:dyDescent="0.3">
      <c r="A91" s="678"/>
      <c r="B91" s="678"/>
      <c r="C91" s="678"/>
      <c r="D91" s="678"/>
      <c r="E91" s="678"/>
      <c r="F91" s="678"/>
      <c r="G91" s="678"/>
      <c r="H91" s="678"/>
      <c r="I91" s="678"/>
      <c r="J91" s="678"/>
      <c r="K91" s="678"/>
      <c r="L91" s="678"/>
      <c r="M91" s="678"/>
      <c r="N91" s="678"/>
      <c r="O91" s="678"/>
      <c r="P91" s="678"/>
      <c r="Q91" s="678"/>
      <c r="R91" s="678"/>
      <c r="S91" s="678"/>
      <c r="T91" s="678"/>
      <c r="U91" s="678"/>
      <c r="V91" s="678"/>
      <c r="W91" s="678"/>
      <c r="X91" s="678"/>
      <c r="Y91" s="678"/>
      <c r="Z91" s="678"/>
    </row>
    <row r="92" spans="1:26" ht="14.25" customHeight="1" x14ac:dyDescent="0.3">
      <c r="A92" s="678"/>
      <c r="B92" s="678"/>
      <c r="C92" s="678"/>
      <c r="D92" s="678"/>
      <c r="E92" s="678"/>
      <c r="F92" s="678"/>
      <c r="G92" s="678"/>
      <c r="H92" s="678"/>
      <c r="I92" s="678"/>
      <c r="J92" s="678"/>
      <c r="K92" s="678"/>
      <c r="L92" s="678"/>
      <c r="M92" s="678"/>
      <c r="N92" s="678"/>
      <c r="O92" s="678"/>
      <c r="P92" s="678"/>
      <c r="Q92" s="678"/>
      <c r="R92" s="678"/>
      <c r="S92" s="678"/>
      <c r="T92" s="678"/>
      <c r="U92" s="678"/>
      <c r="V92" s="678"/>
      <c r="W92" s="678"/>
      <c r="X92" s="678"/>
      <c r="Y92" s="678"/>
      <c r="Z92" s="678"/>
    </row>
    <row r="93" spans="1:26" ht="14.25" customHeight="1" x14ac:dyDescent="0.3">
      <c r="A93" s="678"/>
      <c r="B93" s="678"/>
      <c r="C93" s="678"/>
      <c r="D93" s="678"/>
      <c r="E93" s="678"/>
      <c r="F93" s="678"/>
      <c r="G93" s="678"/>
      <c r="H93" s="678"/>
      <c r="I93" s="678"/>
      <c r="J93" s="678"/>
      <c r="K93" s="678"/>
      <c r="L93" s="678"/>
      <c r="M93" s="678"/>
      <c r="N93" s="678"/>
      <c r="O93" s="678"/>
      <c r="P93" s="678"/>
      <c r="Q93" s="678"/>
      <c r="R93" s="678"/>
      <c r="S93" s="678"/>
      <c r="T93" s="678"/>
      <c r="U93" s="678"/>
      <c r="V93" s="678"/>
      <c r="W93" s="678"/>
      <c r="X93" s="678"/>
      <c r="Y93" s="678"/>
      <c r="Z93" s="678"/>
    </row>
    <row r="94" spans="1:26" ht="14.25" customHeight="1" x14ac:dyDescent="0.3">
      <c r="A94" s="678"/>
      <c r="B94" s="678"/>
      <c r="C94" s="678"/>
      <c r="D94" s="678"/>
      <c r="E94" s="678"/>
      <c r="F94" s="678"/>
      <c r="G94" s="678"/>
      <c r="H94" s="678"/>
      <c r="I94" s="678"/>
      <c r="J94" s="678"/>
      <c r="K94" s="678"/>
      <c r="L94" s="678"/>
      <c r="M94" s="678"/>
      <c r="N94" s="678"/>
      <c r="O94" s="678"/>
      <c r="P94" s="678"/>
      <c r="Q94" s="678"/>
      <c r="R94" s="678"/>
      <c r="S94" s="678"/>
      <c r="T94" s="678"/>
      <c r="U94" s="678"/>
      <c r="V94" s="678"/>
      <c r="W94" s="678"/>
      <c r="X94" s="678"/>
      <c r="Y94" s="678"/>
      <c r="Z94" s="678"/>
    </row>
    <row r="95" spans="1:26" ht="14.25" customHeight="1" x14ac:dyDescent="0.3">
      <c r="A95" s="678"/>
      <c r="B95" s="678"/>
      <c r="C95" s="678"/>
      <c r="D95" s="678"/>
      <c r="E95" s="678"/>
      <c r="F95" s="678"/>
      <c r="G95" s="678"/>
      <c r="H95" s="678"/>
      <c r="I95" s="678"/>
      <c r="J95" s="678"/>
      <c r="K95" s="678"/>
      <c r="L95" s="678"/>
      <c r="M95" s="678"/>
      <c r="N95" s="678"/>
      <c r="O95" s="678"/>
      <c r="P95" s="678"/>
      <c r="Q95" s="678"/>
      <c r="R95" s="678"/>
      <c r="S95" s="678"/>
      <c r="T95" s="678"/>
      <c r="U95" s="678"/>
      <c r="V95" s="678"/>
      <c r="W95" s="678"/>
      <c r="X95" s="678"/>
      <c r="Y95" s="678"/>
      <c r="Z95" s="678"/>
    </row>
    <row r="96" spans="1:26" ht="14.25" customHeight="1" x14ac:dyDescent="0.3">
      <c r="A96" s="678"/>
      <c r="B96" s="678"/>
      <c r="C96" s="678"/>
      <c r="D96" s="678"/>
      <c r="E96" s="678"/>
      <c r="F96" s="678"/>
      <c r="G96" s="678"/>
      <c r="H96" s="678"/>
      <c r="I96" s="678"/>
      <c r="J96" s="678"/>
      <c r="K96" s="678"/>
      <c r="L96" s="678"/>
      <c r="M96" s="678"/>
      <c r="N96" s="678"/>
      <c r="O96" s="678"/>
      <c r="P96" s="678"/>
      <c r="Q96" s="678"/>
      <c r="R96" s="678"/>
      <c r="S96" s="678"/>
      <c r="T96" s="678"/>
      <c r="U96" s="678"/>
      <c r="V96" s="678"/>
      <c r="W96" s="678"/>
      <c r="X96" s="678"/>
      <c r="Y96" s="678"/>
      <c r="Z96" s="678"/>
    </row>
    <row r="97" spans="1:26" ht="14.25" customHeight="1" x14ac:dyDescent="0.3">
      <c r="A97" s="678"/>
      <c r="B97" s="678"/>
      <c r="C97" s="678"/>
      <c r="D97" s="678"/>
      <c r="E97" s="678"/>
      <c r="F97" s="678"/>
      <c r="G97" s="678"/>
      <c r="H97" s="678"/>
      <c r="I97" s="678"/>
      <c r="J97" s="678"/>
      <c r="K97" s="678"/>
      <c r="L97" s="678"/>
      <c r="M97" s="678"/>
      <c r="N97" s="678"/>
      <c r="O97" s="678"/>
      <c r="P97" s="678"/>
      <c r="Q97" s="678"/>
      <c r="R97" s="678"/>
      <c r="S97" s="678"/>
      <c r="T97" s="678"/>
      <c r="U97" s="678"/>
      <c r="V97" s="678"/>
      <c r="W97" s="678"/>
      <c r="X97" s="678"/>
      <c r="Y97" s="678"/>
      <c r="Z97" s="678"/>
    </row>
    <row r="98" spans="1:26" ht="14.25" customHeight="1" x14ac:dyDescent="0.3">
      <c r="A98" s="678"/>
      <c r="B98" s="678"/>
      <c r="C98" s="678"/>
      <c r="D98" s="678"/>
      <c r="E98" s="678"/>
      <c r="F98" s="678"/>
      <c r="G98" s="678"/>
      <c r="H98" s="678"/>
      <c r="I98" s="678"/>
      <c r="J98" s="678"/>
      <c r="K98" s="678"/>
      <c r="L98" s="678"/>
      <c r="M98" s="678"/>
      <c r="N98" s="678"/>
      <c r="O98" s="678"/>
      <c r="P98" s="678"/>
      <c r="Q98" s="678"/>
      <c r="R98" s="678"/>
      <c r="S98" s="678"/>
      <c r="T98" s="678"/>
      <c r="U98" s="678"/>
      <c r="V98" s="678"/>
      <c r="W98" s="678"/>
      <c r="X98" s="678"/>
      <c r="Y98" s="678"/>
      <c r="Z98" s="678"/>
    </row>
    <row r="99" spans="1:26" ht="14.25" customHeight="1" x14ac:dyDescent="0.3">
      <c r="A99" s="678"/>
      <c r="B99" s="678"/>
      <c r="C99" s="678"/>
      <c r="D99" s="678"/>
      <c r="E99" s="678"/>
      <c r="F99" s="678"/>
      <c r="G99" s="678"/>
      <c r="H99" s="678"/>
      <c r="I99" s="678"/>
      <c r="J99" s="678"/>
      <c r="K99" s="678"/>
      <c r="L99" s="678"/>
      <c r="M99" s="678"/>
      <c r="N99" s="678"/>
      <c r="O99" s="678"/>
      <c r="P99" s="678"/>
      <c r="Q99" s="678"/>
      <c r="R99" s="678"/>
      <c r="S99" s="678"/>
      <c r="T99" s="678"/>
      <c r="U99" s="678"/>
      <c r="V99" s="678"/>
      <c r="W99" s="678"/>
      <c r="X99" s="678"/>
      <c r="Y99" s="678"/>
      <c r="Z99" s="678"/>
    </row>
    <row r="100" spans="1:26" ht="14.25" customHeight="1" x14ac:dyDescent="0.3">
      <c r="A100" s="678"/>
      <c r="B100" s="678"/>
      <c r="C100" s="678"/>
      <c r="D100" s="678"/>
      <c r="E100" s="678"/>
      <c r="F100" s="678"/>
      <c r="G100" s="678"/>
      <c r="H100" s="678"/>
      <c r="I100" s="678"/>
      <c r="J100" s="678"/>
      <c r="K100" s="678"/>
      <c r="L100" s="678"/>
      <c r="M100" s="678"/>
      <c r="N100" s="678"/>
      <c r="O100" s="678"/>
      <c r="P100" s="678"/>
      <c r="Q100" s="678"/>
      <c r="R100" s="678"/>
      <c r="S100" s="678"/>
      <c r="T100" s="678"/>
      <c r="U100" s="678"/>
      <c r="V100" s="678"/>
      <c r="W100" s="678"/>
      <c r="X100" s="678"/>
      <c r="Y100" s="678"/>
      <c r="Z100" s="678"/>
    </row>
    <row r="101" spans="1:26" ht="14.25" customHeight="1" x14ac:dyDescent="0.3">
      <c r="A101" s="678"/>
      <c r="B101" s="678"/>
      <c r="C101" s="678"/>
      <c r="D101" s="678"/>
      <c r="E101" s="678"/>
      <c r="F101" s="678"/>
      <c r="G101" s="678"/>
      <c r="H101" s="678"/>
      <c r="I101" s="678"/>
      <c r="J101" s="678"/>
      <c r="K101" s="678"/>
      <c r="L101" s="678"/>
      <c r="M101" s="678"/>
      <c r="N101" s="678"/>
      <c r="O101" s="678"/>
      <c r="P101" s="678"/>
      <c r="Q101" s="678"/>
      <c r="R101" s="678"/>
      <c r="S101" s="678"/>
      <c r="T101" s="678"/>
      <c r="U101" s="678"/>
      <c r="V101" s="678"/>
      <c r="W101" s="678"/>
      <c r="X101" s="678"/>
      <c r="Y101" s="678"/>
      <c r="Z101" s="678"/>
    </row>
    <row r="102" spans="1:26" ht="14.25" customHeight="1" x14ac:dyDescent="0.3">
      <c r="A102" s="678"/>
      <c r="B102" s="678"/>
      <c r="C102" s="678"/>
      <c r="D102" s="678"/>
      <c r="E102" s="678"/>
      <c r="F102" s="678"/>
      <c r="G102" s="678"/>
      <c r="H102" s="678"/>
      <c r="I102" s="678"/>
      <c r="J102" s="678"/>
      <c r="K102" s="678"/>
      <c r="L102" s="678"/>
      <c r="M102" s="678"/>
      <c r="N102" s="678"/>
      <c r="O102" s="678"/>
      <c r="P102" s="678"/>
      <c r="Q102" s="678"/>
      <c r="R102" s="678"/>
      <c r="S102" s="678"/>
      <c r="T102" s="678"/>
      <c r="U102" s="678"/>
      <c r="V102" s="678"/>
      <c r="W102" s="678"/>
      <c r="X102" s="678"/>
      <c r="Y102" s="678"/>
      <c r="Z102" s="678"/>
    </row>
    <row r="103" spans="1:26" ht="14.25" customHeight="1" x14ac:dyDescent="0.3">
      <c r="A103" s="678"/>
      <c r="B103" s="678"/>
      <c r="C103" s="678"/>
      <c r="D103" s="678"/>
      <c r="E103" s="678"/>
      <c r="F103" s="678"/>
      <c r="G103" s="678"/>
      <c r="H103" s="678"/>
      <c r="I103" s="678"/>
      <c r="J103" s="678"/>
      <c r="K103" s="678"/>
      <c r="L103" s="678"/>
      <c r="M103" s="678"/>
      <c r="N103" s="678"/>
      <c r="O103" s="678"/>
      <c r="P103" s="678"/>
      <c r="Q103" s="678"/>
      <c r="R103" s="678"/>
      <c r="S103" s="678"/>
      <c r="T103" s="678"/>
      <c r="U103" s="678"/>
      <c r="V103" s="678"/>
      <c r="W103" s="678"/>
      <c r="X103" s="678"/>
      <c r="Y103" s="678"/>
      <c r="Z103" s="678"/>
    </row>
    <row r="104" spans="1:26" ht="14.25" customHeight="1" x14ac:dyDescent="0.3">
      <c r="A104" s="678"/>
      <c r="B104" s="678"/>
      <c r="C104" s="678"/>
      <c r="D104" s="678"/>
      <c r="E104" s="678"/>
      <c r="F104" s="678"/>
      <c r="G104" s="678"/>
      <c r="H104" s="678"/>
      <c r="I104" s="678"/>
      <c r="J104" s="678"/>
      <c r="K104" s="678"/>
      <c r="L104" s="678"/>
      <c r="M104" s="678"/>
      <c r="N104" s="678"/>
      <c r="O104" s="678"/>
      <c r="P104" s="678"/>
      <c r="Q104" s="678"/>
      <c r="R104" s="678"/>
      <c r="S104" s="678"/>
      <c r="T104" s="678"/>
      <c r="U104" s="678"/>
      <c r="V104" s="678"/>
      <c r="W104" s="678"/>
      <c r="X104" s="678"/>
      <c r="Y104" s="678"/>
      <c r="Z104" s="678"/>
    </row>
    <row r="105" spans="1:26" ht="14.25" customHeight="1" x14ac:dyDescent="0.3">
      <c r="A105" s="678"/>
      <c r="B105" s="678"/>
      <c r="C105" s="678"/>
      <c r="D105" s="678"/>
      <c r="E105" s="678"/>
      <c r="F105" s="678"/>
      <c r="G105" s="678"/>
      <c r="H105" s="678"/>
      <c r="I105" s="678"/>
      <c r="J105" s="678"/>
      <c r="K105" s="678"/>
      <c r="L105" s="678"/>
      <c r="M105" s="678"/>
      <c r="N105" s="678"/>
      <c r="O105" s="678"/>
      <c r="P105" s="678"/>
      <c r="Q105" s="678"/>
      <c r="R105" s="678"/>
      <c r="S105" s="678"/>
      <c r="T105" s="678"/>
      <c r="U105" s="678"/>
      <c r="V105" s="678"/>
      <c r="W105" s="678"/>
      <c r="X105" s="678"/>
      <c r="Y105" s="678"/>
      <c r="Z105" s="678"/>
    </row>
    <row r="106" spans="1:26" ht="14.25" customHeight="1" x14ac:dyDescent="0.3">
      <c r="A106" s="678"/>
      <c r="B106" s="678"/>
      <c r="C106" s="678"/>
      <c r="D106" s="678"/>
      <c r="E106" s="678"/>
      <c r="F106" s="678"/>
      <c r="G106" s="678"/>
      <c r="H106" s="678"/>
      <c r="I106" s="678"/>
      <c r="J106" s="678"/>
      <c r="K106" s="678"/>
      <c r="L106" s="678"/>
      <c r="M106" s="678"/>
      <c r="N106" s="678"/>
      <c r="O106" s="678"/>
      <c r="P106" s="678"/>
      <c r="Q106" s="678"/>
      <c r="R106" s="678"/>
      <c r="S106" s="678"/>
      <c r="T106" s="678"/>
      <c r="U106" s="678"/>
      <c r="V106" s="678"/>
      <c r="W106" s="678"/>
      <c r="X106" s="678"/>
      <c r="Y106" s="678"/>
      <c r="Z106" s="678"/>
    </row>
    <row r="107" spans="1:26" ht="14.25" customHeight="1" x14ac:dyDescent="0.3">
      <c r="A107" s="678"/>
      <c r="B107" s="678"/>
      <c r="C107" s="678"/>
      <c r="D107" s="678"/>
      <c r="E107" s="678"/>
      <c r="F107" s="678"/>
      <c r="G107" s="678"/>
      <c r="H107" s="678"/>
      <c r="I107" s="678"/>
      <c r="J107" s="678"/>
      <c r="K107" s="678"/>
      <c r="L107" s="678"/>
      <c r="M107" s="678"/>
      <c r="N107" s="678"/>
      <c r="O107" s="678"/>
      <c r="P107" s="678"/>
      <c r="Q107" s="678"/>
      <c r="R107" s="678"/>
      <c r="S107" s="678"/>
      <c r="T107" s="678"/>
      <c r="U107" s="678"/>
      <c r="V107" s="678"/>
      <c r="W107" s="678"/>
      <c r="X107" s="678"/>
      <c r="Y107" s="678"/>
      <c r="Z107" s="678"/>
    </row>
    <row r="108" spans="1:26" ht="14.25" customHeight="1" x14ac:dyDescent="0.3">
      <c r="A108" s="678"/>
      <c r="B108" s="678"/>
      <c r="C108" s="678"/>
      <c r="D108" s="678"/>
      <c r="E108" s="678"/>
      <c r="F108" s="678"/>
      <c r="G108" s="678"/>
      <c r="H108" s="678"/>
      <c r="I108" s="678"/>
      <c r="J108" s="678"/>
      <c r="K108" s="678"/>
      <c r="L108" s="678"/>
      <c r="M108" s="678"/>
      <c r="N108" s="678"/>
      <c r="O108" s="678"/>
      <c r="P108" s="678"/>
      <c r="Q108" s="678"/>
      <c r="R108" s="678"/>
      <c r="S108" s="678"/>
      <c r="T108" s="678"/>
      <c r="U108" s="678"/>
      <c r="V108" s="678"/>
      <c r="W108" s="678"/>
      <c r="X108" s="678"/>
      <c r="Y108" s="678"/>
      <c r="Z108" s="678"/>
    </row>
    <row r="109" spans="1:26" ht="14.25" customHeight="1" x14ac:dyDescent="0.3">
      <c r="A109" s="678"/>
      <c r="B109" s="678"/>
      <c r="C109" s="678"/>
      <c r="D109" s="678"/>
      <c r="E109" s="678"/>
      <c r="F109" s="678"/>
      <c r="G109" s="678"/>
      <c r="H109" s="678"/>
      <c r="I109" s="678"/>
      <c r="J109" s="678"/>
      <c r="K109" s="678"/>
      <c r="L109" s="678"/>
      <c r="M109" s="678"/>
      <c r="N109" s="678"/>
      <c r="O109" s="678"/>
      <c r="P109" s="678"/>
      <c r="Q109" s="678"/>
      <c r="R109" s="678"/>
      <c r="S109" s="678"/>
      <c r="T109" s="678"/>
      <c r="U109" s="678"/>
      <c r="V109" s="678"/>
      <c r="W109" s="678"/>
      <c r="X109" s="678"/>
      <c r="Y109" s="678"/>
      <c r="Z109" s="678"/>
    </row>
    <row r="110" spans="1:26" ht="14.25" customHeight="1" x14ac:dyDescent="0.3">
      <c r="A110" s="678"/>
      <c r="B110" s="678"/>
      <c r="C110" s="678"/>
      <c r="D110" s="678"/>
      <c r="E110" s="678"/>
      <c r="F110" s="678"/>
      <c r="G110" s="678"/>
      <c r="H110" s="678"/>
      <c r="I110" s="678"/>
      <c r="J110" s="678"/>
      <c r="K110" s="678"/>
      <c r="L110" s="678"/>
      <c r="M110" s="678"/>
      <c r="N110" s="678"/>
      <c r="O110" s="678"/>
      <c r="P110" s="678"/>
      <c r="Q110" s="678"/>
      <c r="R110" s="678"/>
      <c r="S110" s="678"/>
      <c r="T110" s="678"/>
      <c r="U110" s="678"/>
      <c r="V110" s="678"/>
      <c r="W110" s="678"/>
      <c r="X110" s="678"/>
      <c r="Y110" s="678"/>
      <c r="Z110" s="678"/>
    </row>
    <row r="111" spans="1:26" ht="14.25" customHeight="1" x14ac:dyDescent="0.3">
      <c r="A111" s="678"/>
      <c r="B111" s="678"/>
      <c r="C111" s="678"/>
      <c r="D111" s="678"/>
      <c r="E111" s="678"/>
      <c r="F111" s="678"/>
      <c r="G111" s="678"/>
      <c r="H111" s="678"/>
      <c r="I111" s="678"/>
      <c r="J111" s="678"/>
      <c r="K111" s="678"/>
      <c r="L111" s="678"/>
      <c r="M111" s="678"/>
      <c r="N111" s="678"/>
      <c r="O111" s="678"/>
      <c r="P111" s="678"/>
      <c r="Q111" s="678"/>
      <c r="R111" s="678"/>
      <c r="S111" s="678"/>
      <c r="T111" s="678"/>
      <c r="U111" s="678"/>
      <c r="V111" s="678"/>
      <c r="W111" s="678"/>
      <c r="X111" s="678"/>
      <c r="Y111" s="678"/>
      <c r="Z111" s="678"/>
    </row>
    <row r="112" spans="1:26" ht="14.25" customHeight="1" x14ac:dyDescent="0.3">
      <c r="A112" s="678"/>
      <c r="B112" s="678"/>
      <c r="C112" s="678"/>
      <c r="D112" s="678"/>
      <c r="E112" s="678"/>
      <c r="F112" s="678"/>
      <c r="G112" s="678"/>
      <c r="H112" s="678"/>
      <c r="I112" s="678"/>
      <c r="J112" s="678"/>
      <c r="K112" s="678"/>
      <c r="L112" s="678"/>
      <c r="M112" s="678"/>
      <c r="N112" s="678"/>
      <c r="O112" s="678"/>
      <c r="P112" s="678"/>
      <c r="Q112" s="678"/>
      <c r="R112" s="678"/>
      <c r="S112" s="678"/>
      <c r="T112" s="678"/>
      <c r="U112" s="678"/>
      <c r="V112" s="678"/>
      <c r="W112" s="678"/>
      <c r="X112" s="678"/>
      <c r="Y112" s="678"/>
      <c r="Z112" s="678"/>
    </row>
    <row r="113" spans="1:26" ht="14.25" customHeight="1" x14ac:dyDescent="0.3">
      <c r="A113" s="678"/>
      <c r="B113" s="678"/>
      <c r="C113" s="678"/>
      <c r="D113" s="678"/>
      <c r="E113" s="678"/>
      <c r="F113" s="678"/>
      <c r="G113" s="678"/>
      <c r="H113" s="678"/>
      <c r="I113" s="678"/>
      <c r="J113" s="678"/>
      <c r="K113" s="678"/>
      <c r="L113" s="678"/>
      <c r="M113" s="678"/>
      <c r="N113" s="678"/>
      <c r="O113" s="678"/>
      <c r="P113" s="678"/>
      <c r="Q113" s="678"/>
      <c r="R113" s="678"/>
      <c r="S113" s="678"/>
      <c r="T113" s="678"/>
      <c r="U113" s="678"/>
      <c r="V113" s="678"/>
      <c r="W113" s="678"/>
      <c r="X113" s="678"/>
      <c r="Y113" s="678"/>
      <c r="Z113" s="678"/>
    </row>
    <row r="114" spans="1:26" ht="14.25" customHeight="1" x14ac:dyDescent="0.3">
      <c r="A114" s="678"/>
      <c r="B114" s="678"/>
      <c r="C114" s="678"/>
      <c r="D114" s="678"/>
      <c r="E114" s="678"/>
      <c r="F114" s="678"/>
      <c r="G114" s="678"/>
      <c r="H114" s="678"/>
      <c r="I114" s="678"/>
      <c r="J114" s="678"/>
      <c r="K114" s="678"/>
      <c r="L114" s="678"/>
      <c r="M114" s="678"/>
      <c r="N114" s="678"/>
      <c r="O114" s="678"/>
      <c r="P114" s="678"/>
      <c r="Q114" s="678"/>
      <c r="R114" s="678"/>
      <c r="S114" s="678"/>
      <c r="T114" s="678"/>
      <c r="U114" s="678"/>
      <c r="V114" s="678"/>
      <c r="W114" s="678"/>
      <c r="X114" s="678"/>
      <c r="Y114" s="678"/>
      <c r="Z114" s="678"/>
    </row>
    <row r="115" spans="1:26" ht="14.25" customHeight="1" x14ac:dyDescent="0.3">
      <c r="A115" s="678"/>
      <c r="B115" s="678"/>
      <c r="C115" s="678"/>
      <c r="D115" s="678"/>
      <c r="E115" s="678"/>
      <c r="F115" s="678"/>
      <c r="G115" s="678"/>
      <c r="H115" s="678"/>
      <c r="I115" s="678"/>
      <c r="J115" s="678"/>
      <c r="K115" s="678"/>
      <c r="L115" s="678"/>
      <c r="M115" s="678"/>
      <c r="N115" s="678"/>
      <c r="O115" s="678"/>
      <c r="P115" s="678"/>
      <c r="Q115" s="678"/>
      <c r="R115" s="678"/>
      <c r="S115" s="678"/>
      <c r="T115" s="678"/>
      <c r="U115" s="678"/>
      <c r="V115" s="678"/>
      <c r="W115" s="678"/>
      <c r="X115" s="678"/>
      <c r="Y115" s="678"/>
      <c r="Z115" s="678"/>
    </row>
    <row r="116" spans="1:26" ht="14.25" customHeight="1" x14ac:dyDescent="0.3">
      <c r="A116" s="678"/>
      <c r="B116" s="678"/>
      <c r="C116" s="678"/>
      <c r="D116" s="678"/>
      <c r="E116" s="678"/>
      <c r="F116" s="678"/>
      <c r="G116" s="678"/>
      <c r="H116" s="678"/>
      <c r="I116" s="678"/>
      <c r="J116" s="678"/>
      <c r="K116" s="678"/>
      <c r="L116" s="678"/>
      <c r="M116" s="678"/>
      <c r="N116" s="678"/>
      <c r="O116" s="678"/>
      <c r="P116" s="678"/>
      <c r="Q116" s="678"/>
      <c r="R116" s="678"/>
      <c r="S116" s="678"/>
      <c r="T116" s="678"/>
      <c r="U116" s="678"/>
      <c r="V116" s="678"/>
      <c r="W116" s="678"/>
      <c r="X116" s="678"/>
      <c r="Y116" s="678"/>
      <c r="Z116" s="678"/>
    </row>
    <row r="117" spans="1:26" ht="14.25" customHeight="1" x14ac:dyDescent="0.3">
      <c r="A117" s="678"/>
      <c r="B117" s="678"/>
      <c r="C117" s="678"/>
      <c r="D117" s="678"/>
      <c r="E117" s="678"/>
      <c r="F117" s="678"/>
      <c r="G117" s="678"/>
      <c r="H117" s="678"/>
      <c r="I117" s="678"/>
      <c r="J117" s="678"/>
      <c r="K117" s="678"/>
      <c r="L117" s="678"/>
      <c r="M117" s="678"/>
      <c r="N117" s="678"/>
      <c r="O117" s="678"/>
      <c r="P117" s="678"/>
      <c r="Q117" s="678"/>
      <c r="R117" s="678"/>
      <c r="S117" s="678"/>
      <c r="T117" s="678"/>
      <c r="U117" s="678"/>
      <c r="V117" s="678"/>
      <c r="W117" s="678"/>
      <c r="X117" s="678"/>
      <c r="Y117" s="678"/>
      <c r="Z117" s="678"/>
    </row>
    <row r="118" spans="1:26" ht="14.25" customHeight="1" x14ac:dyDescent="0.3">
      <c r="A118" s="678"/>
      <c r="B118" s="678"/>
      <c r="C118" s="678"/>
      <c r="D118" s="678"/>
      <c r="E118" s="678"/>
      <c r="F118" s="678"/>
      <c r="G118" s="678"/>
      <c r="H118" s="678"/>
      <c r="I118" s="678"/>
      <c r="J118" s="678"/>
      <c r="K118" s="678"/>
      <c r="L118" s="678"/>
      <c r="M118" s="678"/>
      <c r="N118" s="678"/>
      <c r="O118" s="678"/>
      <c r="P118" s="678"/>
      <c r="Q118" s="678"/>
      <c r="R118" s="678"/>
      <c r="S118" s="678"/>
      <c r="T118" s="678"/>
      <c r="U118" s="678"/>
      <c r="V118" s="678"/>
      <c r="W118" s="678"/>
      <c r="X118" s="678"/>
      <c r="Y118" s="678"/>
      <c r="Z118" s="678"/>
    </row>
    <row r="119" spans="1:26" ht="14.25" customHeight="1" x14ac:dyDescent="0.3">
      <c r="A119" s="678"/>
      <c r="B119" s="678"/>
      <c r="C119" s="678"/>
      <c r="D119" s="678"/>
      <c r="E119" s="678"/>
      <c r="F119" s="678"/>
      <c r="G119" s="678"/>
      <c r="H119" s="678"/>
      <c r="I119" s="678"/>
      <c r="J119" s="678"/>
      <c r="K119" s="678"/>
      <c r="L119" s="678"/>
      <c r="M119" s="678"/>
      <c r="N119" s="678"/>
      <c r="O119" s="678"/>
      <c r="P119" s="678"/>
      <c r="Q119" s="678"/>
      <c r="R119" s="678"/>
      <c r="S119" s="678"/>
      <c r="T119" s="678"/>
      <c r="U119" s="678"/>
      <c r="V119" s="678"/>
      <c r="W119" s="678"/>
      <c r="X119" s="678"/>
      <c r="Y119" s="678"/>
      <c r="Z119" s="678"/>
    </row>
    <row r="120" spans="1:26" ht="14.25" customHeight="1" x14ac:dyDescent="0.3">
      <c r="A120" s="678"/>
      <c r="B120" s="678"/>
      <c r="C120" s="678"/>
      <c r="D120" s="678"/>
      <c r="E120" s="678"/>
      <c r="F120" s="678"/>
      <c r="G120" s="678"/>
      <c r="H120" s="678"/>
      <c r="I120" s="678"/>
      <c r="J120" s="678"/>
      <c r="K120" s="678"/>
      <c r="L120" s="678"/>
      <c r="M120" s="678"/>
      <c r="N120" s="678"/>
      <c r="O120" s="678"/>
      <c r="P120" s="678"/>
      <c r="Q120" s="678"/>
      <c r="R120" s="678"/>
      <c r="S120" s="678"/>
      <c r="T120" s="678"/>
      <c r="U120" s="678"/>
      <c r="V120" s="678"/>
      <c r="W120" s="678"/>
      <c r="X120" s="678"/>
      <c r="Y120" s="678"/>
      <c r="Z120" s="678"/>
    </row>
    <row r="121" spans="1:26" ht="14.25" customHeight="1" x14ac:dyDescent="0.3">
      <c r="A121" s="678"/>
      <c r="B121" s="678"/>
      <c r="C121" s="678"/>
      <c r="D121" s="678"/>
      <c r="E121" s="678"/>
      <c r="F121" s="678"/>
      <c r="G121" s="678"/>
      <c r="H121" s="678"/>
      <c r="I121" s="678"/>
      <c r="J121" s="678"/>
      <c r="K121" s="678"/>
      <c r="L121" s="678"/>
      <c r="M121" s="678"/>
      <c r="N121" s="678"/>
      <c r="O121" s="678"/>
      <c r="P121" s="678"/>
      <c r="Q121" s="678"/>
      <c r="R121" s="678"/>
      <c r="S121" s="678"/>
      <c r="T121" s="678"/>
      <c r="U121" s="678"/>
      <c r="V121" s="678"/>
      <c r="W121" s="678"/>
      <c r="X121" s="678"/>
      <c r="Y121" s="678"/>
      <c r="Z121" s="678"/>
    </row>
    <row r="122" spans="1:26" ht="14.25" customHeight="1" x14ac:dyDescent="0.3">
      <c r="A122" s="678"/>
      <c r="B122" s="678"/>
      <c r="C122" s="678"/>
      <c r="D122" s="678"/>
      <c r="E122" s="678"/>
      <c r="F122" s="678"/>
      <c r="G122" s="678"/>
      <c r="H122" s="678"/>
      <c r="I122" s="678"/>
      <c r="J122" s="678"/>
      <c r="K122" s="678"/>
      <c r="L122" s="678"/>
      <c r="M122" s="678"/>
      <c r="N122" s="678"/>
      <c r="O122" s="678"/>
      <c r="P122" s="678"/>
      <c r="Q122" s="678"/>
      <c r="R122" s="678"/>
      <c r="S122" s="678"/>
      <c r="T122" s="678"/>
      <c r="U122" s="678"/>
      <c r="V122" s="678"/>
      <c r="W122" s="678"/>
      <c r="X122" s="678"/>
      <c r="Y122" s="678"/>
      <c r="Z122" s="678"/>
    </row>
    <row r="123" spans="1:26" ht="14.25" customHeight="1" x14ac:dyDescent="0.3">
      <c r="A123" s="678"/>
      <c r="B123" s="678"/>
      <c r="C123" s="678"/>
      <c r="D123" s="678"/>
      <c r="E123" s="678"/>
      <c r="F123" s="678"/>
      <c r="G123" s="678"/>
      <c r="H123" s="678"/>
      <c r="I123" s="678"/>
      <c r="J123" s="678"/>
      <c r="K123" s="678"/>
      <c r="L123" s="678"/>
      <c r="M123" s="678"/>
      <c r="N123" s="678"/>
      <c r="O123" s="678"/>
      <c r="P123" s="678"/>
      <c r="Q123" s="678"/>
      <c r="R123" s="678"/>
      <c r="S123" s="678"/>
      <c r="T123" s="678"/>
      <c r="U123" s="678"/>
      <c r="V123" s="678"/>
      <c r="W123" s="678"/>
      <c r="X123" s="678"/>
      <c r="Y123" s="678"/>
      <c r="Z123" s="678"/>
    </row>
    <row r="124" spans="1:26" ht="14.25" customHeight="1" x14ac:dyDescent="0.3">
      <c r="A124" s="678"/>
      <c r="B124" s="678"/>
      <c r="C124" s="678"/>
      <c r="D124" s="678"/>
      <c r="E124" s="678"/>
      <c r="F124" s="678"/>
      <c r="G124" s="678"/>
      <c r="H124" s="678"/>
      <c r="I124" s="678"/>
      <c r="J124" s="678"/>
      <c r="K124" s="678"/>
      <c r="L124" s="678"/>
      <c r="M124" s="678"/>
      <c r="N124" s="678"/>
      <c r="O124" s="678"/>
      <c r="P124" s="678"/>
      <c r="Q124" s="678"/>
      <c r="R124" s="678"/>
      <c r="S124" s="678"/>
      <c r="T124" s="678"/>
      <c r="U124" s="678"/>
      <c r="V124" s="678"/>
      <c r="W124" s="678"/>
      <c r="X124" s="678"/>
      <c r="Y124" s="678"/>
      <c r="Z124" s="678"/>
    </row>
    <row r="125" spans="1:26" ht="14.25" customHeight="1" x14ac:dyDescent="0.3">
      <c r="A125" s="678"/>
      <c r="B125" s="678"/>
      <c r="C125" s="678"/>
      <c r="D125" s="678"/>
      <c r="E125" s="678"/>
      <c r="F125" s="678"/>
      <c r="G125" s="678"/>
      <c r="H125" s="678"/>
      <c r="I125" s="678"/>
      <c r="J125" s="678"/>
      <c r="K125" s="678"/>
      <c r="L125" s="678"/>
      <c r="M125" s="678"/>
      <c r="N125" s="678"/>
      <c r="O125" s="678"/>
      <c r="P125" s="678"/>
      <c r="Q125" s="678"/>
      <c r="R125" s="678"/>
      <c r="S125" s="678"/>
      <c r="T125" s="678"/>
      <c r="U125" s="678"/>
      <c r="V125" s="678"/>
      <c r="W125" s="678"/>
      <c r="X125" s="678"/>
      <c r="Y125" s="678"/>
      <c r="Z125" s="678"/>
    </row>
    <row r="126" spans="1:26" ht="14.25" customHeight="1" x14ac:dyDescent="0.3">
      <c r="A126" s="678"/>
      <c r="B126" s="678"/>
      <c r="C126" s="678"/>
      <c r="D126" s="678"/>
      <c r="E126" s="678"/>
      <c r="F126" s="678"/>
      <c r="G126" s="678"/>
      <c r="H126" s="678"/>
      <c r="I126" s="678"/>
      <c r="J126" s="678"/>
      <c r="K126" s="678"/>
      <c r="L126" s="678"/>
      <c r="M126" s="678"/>
      <c r="N126" s="678"/>
      <c r="O126" s="678"/>
      <c r="P126" s="678"/>
      <c r="Q126" s="678"/>
      <c r="R126" s="678"/>
      <c r="S126" s="678"/>
      <c r="T126" s="678"/>
      <c r="U126" s="678"/>
      <c r="V126" s="678"/>
      <c r="W126" s="678"/>
      <c r="X126" s="678"/>
      <c r="Y126" s="678"/>
      <c r="Z126" s="678"/>
    </row>
    <row r="127" spans="1:26" ht="14.25" customHeight="1" x14ac:dyDescent="0.3">
      <c r="A127" s="678"/>
      <c r="B127" s="678"/>
      <c r="C127" s="678"/>
      <c r="D127" s="678"/>
      <c r="E127" s="678"/>
      <c r="F127" s="678"/>
      <c r="G127" s="678"/>
      <c r="H127" s="678"/>
      <c r="I127" s="678"/>
      <c r="J127" s="678"/>
      <c r="K127" s="678"/>
      <c r="L127" s="678"/>
      <c r="M127" s="678"/>
      <c r="N127" s="678"/>
      <c r="O127" s="678"/>
      <c r="P127" s="678"/>
      <c r="Q127" s="678"/>
      <c r="R127" s="678"/>
      <c r="S127" s="678"/>
      <c r="T127" s="678"/>
      <c r="U127" s="678"/>
      <c r="V127" s="678"/>
      <c r="W127" s="678"/>
      <c r="X127" s="678"/>
      <c r="Y127" s="678"/>
      <c r="Z127" s="678"/>
    </row>
    <row r="128" spans="1:26" ht="14.25" customHeight="1" x14ac:dyDescent="0.3">
      <c r="A128" s="678"/>
      <c r="B128" s="678"/>
      <c r="C128" s="678"/>
      <c r="D128" s="678"/>
      <c r="E128" s="678"/>
      <c r="F128" s="678"/>
      <c r="G128" s="678"/>
      <c r="H128" s="678"/>
      <c r="I128" s="678"/>
      <c r="J128" s="678"/>
      <c r="K128" s="678"/>
      <c r="L128" s="678"/>
      <c r="M128" s="678"/>
      <c r="N128" s="678"/>
      <c r="O128" s="678"/>
      <c r="P128" s="678"/>
      <c r="Q128" s="678"/>
      <c r="R128" s="678"/>
      <c r="S128" s="678"/>
      <c r="T128" s="678"/>
      <c r="U128" s="678"/>
      <c r="V128" s="678"/>
      <c r="W128" s="678"/>
      <c r="X128" s="678"/>
      <c r="Y128" s="678"/>
      <c r="Z128" s="678"/>
    </row>
    <row r="129" spans="1:26" ht="14.25" customHeight="1" x14ac:dyDescent="0.3">
      <c r="A129" s="678"/>
      <c r="B129" s="678"/>
      <c r="C129" s="678"/>
      <c r="D129" s="678"/>
      <c r="E129" s="678"/>
      <c r="F129" s="678"/>
      <c r="G129" s="678"/>
      <c r="H129" s="678"/>
      <c r="I129" s="678"/>
      <c r="J129" s="678"/>
      <c r="K129" s="678"/>
      <c r="L129" s="678"/>
      <c r="M129" s="678"/>
      <c r="N129" s="678"/>
      <c r="O129" s="678"/>
      <c r="P129" s="678"/>
      <c r="Q129" s="678"/>
      <c r="R129" s="678"/>
      <c r="S129" s="678"/>
      <c r="T129" s="678"/>
      <c r="U129" s="678"/>
      <c r="V129" s="678"/>
      <c r="W129" s="678"/>
      <c r="X129" s="678"/>
      <c r="Y129" s="678"/>
      <c r="Z129" s="678"/>
    </row>
    <row r="130" spans="1:26" ht="14.25" customHeight="1" x14ac:dyDescent="0.3">
      <c r="A130" s="678"/>
      <c r="B130" s="678"/>
      <c r="C130" s="678"/>
      <c r="D130" s="678"/>
      <c r="E130" s="678"/>
      <c r="F130" s="678"/>
      <c r="G130" s="678"/>
      <c r="H130" s="678"/>
      <c r="I130" s="678"/>
      <c r="J130" s="678"/>
      <c r="K130" s="678"/>
      <c r="L130" s="678"/>
      <c r="M130" s="678"/>
      <c r="N130" s="678"/>
      <c r="O130" s="678"/>
      <c r="P130" s="678"/>
      <c r="Q130" s="678"/>
      <c r="R130" s="678"/>
      <c r="S130" s="678"/>
      <c r="T130" s="678"/>
      <c r="U130" s="678"/>
      <c r="V130" s="678"/>
      <c r="W130" s="678"/>
      <c r="X130" s="678"/>
      <c r="Y130" s="678"/>
      <c r="Z130" s="678"/>
    </row>
    <row r="131" spans="1:26" ht="14.25" customHeight="1" x14ac:dyDescent="0.3">
      <c r="A131" s="678"/>
      <c r="B131" s="678"/>
      <c r="C131" s="678"/>
      <c r="D131" s="678"/>
      <c r="E131" s="678"/>
      <c r="F131" s="678"/>
      <c r="G131" s="678"/>
      <c r="H131" s="678"/>
      <c r="I131" s="678"/>
      <c r="J131" s="678"/>
      <c r="K131" s="678"/>
      <c r="L131" s="678"/>
      <c r="M131" s="678"/>
      <c r="N131" s="678"/>
      <c r="O131" s="678"/>
      <c r="P131" s="678"/>
      <c r="Q131" s="678"/>
      <c r="R131" s="678"/>
      <c r="S131" s="678"/>
      <c r="T131" s="678"/>
      <c r="U131" s="678"/>
      <c r="V131" s="678"/>
      <c r="W131" s="678"/>
      <c r="X131" s="678"/>
      <c r="Y131" s="678"/>
      <c r="Z131" s="678"/>
    </row>
    <row r="132" spans="1:26" ht="14.25" customHeight="1" x14ac:dyDescent="0.3">
      <c r="A132" s="678"/>
      <c r="B132" s="678"/>
      <c r="C132" s="678"/>
      <c r="D132" s="678"/>
      <c r="E132" s="678"/>
      <c r="F132" s="678"/>
      <c r="G132" s="678"/>
      <c r="H132" s="678"/>
      <c r="I132" s="678"/>
      <c r="J132" s="678"/>
      <c r="K132" s="678"/>
      <c r="L132" s="678"/>
      <c r="M132" s="678"/>
      <c r="N132" s="678"/>
      <c r="O132" s="678"/>
      <c r="P132" s="678"/>
      <c r="Q132" s="678"/>
      <c r="R132" s="678"/>
      <c r="S132" s="678"/>
      <c r="T132" s="678"/>
      <c r="U132" s="678"/>
      <c r="V132" s="678"/>
      <c r="W132" s="678"/>
      <c r="X132" s="678"/>
      <c r="Y132" s="678"/>
      <c r="Z132" s="678"/>
    </row>
    <row r="133" spans="1:26" ht="14.25" customHeight="1" x14ac:dyDescent="0.3">
      <c r="A133" s="678"/>
      <c r="B133" s="678"/>
      <c r="C133" s="678"/>
      <c r="D133" s="678"/>
      <c r="E133" s="678"/>
      <c r="F133" s="678"/>
      <c r="G133" s="678"/>
      <c r="H133" s="678"/>
      <c r="I133" s="678"/>
      <c r="J133" s="678"/>
      <c r="K133" s="678"/>
      <c r="L133" s="678"/>
      <c r="M133" s="678"/>
      <c r="N133" s="678"/>
      <c r="O133" s="678"/>
      <c r="P133" s="678"/>
      <c r="Q133" s="678"/>
      <c r="R133" s="678"/>
      <c r="S133" s="678"/>
      <c r="T133" s="678"/>
      <c r="U133" s="678"/>
      <c r="V133" s="678"/>
      <c r="W133" s="678"/>
      <c r="X133" s="678"/>
      <c r="Y133" s="678"/>
      <c r="Z133" s="678"/>
    </row>
    <row r="134" spans="1:26" ht="14.25" customHeight="1" x14ac:dyDescent="0.3">
      <c r="A134" s="678"/>
      <c r="B134" s="678"/>
      <c r="C134" s="678"/>
      <c r="D134" s="678"/>
      <c r="E134" s="678"/>
      <c r="F134" s="678"/>
      <c r="G134" s="678"/>
      <c r="H134" s="678"/>
      <c r="I134" s="678"/>
      <c r="J134" s="678"/>
      <c r="K134" s="678"/>
      <c r="L134" s="678"/>
      <c r="M134" s="678"/>
      <c r="N134" s="678"/>
      <c r="O134" s="678"/>
      <c r="P134" s="678"/>
      <c r="Q134" s="678"/>
      <c r="R134" s="678"/>
      <c r="S134" s="678"/>
      <c r="T134" s="678"/>
      <c r="U134" s="678"/>
      <c r="V134" s="678"/>
      <c r="W134" s="678"/>
      <c r="X134" s="678"/>
      <c r="Y134" s="678"/>
      <c r="Z134" s="678"/>
    </row>
    <row r="135" spans="1:26" ht="14.25" customHeight="1" x14ac:dyDescent="0.3">
      <c r="A135" s="678"/>
      <c r="B135" s="678"/>
      <c r="C135" s="678"/>
      <c r="D135" s="678"/>
      <c r="E135" s="678"/>
      <c r="F135" s="678"/>
      <c r="G135" s="678"/>
      <c r="H135" s="678"/>
      <c r="I135" s="678"/>
      <c r="J135" s="678"/>
      <c r="K135" s="678"/>
      <c r="L135" s="678"/>
      <c r="M135" s="678"/>
      <c r="N135" s="678"/>
      <c r="O135" s="678"/>
      <c r="P135" s="678"/>
      <c r="Q135" s="678"/>
      <c r="R135" s="678"/>
      <c r="S135" s="678"/>
      <c r="T135" s="678"/>
      <c r="U135" s="678"/>
      <c r="V135" s="678"/>
      <c r="W135" s="678"/>
      <c r="X135" s="678"/>
      <c r="Y135" s="678"/>
      <c r="Z135" s="678"/>
    </row>
    <row r="136" spans="1:26" ht="14.25" customHeight="1" x14ac:dyDescent="0.3">
      <c r="A136" s="678"/>
      <c r="B136" s="678"/>
      <c r="C136" s="678"/>
      <c r="D136" s="678"/>
      <c r="E136" s="678"/>
      <c r="F136" s="678"/>
      <c r="G136" s="678"/>
      <c r="H136" s="678"/>
      <c r="I136" s="678"/>
      <c r="J136" s="678"/>
      <c r="K136" s="678"/>
      <c r="L136" s="678"/>
      <c r="M136" s="678"/>
      <c r="N136" s="678"/>
      <c r="O136" s="678"/>
      <c r="P136" s="678"/>
      <c r="Q136" s="678"/>
      <c r="R136" s="678"/>
      <c r="S136" s="678"/>
      <c r="T136" s="678"/>
      <c r="U136" s="678"/>
      <c r="V136" s="678"/>
      <c r="W136" s="678"/>
      <c r="X136" s="678"/>
      <c r="Y136" s="678"/>
      <c r="Z136" s="678"/>
    </row>
    <row r="137" spans="1:26" ht="14.25" customHeight="1" x14ac:dyDescent="0.3">
      <c r="A137" s="678"/>
      <c r="B137" s="678"/>
      <c r="C137" s="678"/>
      <c r="D137" s="678"/>
      <c r="E137" s="678"/>
      <c r="F137" s="678"/>
      <c r="G137" s="678"/>
      <c r="H137" s="678"/>
      <c r="I137" s="678"/>
      <c r="J137" s="678"/>
      <c r="K137" s="678"/>
      <c r="L137" s="678"/>
      <c r="M137" s="678"/>
      <c r="N137" s="678"/>
      <c r="O137" s="678"/>
      <c r="P137" s="678"/>
      <c r="Q137" s="678"/>
      <c r="R137" s="678"/>
      <c r="S137" s="678"/>
      <c r="T137" s="678"/>
      <c r="U137" s="678"/>
      <c r="V137" s="678"/>
      <c r="W137" s="678"/>
      <c r="X137" s="678"/>
      <c r="Y137" s="678"/>
      <c r="Z137" s="678"/>
    </row>
    <row r="138" spans="1:26" ht="14.25" customHeight="1" x14ac:dyDescent="0.3">
      <c r="A138" s="678"/>
      <c r="B138" s="678"/>
      <c r="C138" s="678"/>
      <c r="D138" s="678"/>
      <c r="E138" s="678"/>
      <c r="F138" s="678"/>
      <c r="G138" s="678"/>
      <c r="H138" s="678"/>
      <c r="I138" s="678"/>
      <c r="J138" s="678"/>
      <c r="K138" s="678"/>
      <c r="L138" s="678"/>
      <c r="M138" s="678"/>
      <c r="N138" s="678"/>
      <c r="O138" s="678"/>
      <c r="P138" s="678"/>
      <c r="Q138" s="678"/>
      <c r="R138" s="678"/>
      <c r="S138" s="678"/>
      <c r="T138" s="678"/>
      <c r="U138" s="678"/>
      <c r="V138" s="678"/>
      <c r="W138" s="678"/>
      <c r="X138" s="678"/>
      <c r="Y138" s="678"/>
      <c r="Z138" s="678"/>
    </row>
    <row r="139" spans="1:26" ht="14.25" customHeight="1" x14ac:dyDescent="0.3">
      <c r="A139" s="678"/>
      <c r="B139" s="678"/>
      <c r="C139" s="678"/>
      <c r="D139" s="678"/>
      <c r="E139" s="678"/>
      <c r="F139" s="678"/>
      <c r="G139" s="678"/>
      <c r="H139" s="678"/>
      <c r="I139" s="678"/>
      <c r="J139" s="678"/>
      <c r="K139" s="678"/>
      <c r="L139" s="678"/>
      <c r="M139" s="678"/>
      <c r="N139" s="678"/>
      <c r="O139" s="678"/>
      <c r="P139" s="678"/>
      <c r="Q139" s="678"/>
      <c r="R139" s="678"/>
      <c r="S139" s="678"/>
      <c r="T139" s="678"/>
      <c r="U139" s="678"/>
      <c r="V139" s="678"/>
      <c r="W139" s="678"/>
      <c r="X139" s="678"/>
      <c r="Y139" s="678"/>
      <c r="Z139" s="678"/>
    </row>
    <row r="140" spans="1:26" ht="14.25" customHeight="1" x14ac:dyDescent="0.3">
      <c r="A140" s="678"/>
      <c r="B140" s="678"/>
      <c r="C140" s="678"/>
      <c r="D140" s="678"/>
      <c r="E140" s="678"/>
      <c r="F140" s="678"/>
      <c r="G140" s="678"/>
      <c r="H140" s="678"/>
      <c r="I140" s="678"/>
      <c r="J140" s="678"/>
      <c r="K140" s="678"/>
      <c r="L140" s="678"/>
      <c r="M140" s="678"/>
      <c r="N140" s="678"/>
      <c r="O140" s="678"/>
      <c r="P140" s="678"/>
      <c r="Q140" s="678"/>
      <c r="R140" s="678"/>
      <c r="S140" s="678"/>
      <c r="T140" s="678"/>
      <c r="U140" s="678"/>
      <c r="V140" s="678"/>
      <c r="W140" s="678"/>
      <c r="X140" s="678"/>
      <c r="Y140" s="678"/>
      <c r="Z140" s="678"/>
    </row>
    <row r="141" spans="1:26" ht="14.25" customHeight="1" x14ac:dyDescent="0.3">
      <c r="A141" s="678"/>
      <c r="B141" s="678"/>
      <c r="C141" s="678"/>
      <c r="D141" s="678"/>
      <c r="E141" s="678"/>
      <c r="F141" s="678"/>
      <c r="G141" s="678"/>
      <c r="H141" s="678"/>
      <c r="I141" s="678"/>
      <c r="J141" s="678"/>
      <c r="K141" s="678"/>
      <c r="L141" s="678"/>
      <c r="M141" s="678"/>
      <c r="N141" s="678"/>
      <c r="O141" s="678"/>
      <c r="P141" s="678"/>
      <c r="Q141" s="678"/>
      <c r="R141" s="678"/>
      <c r="S141" s="678"/>
      <c r="T141" s="678"/>
      <c r="U141" s="678"/>
      <c r="V141" s="678"/>
      <c r="W141" s="678"/>
      <c r="X141" s="678"/>
      <c r="Y141" s="678"/>
      <c r="Z141" s="678"/>
    </row>
    <row r="142" spans="1:26" ht="14.25" customHeight="1" x14ac:dyDescent="0.3">
      <c r="A142" s="678"/>
      <c r="B142" s="678"/>
      <c r="C142" s="678"/>
      <c r="D142" s="678"/>
      <c r="E142" s="678"/>
      <c r="F142" s="678"/>
      <c r="G142" s="678"/>
      <c r="H142" s="678"/>
      <c r="I142" s="678"/>
      <c r="J142" s="678"/>
      <c r="K142" s="678"/>
      <c r="L142" s="678"/>
      <c r="M142" s="678"/>
      <c r="N142" s="678"/>
      <c r="O142" s="678"/>
      <c r="P142" s="678"/>
      <c r="Q142" s="678"/>
      <c r="R142" s="678"/>
      <c r="S142" s="678"/>
      <c r="T142" s="678"/>
      <c r="U142" s="678"/>
      <c r="V142" s="678"/>
      <c r="W142" s="678"/>
      <c r="X142" s="678"/>
      <c r="Y142" s="678"/>
      <c r="Z142" s="678"/>
    </row>
    <row r="143" spans="1:26" ht="14.25" customHeight="1" x14ac:dyDescent="0.3">
      <c r="A143" s="678"/>
      <c r="B143" s="678"/>
      <c r="C143" s="678"/>
      <c r="D143" s="678"/>
      <c r="E143" s="678"/>
      <c r="F143" s="678"/>
      <c r="G143" s="678"/>
      <c r="H143" s="678"/>
      <c r="I143" s="678"/>
      <c r="J143" s="678"/>
      <c r="K143" s="678"/>
      <c r="L143" s="678"/>
      <c r="M143" s="678"/>
      <c r="N143" s="678"/>
      <c r="O143" s="678"/>
      <c r="P143" s="678"/>
      <c r="Q143" s="678"/>
      <c r="R143" s="678"/>
      <c r="S143" s="678"/>
      <c r="T143" s="678"/>
      <c r="U143" s="678"/>
      <c r="V143" s="678"/>
      <c r="W143" s="678"/>
      <c r="X143" s="678"/>
      <c r="Y143" s="678"/>
      <c r="Z143" s="678"/>
    </row>
    <row r="144" spans="1:26" ht="14.25" customHeight="1" x14ac:dyDescent="0.3">
      <c r="A144" s="678"/>
      <c r="B144" s="678"/>
      <c r="C144" s="678"/>
      <c r="D144" s="678"/>
      <c r="E144" s="678"/>
      <c r="F144" s="678"/>
      <c r="G144" s="678"/>
      <c r="H144" s="678"/>
      <c r="I144" s="678"/>
      <c r="J144" s="678"/>
      <c r="K144" s="678"/>
      <c r="L144" s="678"/>
      <c r="M144" s="678"/>
      <c r="N144" s="678"/>
      <c r="O144" s="678"/>
      <c r="P144" s="678"/>
      <c r="Q144" s="678"/>
      <c r="R144" s="678"/>
      <c r="S144" s="678"/>
      <c r="T144" s="678"/>
      <c r="U144" s="678"/>
      <c r="V144" s="678"/>
      <c r="W144" s="678"/>
      <c r="X144" s="678"/>
      <c r="Y144" s="678"/>
      <c r="Z144" s="678"/>
    </row>
    <row r="145" spans="1:26" ht="14.25" customHeight="1" x14ac:dyDescent="0.3">
      <c r="A145" s="678"/>
      <c r="B145" s="678"/>
      <c r="C145" s="678"/>
      <c r="D145" s="678"/>
      <c r="E145" s="678"/>
      <c r="F145" s="678"/>
      <c r="G145" s="678"/>
      <c r="H145" s="678"/>
      <c r="I145" s="678"/>
      <c r="J145" s="678"/>
      <c r="K145" s="678"/>
      <c r="L145" s="678"/>
      <c r="M145" s="678"/>
      <c r="N145" s="678"/>
      <c r="O145" s="678"/>
      <c r="P145" s="678"/>
      <c r="Q145" s="678"/>
      <c r="R145" s="678"/>
      <c r="S145" s="678"/>
      <c r="T145" s="678"/>
      <c r="U145" s="678"/>
      <c r="V145" s="678"/>
      <c r="W145" s="678"/>
      <c r="X145" s="678"/>
      <c r="Y145" s="678"/>
      <c r="Z145" s="678"/>
    </row>
    <row r="146" spans="1:26" ht="14.25" customHeight="1" x14ac:dyDescent="0.3">
      <c r="A146" s="678"/>
      <c r="B146" s="678"/>
      <c r="C146" s="678"/>
      <c r="D146" s="678"/>
      <c r="E146" s="678"/>
      <c r="F146" s="678"/>
      <c r="G146" s="678"/>
      <c r="H146" s="678"/>
      <c r="I146" s="678"/>
      <c r="J146" s="678"/>
      <c r="K146" s="678"/>
      <c r="L146" s="678"/>
      <c r="M146" s="678"/>
      <c r="N146" s="678"/>
      <c r="O146" s="678"/>
      <c r="P146" s="678"/>
      <c r="Q146" s="678"/>
      <c r="R146" s="678"/>
      <c r="S146" s="678"/>
      <c r="T146" s="678"/>
      <c r="U146" s="678"/>
      <c r="V146" s="678"/>
      <c r="W146" s="678"/>
      <c r="X146" s="678"/>
      <c r="Y146" s="678"/>
      <c r="Z146" s="678"/>
    </row>
    <row r="147" spans="1:26" ht="14.25" customHeight="1" x14ac:dyDescent="0.3">
      <c r="A147" s="678"/>
      <c r="B147" s="678"/>
      <c r="C147" s="678"/>
      <c r="D147" s="678"/>
      <c r="E147" s="678"/>
      <c r="F147" s="678"/>
      <c r="G147" s="678"/>
      <c r="H147" s="678"/>
      <c r="I147" s="678"/>
      <c r="J147" s="678"/>
      <c r="K147" s="678"/>
      <c r="L147" s="678"/>
      <c r="M147" s="678"/>
      <c r="N147" s="678"/>
      <c r="O147" s="678"/>
      <c r="P147" s="678"/>
      <c r="Q147" s="678"/>
      <c r="R147" s="678"/>
      <c r="S147" s="678"/>
      <c r="T147" s="678"/>
      <c r="U147" s="678"/>
      <c r="V147" s="678"/>
      <c r="W147" s="678"/>
      <c r="X147" s="678"/>
      <c r="Y147" s="678"/>
      <c r="Z147" s="678"/>
    </row>
    <row r="148" spans="1:26" ht="14.25" customHeight="1" x14ac:dyDescent="0.3">
      <c r="A148" s="678"/>
      <c r="B148" s="678"/>
      <c r="C148" s="678"/>
      <c r="D148" s="678"/>
      <c r="E148" s="678"/>
      <c r="F148" s="678"/>
      <c r="G148" s="678"/>
      <c r="H148" s="678"/>
      <c r="I148" s="678"/>
      <c r="J148" s="678"/>
      <c r="K148" s="678"/>
      <c r="L148" s="678"/>
      <c r="M148" s="678"/>
      <c r="N148" s="678"/>
      <c r="O148" s="678"/>
      <c r="P148" s="678"/>
      <c r="Q148" s="678"/>
      <c r="R148" s="678"/>
      <c r="S148" s="678"/>
      <c r="T148" s="678"/>
      <c r="U148" s="678"/>
      <c r="V148" s="678"/>
      <c r="W148" s="678"/>
      <c r="X148" s="678"/>
      <c r="Y148" s="678"/>
      <c r="Z148" s="678"/>
    </row>
    <row r="149" spans="1:26" ht="14.25" customHeight="1" x14ac:dyDescent="0.3">
      <c r="A149" s="678"/>
      <c r="B149" s="678"/>
      <c r="C149" s="678"/>
      <c r="D149" s="678"/>
      <c r="E149" s="678"/>
      <c r="F149" s="678"/>
      <c r="G149" s="678"/>
      <c r="H149" s="678"/>
      <c r="I149" s="678"/>
      <c r="J149" s="678"/>
      <c r="K149" s="678"/>
      <c r="L149" s="678"/>
      <c r="M149" s="678"/>
      <c r="N149" s="678"/>
      <c r="O149" s="678"/>
      <c r="P149" s="678"/>
      <c r="Q149" s="678"/>
      <c r="R149" s="678"/>
      <c r="S149" s="678"/>
      <c r="T149" s="678"/>
      <c r="U149" s="678"/>
      <c r="V149" s="678"/>
      <c r="W149" s="678"/>
      <c r="X149" s="678"/>
      <c r="Y149" s="678"/>
      <c r="Z149" s="678"/>
    </row>
    <row r="150" spans="1:26" ht="14.25" customHeight="1" x14ac:dyDescent="0.3">
      <c r="A150" s="678"/>
      <c r="B150" s="678"/>
      <c r="C150" s="678"/>
      <c r="D150" s="678"/>
      <c r="E150" s="678"/>
      <c r="F150" s="678"/>
      <c r="G150" s="678"/>
      <c r="H150" s="678"/>
      <c r="I150" s="678"/>
      <c r="J150" s="678"/>
      <c r="K150" s="678"/>
      <c r="L150" s="678"/>
      <c r="M150" s="678"/>
      <c r="N150" s="678"/>
      <c r="O150" s="678"/>
      <c r="P150" s="678"/>
      <c r="Q150" s="678"/>
      <c r="R150" s="678"/>
      <c r="S150" s="678"/>
      <c r="T150" s="678"/>
      <c r="U150" s="678"/>
      <c r="V150" s="678"/>
      <c r="W150" s="678"/>
      <c r="X150" s="678"/>
      <c r="Y150" s="678"/>
      <c r="Z150" s="678"/>
    </row>
    <row r="151" spans="1:26" ht="14.25" customHeight="1" x14ac:dyDescent="0.3">
      <c r="A151" s="678"/>
      <c r="B151" s="678"/>
      <c r="C151" s="678"/>
      <c r="D151" s="678"/>
      <c r="E151" s="678"/>
      <c r="F151" s="678"/>
      <c r="G151" s="678"/>
      <c r="H151" s="678"/>
      <c r="I151" s="678"/>
      <c r="J151" s="678"/>
      <c r="K151" s="678"/>
      <c r="L151" s="678"/>
      <c r="M151" s="678"/>
      <c r="N151" s="678"/>
      <c r="O151" s="678"/>
      <c r="P151" s="678"/>
      <c r="Q151" s="678"/>
      <c r="R151" s="678"/>
      <c r="S151" s="678"/>
      <c r="T151" s="678"/>
      <c r="U151" s="678"/>
      <c r="V151" s="678"/>
      <c r="W151" s="678"/>
      <c r="X151" s="678"/>
      <c r="Y151" s="678"/>
      <c r="Z151" s="678"/>
    </row>
    <row r="152" spans="1:26" ht="14.25" customHeight="1" x14ac:dyDescent="0.3">
      <c r="A152" s="678"/>
      <c r="B152" s="678"/>
      <c r="C152" s="678"/>
      <c r="D152" s="678"/>
      <c r="E152" s="678"/>
      <c r="F152" s="678"/>
      <c r="G152" s="678"/>
      <c r="H152" s="678"/>
      <c r="I152" s="678"/>
      <c r="J152" s="678"/>
      <c r="K152" s="678"/>
      <c r="L152" s="678"/>
      <c r="M152" s="678"/>
      <c r="N152" s="678"/>
      <c r="O152" s="678"/>
      <c r="P152" s="678"/>
      <c r="Q152" s="678"/>
      <c r="R152" s="678"/>
      <c r="S152" s="678"/>
      <c r="T152" s="678"/>
      <c r="U152" s="678"/>
      <c r="V152" s="678"/>
      <c r="W152" s="678"/>
      <c r="X152" s="678"/>
      <c r="Y152" s="678"/>
      <c r="Z152" s="678"/>
    </row>
    <row r="153" spans="1:26" ht="14.25" customHeight="1" x14ac:dyDescent="0.3">
      <c r="A153" s="678"/>
      <c r="B153" s="678"/>
      <c r="C153" s="678"/>
      <c r="D153" s="678"/>
      <c r="E153" s="678"/>
      <c r="F153" s="678"/>
      <c r="G153" s="678"/>
      <c r="H153" s="678"/>
      <c r="I153" s="678"/>
      <c r="J153" s="678"/>
      <c r="K153" s="678"/>
      <c r="L153" s="678"/>
      <c r="M153" s="678"/>
      <c r="N153" s="678"/>
      <c r="O153" s="678"/>
      <c r="P153" s="678"/>
      <c r="Q153" s="678"/>
      <c r="R153" s="678"/>
      <c r="S153" s="678"/>
      <c r="T153" s="678"/>
      <c r="U153" s="678"/>
      <c r="V153" s="678"/>
      <c r="W153" s="678"/>
      <c r="X153" s="678"/>
      <c r="Y153" s="678"/>
      <c r="Z153" s="678"/>
    </row>
    <row r="154" spans="1:26" ht="14.25" customHeight="1" x14ac:dyDescent="0.3">
      <c r="A154" s="678"/>
      <c r="B154" s="678"/>
      <c r="C154" s="678"/>
      <c r="D154" s="678"/>
      <c r="E154" s="678"/>
      <c r="F154" s="678"/>
      <c r="G154" s="678"/>
      <c r="H154" s="678"/>
      <c r="I154" s="678"/>
      <c r="J154" s="678"/>
      <c r="K154" s="678"/>
      <c r="L154" s="678"/>
      <c r="M154" s="678"/>
      <c r="N154" s="678"/>
      <c r="O154" s="678"/>
      <c r="P154" s="678"/>
      <c r="Q154" s="678"/>
      <c r="R154" s="678"/>
      <c r="S154" s="678"/>
      <c r="T154" s="678"/>
      <c r="U154" s="678"/>
      <c r="V154" s="678"/>
      <c r="W154" s="678"/>
      <c r="X154" s="678"/>
      <c r="Y154" s="678"/>
      <c r="Z154" s="678"/>
    </row>
    <row r="155" spans="1:26" ht="14.25" customHeight="1" x14ac:dyDescent="0.3">
      <c r="A155" s="678"/>
      <c r="B155" s="678"/>
      <c r="C155" s="678"/>
      <c r="D155" s="678"/>
      <c r="E155" s="678"/>
      <c r="F155" s="678"/>
      <c r="G155" s="678"/>
      <c r="H155" s="678"/>
      <c r="I155" s="678"/>
      <c r="J155" s="678"/>
      <c r="K155" s="678"/>
      <c r="L155" s="678"/>
      <c r="M155" s="678"/>
      <c r="N155" s="678"/>
      <c r="O155" s="678"/>
      <c r="P155" s="678"/>
      <c r="Q155" s="678"/>
      <c r="R155" s="678"/>
      <c r="S155" s="678"/>
      <c r="T155" s="678"/>
      <c r="U155" s="678"/>
      <c r="V155" s="678"/>
      <c r="W155" s="678"/>
      <c r="X155" s="678"/>
      <c r="Y155" s="678"/>
      <c r="Z155" s="678"/>
    </row>
    <row r="156" spans="1:26" ht="14.25" customHeight="1" x14ac:dyDescent="0.3">
      <c r="A156" s="678"/>
      <c r="B156" s="678"/>
      <c r="C156" s="678"/>
      <c r="D156" s="678"/>
      <c r="E156" s="678"/>
      <c r="F156" s="678"/>
      <c r="G156" s="678"/>
      <c r="H156" s="678"/>
      <c r="I156" s="678"/>
      <c r="J156" s="678"/>
      <c r="K156" s="678"/>
      <c r="L156" s="678"/>
      <c r="M156" s="678"/>
      <c r="N156" s="678"/>
      <c r="O156" s="678"/>
      <c r="P156" s="678"/>
      <c r="Q156" s="678"/>
      <c r="R156" s="678"/>
      <c r="S156" s="678"/>
      <c r="T156" s="678"/>
      <c r="U156" s="678"/>
      <c r="V156" s="678"/>
      <c r="W156" s="678"/>
      <c r="X156" s="678"/>
      <c r="Y156" s="678"/>
      <c r="Z156" s="678"/>
    </row>
    <row r="157" spans="1:26" ht="14.25" customHeight="1" x14ac:dyDescent="0.3">
      <c r="A157" s="678"/>
      <c r="B157" s="678"/>
      <c r="C157" s="678"/>
      <c r="D157" s="678"/>
      <c r="E157" s="678"/>
      <c r="F157" s="678"/>
      <c r="G157" s="678"/>
      <c r="H157" s="678"/>
      <c r="I157" s="678"/>
      <c r="J157" s="678"/>
      <c r="K157" s="678"/>
      <c r="L157" s="678"/>
      <c r="M157" s="678"/>
      <c r="N157" s="678"/>
      <c r="O157" s="678"/>
      <c r="P157" s="678"/>
      <c r="Q157" s="678"/>
      <c r="R157" s="678"/>
      <c r="S157" s="678"/>
      <c r="T157" s="678"/>
      <c r="U157" s="678"/>
      <c r="V157" s="678"/>
      <c r="W157" s="678"/>
      <c r="X157" s="678"/>
      <c r="Y157" s="678"/>
      <c r="Z157" s="678"/>
    </row>
    <row r="158" spans="1:26" ht="14.25" customHeight="1" x14ac:dyDescent="0.3">
      <c r="A158" s="678"/>
      <c r="B158" s="678"/>
      <c r="C158" s="678"/>
      <c r="D158" s="678"/>
      <c r="E158" s="678"/>
      <c r="F158" s="678"/>
      <c r="G158" s="678"/>
      <c r="H158" s="678"/>
      <c r="I158" s="678"/>
      <c r="J158" s="678"/>
      <c r="K158" s="678"/>
      <c r="L158" s="678"/>
      <c r="M158" s="678"/>
      <c r="N158" s="678"/>
      <c r="O158" s="678"/>
      <c r="P158" s="678"/>
      <c r="Q158" s="678"/>
      <c r="R158" s="678"/>
      <c r="S158" s="678"/>
      <c r="T158" s="678"/>
      <c r="U158" s="678"/>
      <c r="V158" s="678"/>
      <c r="W158" s="678"/>
      <c r="X158" s="678"/>
      <c r="Y158" s="678"/>
      <c r="Z158" s="678"/>
    </row>
    <row r="159" spans="1:26" ht="14.25" customHeight="1" x14ac:dyDescent="0.3">
      <c r="A159" s="678"/>
      <c r="B159" s="678"/>
      <c r="C159" s="678"/>
      <c r="D159" s="678"/>
      <c r="E159" s="678"/>
      <c r="F159" s="678"/>
      <c r="G159" s="678"/>
      <c r="H159" s="678"/>
      <c r="I159" s="678"/>
      <c r="J159" s="678"/>
      <c r="K159" s="678"/>
      <c r="L159" s="678"/>
      <c r="M159" s="678"/>
      <c r="N159" s="678"/>
      <c r="O159" s="678"/>
      <c r="P159" s="678"/>
      <c r="Q159" s="678"/>
      <c r="R159" s="678"/>
      <c r="S159" s="678"/>
      <c r="T159" s="678"/>
      <c r="U159" s="678"/>
      <c r="V159" s="678"/>
      <c r="W159" s="678"/>
      <c r="X159" s="678"/>
      <c r="Y159" s="678"/>
      <c r="Z159" s="678"/>
    </row>
    <row r="160" spans="1:26" ht="14.25" customHeight="1" x14ac:dyDescent="0.3">
      <c r="A160" s="678"/>
      <c r="B160" s="678"/>
      <c r="C160" s="678"/>
      <c r="D160" s="678"/>
      <c r="E160" s="678"/>
      <c r="F160" s="678"/>
      <c r="G160" s="678"/>
      <c r="H160" s="678"/>
      <c r="I160" s="678"/>
      <c r="J160" s="678"/>
      <c r="K160" s="678"/>
      <c r="L160" s="678"/>
      <c r="M160" s="678"/>
      <c r="N160" s="678"/>
      <c r="O160" s="678"/>
      <c r="P160" s="678"/>
      <c r="Q160" s="678"/>
      <c r="R160" s="678"/>
      <c r="S160" s="678"/>
      <c r="T160" s="678"/>
      <c r="U160" s="678"/>
      <c r="V160" s="678"/>
      <c r="W160" s="678"/>
      <c r="X160" s="678"/>
      <c r="Y160" s="678"/>
      <c r="Z160" s="678"/>
    </row>
    <row r="161" spans="1:26" ht="14.25" customHeight="1" x14ac:dyDescent="0.3">
      <c r="A161" s="678"/>
      <c r="B161" s="678"/>
      <c r="C161" s="678"/>
      <c r="D161" s="678"/>
      <c r="E161" s="678"/>
      <c r="F161" s="678"/>
      <c r="G161" s="678"/>
      <c r="H161" s="678"/>
      <c r="I161" s="678"/>
      <c r="J161" s="678"/>
      <c r="K161" s="678"/>
      <c r="L161" s="678"/>
      <c r="M161" s="678"/>
      <c r="N161" s="678"/>
      <c r="O161" s="678"/>
      <c r="P161" s="678"/>
      <c r="Q161" s="678"/>
      <c r="R161" s="678"/>
      <c r="S161" s="678"/>
      <c r="T161" s="678"/>
      <c r="U161" s="678"/>
      <c r="V161" s="678"/>
      <c r="W161" s="678"/>
      <c r="X161" s="678"/>
      <c r="Y161" s="678"/>
      <c r="Z161" s="678"/>
    </row>
    <row r="162" spans="1:26" ht="14.25" customHeight="1" x14ac:dyDescent="0.3">
      <c r="A162" s="678"/>
      <c r="B162" s="678"/>
      <c r="C162" s="678"/>
      <c r="D162" s="678"/>
      <c r="E162" s="678"/>
      <c r="F162" s="678"/>
      <c r="G162" s="678"/>
      <c r="H162" s="678"/>
      <c r="I162" s="678"/>
      <c r="J162" s="678"/>
      <c r="K162" s="678"/>
      <c r="L162" s="678"/>
      <c r="M162" s="678"/>
      <c r="N162" s="678"/>
      <c r="O162" s="678"/>
      <c r="P162" s="678"/>
      <c r="Q162" s="678"/>
      <c r="R162" s="678"/>
      <c r="S162" s="678"/>
      <c r="T162" s="678"/>
      <c r="U162" s="678"/>
      <c r="V162" s="678"/>
      <c r="W162" s="678"/>
      <c r="X162" s="678"/>
      <c r="Y162" s="678"/>
      <c r="Z162" s="678"/>
    </row>
    <row r="163" spans="1:26" ht="14.25" customHeight="1" x14ac:dyDescent="0.3">
      <c r="A163" s="678"/>
      <c r="B163" s="678"/>
      <c r="C163" s="678"/>
      <c r="D163" s="678"/>
      <c r="E163" s="678"/>
      <c r="F163" s="678"/>
      <c r="G163" s="678"/>
      <c r="H163" s="678"/>
      <c r="I163" s="678"/>
      <c r="J163" s="678"/>
      <c r="K163" s="678"/>
      <c r="L163" s="678"/>
      <c r="M163" s="678"/>
      <c r="N163" s="678"/>
      <c r="O163" s="678"/>
      <c r="P163" s="678"/>
      <c r="Q163" s="678"/>
      <c r="R163" s="678"/>
      <c r="S163" s="678"/>
      <c r="T163" s="678"/>
      <c r="U163" s="678"/>
      <c r="V163" s="678"/>
      <c r="W163" s="678"/>
      <c r="X163" s="678"/>
      <c r="Y163" s="678"/>
      <c r="Z163" s="678"/>
    </row>
    <row r="164" spans="1:26" ht="14.25" customHeight="1" x14ac:dyDescent="0.3">
      <c r="A164" s="678"/>
      <c r="B164" s="678"/>
      <c r="C164" s="678"/>
      <c r="D164" s="678"/>
      <c r="E164" s="678"/>
      <c r="F164" s="678"/>
      <c r="G164" s="678"/>
      <c r="H164" s="678"/>
      <c r="I164" s="678"/>
      <c r="J164" s="678"/>
      <c r="K164" s="678"/>
      <c r="L164" s="678"/>
      <c r="M164" s="678"/>
      <c r="N164" s="678"/>
      <c r="O164" s="678"/>
      <c r="P164" s="678"/>
      <c r="Q164" s="678"/>
      <c r="R164" s="678"/>
      <c r="S164" s="678"/>
      <c r="T164" s="678"/>
      <c r="U164" s="678"/>
      <c r="V164" s="678"/>
      <c r="W164" s="678"/>
      <c r="X164" s="678"/>
      <c r="Y164" s="678"/>
      <c r="Z164" s="678"/>
    </row>
    <row r="165" spans="1:26" ht="14.25" customHeight="1" x14ac:dyDescent="0.3">
      <c r="A165" s="678"/>
      <c r="B165" s="678"/>
      <c r="C165" s="678"/>
      <c r="D165" s="678"/>
      <c r="E165" s="678"/>
      <c r="F165" s="678"/>
      <c r="G165" s="678"/>
      <c r="H165" s="678"/>
      <c r="I165" s="678"/>
      <c r="J165" s="678"/>
      <c r="K165" s="678"/>
      <c r="L165" s="678"/>
      <c r="M165" s="678"/>
      <c r="N165" s="678"/>
      <c r="O165" s="678"/>
      <c r="P165" s="678"/>
      <c r="Q165" s="678"/>
      <c r="R165" s="678"/>
      <c r="S165" s="678"/>
      <c r="T165" s="678"/>
      <c r="U165" s="678"/>
      <c r="V165" s="678"/>
      <c r="W165" s="678"/>
      <c r="X165" s="678"/>
      <c r="Y165" s="678"/>
      <c r="Z165" s="678"/>
    </row>
    <row r="166" spans="1:26" ht="14.25" customHeight="1" x14ac:dyDescent="0.3">
      <c r="A166" s="678"/>
      <c r="B166" s="678"/>
      <c r="C166" s="678"/>
      <c r="D166" s="678"/>
      <c r="E166" s="678"/>
      <c r="F166" s="678"/>
      <c r="G166" s="678"/>
      <c r="H166" s="678"/>
      <c r="I166" s="678"/>
      <c r="J166" s="678"/>
      <c r="K166" s="678"/>
      <c r="L166" s="678"/>
      <c r="M166" s="678"/>
      <c r="N166" s="678"/>
      <c r="O166" s="678"/>
      <c r="P166" s="678"/>
      <c r="Q166" s="678"/>
      <c r="R166" s="678"/>
      <c r="S166" s="678"/>
      <c r="T166" s="678"/>
      <c r="U166" s="678"/>
      <c r="V166" s="678"/>
      <c r="W166" s="678"/>
      <c r="X166" s="678"/>
      <c r="Y166" s="678"/>
      <c r="Z166" s="678"/>
    </row>
    <row r="167" spans="1:26" ht="14.25" customHeight="1" x14ac:dyDescent="0.3">
      <c r="A167" s="678"/>
      <c r="B167" s="678"/>
      <c r="C167" s="678"/>
      <c r="D167" s="678"/>
      <c r="E167" s="678"/>
      <c r="F167" s="678"/>
      <c r="G167" s="678"/>
      <c r="H167" s="678"/>
      <c r="I167" s="678"/>
      <c r="J167" s="678"/>
      <c r="K167" s="678"/>
      <c r="L167" s="678"/>
      <c r="M167" s="678"/>
      <c r="N167" s="678"/>
      <c r="O167" s="678"/>
      <c r="P167" s="678"/>
      <c r="Q167" s="678"/>
      <c r="R167" s="678"/>
      <c r="S167" s="678"/>
      <c r="T167" s="678"/>
      <c r="U167" s="678"/>
      <c r="V167" s="678"/>
      <c r="W167" s="678"/>
      <c r="X167" s="678"/>
      <c r="Y167" s="678"/>
      <c r="Z167" s="678"/>
    </row>
    <row r="168" spans="1:26" ht="14.25" customHeight="1" x14ac:dyDescent="0.3">
      <c r="A168" s="678"/>
      <c r="B168" s="678"/>
      <c r="C168" s="678"/>
      <c r="D168" s="678"/>
      <c r="E168" s="678"/>
      <c r="F168" s="678"/>
      <c r="G168" s="678"/>
      <c r="H168" s="678"/>
      <c r="I168" s="678"/>
      <c r="J168" s="678"/>
      <c r="K168" s="678"/>
      <c r="L168" s="678"/>
      <c r="M168" s="678"/>
      <c r="N168" s="678"/>
      <c r="O168" s="678"/>
      <c r="P168" s="678"/>
      <c r="Q168" s="678"/>
      <c r="R168" s="678"/>
      <c r="S168" s="678"/>
      <c r="T168" s="678"/>
      <c r="U168" s="678"/>
      <c r="V168" s="678"/>
      <c r="W168" s="678"/>
      <c r="X168" s="678"/>
      <c r="Y168" s="678"/>
      <c r="Z168" s="678"/>
    </row>
    <row r="169" spans="1:26" ht="14.25" customHeight="1" x14ac:dyDescent="0.3">
      <c r="A169" s="678"/>
      <c r="B169" s="678"/>
      <c r="C169" s="678"/>
      <c r="D169" s="678"/>
      <c r="E169" s="678"/>
      <c r="F169" s="678"/>
      <c r="G169" s="678"/>
      <c r="H169" s="678"/>
      <c r="I169" s="678"/>
      <c r="J169" s="678"/>
      <c r="K169" s="678"/>
      <c r="L169" s="678"/>
      <c r="M169" s="678"/>
      <c r="N169" s="678"/>
      <c r="O169" s="678"/>
      <c r="P169" s="678"/>
      <c r="Q169" s="678"/>
      <c r="R169" s="678"/>
      <c r="S169" s="678"/>
      <c r="T169" s="678"/>
      <c r="U169" s="678"/>
      <c r="V169" s="678"/>
      <c r="W169" s="678"/>
      <c r="X169" s="678"/>
      <c r="Y169" s="678"/>
      <c r="Z169" s="678"/>
    </row>
    <row r="170" spans="1:26" ht="14.25" customHeight="1" x14ac:dyDescent="0.3">
      <c r="A170" s="678"/>
      <c r="B170" s="678"/>
      <c r="C170" s="678"/>
      <c r="D170" s="678"/>
      <c r="E170" s="678"/>
      <c r="F170" s="678"/>
      <c r="G170" s="678"/>
      <c r="H170" s="678"/>
      <c r="I170" s="678"/>
      <c r="J170" s="678"/>
      <c r="K170" s="678"/>
      <c r="L170" s="678"/>
      <c r="M170" s="678"/>
      <c r="N170" s="678"/>
      <c r="O170" s="678"/>
      <c r="P170" s="678"/>
      <c r="Q170" s="678"/>
      <c r="R170" s="678"/>
      <c r="S170" s="678"/>
      <c r="T170" s="678"/>
      <c r="U170" s="678"/>
      <c r="V170" s="678"/>
      <c r="W170" s="678"/>
      <c r="X170" s="678"/>
      <c r="Y170" s="678"/>
      <c r="Z170" s="678"/>
    </row>
    <row r="171" spans="1:26" ht="14.25" customHeight="1" x14ac:dyDescent="0.3">
      <c r="A171" s="678"/>
      <c r="B171" s="678"/>
      <c r="C171" s="678"/>
      <c r="D171" s="678"/>
      <c r="E171" s="678"/>
      <c r="F171" s="678"/>
      <c r="G171" s="678"/>
      <c r="H171" s="678"/>
      <c r="I171" s="678"/>
      <c r="J171" s="678"/>
      <c r="K171" s="678"/>
      <c r="L171" s="678"/>
      <c r="M171" s="678"/>
      <c r="N171" s="678"/>
      <c r="O171" s="678"/>
      <c r="P171" s="678"/>
      <c r="Q171" s="678"/>
      <c r="R171" s="678"/>
      <c r="S171" s="678"/>
      <c r="T171" s="678"/>
      <c r="U171" s="678"/>
      <c r="V171" s="678"/>
      <c r="W171" s="678"/>
      <c r="X171" s="678"/>
      <c r="Y171" s="678"/>
      <c r="Z171" s="678"/>
    </row>
    <row r="172" spans="1:26" ht="14.25" customHeight="1" x14ac:dyDescent="0.3">
      <c r="A172" s="678"/>
      <c r="B172" s="678"/>
      <c r="C172" s="678"/>
      <c r="D172" s="678"/>
      <c r="E172" s="678"/>
      <c r="F172" s="678"/>
      <c r="G172" s="678"/>
      <c r="H172" s="678"/>
      <c r="I172" s="678"/>
      <c r="J172" s="678"/>
      <c r="K172" s="678"/>
      <c r="L172" s="678"/>
      <c r="M172" s="678"/>
      <c r="N172" s="678"/>
      <c r="O172" s="678"/>
      <c r="P172" s="678"/>
      <c r="Q172" s="678"/>
      <c r="R172" s="678"/>
      <c r="S172" s="678"/>
      <c r="T172" s="678"/>
      <c r="U172" s="678"/>
      <c r="V172" s="678"/>
      <c r="W172" s="678"/>
      <c r="X172" s="678"/>
      <c r="Y172" s="678"/>
      <c r="Z172" s="678"/>
    </row>
    <row r="173" spans="1:26" ht="14.25" customHeight="1" x14ac:dyDescent="0.3">
      <c r="A173" s="678"/>
      <c r="B173" s="678"/>
      <c r="C173" s="678"/>
      <c r="D173" s="678"/>
      <c r="E173" s="678"/>
      <c r="F173" s="678"/>
      <c r="G173" s="678"/>
      <c r="H173" s="678"/>
      <c r="I173" s="678"/>
      <c r="J173" s="678"/>
      <c r="K173" s="678"/>
      <c r="L173" s="678"/>
      <c r="M173" s="678"/>
      <c r="N173" s="678"/>
      <c r="O173" s="678"/>
      <c r="P173" s="678"/>
      <c r="Q173" s="678"/>
      <c r="R173" s="678"/>
      <c r="S173" s="678"/>
      <c r="T173" s="678"/>
      <c r="U173" s="678"/>
      <c r="V173" s="678"/>
      <c r="W173" s="678"/>
      <c r="X173" s="678"/>
      <c r="Y173" s="678"/>
      <c r="Z173" s="678"/>
    </row>
    <row r="174" spans="1:26" ht="14.25" customHeight="1" x14ac:dyDescent="0.3">
      <c r="A174" s="678"/>
      <c r="B174" s="678"/>
      <c r="C174" s="678"/>
      <c r="D174" s="678"/>
      <c r="E174" s="678"/>
      <c r="F174" s="678"/>
      <c r="G174" s="678"/>
      <c r="H174" s="678"/>
      <c r="I174" s="678"/>
      <c r="J174" s="678"/>
      <c r="K174" s="678"/>
      <c r="L174" s="678"/>
      <c r="M174" s="678"/>
      <c r="N174" s="678"/>
      <c r="O174" s="678"/>
      <c r="P174" s="678"/>
      <c r="Q174" s="678"/>
      <c r="R174" s="678"/>
      <c r="S174" s="678"/>
      <c r="T174" s="678"/>
      <c r="U174" s="678"/>
      <c r="V174" s="678"/>
      <c r="W174" s="678"/>
      <c r="X174" s="678"/>
      <c r="Y174" s="678"/>
      <c r="Z174" s="678"/>
    </row>
    <row r="175" spans="1:26" ht="14.25" customHeight="1" x14ac:dyDescent="0.3">
      <c r="A175" s="678"/>
      <c r="B175" s="678"/>
      <c r="C175" s="678"/>
      <c r="D175" s="678"/>
      <c r="E175" s="678"/>
      <c r="F175" s="678"/>
      <c r="G175" s="678"/>
      <c r="H175" s="678"/>
      <c r="I175" s="678"/>
      <c r="J175" s="678"/>
      <c r="K175" s="678"/>
      <c r="L175" s="678"/>
      <c r="M175" s="678"/>
      <c r="N175" s="678"/>
      <c r="O175" s="678"/>
      <c r="P175" s="678"/>
      <c r="Q175" s="678"/>
      <c r="R175" s="678"/>
      <c r="S175" s="678"/>
      <c r="T175" s="678"/>
      <c r="U175" s="678"/>
      <c r="V175" s="678"/>
      <c r="W175" s="678"/>
      <c r="X175" s="678"/>
      <c r="Y175" s="678"/>
      <c r="Z175" s="678"/>
    </row>
    <row r="176" spans="1:26" ht="14.25" customHeight="1" x14ac:dyDescent="0.3">
      <c r="A176" s="678"/>
      <c r="B176" s="678"/>
      <c r="C176" s="678"/>
      <c r="D176" s="678"/>
      <c r="E176" s="678"/>
      <c r="F176" s="678"/>
      <c r="G176" s="678"/>
      <c r="H176" s="678"/>
      <c r="I176" s="678"/>
      <c r="J176" s="678"/>
      <c r="K176" s="678"/>
      <c r="L176" s="678"/>
      <c r="M176" s="678"/>
      <c r="N176" s="678"/>
      <c r="O176" s="678"/>
      <c r="P176" s="678"/>
      <c r="Q176" s="678"/>
      <c r="R176" s="678"/>
      <c r="S176" s="678"/>
      <c r="T176" s="678"/>
      <c r="U176" s="678"/>
      <c r="V176" s="678"/>
      <c r="W176" s="678"/>
      <c r="X176" s="678"/>
      <c r="Y176" s="678"/>
      <c r="Z176" s="678"/>
    </row>
    <row r="177" spans="1:26" ht="14.25" customHeight="1" x14ac:dyDescent="0.3">
      <c r="A177" s="678"/>
      <c r="B177" s="678"/>
      <c r="C177" s="678"/>
      <c r="D177" s="678"/>
      <c r="E177" s="678"/>
      <c r="F177" s="678"/>
      <c r="G177" s="678"/>
      <c r="H177" s="678"/>
      <c r="I177" s="678"/>
      <c r="J177" s="678"/>
      <c r="K177" s="678"/>
      <c r="L177" s="678"/>
      <c r="M177" s="678"/>
      <c r="N177" s="678"/>
      <c r="O177" s="678"/>
      <c r="P177" s="678"/>
      <c r="Q177" s="678"/>
      <c r="R177" s="678"/>
      <c r="S177" s="678"/>
      <c r="T177" s="678"/>
      <c r="U177" s="678"/>
      <c r="V177" s="678"/>
      <c r="W177" s="678"/>
      <c r="X177" s="678"/>
      <c r="Y177" s="678"/>
      <c r="Z177" s="678"/>
    </row>
    <row r="178" spans="1:26" ht="14.25" customHeight="1" x14ac:dyDescent="0.3">
      <c r="A178" s="678"/>
      <c r="B178" s="678"/>
      <c r="C178" s="678"/>
      <c r="D178" s="678"/>
      <c r="E178" s="678"/>
      <c r="F178" s="678"/>
      <c r="G178" s="678"/>
      <c r="H178" s="678"/>
      <c r="I178" s="678"/>
      <c r="J178" s="678"/>
      <c r="K178" s="678"/>
      <c r="L178" s="678"/>
      <c r="M178" s="678"/>
      <c r="N178" s="678"/>
      <c r="O178" s="678"/>
      <c r="P178" s="678"/>
      <c r="Q178" s="678"/>
      <c r="R178" s="678"/>
      <c r="S178" s="678"/>
      <c r="T178" s="678"/>
      <c r="U178" s="678"/>
      <c r="V178" s="678"/>
      <c r="W178" s="678"/>
      <c r="X178" s="678"/>
      <c r="Y178" s="678"/>
      <c r="Z178" s="678"/>
    </row>
    <row r="179" spans="1:26" ht="14.25" customHeight="1" x14ac:dyDescent="0.3">
      <c r="A179" s="678"/>
      <c r="B179" s="678"/>
      <c r="C179" s="678"/>
      <c r="D179" s="678"/>
      <c r="E179" s="678"/>
      <c r="F179" s="678"/>
      <c r="G179" s="678"/>
      <c r="H179" s="678"/>
      <c r="I179" s="678"/>
      <c r="J179" s="678"/>
      <c r="K179" s="678"/>
      <c r="L179" s="678"/>
      <c r="M179" s="678"/>
      <c r="N179" s="678"/>
      <c r="O179" s="678"/>
      <c r="P179" s="678"/>
      <c r="Q179" s="678"/>
      <c r="R179" s="678"/>
      <c r="S179" s="678"/>
      <c r="T179" s="678"/>
      <c r="U179" s="678"/>
      <c r="V179" s="678"/>
      <c r="W179" s="678"/>
      <c r="X179" s="678"/>
      <c r="Y179" s="678"/>
      <c r="Z179" s="678"/>
    </row>
    <row r="180" spans="1:26" ht="14.25" customHeight="1" x14ac:dyDescent="0.3">
      <c r="A180" s="678"/>
      <c r="B180" s="678"/>
      <c r="C180" s="678"/>
      <c r="D180" s="678"/>
      <c r="E180" s="678"/>
      <c r="F180" s="678"/>
      <c r="G180" s="678"/>
      <c r="H180" s="678"/>
      <c r="I180" s="678"/>
      <c r="J180" s="678"/>
      <c r="K180" s="678"/>
      <c r="L180" s="678"/>
      <c r="M180" s="678"/>
      <c r="N180" s="678"/>
      <c r="O180" s="678"/>
      <c r="P180" s="678"/>
      <c r="Q180" s="678"/>
      <c r="R180" s="678"/>
      <c r="S180" s="678"/>
      <c r="T180" s="678"/>
      <c r="U180" s="678"/>
      <c r="V180" s="678"/>
      <c r="W180" s="678"/>
      <c r="X180" s="678"/>
      <c r="Y180" s="678"/>
      <c r="Z180" s="678"/>
    </row>
    <row r="181" spans="1:26" ht="14.25" customHeight="1" x14ac:dyDescent="0.3">
      <c r="A181" s="678"/>
      <c r="B181" s="678"/>
      <c r="C181" s="678"/>
      <c r="D181" s="678"/>
      <c r="E181" s="678"/>
      <c r="F181" s="678"/>
      <c r="G181" s="678"/>
      <c r="H181" s="678"/>
      <c r="I181" s="678"/>
      <c r="J181" s="678"/>
      <c r="K181" s="678"/>
      <c r="L181" s="678"/>
      <c r="M181" s="678"/>
      <c r="N181" s="678"/>
      <c r="O181" s="678"/>
      <c r="P181" s="678"/>
      <c r="Q181" s="678"/>
      <c r="R181" s="678"/>
      <c r="S181" s="678"/>
      <c r="T181" s="678"/>
      <c r="U181" s="678"/>
      <c r="V181" s="678"/>
      <c r="W181" s="678"/>
      <c r="X181" s="678"/>
      <c r="Y181" s="678"/>
      <c r="Z181" s="678"/>
    </row>
    <row r="182" spans="1:26" ht="14.25" customHeight="1" x14ac:dyDescent="0.3">
      <c r="A182" s="678"/>
      <c r="B182" s="678"/>
      <c r="C182" s="678"/>
      <c r="D182" s="678"/>
      <c r="E182" s="678"/>
      <c r="F182" s="678"/>
      <c r="G182" s="678"/>
      <c r="H182" s="678"/>
      <c r="I182" s="678"/>
      <c r="J182" s="678"/>
      <c r="K182" s="678"/>
      <c r="L182" s="678"/>
      <c r="M182" s="678"/>
      <c r="N182" s="678"/>
      <c r="O182" s="678"/>
      <c r="P182" s="678"/>
      <c r="Q182" s="678"/>
      <c r="R182" s="678"/>
      <c r="S182" s="678"/>
      <c r="T182" s="678"/>
      <c r="U182" s="678"/>
      <c r="V182" s="678"/>
      <c r="W182" s="678"/>
      <c r="X182" s="678"/>
      <c r="Y182" s="678"/>
      <c r="Z182" s="678"/>
    </row>
    <row r="183" spans="1:26" ht="14.25" customHeight="1" x14ac:dyDescent="0.3">
      <c r="A183" s="678"/>
      <c r="B183" s="678"/>
      <c r="C183" s="678"/>
      <c r="D183" s="678"/>
      <c r="E183" s="678"/>
      <c r="F183" s="678"/>
      <c r="G183" s="678"/>
      <c r="H183" s="678"/>
      <c r="I183" s="678"/>
      <c r="J183" s="678"/>
      <c r="K183" s="678"/>
      <c r="L183" s="678"/>
      <c r="M183" s="678"/>
      <c r="N183" s="678"/>
      <c r="O183" s="678"/>
      <c r="P183" s="678"/>
      <c r="Q183" s="678"/>
      <c r="R183" s="678"/>
      <c r="S183" s="678"/>
      <c r="T183" s="678"/>
      <c r="U183" s="678"/>
      <c r="V183" s="678"/>
      <c r="W183" s="678"/>
      <c r="X183" s="678"/>
      <c r="Y183" s="678"/>
      <c r="Z183" s="678"/>
    </row>
    <row r="184" spans="1:26" ht="14.25" customHeight="1" x14ac:dyDescent="0.3">
      <c r="A184" s="678"/>
      <c r="B184" s="678"/>
      <c r="C184" s="678"/>
      <c r="D184" s="678"/>
      <c r="E184" s="678"/>
      <c r="F184" s="678"/>
      <c r="G184" s="678"/>
      <c r="H184" s="678"/>
      <c r="I184" s="678"/>
      <c r="J184" s="678"/>
      <c r="K184" s="678"/>
      <c r="L184" s="678"/>
      <c r="M184" s="678"/>
      <c r="N184" s="678"/>
      <c r="O184" s="678"/>
      <c r="P184" s="678"/>
      <c r="Q184" s="678"/>
      <c r="R184" s="678"/>
      <c r="S184" s="678"/>
      <c r="T184" s="678"/>
      <c r="U184" s="678"/>
      <c r="V184" s="678"/>
      <c r="W184" s="678"/>
      <c r="X184" s="678"/>
      <c r="Y184" s="678"/>
      <c r="Z184" s="678"/>
    </row>
    <row r="185" spans="1:26" ht="14.25" customHeight="1" x14ac:dyDescent="0.3">
      <c r="A185" s="678"/>
      <c r="B185" s="678"/>
      <c r="C185" s="678"/>
      <c r="D185" s="678"/>
      <c r="E185" s="678"/>
      <c r="F185" s="678"/>
      <c r="G185" s="678"/>
      <c r="H185" s="678"/>
      <c r="I185" s="678"/>
      <c r="J185" s="678"/>
      <c r="K185" s="678"/>
      <c r="L185" s="678"/>
      <c r="M185" s="678"/>
      <c r="N185" s="678"/>
      <c r="O185" s="678"/>
      <c r="P185" s="678"/>
      <c r="Q185" s="678"/>
      <c r="R185" s="678"/>
      <c r="S185" s="678"/>
      <c r="T185" s="678"/>
      <c r="U185" s="678"/>
      <c r="V185" s="678"/>
      <c r="W185" s="678"/>
      <c r="X185" s="678"/>
      <c r="Y185" s="678"/>
      <c r="Z185" s="678"/>
    </row>
    <row r="186" spans="1:26" ht="14.25" customHeight="1" x14ac:dyDescent="0.3">
      <c r="A186" s="678"/>
      <c r="B186" s="678"/>
      <c r="C186" s="678"/>
      <c r="D186" s="678"/>
      <c r="E186" s="678"/>
      <c r="F186" s="678"/>
      <c r="G186" s="678"/>
      <c r="H186" s="678"/>
      <c r="I186" s="678"/>
      <c r="J186" s="678"/>
      <c r="K186" s="678"/>
      <c r="L186" s="678"/>
      <c r="M186" s="678"/>
      <c r="N186" s="678"/>
      <c r="O186" s="678"/>
      <c r="P186" s="678"/>
      <c r="Q186" s="678"/>
      <c r="R186" s="678"/>
      <c r="S186" s="678"/>
      <c r="T186" s="678"/>
      <c r="U186" s="678"/>
      <c r="V186" s="678"/>
      <c r="W186" s="678"/>
      <c r="X186" s="678"/>
      <c r="Y186" s="678"/>
      <c r="Z186" s="678"/>
    </row>
    <row r="187" spans="1:26" ht="14.25" customHeight="1" x14ac:dyDescent="0.3">
      <c r="A187" s="678"/>
      <c r="B187" s="678"/>
      <c r="C187" s="678"/>
      <c r="D187" s="678"/>
      <c r="E187" s="678"/>
      <c r="F187" s="678"/>
      <c r="G187" s="678"/>
      <c r="H187" s="678"/>
      <c r="I187" s="678"/>
      <c r="J187" s="678"/>
      <c r="K187" s="678"/>
      <c r="L187" s="678"/>
      <c r="M187" s="678"/>
      <c r="N187" s="678"/>
      <c r="O187" s="678"/>
      <c r="P187" s="678"/>
      <c r="Q187" s="678"/>
      <c r="R187" s="678"/>
      <c r="S187" s="678"/>
      <c r="T187" s="678"/>
      <c r="U187" s="678"/>
      <c r="V187" s="678"/>
      <c r="W187" s="678"/>
      <c r="X187" s="678"/>
      <c r="Y187" s="678"/>
      <c r="Z187" s="678"/>
    </row>
    <row r="188" spans="1:26" ht="14.25" customHeight="1" x14ac:dyDescent="0.3">
      <c r="A188" s="678"/>
      <c r="B188" s="678"/>
      <c r="C188" s="678"/>
      <c r="D188" s="678"/>
      <c r="E188" s="678"/>
      <c r="F188" s="678"/>
      <c r="G188" s="678"/>
      <c r="H188" s="678"/>
      <c r="I188" s="678"/>
      <c r="J188" s="678"/>
      <c r="K188" s="678"/>
      <c r="L188" s="678"/>
      <c r="M188" s="678"/>
      <c r="N188" s="678"/>
      <c r="O188" s="678"/>
      <c r="P188" s="678"/>
      <c r="Q188" s="678"/>
      <c r="R188" s="678"/>
      <c r="S188" s="678"/>
      <c r="T188" s="678"/>
      <c r="U188" s="678"/>
      <c r="V188" s="678"/>
      <c r="W188" s="678"/>
      <c r="X188" s="678"/>
      <c r="Y188" s="678"/>
      <c r="Z188" s="678"/>
    </row>
    <row r="189" spans="1:26" ht="14.25" customHeight="1" x14ac:dyDescent="0.3">
      <c r="A189" s="678"/>
      <c r="B189" s="678"/>
      <c r="C189" s="678"/>
      <c r="D189" s="678"/>
      <c r="E189" s="678"/>
      <c r="F189" s="678"/>
      <c r="G189" s="678"/>
      <c r="H189" s="678"/>
      <c r="I189" s="678"/>
      <c r="J189" s="678"/>
      <c r="K189" s="678"/>
      <c r="L189" s="678"/>
      <c r="M189" s="678"/>
      <c r="N189" s="678"/>
      <c r="O189" s="678"/>
      <c r="P189" s="678"/>
      <c r="Q189" s="678"/>
      <c r="R189" s="678"/>
      <c r="S189" s="678"/>
      <c r="T189" s="678"/>
      <c r="U189" s="678"/>
      <c r="V189" s="678"/>
      <c r="W189" s="678"/>
      <c r="X189" s="678"/>
      <c r="Y189" s="678"/>
      <c r="Z189" s="678"/>
    </row>
    <row r="190" spans="1:26" ht="14.25" customHeight="1" x14ac:dyDescent="0.3">
      <c r="A190" s="678"/>
      <c r="B190" s="678"/>
      <c r="C190" s="678"/>
      <c r="D190" s="678"/>
      <c r="E190" s="678"/>
      <c r="F190" s="678"/>
      <c r="G190" s="678"/>
      <c r="H190" s="678"/>
      <c r="I190" s="678"/>
      <c r="J190" s="678"/>
      <c r="K190" s="678"/>
      <c r="L190" s="678"/>
      <c r="M190" s="678"/>
      <c r="N190" s="678"/>
      <c r="O190" s="678"/>
      <c r="P190" s="678"/>
      <c r="Q190" s="678"/>
      <c r="R190" s="678"/>
      <c r="S190" s="678"/>
      <c r="T190" s="678"/>
      <c r="U190" s="678"/>
      <c r="V190" s="678"/>
      <c r="W190" s="678"/>
      <c r="X190" s="678"/>
      <c r="Y190" s="678"/>
      <c r="Z190" s="678"/>
    </row>
    <row r="191" spans="1:26" ht="14.25" customHeight="1" x14ac:dyDescent="0.3">
      <c r="A191" s="678"/>
      <c r="B191" s="678"/>
      <c r="C191" s="678"/>
      <c r="D191" s="678"/>
      <c r="E191" s="678"/>
      <c r="F191" s="678"/>
      <c r="G191" s="678"/>
      <c r="H191" s="678"/>
      <c r="I191" s="678"/>
      <c r="J191" s="678"/>
      <c r="K191" s="678"/>
      <c r="L191" s="678"/>
      <c r="M191" s="678"/>
      <c r="N191" s="678"/>
      <c r="O191" s="678"/>
      <c r="P191" s="678"/>
      <c r="Q191" s="678"/>
      <c r="R191" s="678"/>
      <c r="S191" s="678"/>
      <c r="T191" s="678"/>
      <c r="U191" s="678"/>
      <c r="V191" s="678"/>
      <c r="W191" s="678"/>
      <c r="X191" s="678"/>
      <c r="Y191" s="678"/>
      <c r="Z191" s="678"/>
    </row>
    <row r="192" spans="1:26" ht="14.25" customHeight="1" x14ac:dyDescent="0.3">
      <c r="A192" s="678"/>
      <c r="B192" s="678"/>
      <c r="C192" s="678"/>
      <c r="D192" s="678"/>
      <c r="E192" s="678"/>
      <c r="F192" s="678"/>
      <c r="G192" s="678"/>
      <c r="H192" s="678"/>
      <c r="I192" s="678"/>
      <c r="J192" s="678"/>
      <c r="K192" s="678"/>
      <c r="L192" s="678"/>
      <c r="M192" s="678"/>
      <c r="N192" s="678"/>
      <c r="O192" s="678"/>
      <c r="P192" s="678"/>
      <c r="Q192" s="678"/>
      <c r="R192" s="678"/>
      <c r="S192" s="678"/>
      <c r="T192" s="678"/>
      <c r="U192" s="678"/>
      <c r="V192" s="678"/>
      <c r="W192" s="678"/>
      <c r="X192" s="678"/>
      <c r="Y192" s="678"/>
      <c r="Z192" s="678"/>
    </row>
    <row r="193" spans="1:26" ht="14.25" customHeight="1" x14ac:dyDescent="0.3">
      <c r="A193" s="678"/>
      <c r="B193" s="678"/>
      <c r="C193" s="678"/>
      <c r="D193" s="678"/>
      <c r="E193" s="678"/>
      <c r="F193" s="678"/>
      <c r="G193" s="678"/>
      <c r="H193" s="678"/>
      <c r="I193" s="678"/>
      <c r="J193" s="678"/>
      <c r="K193" s="678"/>
      <c r="L193" s="678"/>
      <c r="M193" s="678"/>
      <c r="N193" s="678"/>
      <c r="O193" s="678"/>
      <c r="P193" s="678"/>
      <c r="Q193" s="678"/>
      <c r="R193" s="678"/>
      <c r="S193" s="678"/>
      <c r="T193" s="678"/>
      <c r="U193" s="678"/>
      <c r="V193" s="678"/>
      <c r="W193" s="678"/>
      <c r="X193" s="678"/>
      <c r="Y193" s="678"/>
      <c r="Z193" s="678"/>
    </row>
    <row r="194" spans="1:26" ht="14.25" customHeight="1" x14ac:dyDescent="0.3">
      <c r="A194" s="678"/>
      <c r="B194" s="678"/>
      <c r="C194" s="678"/>
      <c r="D194" s="678"/>
      <c r="E194" s="678"/>
      <c r="F194" s="678"/>
      <c r="G194" s="678"/>
      <c r="H194" s="678"/>
      <c r="I194" s="678"/>
      <c r="J194" s="678"/>
      <c r="K194" s="678"/>
      <c r="L194" s="678"/>
      <c r="M194" s="678"/>
      <c r="N194" s="678"/>
      <c r="O194" s="678"/>
      <c r="P194" s="678"/>
      <c r="Q194" s="678"/>
      <c r="R194" s="678"/>
      <c r="S194" s="678"/>
      <c r="T194" s="678"/>
      <c r="U194" s="678"/>
      <c r="V194" s="678"/>
      <c r="W194" s="678"/>
      <c r="X194" s="678"/>
      <c r="Y194" s="678"/>
      <c r="Z194" s="678"/>
    </row>
    <row r="195" spans="1:26" ht="14.25" customHeight="1" x14ac:dyDescent="0.3">
      <c r="A195" s="678"/>
      <c r="B195" s="678"/>
      <c r="C195" s="678"/>
      <c r="D195" s="678"/>
      <c r="E195" s="678"/>
      <c r="F195" s="678"/>
      <c r="G195" s="678"/>
      <c r="H195" s="678"/>
      <c r="I195" s="678"/>
      <c r="J195" s="678"/>
      <c r="K195" s="678"/>
      <c r="L195" s="678"/>
      <c r="M195" s="678"/>
      <c r="N195" s="678"/>
      <c r="O195" s="678"/>
      <c r="P195" s="678"/>
      <c r="Q195" s="678"/>
      <c r="R195" s="678"/>
      <c r="S195" s="678"/>
      <c r="T195" s="678"/>
      <c r="U195" s="678"/>
      <c r="V195" s="678"/>
      <c r="W195" s="678"/>
      <c r="X195" s="678"/>
      <c r="Y195" s="678"/>
      <c r="Z195" s="678"/>
    </row>
    <row r="196" spans="1:26" ht="14.25" customHeight="1" x14ac:dyDescent="0.3">
      <c r="A196" s="678"/>
      <c r="B196" s="678"/>
      <c r="C196" s="678"/>
      <c r="D196" s="678"/>
      <c r="E196" s="678"/>
      <c r="F196" s="678"/>
      <c r="G196" s="678"/>
      <c r="H196" s="678"/>
      <c r="I196" s="678"/>
      <c r="J196" s="678"/>
      <c r="K196" s="678"/>
      <c r="L196" s="678"/>
      <c r="M196" s="678"/>
      <c r="N196" s="678"/>
      <c r="O196" s="678"/>
      <c r="P196" s="678"/>
      <c r="Q196" s="678"/>
      <c r="R196" s="678"/>
      <c r="S196" s="678"/>
      <c r="T196" s="678"/>
      <c r="U196" s="678"/>
      <c r="V196" s="678"/>
      <c r="W196" s="678"/>
      <c r="X196" s="678"/>
      <c r="Y196" s="678"/>
      <c r="Z196" s="678"/>
    </row>
    <row r="197" spans="1:26" ht="14.25" customHeight="1" x14ac:dyDescent="0.3">
      <c r="A197" s="678"/>
      <c r="B197" s="678"/>
      <c r="C197" s="678"/>
      <c r="D197" s="678"/>
      <c r="E197" s="678"/>
      <c r="F197" s="678"/>
      <c r="G197" s="678"/>
      <c r="H197" s="678"/>
      <c r="I197" s="678"/>
      <c r="J197" s="678"/>
      <c r="K197" s="678"/>
      <c r="L197" s="678"/>
      <c r="M197" s="678"/>
      <c r="N197" s="678"/>
      <c r="O197" s="678"/>
      <c r="P197" s="678"/>
      <c r="Q197" s="678"/>
      <c r="R197" s="678"/>
      <c r="S197" s="678"/>
      <c r="T197" s="678"/>
      <c r="U197" s="678"/>
      <c r="V197" s="678"/>
      <c r="W197" s="678"/>
      <c r="X197" s="678"/>
      <c r="Y197" s="678"/>
      <c r="Z197" s="678"/>
    </row>
    <row r="198" spans="1:26" ht="14.25" customHeight="1" x14ac:dyDescent="0.3">
      <c r="A198" s="678"/>
      <c r="B198" s="678"/>
      <c r="C198" s="678"/>
      <c r="D198" s="678"/>
      <c r="E198" s="678"/>
      <c r="F198" s="678"/>
      <c r="G198" s="678"/>
      <c r="H198" s="678"/>
      <c r="I198" s="678"/>
      <c r="J198" s="678"/>
      <c r="K198" s="678"/>
      <c r="L198" s="678"/>
      <c r="M198" s="678"/>
      <c r="N198" s="678"/>
      <c r="O198" s="678"/>
      <c r="P198" s="678"/>
      <c r="Q198" s="678"/>
      <c r="R198" s="678"/>
      <c r="S198" s="678"/>
      <c r="T198" s="678"/>
      <c r="U198" s="678"/>
      <c r="V198" s="678"/>
      <c r="W198" s="678"/>
      <c r="X198" s="678"/>
      <c r="Y198" s="678"/>
      <c r="Z198" s="678"/>
    </row>
    <row r="199" spans="1:26" ht="14.25" customHeight="1" x14ac:dyDescent="0.3">
      <c r="A199" s="678"/>
      <c r="B199" s="678"/>
      <c r="C199" s="678"/>
      <c r="D199" s="678"/>
      <c r="E199" s="678"/>
      <c r="F199" s="678"/>
      <c r="G199" s="678"/>
      <c r="H199" s="678"/>
      <c r="I199" s="678"/>
      <c r="J199" s="678"/>
      <c r="K199" s="678"/>
      <c r="L199" s="678"/>
      <c r="M199" s="678"/>
      <c r="N199" s="678"/>
      <c r="O199" s="678"/>
      <c r="P199" s="678"/>
      <c r="Q199" s="678"/>
      <c r="R199" s="678"/>
      <c r="S199" s="678"/>
      <c r="T199" s="678"/>
      <c r="U199" s="678"/>
      <c r="V199" s="678"/>
      <c r="W199" s="678"/>
      <c r="X199" s="678"/>
      <c r="Y199" s="678"/>
      <c r="Z199" s="678"/>
    </row>
    <row r="200" spans="1:26" ht="14.25" customHeight="1" x14ac:dyDescent="0.3">
      <c r="A200" s="678"/>
      <c r="B200" s="678"/>
      <c r="C200" s="678"/>
      <c r="D200" s="678"/>
      <c r="E200" s="678"/>
      <c r="F200" s="678"/>
      <c r="G200" s="678"/>
      <c r="H200" s="678"/>
      <c r="I200" s="678"/>
      <c r="J200" s="678"/>
      <c r="K200" s="678"/>
      <c r="L200" s="678"/>
      <c r="M200" s="678"/>
      <c r="N200" s="678"/>
      <c r="O200" s="678"/>
      <c r="P200" s="678"/>
      <c r="Q200" s="678"/>
      <c r="R200" s="678"/>
      <c r="S200" s="678"/>
      <c r="T200" s="678"/>
      <c r="U200" s="678"/>
      <c r="V200" s="678"/>
      <c r="W200" s="678"/>
      <c r="X200" s="678"/>
      <c r="Y200" s="678"/>
      <c r="Z200" s="678"/>
    </row>
    <row r="201" spans="1:26" ht="14.25" customHeight="1" x14ac:dyDescent="0.3">
      <c r="A201" s="678"/>
      <c r="B201" s="678"/>
      <c r="C201" s="678"/>
      <c r="D201" s="678"/>
      <c r="E201" s="678"/>
      <c r="F201" s="678"/>
      <c r="G201" s="678"/>
      <c r="H201" s="678"/>
      <c r="I201" s="678"/>
      <c r="J201" s="678"/>
      <c r="K201" s="678"/>
      <c r="L201" s="678"/>
      <c r="M201" s="678"/>
      <c r="N201" s="678"/>
      <c r="O201" s="678"/>
      <c r="P201" s="678"/>
      <c r="Q201" s="678"/>
      <c r="R201" s="678"/>
      <c r="S201" s="678"/>
      <c r="T201" s="678"/>
      <c r="U201" s="678"/>
      <c r="V201" s="678"/>
      <c r="W201" s="678"/>
      <c r="X201" s="678"/>
      <c r="Y201" s="678"/>
      <c r="Z201" s="678"/>
    </row>
    <row r="202" spans="1:26" ht="14.25" customHeight="1" x14ac:dyDescent="0.3">
      <c r="A202" s="678"/>
      <c r="B202" s="678"/>
      <c r="C202" s="678"/>
      <c r="D202" s="678"/>
      <c r="E202" s="678"/>
      <c r="F202" s="678"/>
      <c r="G202" s="678"/>
      <c r="H202" s="678"/>
      <c r="I202" s="678"/>
      <c r="J202" s="678"/>
      <c r="K202" s="678"/>
      <c r="L202" s="678"/>
      <c r="M202" s="678"/>
      <c r="N202" s="678"/>
      <c r="O202" s="678"/>
      <c r="P202" s="678"/>
      <c r="Q202" s="678"/>
      <c r="R202" s="678"/>
      <c r="S202" s="678"/>
      <c r="T202" s="678"/>
      <c r="U202" s="678"/>
      <c r="V202" s="678"/>
      <c r="W202" s="678"/>
      <c r="X202" s="678"/>
      <c r="Y202" s="678"/>
      <c r="Z202" s="678"/>
    </row>
    <row r="203" spans="1:26" ht="14.25" customHeight="1" x14ac:dyDescent="0.3">
      <c r="A203" s="678"/>
      <c r="B203" s="678"/>
      <c r="C203" s="678"/>
      <c r="D203" s="678"/>
      <c r="E203" s="678"/>
      <c r="F203" s="678"/>
      <c r="G203" s="678"/>
      <c r="H203" s="678"/>
      <c r="I203" s="678"/>
      <c r="J203" s="678"/>
      <c r="K203" s="678"/>
      <c r="L203" s="678"/>
      <c r="M203" s="678"/>
      <c r="N203" s="678"/>
      <c r="O203" s="678"/>
      <c r="P203" s="678"/>
      <c r="Q203" s="678"/>
      <c r="R203" s="678"/>
      <c r="S203" s="678"/>
      <c r="T203" s="678"/>
      <c r="U203" s="678"/>
      <c r="V203" s="678"/>
      <c r="W203" s="678"/>
      <c r="X203" s="678"/>
      <c r="Y203" s="678"/>
      <c r="Z203" s="678"/>
    </row>
    <row r="204" spans="1:26" ht="14.25" customHeight="1" x14ac:dyDescent="0.3">
      <c r="A204" s="678"/>
      <c r="B204" s="678"/>
      <c r="C204" s="678"/>
      <c r="D204" s="678"/>
      <c r="E204" s="678"/>
      <c r="F204" s="678"/>
      <c r="G204" s="678"/>
      <c r="H204" s="678"/>
      <c r="I204" s="678"/>
      <c r="J204" s="678"/>
      <c r="K204" s="678"/>
      <c r="L204" s="678"/>
      <c r="M204" s="678"/>
      <c r="N204" s="678"/>
      <c r="O204" s="678"/>
      <c r="P204" s="678"/>
      <c r="Q204" s="678"/>
      <c r="R204" s="678"/>
      <c r="S204" s="678"/>
      <c r="T204" s="678"/>
      <c r="U204" s="678"/>
      <c r="V204" s="678"/>
      <c r="W204" s="678"/>
      <c r="X204" s="678"/>
      <c r="Y204" s="678"/>
      <c r="Z204" s="678"/>
    </row>
    <row r="205" spans="1:26" ht="14.25" customHeight="1" x14ac:dyDescent="0.3">
      <c r="A205" s="678"/>
      <c r="B205" s="678"/>
      <c r="C205" s="678"/>
      <c r="D205" s="678"/>
      <c r="E205" s="678"/>
      <c r="F205" s="678"/>
      <c r="G205" s="678"/>
      <c r="H205" s="678"/>
      <c r="I205" s="678"/>
      <c r="J205" s="678"/>
      <c r="K205" s="678"/>
      <c r="L205" s="678"/>
      <c r="M205" s="678"/>
      <c r="N205" s="678"/>
      <c r="O205" s="678"/>
      <c r="P205" s="678"/>
      <c r="Q205" s="678"/>
      <c r="R205" s="678"/>
      <c r="S205" s="678"/>
      <c r="T205" s="678"/>
      <c r="U205" s="678"/>
      <c r="V205" s="678"/>
      <c r="W205" s="678"/>
      <c r="X205" s="678"/>
      <c r="Y205" s="678"/>
      <c r="Z205" s="678"/>
    </row>
    <row r="206" spans="1:26" ht="14.25" customHeight="1" x14ac:dyDescent="0.3">
      <c r="A206" s="678"/>
      <c r="B206" s="678"/>
      <c r="C206" s="678"/>
      <c r="D206" s="678"/>
      <c r="E206" s="678"/>
      <c r="F206" s="678"/>
      <c r="G206" s="678"/>
      <c r="H206" s="678"/>
      <c r="I206" s="678"/>
      <c r="J206" s="678"/>
      <c r="K206" s="678"/>
      <c r="L206" s="678"/>
      <c r="M206" s="678"/>
      <c r="N206" s="678"/>
      <c r="O206" s="678"/>
      <c r="P206" s="678"/>
      <c r="Q206" s="678"/>
      <c r="R206" s="678"/>
      <c r="S206" s="678"/>
      <c r="T206" s="678"/>
      <c r="U206" s="678"/>
      <c r="V206" s="678"/>
      <c r="W206" s="678"/>
      <c r="X206" s="678"/>
      <c r="Y206" s="678"/>
      <c r="Z206" s="678"/>
    </row>
    <row r="207" spans="1:26" ht="14.25" customHeight="1" x14ac:dyDescent="0.3">
      <c r="A207" s="678"/>
      <c r="B207" s="678"/>
      <c r="C207" s="678"/>
      <c r="D207" s="678"/>
      <c r="E207" s="678"/>
      <c r="F207" s="678"/>
      <c r="G207" s="678"/>
      <c r="H207" s="678"/>
      <c r="I207" s="678"/>
      <c r="J207" s="678"/>
      <c r="K207" s="678"/>
      <c r="L207" s="678"/>
      <c r="M207" s="678"/>
      <c r="N207" s="678"/>
      <c r="O207" s="678"/>
      <c r="P207" s="678"/>
      <c r="Q207" s="678"/>
      <c r="R207" s="678"/>
      <c r="S207" s="678"/>
      <c r="T207" s="678"/>
      <c r="U207" s="678"/>
      <c r="V207" s="678"/>
      <c r="W207" s="678"/>
      <c r="X207" s="678"/>
      <c r="Y207" s="678"/>
      <c r="Z207" s="678"/>
    </row>
    <row r="208" spans="1:26" ht="14.25" customHeight="1" x14ac:dyDescent="0.3">
      <c r="A208" s="678"/>
      <c r="B208" s="678"/>
      <c r="C208" s="678"/>
      <c r="D208" s="678"/>
      <c r="E208" s="678"/>
      <c r="F208" s="678"/>
      <c r="G208" s="678"/>
      <c r="H208" s="678"/>
      <c r="I208" s="678"/>
      <c r="J208" s="678"/>
      <c r="K208" s="678"/>
      <c r="L208" s="678"/>
      <c r="M208" s="678"/>
      <c r="N208" s="678"/>
      <c r="O208" s="678"/>
      <c r="P208" s="678"/>
      <c r="Q208" s="678"/>
      <c r="R208" s="678"/>
      <c r="S208" s="678"/>
      <c r="T208" s="678"/>
      <c r="U208" s="678"/>
      <c r="V208" s="678"/>
      <c r="W208" s="678"/>
      <c r="X208" s="678"/>
      <c r="Y208" s="678"/>
      <c r="Z208" s="678"/>
    </row>
    <row r="209" spans="1:26" ht="14.25" customHeight="1" x14ac:dyDescent="0.3">
      <c r="A209" s="678"/>
      <c r="B209" s="678"/>
      <c r="C209" s="678"/>
      <c r="D209" s="678"/>
      <c r="E209" s="678"/>
      <c r="F209" s="678"/>
      <c r="G209" s="678"/>
      <c r="H209" s="678"/>
      <c r="I209" s="678"/>
      <c r="J209" s="678"/>
      <c r="K209" s="678"/>
      <c r="L209" s="678"/>
      <c r="M209" s="678"/>
      <c r="N209" s="678"/>
      <c r="O209" s="678"/>
      <c r="P209" s="678"/>
      <c r="Q209" s="678"/>
      <c r="R209" s="678"/>
      <c r="S209" s="678"/>
      <c r="T209" s="678"/>
      <c r="U209" s="678"/>
      <c r="V209" s="678"/>
      <c r="W209" s="678"/>
      <c r="X209" s="678"/>
      <c r="Y209" s="678"/>
      <c r="Z209" s="678"/>
    </row>
    <row r="210" spans="1:26" ht="14.25" customHeight="1" x14ac:dyDescent="0.3">
      <c r="A210" s="678"/>
      <c r="B210" s="678"/>
      <c r="C210" s="678"/>
      <c r="D210" s="678"/>
      <c r="E210" s="678"/>
      <c r="F210" s="678"/>
      <c r="G210" s="678"/>
      <c r="H210" s="678"/>
      <c r="I210" s="678"/>
      <c r="J210" s="678"/>
      <c r="K210" s="678"/>
      <c r="L210" s="678"/>
      <c r="M210" s="678"/>
      <c r="N210" s="678"/>
      <c r="O210" s="678"/>
      <c r="P210" s="678"/>
      <c r="Q210" s="678"/>
      <c r="R210" s="678"/>
      <c r="S210" s="678"/>
      <c r="T210" s="678"/>
      <c r="U210" s="678"/>
      <c r="V210" s="678"/>
      <c r="W210" s="678"/>
      <c r="X210" s="678"/>
      <c r="Y210" s="678"/>
      <c r="Z210" s="678"/>
    </row>
    <row r="211" spans="1:26" ht="14.25" customHeight="1" x14ac:dyDescent="0.3">
      <c r="A211" s="678"/>
      <c r="B211" s="678"/>
      <c r="C211" s="678"/>
      <c r="D211" s="678"/>
      <c r="E211" s="678"/>
      <c r="F211" s="678"/>
      <c r="G211" s="678"/>
      <c r="H211" s="678"/>
      <c r="I211" s="678"/>
      <c r="J211" s="678"/>
      <c r="K211" s="678"/>
      <c r="L211" s="678"/>
      <c r="M211" s="678"/>
      <c r="N211" s="678"/>
      <c r="O211" s="678"/>
      <c r="P211" s="678"/>
      <c r="Q211" s="678"/>
      <c r="R211" s="678"/>
      <c r="S211" s="678"/>
      <c r="T211" s="678"/>
      <c r="U211" s="678"/>
      <c r="V211" s="678"/>
      <c r="W211" s="678"/>
      <c r="X211" s="678"/>
      <c r="Y211" s="678"/>
      <c r="Z211" s="678"/>
    </row>
    <row r="212" spans="1:26" ht="14.25" customHeight="1" x14ac:dyDescent="0.3">
      <c r="A212" s="678"/>
      <c r="B212" s="678"/>
      <c r="C212" s="678"/>
      <c r="D212" s="678"/>
      <c r="E212" s="678"/>
      <c r="F212" s="678"/>
      <c r="G212" s="678"/>
      <c r="H212" s="678"/>
      <c r="I212" s="678"/>
      <c r="J212" s="678"/>
      <c r="K212" s="678"/>
      <c r="L212" s="678"/>
      <c r="M212" s="678"/>
      <c r="N212" s="678"/>
      <c r="O212" s="678"/>
      <c r="P212" s="678"/>
      <c r="Q212" s="678"/>
      <c r="R212" s="678"/>
      <c r="S212" s="678"/>
      <c r="T212" s="678"/>
      <c r="U212" s="678"/>
      <c r="V212" s="678"/>
      <c r="W212" s="678"/>
      <c r="X212" s="678"/>
      <c r="Y212" s="678"/>
      <c r="Z212" s="678"/>
    </row>
    <row r="213" spans="1:26" ht="14.25" customHeight="1" x14ac:dyDescent="0.3">
      <c r="A213" s="678"/>
      <c r="B213" s="678"/>
      <c r="C213" s="678"/>
      <c r="D213" s="678"/>
      <c r="E213" s="678"/>
      <c r="F213" s="678"/>
      <c r="G213" s="678"/>
      <c r="H213" s="678"/>
      <c r="I213" s="678"/>
      <c r="J213" s="678"/>
      <c r="K213" s="678"/>
      <c r="L213" s="678"/>
      <c r="M213" s="678"/>
      <c r="N213" s="678"/>
      <c r="O213" s="678"/>
      <c r="P213" s="678"/>
      <c r="Q213" s="678"/>
      <c r="R213" s="678"/>
      <c r="S213" s="678"/>
      <c r="T213" s="678"/>
      <c r="U213" s="678"/>
      <c r="V213" s="678"/>
      <c r="W213" s="678"/>
      <c r="X213" s="678"/>
      <c r="Y213" s="678"/>
      <c r="Z213" s="678"/>
    </row>
    <row r="214" spans="1:26" ht="14.25" customHeight="1" x14ac:dyDescent="0.3">
      <c r="A214" s="678"/>
      <c r="B214" s="678"/>
      <c r="C214" s="678"/>
      <c r="D214" s="678"/>
      <c r="E214" s="678"/>
      <c r="F214" s="678"/>
      <c r="G214" s="678"/>
      <c r="H214" s="678"/>
      <c r="I214" s="678"/>
      <c r="J214" s="678"/>
      <c r="K214" s="678"/>
      <c r="L214" s="678"/>
      <c r="M214" s="678"/>
      <c r="N214" s="678"/>
      <c r="O214" s="678"/>
      <c r="P214" s="678"/>
      <c r="Q214" s="678"/>
      <c r="R214" s="678"/>
      <c r="S214" s="678"/>
      <c r="T214" s="678"/>
      <c r="U214" s="678"/>
      <c r="V214" s="678"/>
      <c r="W214" s="678"/>
      <c r="X214" s="678"/>
      <c r="Y214" s="678"/>
      <c r="Z214" s="678"/>
    </row>
    <row r="215" spans="1:26" ht="14.25" customHeight="1" x14ac:dyDescent="0.3">
      <c r="A215" s="678"/>
      <c r="B215" s="678"/>
      <c r="C215" s="678"/>
      <c r="D215" s="678"/>
      <c r="E215" s="678"/>
      <c r="F215" s="678"/>
      <c r="G215" s="678"/>
      <c r="H215" s="678"/>
      <c r="I215" s="678"/>
      <c r="J215" s="678"/>
      <c r="K215" s="678"/>
      <c r="L215" s="678"/>
      <c r="M215" s="678"/>
      <c r="N215" s="678"/>
      <c r="O215" s="678"/>
      <c r="P215" s="678"/>
      <c r="Q215" s="678"/>
      <c r="R215" s="678"/>
      <c r="S215" s="678"/>
      <c r="T215" s="678"/>
      <c r="U215" s="678"/>
      <c r="V215" s="678"/>
      <c r="W215" s="678"/>
      <c r="X215" s="678"/>
      <c r="Y215" s="678"/>
      <c r="Z215" s="678"/>
    </row>
    <row r="216" spans="1:26" ht="14.25" customHeight="1" x14ac:dyDescent="0.3">
      <c r="A216" s="678"/>
      <c r="B216" s="678"/>
      <c r="C216" s="678"/>
      <c r="D216" s="678"/>
      <c r="E216" s="678"/>
      <c r="F216" s="678"/>
      <c r="G216" s="678"/>
      <c r="H216" s="678"/>
      <c r="I216" s="678"/>
      <c r="J216" s="678"/>
      <c r="K216" s="678"/>
      <c r="L216" s="678"/>
      <c r="M216" s="678"/>
      <c r="N216" s="678"/>
      <c r="O216" s="678"/>
      <c r="P216" s="678"/>
      <c r="Q216" s="678"/>
      <c r="R216" s="678"/>
      <c r="S216" s="678"/>
      <c r="T216" s="678"/>
      <c r="U216" s="678"/>
      <c r="V216" s="678"/>
      <c r="W216" s="678"/>
      <c r="X216" s="678"/>
      <c r="Y216" s="678"/>
      <c r="Z216" s="678"/>
    </row>
    <row r="217" spans="1:26" ht="14.25" customHeight="1" x14ac:dyDescent="0.3">
      <c r="A217" s="678"/>
      <c r="B217" s="678"/>
      <c r="C217" s="678"/>
      <c r="D217" s="678"/>
      <c r="E217" s="678"/>
      <c r="F217" s="678"/>
      <c r="G217" s="678"/>
      <c r="H217" s="678"/>
      <c r="I217" s="678"/>
      <c r="J217" s="678"/>
      <c r="K217" s="678"/>
      <c r="L217" s="678"/>
      <c r="M217" s="678"/>
      <c r="N217" s="678"/>
      <c r="O217" s="678"/>
      <c r="P217" s="678"/>
      <c r="Q217" s="678"/>
      <c r="R217" s="678"/>
      <c r="S217" s="678"/>
      <c r="T217" s="678"/>
      <c r="U217" s="678"/>
      <c r="V217" s="678"/>
      <c r="W217" s="678"/>
      <c r="X217" s="678"/>
      <c r="Y217" s="678"/>
      <c r="Z217" s="678"/>
    </row>
    <row r="218" spans="1:26" ht="14.25" customHeight="1" x14ac:dyDescent="0.3">
      <c r="A218" s="678"/>
      <c r="B218" s="678"/>
      <c r="C218" s="678"/>
      <c r="D218" s="678"/>
      <c r="E218" s="678"/>
      <c r="F218" s="678"/>
      <c r="G218" s="678"/>
      <c r="H218" s="678"/>
      <c r="I218" s="678"/>
      <c r="J218" s="678"/>
      <c r="K218" s="678"/>
      <c r="L218" s="678"/>
      <c r="M218" s="678"/>
      <c r="N218" s="678"/>
      <c r="O218" s="678"/>
      <c r="P218" s="678"/>
      <c r="Q218" s="678"/>
      <c r="R218" s="678"/>
      <c r="S218" s="678"/>
      <c r="T218" s="678"/>
      <c r="U218" s="678"/>
      <c r="V218" s="678"/>
      <c r="W218" s="678"/>
      <c r="X218" s="678"/>
      <c r="Y218" s="678"/>
      <c r="Z218" s="678"/>
    </row>
    <row r="219" spans="1:26" ht="14.25" customHeight="1" x14ac:dyDescent="0.3">
      <c r="A219" s="678"/>
      <c r="B219" s="678"/>
      <c r="C219" s="678"/>
      <c r="D219" s="678"/>
      <c r="E219" s="678"/>
      <c r="F219" s="678"/>
      <c r="G219" s="678"/>
      <c r="H219" s="678"/>
      <c r="I219" s="678"/>
      <c r="J219" s="678"/>
      <c r="K219" s="678"/>
      <c r="L219" s="678"/>
      <c r="M219" s="678"/>
      <c r="N219" s="678"/>
      <c r="O219" s="678"/>
      <c r="P219" s="678"/>
      <c r="Q219" s="678"/>
      <c r="R219" s="678"/>
      <c r="S219" s="678"/>
      <c r="T219" s="678"/>
      <c r="U219" s="678"/>
      <c r="V219" s="678"/>
      <c r="W219" s="678"/>
      <c r="X219" s="678"/>
      <c r="Y219" s="678"/>
      <c r="Z219" s="678"/>
    </row>
    <row r="220" spans="1:26" ht="14.25" customHeight="1" x14ac:dyDescent="0.3">
      <c r="A220" s="678"/>
      <c r="B220" s="678"/>
      <c r="C220" s="678"/>
      <c r="D220" s="678"/>
      <c r="E220" s="678"/>
      <c r="F220" s="678"/>
      <c r="G220" s="678"/>
      <c r="H220" s="678"/>
      <c r="I220" s="678"/>
      <c r="J220" s="678"/>
      <c r="K220" s="678"/>
      <c r="L220" s="678"/>
      <c r="M220" s="678"/>
      <c r="N220" s="678"/>
      <c r="O220" s="678"/>
      <c r="P220" s="678"/>
      <c r="Q220" s="678"/>
      <c r="R220" s="678"/>
      <c r="S220" s="678"/>
      <c r="T220" s="678"/>
      <c r="U220" s="678"/>
      <c r="V220" s="678"/>
      <c r="W220" s="678"/>
      <c r="X220" s="678"/>
      <c r="Y220" s="678"/>
      <c r="Z220" s="678"/>
    </row>
    <row r="221" spans="1:26" ht="14.25" customHeight="1" x14ac:dyDescent="0.3">
      <c r="A221" s="678"/>
      <c r="B221" s="678"/>
      <c r="C221" s="678"/>
      <c r="D221" s="678"/>
      <c r="E221" s="678"/>
      <c r="F221" s="678"/>
      <c r="G221" s="678"/>
      <c r="H221" s="678"/>
      <c r="I221" s="678"/>
      <c r="J221" s="678"/>
      <c r="K221" s="678"/>
      <c r="L221" s="678"/>
      <c r="M221" s="678"/>
      <c r="N221" s="678"/>
      <c r="O221" s="678"/>
      <c r="P221" s="678"/>
      <c r="Q221" s="678"/>
      <c r="R221" s="678"/>
      <c r="S221" s="678"/>
      <c r="T221" s="678"/>
      <c r="U221" s="678"/>
      <c r="V221" s="678"/>
      <c r="W221" s="678"/>
      <c r="X221" s="678"/>
      <c r="Y221" s="678"/>
      <c r="Z221" s="678"/>
    </row>
    <row r="222" spans="1:26" ht="14.25" customHeight="1" x14ac:dyDescent="0.3">
      <c r="A222" s="678"/>
      <c r="B222" s="678"/>
      <c r="C222" s="678"/>
      <c r="D222" s="678"/>
      <c r="E222" s="678"/>
      <c r="F222" s="678"/>
      <c r="G222" s="678"/>
      <c r="H222" s="678"/>
      <c r="I222" s="678"/>
      <c r="J222" s="678"/>
      <c r="K222" s="678"/>
      <c r="L222" s="678"/>
      <c r="M222" s="678"/>
      <c r="N222" s="678"/>
      <c r="O222" s="678"/>
      <c r="P222" s="678"/>
      <c r="Q222" s="678"/>
      <c r="R222" s="678"/>
      <c r="S222" s="678"/>
      <c r="T222" s="678"/>
      <c r="U222" s="678"/>
      <c r="V222" s="678"/>
      <c r="W222" s="678"/>
      <c r="X222" s="678"/>
      <c r="Y222" s="678"/>
      <c r="Z222" s="678"/>
    </row>
    <row r="223" spans="1:26" ht="14.25" customHeight="1" x14ac:dyDescent="0.3">
      <c r="A223" s="678"/>
      <c r="B223" s="678"/>
      <c r="C223" s="678"/>
      <c r="D223" s="678"/>
      <c r="E223" s="678"/>
      <c r="F223" s="678"/>
      <c r="G223" s="678"/>
      <c r="H223" s="678"/>
      <c r="I223" s="678"/>
      <c r="J223" s="678"/>
      <c r="K223" s="678"/>
      <c r="L223" s="678"/>
      <c r="M223" s="678"/>
      <c r="N223" s="678"/>
      <c r="O223" s="678"/>
      <c r="P223" s="678"/>
      <c r="Q223" s="678"/>
      <c r="R223" s="678"/>
      <c r="S223" s="678"/>
      <c r="T223" s="678"/>
      <c r="U223" s="678"/>
      <c r="V223" s="678"/>
      <c r="W223" s="678"/>
      <c r="X223" s="678"/>
      <c r="Y223" s="678"/>
      <c r="Z223" s="678"/>
    </row>
    <row r="224" spans="1:26" ht="14.25" customHeight="1" x14ac:dyDescent="0.3">
      <c r="A224" s="678"/>
      <c r="B224" s="678"/>
      <c r="C224" s="678"/>
      <c r="D224" s="678"/>
      <c r="E224" s="678"/>
      <c r="F224" s="678"/>
      <c r="G224" s="678"/>
      <c r="H224" s="678"/>
      <c r="I224" s="678"/>
      <c r="J224" s="678"/>
      <c r="K224" s="678"/>
      <c r="L224" s="678"/>
      <c r="M224" s="678"/>
      <c r="N224" s="678"/>
      <c r="O224" s="678"/>
      <c r="P224" s="678"/>
      <c r="Q224" s="678"/>
      <c r="R224" s="678"/>
      <c r="S224" s="678"/>
      <c r="T224" s="678"/>
      <c r="U224" s="678"/>
      <c r="V224" s="678"/>
      <c r="W224" s="678"/>
      <c r="X224" s="678"/>
      <c r="Y224" s="678"/>
      <c r="Z224" s="678"/>
    </row>
    <row r="225" spans="1:26" ht="14.25" customHeight="1" x14ac:dyDescent="0.3">
      <c r="A225" s="678"/>
      <c r="B225" s="678"/>
      <c r="C225" s="678"/>
      <c r="D225" s="678"/>
      <c r="E225" s="678"/>
      <c r="F225" s="678"/>
      <c r="G225" s="678"/>
      <c r="H225" s="678"/>
      <c r="I225" s="678"/>
      <c r="J225" s="678"/>
      <c r="K225" s="678"/>
      <c r="L225" s="678"/>
      <c r="M225" s="678"/>
      <c r="N225" s="678"/>
      <c r="O225" s="678"/>
      <c r="P225" s="678"/>
      <c r="Q225" s="678"/>
      <c r="R225" s="678"/>
      <c r="S225" s="678"/>
      <c r="T225" s="678"/>
      <c r="U225" s="678"/>
      <c r="V225" s="678"/>
      <c r="W225" s="678"/>
      <c r="X225" s="678"/>
      <c r="Y225" s="678"/>
      <c r="Z225" s="678"/>
    </row>
    <row r="226" spans="1:26" ht="14.25" customHeight="1" x14ac:dyDescent="0.3">
      <c r="A226" s="678"/>
      <c r="B226" s="678"/>
      <c r="C226" s="678"/>
      <c r="D226" s="678"/>
      <c r="E226" s="678"/>
      <c r="F226" s="678"/>
      <c r="G226" s="678"/>
      <c r="H226" s="678"/>
      <c r="I226" s="678"/>
      <c r="J226" s="678"/>
      <c r="K226" s="678"/>
      <c r="L226" s="678"/>
      <c r="M226" s="678"/>
      <c r="N226" s="678"/>
      <c r="O226" s="678"/>
      <c r="P226" s="678"/>
      <c r="Q226" s="678"/>
      <c r="R226" s="678"/>
      <c r="S226" s="678"/>
      <c r="T226" s="678"/>
      <c r="U226" s="678"/>
      <c r="V226" s="678"/>
      <c r="W226" s="678"/>
      <c r="X226" s="678"/>
      <c r="Y226" s="678"/>
      <c r="Z226" s="678"/>
    </row>
    <row r="227" spans="1:26" ht="14.25" customHeight="1" x14ac:dyDescent="0.3">
      <c r="A227" s="678"/>
      <c r="B227" s="678"/>
      <c r="C227" s="678"/>
      <c r="D227" s="678"/>
      <c r="E227" s="678"/>
      <c r="F227" s="678"/>
      <c r="G227" s="678"/>
      <c r="H227" s="678"/>
      <c r="I227" s="678"/>
      <c r="J227" s="678"/>
      <c r="K227" s="678"/>
      <c r="L227" s="678"/>
      <c r="M227" s="678"/>
      <c r="N227" s="678"/>
      <c r="O227" s="678"/>
      <c r="P227" s="678"/>
      <c r="Q227" s="678"/>
      <c r="R227" s="678"/>
      <c r="S227" s="678"/>
      <c r="T227" s="678"/>
      <c r="U227" s="678"/>
      <c r="V227" s="678"/>
      <c r="W227" s="678"/>
      <c r="X227" s="678"/>
      <c r="Y227" s="678"/>
      <c r="Z227" s="678"/>
    </row>
    <row r="228" spans="1:26" ht="14.25" customHeight="1" x14ac:dyDescent="0.3">
      <c r="A228" s="678"/>
      <c r="B228" s="678"/>
      <c r="C228" s="678"/>
      <c r="D228" s="678"/>
      <c r="E228" s="678"/>
      <c r="F228" s="678"/>
      <c r="G228" s="678"/>
      <c r="H228" s="678"/>
      <c r="I228" s="678"/>
      <c r="J228" s="678"/>
      <c r="K228" s="678"/>
      <c r="L228" s="678"/>
      <c r="M228" s="678"/>
      <c r="N228" s="678"/>
      <c r="O228" s="678"/>
      <c r="P228" s="678"/>
      <c r="Q228" s="678"/>
      <c r="R228" s="678"/>
      <c r="S228" s="678"/>
      <c r="T228" s="678"/>
      <c r="U228" s="678"/>
      <c r="V228" s="678"/>
      <c r="W228" s="678"/>
      <c r="X228" s="678"/>
      <c r="Y228" s="678"/>
      <c r="Z228" s="678"/>
    </row>
    <row r="229" spans="1:26" ht="15.75" customHeight="1" x14ac:dyDescent="0.3"/>
    <row r="230" spans="1:26" ht="15.75" customHeight="1" x14ac:dyDescent="0.3"/>
    <row r="231" spans="1:26" ht="15.75" customHeight="1" x14ac:dyDescent="0.3"/>
    <row r="232" spans="1:26" ht="15.75" customHeight="1" x14ac:dyDescent="0.3"/>
    <row r="233" spans="1:26" ht="15.75" customHeight="1" x14ac:dyDescent="0.3"/>
    <row r="234" spans="1:26" ht="15.75" customHeight="1" x14ac:dyDescent="0.3"/>
    <row r="235" spans="1:26" ht="15.75" customHeight="1" x14ac:dyDescent="0.3"/>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0000000000000007" right="0.700000000000000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000"/>
  <sheetViews>
    <sheetView showGridLines="0" workbookViewId="0"/>
  </sheetViews>
  <sheetFormatPr baseColWidth="10" defaultColWidth="12.6640625" defaultRowHeight="15" customHeight="1" x14ac:dyDescent="0.3"/>
  <cols>
    <col min="1" max="1" width="20.33203125" customWidth="1"/>
    <col min="2" max="3" width="13.109375" customWidth="1"/>
    <col min="4" max="6" width="8" customWidth="1"/>
  </cols>
  <sheetData>
    <row r="1" spans="1:6" ht="14.25" customHeight="1" x14ac:dyDescent="0.3">
      <c r="A1" s="324"/>
      <c r="B1" s="15" t="s">
        <v>2252</v>
      </c>
      <c r="C1" s="15" t="s">
        <v>2253</v>
      </c>
      <c r="D1" s="7"/>
      <c r="E1" s="7"/>
      <c r="F1" s="7"/>
    </row>
    <row r="2" spans="1:6" ht="14.25" customHeight="1" x14ac:dyDescent="0.3">
      <c r="A2" s="324"/>
      <c r="B2" s="19" t="s">
        <v>2254</v>
      </c>
      <c r="C2" s="19" t="s">
        <v>2254</v>
      </c>
      <c r="D2" s="7"/>
      <c r="E2" s="7"/>
      <c r="F2" s="7"/>
    </row>
    <row r="3" spans="1:6" ht="14.25" customHeight="1" x14ac:dyDescent="0.3">
      <c r="A3" s="324" t="s">
        <v>9</v>
      </c>
      <c r="B3" s="1024">
        <v>1334472683.3251071</v>
      </c>
      <c r="C3" s="1024">
        <v>1388099652.089303</v>
      </c>
      <c r="D3" s="7"/>
      <c r="E3" s="7"/>
      <c r="F3" s="7"/>
    </row>
    <row r="4" spans="1:6" ht="14.25" customHeight="1" x14ac:dyDescent="0.3">
      <c r="A4" s="324" t="s">
        <v>20</v>
      </c>
      <c r="B4" s="1024">
        <v>250268151.21000001</v>
      </c>
      <c r="C4" s="1024">
        <v>229436820.14820001</v>
      </c>
      <c r="D4" s="7"/>
      <c r="E4" s="7"/>
      <c r="F4" s="7"/>
    </row>
    <row r="5" spans="1:6" ht="14.25" customHeight="1" x14ac:dyDescent="0.3">
      <c r="A5" s="324" t="s">
        <v>38</v>
      </c>
      <c r="B5" s="1024">
        <v>8472292.3699999992</v>
      </c>
      <c r="C5" s="1024">
        <v>9530481.2708000001</v>
      </c>
      <c r="D5" s="7"/>
      <c r="E5" s="7"/>
      <c r="F5" s="7"/>
    </row>
    <row r="6" spans="1:6" ht="14.25" customHeight="1" x14ac:dyDescent="0.3">
      <c r="A6" s="1066" t="s">
        <v>2255</v>
      </c>
      <c r="B6" s="1067">
        <f>SUM(B3:B5)</f>
        <v>1593213126.905107</v>
      </c>
      <c r="C6" s="1068">
        <f>SUM(C3:C5)</f>
        <v>1627066953.5083032</v>
      </c>
      <c r="D6" s="7"/>
      <c r="E6" s="7"/>
      <c r="F6" s="7"/>
    </row>
    <row r="7" spans="1:6" ht="14.25" customHeight="1" x14ac:dyDescent="0.3">
      <c r="A7" s="324"/>
      <c r="B7" s="15" t="s">
        <v>2252</v>
      </c>
      <c r="C7" s="15" t="s">
        <v>2253</v>
      </c>
      <c r="D7" s="7"/>
      <c r="E7" s="7"/>
      <c r="F7" s="7"/>
    </row>
    <row r="8" spans="1:6" ht="14.25" customHeight="1" x14ac:dyDescent="0.3">
      <c r="A8" s="324"/>
      <c r="B8" s="19" t="s">
        <v>2254</v>
      </c>
      <c r="C8" s="19" t="s">
        <v>2254</v>
      </c>
      <c r="D8" s="7"/>
      <c r="E8" s="7"/>
      <c r="F8" s="7"/>
    </row>
    <row r="9" spans="1:6" ht="14.25" customHeight="1" x14ac:dyDescent="0.3">
      <c r="A9" s="324" t="s">
        <v>49</v>
      </c>
      <c r="B9" s="1024">
        <v>32817543</v>
      </c>
      <c r="C9" s="1024">
        <v>36626581.417600013</v>
      </c>
      <c r="D9" s="7"/>
      <c r="E9" s="7"/>
      <c r="F9" s="7"/>
    </row>
    <row r="10" spans="1:6" ht="14.25" customHeight="1" x14ac:dyDescent="0.3">
      <c r="A10" s="324" t="s">
        <v>65</v>
      </c>
      <c r="B10" s="1024">
        <v>7407384.9550000001</v>
      </c>
      <c r="C10" s="1024">
        <v>3554580</v>
      </c>
      <c r="D10" s="7"/>
      <c r="E10" s="7"/>
      <c r="F10" s="7"/>
    </row>
    <row r="11" spans="1:6" ht="14.25" customHeight="1" x14ac:dyDescent="0.3">
      <c r="A11" s="324" t="s">
        <v>95</v>
      </c>
      <c r="B11" s="1024">
        <v>15134042.48</v>
      </c>
      <c r="C11" s="1024">
        <v>12982526.976</v>
      </c>
      <c r="D11" s="7"/>
      <c r="E11" s="7"/>
      <c r="F11" s="7"/>
    </row>
    <row r="12" spans="1:6" ht="14.25" customHeight="1" x14ac:dyDescent="0.3">
      <c r="A12" s="324" t="s">
        <v>103</v>
      </c>
      <c r="B12" s="1024">
        <v>21236626.129999999</v>
      </c>
      <c r="C12" s="1024">
        <v>20936256.2367488</v>
      </c>
      <c r="D12" s="7"/>
      <c r="E12" s="7"/>
      <c r="F12" s="7"/>
    </row>
    <row r="13" spans="1:6" ht="14.25" customHeight="1" x14ac:dyDescent="0.3">
      <c r="A13" s="324" t="s">
        <v>118</v>
      </c>
      <c r="B13" s="1024">
        <v>86769284.479090914</v>
      </c>
      <c r="C13" s="1024">
        <v>115033815</v>
      </c>
      <c r="D13" s="7"/>
      <c r="E13" s="7"/>
      <c r="F13" s="7"/>
    </row>
    <row r="14" spans="1:6" ht="14.25" customHeight="1" x14ac:dyDescent="0.3">
      <c r="A14" s="324" t="s">
        <v>2256</v>
      </c>
      <c r="B14" s="1024">
        <v>35081100</v>
      </c>
      <c r="C14" s="1024">
        <v>39936000</v>
      </c>
      <c r="D14" s="7"/>
      <c r="E14" s="7"/>
      <c r="F14" s="7"/>
    </row>
    <row r="15" spans="1:6" ht="14.25" customHeight="1" x14ac:dyDescent="0.3">
      <c r="A15" s="324" t="s">
        <v>125</v>
      </c>
      <c r="B15" s="1024">
        <v>5759455</v>
      </c>
      <c r="C15" s="1024">
        <v>5133600</v>
      </c>
      <c r="D15" s="7"/>
      <c r="E15" s="7"/>
      <c r="F15" s="7"/>
    </row>
    <row r="16" spans="1:6" ht="14.25" customHeight="1" x14ac:dyDescent="0.3">
      <c r="A16" s="324" t="s">
        <v>148</v>
      </c>
      <c r="B16" s="1024">
        <v>92604799.150000006</v>
      </c>
      <c r="C16" s="1024">
        <v>105546670.74071831</v>
      </c>
      <c r="D16" s="7"/>
      <c r="E16" s="7"/>
      <c r="F16" s="7"/>
    </row>
    <row r="17" spans="1:6" ht="14.25" customHeight="1" x14ac:dyDescent="0.3">
      <c r="A17" s="324" t="s">
        <v>182</v>
      </c>
      <c r="B17" s="1024">
        <v>2968012.416666667</v>
      </c>
      <c r="C17" s="1024">
        <v>5329640</v>
      </c>
      <c r="D17" s="7"/>
      <c r="E17" s="7"/>
      <c r="F17" s="7"/>
    </row>
    <row r="18" spans="1:6" ht="14.25" customHeight="1" x14ac:dyDescent="0.3">
      <c r="A18" s="324" t="s">
        <v>227</v>
      </c>
      <c r="B18" s="1024">
        <v>15380085</v>
      </c>
      <c r="C18" s="1024">
        <v>19524803.442099638</v>
      </c>
      <c r="D18" s="7"/>
      <c r="E18" s="7"/>
      <c r="F18" s="7"/>
    </row>
    <row r="19" spans="1:6" ht="14.25" customHeight="1" x14ac:dyDescent="0.3">
      <c r="A19" s="324" t="s">
        <v>1617</v>
      </c>
      <c r="B19" s="1024">
        <v>256350416.72987041</v>
      </c>
      <c r="C19" s="1024">
        <v>270000000</v>
      </c>
      <c r="D19" s="7"/>
      <c r="E19" s="7"/>
      <c r="F19" s="7"/>
    </row>
    <row r="20" spans="1:6" ht="14.25" customHeight="1" x14ac:dyDescent="0.3">
      <c r="A20" s="1066" t="s">
        <v>2257</v>
      </c>
      <c r="B20" s="1067">
        <v>571508749.34062803</v>
      </c>
      <c r="C20" s="1068">
        <v>634604473.81316686</v>
      </c>
      <c r="D20" s="7"/>
      <c r="E20" s="7"/>
      <c r="F20" s="7"/>
    </row>
    <row r="21" spans="1:6" ht="14.25" customHeight="1" x14ac:dyDescent="0.3">
      <c r="A21" s="324"/>
      <c r="B21" s="324"/>
      <c r="C21" s="324"/>
      <c r="D21" s="7"/>
      <c r="E21" s="7"/>
      <c r="F21" s="7"/>
    </row>
    <row r="22" spans="1:6" ht="14.25" customHeight="1" x14ac:dyDescent="0.3">
      <c r="A22" s="7"/>
      <c r="B22" s="7"/>
      <c r="C22" s="7"/>
      <c r="D22" s="7"/>
      <c r="E22" s="7"/>
      <c r="F22" s="7"/>
    </row>
    <row r="23" spans="1:6" ht="14.25" customHeight="1" x14ac:dyDescent="0.3">
      <c r="A23" s="7"/>
      <c r="B23" s="7"/>
      <c r="C23" s="7"/>
      <c r="D23" s="7"/>
      <c r="E23" s="7"/>
      <c r="F23" s="7"/>
    </row>
    <row r="24" spans="1:6" ht="14.25" customHeight="1" x14ac:dyDescent="0.3">
      <c r="A24" s="7"/>
      <c r="B24" s="7"/>
      <c r="C24" s="7"/>
      <c r="D24" s="7"/>
      <c r="E24" s="7"/>
      <c r="F24" s="7"/>
    </row>
    <row r="25" spans="1:6" ht="14.25" customHeight="1" x14ac:dyDescent="0.3">
      <c r="A25" s="7"/>
      <c r="B25" s="7"/>
      <c r="C25" s="7"/>
      <c r="D25" s="7"/>
      <c r="E25" s="7"/>
      <c r="F25" s="7"/>
    </row>
    <row r="26" spans="1:6" ht="14.25" customHeight="1" x14ac:dyDescent="0.3">
      <c r="A26" s="7"/>
      <c r="B26" s="7"/>
      <c r="C26" s="7"/>
      <c r="D26" s="7"/>
      <c r="E26" s="7"/>
      <c r="F26" s="7"/>
    </row>
    <row r="27" spans="1:6" ht="14.25" customHeight="1" x14ac:dyDescent="0.3">
      <c r="A27" s="7"/>
      <c r="B27" s="7"/>
      <c r="C27" s="7"/>
      <c r="D27" s="7"/>
      <c r="E27" s="7"/>
      <c r="F27" s="7"/>
    </row>
    <row r="28" spans="1:6" ht="14.25" customHeight="1" x14ac:dyDescent="0.3">
      <c r="A28" s="7"/>
      <c r="B28" s="7"/>
      <c r="C28" s="7"/>
      <c r="D28" s="7"/>
      <c r="E28" s="7"/>
      <c r="F28" s="7"/>
    </row>
    <row r="29" spans="1:6" ht="14.25" customHeight="1" x14ac:dyDescent="0.3">
      <c r="A29" s="7"/>
      <c r="B29" s="7"/>
      <c r="C29" s="7"/>
      <c r="D29" s="7"/>
      <c r="E29" s="7"/>
      <c r="F29" s="7"/>
    </row>
    <row r="30" spans="1:6" ht="14.25" customHeight="1" x14ac:dyDescent="0.3">
      <c r="A30" s="7"/>
      <c r="B30" s="7"/>
      <c r="C30" s="7"/>
      <c r="D30" s="7"/>
      <c r="E30" s="7"/>
      <c r="F30" s="7"/>
    </row>
    <row r="31" spans="1:6" ht="14.25" customHeight="1" x14ac:dyDescent="0.3">
      <c r="A31" s="7"/>
      <c r="B31" s="7"/>
      <c r="C31" s="7"/>
      <c r="D31" s="7"/>
      <c r="E31" s="7"/>
      <c r="F31" s="7"/>
    </row>
    <row r="32" spans="1:6" ht="14.25" customHeight="1" x14ac:dyDescent="0.3">
      <c r="A32" s="7"/>
      <c r="B32" s="7"/>
      <c r="C32" s="7"/>
      <c r="D32" s="7"/>
      <c r="E32" s="7"/>
      <c r="F32" s="7"/>
    </row>
    <row r="33" spans="1:6" ht="14.25" customHeight="1" x14ac:dyDescent="0.3">
      <c r="A33" s="7"/>
      <c r="B33" s="7"/>
      <c r="C33" s="7"/>
      <c r="D33" s="7"/>
      <c r="E33" s="7"/>
      <c r="F33" s="7"/>
    </row>
    <row r="34" spans="1:6" ht="14.25" customHeight="1" x14ac:dyDescent="0.3">
      <c r="A34" s="7"/>
      <c r="B34" s="7"/>
      <c r="C34" s="7"/>
      <c r="D34" s="7"/>
      <c r="E34" s="7"/>
      <c r="F34" s="7"/>
    </row>
    <row r="35" spans="1:6" ht="14.25" customHeight="1" x14ac:dyDescent="0.3">
      <c r="A35" s="7"/>
      <c r="B35" s="7"/>
      <c r="C35" s="7"/>
      <c r="D35" s="7"/>
      <c r="E35" s="7"/>
      <c r="F35" s="7"/>
    </row>
    <row r="36" spans="1:6" ht="14.25" customHeight="1" x14ac:dyDescent="0.3">
      <c r="A36" s="7"/>
      <c r="B36" s="7"/>
      <c r="C36" s="7"/>
      <c r="D36" s="7"/>
      <c r="E36" s="7"/>
      <c r="F36" s="7"/>
    </row>
    <row r="37" spans="1:6" ht="14.25" customHeight="1" x14ac:dyDescent="0.3">
      <c r="A37" s="7"/>
      <c r="B37" s="7"/>
      <c r="C37" s="7"/>
      <c r="D37" s="7"/>
      <c r="E37" s="7"/>
      <c r="F37" s="7"/>
    </row>
    <row r="38" spans="1:6" ht="14.25" customHeight="1" x14ac:dyDescent="0.3">
      <c r="A38" s="7"/>
      <c r="B38" s="7"/>
      <c r="C38" s="7"/>
      <c r="D38" s="7"/>
      <c r="E38" s="7"/>
      <c r="F38" s="7"/>
    </row>
    <row r="39" spans="1:6" ht="14.25" customHeight="1" x14ac:dyDescent="0.3">
      <c r="A39" s="7"/>
      <c r="B39" s="7"/>
      <c r="C39" s="7"/>
      <c r="D39" s="7"/>
      <c r="E39" s="7"/>
      <c r="F39" s="7"/>
    </row>
    <row r="40" spans="1:6" ht="14.25" customHeight="1" x14ac:dyDescent="0.3">
      <c r="A40" s="7"/>
      <c r="B40" s="7"/>
      <c r="C40" s="7"/>
      <c r="D40" s="7"/>
      <c r="E40" s="7"/>
      <c r="F40" s="7"/>
    </row>
    <row r="41" spans="1:6" ht="14.25" customHeight="1" x14ac:dyDescent="0.3">
      <c r="A41" s="7"/>
      <c r="B41" s="7"/>
      <c r="C41" s="7"/>
      <c r="D41" s="7"/>
      <c r="E41" s="7"/>
      <c r="F41" s="7"/>
    </row>
    <row r="42" spans="1:6" ht="14.25" customHeight="1" x14ac:dyDescent="0.3">
      <c r="A42" s="7"/>
      <c r="B42" s="7"/>
      <c r="C42" s="7"/>
      <c r="D42" s="7"/>
      <c r="E42" s="7"/>
      <c r="F42" s="7"/>
    </row>
    <row r="43" spans="1:6" ht="14.25" customHeight="1" x14ac:dyDescent="0.3">
      <c r="A43" s="7"/>
      <c r="B43" s="7"/>
      <c r="C43" s="7"/>
      <c r="D43" s="7"/>
      <c r="E43" s="7"/>
      <c r="F43" s="7"/>
    </row>
    <row r="44" spans="1:6" ht="14.25" customHeight="1" x14ac:dyDescent="0.3">
      <c r="A44" s="7"/>
      <c r="B44" s="7"/>
      <c r="C44" s="7"/>
      <c r="D44" s="7"/>
      <c r="E44" s="7"/>
      <c r="F44" s="7"/>
    </row>
    <row r="45" spans="1:6" ht="14.25" customHeight="1" x14ac:dyDescent="0.3">
      <c r="A45" s="7"/>
      <c r="B45" s="7"/>
      <c r="C45" s="7"/>
      <c r="D45" s="7"/>
      <c r="E45" s="7"/>
      <c r="F45" s="7"/>
    </row>
    <row r="46" spans="1:6" ht="14.25" customHeight="1" x14ac:dyDescent="0.3">
      <c r="A46" s="7"/>
      <c r="B46" s="7"/>
      <c r="C46" s="7"/>
      <c r="D46" s="7"/>
      <c r="E46" s="7"/>
      <c r="F46" s="7"/>
    </row>
    <row r="47" spans="1:6" ht="14.25" customHeight="1" x14ac:dyDescent="0.3">
      <c r="A47" s="7"/>
      <c r="B47" s="7"/>
      <c r="C47" s="7"/>
      <c r="D47" s="7"/>
      <c r="E47" s="7"/>
      <c r="F47" s="7"/>
    </row>
    <row r="48" spans="1:6" ht="14.25" customHeight="1" x14ac:dyDescent="0.3">
      <c r="A48" s="7"/>
      <c r="B48" s="7"/>
      <c r="C48" s="7"/>
      <c r="D48" s="7"/>
      <c r="E48" s="7"/>
      <c r="F48" s="7"/>
    </row>
    <row r="49" spans="1:6" ht="14.25" customHeight="1" x14ac:dyDescent="0.3">
      <c r="A49" s="7"/>
      <c r="B49" s="7"/>
      <c r="C49" s="7"/>
      <c r="D49" s="7"/>
      <c r="E49" s="7"/>
      <c r="F49" s="7"/>
    </row>
    <row r="50" spans="1:6" ht="14.25" customHeight="1" x14ac:dyDescent="0.3">
      <c r="A50" s="7"/>
      <c r="B50" s="7"/>
      <c r="C50" s="7"/>
      <c r="D50" s="7"/>
      <c r="E50" s="7"/>
      <c r="F50" s="7"/>
    </row>
    <row r="51" spans="1:6" ht="14.25" customHeight="1" x14ac:dyDescent="0.3">
      <c r="A51" s="7"/>
      <c r="B51" s="7"/>
      <c r="C51" s="7"/>
      <c r="D51" s="7"/>
      <c r="E51" s="7"/>
      <c r="F51" s="7"/>
    </row>
    <row r="52" spans="1:6" ht="14.25" customHeight="1" x14ac:dyDescent="0.3">
      <c r="A52" s="7"/>
      <c r="B52" s="7"/>
      <c r="C52" s="7"/>
      <c r="D52" s="7"/>
      <c r="E52" s="7"/>
      <c r="F52" s="7"/>
    </row>
    <row r="53" spans="1:6" ht="14.25" customHeight="1" x14ac:dyDescent="0.3">
      <c r="A53" s="7"/>
      <c r="B53" s="7"/>
      <c r="C53" s="7"/>
      <c r="D53" s="7"/>
      <c r="E53" s="7"/>
      <c r="F53" s="7"/>
    </row>
    <row r="54" spans="1:6" ht="14.25" customHeight="1" x14ac:dyDescent="0.3">
      <c r="A54" s="7"/>
      <c r="B54" s="7"/>
      <c r="C54" s="7"/>
      <c r="D54" s="7"/>
      <c r="E54" s="7"/>
      <c r="F54" s="7"/>
    </row>
    <row r="55" spans="1:6" ht="14.25" customHeight="1" x14ac:dyDescent="0.3">
      <c r="A55" s="7"/>
      <c r="B55" s="7"/>
      <c r="C55" s="7"/>
      <c r="D55" s="7"/>
      <c r="E55" s="7"/>
      <c r="F55" s="7"/>
    </row>
    <row r="56" spans="1:6" ht="14.25" customHeight="1" x14ac:dyDescent="0.3">
      <c r="A56" s="7"/>
      <c r="B56" s="7"/>
      <c r="C56" s="7"/>
      <c r="D56" s="7"/>
      <c r="E56" s="7"/>
      <c r="F56" s="7"/>
    </row>
    <row r="57" spans="1:6" ht="14.25" customHeight="1" x14ac:dyDescent="0.3">
      <c r="A57" s="7"/>
      <c r="B57" s="7"/>
      <c r="C57" s="7"/>
      <c r="D57" s="7"/>
      <c r="E57" s="7"/>
      <c r="F57" s="7"/>
    </row>
    <row r="58" spans="1:6" ht="14.25" customHeight="1" x14ac:dyDescent="0.3">
      <c r="A58" s="7"/>
      <c r="B58" s="7"/>
      <c r="C58" s="7"/>
      <c r="D58" s="7"/>
      <c r="E58" s="7"/>
      <c r="F58" s="7"/>
    </row>
    <row r="59" spans="1:6" ht="14.25" customHeight="1" x14ac:dyDescent="0.3">
      <c r="A59" s="7"/>
      <c r="B59" s="7"/>
      <c r="C59" s="7"/>
      <c r="D59" s="7"/>
      <c r="E59" s="7"/>
      <c r="F59" s="7"/>
    </row>
    <row r="60" spans="1:6" ht="14.25" customHeight="1" x14ac:dyDescent="0.3">
      <c r="A60" s="7"/>
      <c r="B60" s="7"/>
      <c r="C60" s="7"/>
      <c r="D60" s="7"/>
      <c r="E60" s="7"/>
      <c r="F60" s="7"/>
    </row>
    <row r="61" spans="1:6" ht="14.25" customHeight="1" x14ac:dyDescent="0.3">
      <c r="A61" s="7"/>
      <c r="B61" s="7"/>
      <c r="C61" s="7"/>
      <c r="D61" s="7"/>
      <c r="E61" s="7"/>
      <c r="F61" s="7"/>
    </row>
    <row r="62" spans="1:6" ht="14.25" customHeight="1" x14ac:dyDescent="0.3">
      <c r="A62" s="7"/>
      <c r="B62" s="7"/>
      <c r="C62" s="7"/>
      <c r="D62" s="7"/>
      <c r="E62" s="7"/>
      <c r="F62" s="7"/>
    </row>
    <row r="63" spans="1:6" ht="14.25" customHeight="1" x14ac:dyDescent="0.3">
      <c r="A63" s="7"/>
      <c r="B63" s="7"/>
      <c r="C63" s="7"/>
      <c r="D63" s="7"/>
      <c r="E63" s="7"/>
      <c r="F63" s="7"/>
    </row>
    <row r="64" spans="1:6" ht="14.25" customHeight="1" x14ac:dyDescent="0.3">
      <c r="A64" s="7"/>
      <c r="B64" s="7"/>
      <c r="C64" s="7"/>
      <c r="D64" s="7"/>
      <c r="E64" s="7"/>
      <c r="F64" s="7"/>
    </row>
    <row r="65" spans="1:6" ht="14.25" customHeight="1" x14ac:dyDescent="0.3">
      <c r="A65" s="7"/>
      <c r="B65" s="7"/>
      <c r="C65" s="7"/>
      <c r="D65" s="7"/>
      <c r="E65" s="7"/>
      <c r="F65" s="7"/>
    </row>
    <row r="66" spans="1:6" ht="14.25" customHeight="1" x14ac:dyDescent="0.3">
      <c r="A66" s="7"/>
      <c r="B66" s="7"/>
      <c r="C66" s="7"/>
      <c r="D66" s="7"/>
      <c r="E66" s="7"/>
      <c r="F66" s="7"/>
    </row>
    <row r="67" spans="1:6" ht="14.25" customHeight="1" x14ac:dyDescent="0.3">
      <c r="A67" s="7"/>
      <c r="B67" s="7"/>
      <c r="C67" s="7"/>
      <c r="D67" s="7"/>
      <c r="E67" s="7"/>
      <c r="F67" s="7"/>
    </row>
    <row r="68" spans="1:6" ht="14.25" customHeight="1" x14ac:dyDescent="0.3">
      <c r="A68" s="7"/>
      <c r="B68" s="7"/>
      <c r="C68" s="7"/>
      <c r="D68" s="7"/>
      <c r="E68" s="7"/>
      <c r="F68" s="7"/>
    </row>
    <row r="69" spans="1:6" ht="14.25" customHeight="1" x14ac:dyDescent="0.3">
      <c r="A69" s="7"/>
      <c r="B69" s="7"/>
      <c r="C69" s="7"/>
      <c r="D69" s="7"/>
      <c r="E69" s="7"/>
      <c r="F69" s="7"/>
    </row>
    <row r="70" spans="1:6" ht="14.25" customHeight="1" x14ac:dyDescent="0.3">
      <c r="A70" s="7"/>
      <c r="B70" s="7"/>
      <c r="C70" s="7"/>
      <c r="D70" s="7"/>
      <c r="E70" s="7"/>
      <c r="F70" s="7"/>
    </row>
    <row r="71" spans="1:6" ht="14.25" customHeight="1" x14ac:dyDescent="0.3">
      <c r="A71" s="7"/>
      <c r="B71" s="7"/>
      <c r="C71" s="7"/>
      <c r="D71" s="7"/>
      <c r="E71" s="7"/>
      <c r="F71" s="7"/>
    </row>
    <row r="72" spans="1:6" ht="14.25" customHeight="1" x14ac:dyDescent="0.3">
      <c r="A72" s="7"/>
      <c r="B72" s="7"/>
      <c r="C72" s="7"/>
      <c r="D72" s="7"/>
      <c r="E72" s="7"/>
      <c r="F72" s="7"/>
    </row>
    <row r="73" spans="1:6" ht="14.25" customHeight="1" x14ac:dyDescent="0.3">
      <c r="A73" s="7"/>
      <c r="B73" s="7"/>
      <c r="C73" s="7"/>
      <c r="D73" s="7"/>
      <c r="E73" s="7"/>
      <c r="F73" s="7"/>
    </row>
    <row r="74" spans="1:6" ht="14.25" customHeight="1" x14ac:dyDescent="0.3">
      <c r="A74" s="7"/>
      <c r="B74" s="7"/>
      <c r="C74" s="7"/>
      <c r="D74" s="7"/>
      <c r="E74" s="7"/>
      <c r="F74" s="7"/>
    </row>
    <row r="75" spans="1:6" ht="14.25" customHeight="1" x14ac:dyDescent="0.3">
      <c r="A75" s="7"/>
      <c r="B75" s="7"/>
      <c r="C75" s="7"/>
      <c r="D75" s="7"/>
      <c r="E75" s="7"/>
      <c r="F75" s="7"/>
    </row>
    <row r="76" spans="1:6" ht="14.25" customHeight="1" x14ac:dyDescent="0.3">
      <c r="A76" s="7"/>
      <c r="B76" s="7"/>
      <c r="C76" s="7"/>
      <c r="D76" s="7"/>
      <c r="E76" s="7"/>
      <c r="F76" s="7"/>
    </row>
    <row r="77" spans="1:6" ht="14.25" customHeight="1" x14ac:dyDescent="0.3">
      <c r="A77" s="7"/>
      <c r="B77" s="7"/>
      <c r="C77" s="7"/>
      <c r="D77" s="7"/>
      <c r="E77" s="7"/>
      <c r="F77" s="7"/>
    </row>
    <row r="78" spans="1:6" ht="14.25" customHeight="1" x14ac:dyDescent="0.3">
      <c r="A78" s="7"/>
      <c r="B78" s="7"/>
      <c r="C78" s="7"/>
      <c r="D78" s="7"/>
      <c r="E78" s="7"/>
      <c r="F78" s="7"/>
    </row>
    <row r="79" spans="1:6" ht="14.25" customHeight="1" x14ac:dyDescent="0.3">
      <c r="A79" s="7"/>
      <c r="B79" s="7"/>
      <c r="C79" s="7"/>
      <c r="D79" s="7"/>
      <c r="E79" s="7"/>
      <c r="F79" s="7"/>
    </row>
    <row r="80" spans="1:6" ht="14.25" customHeight="1" x14ac:dyDescent="0.3">
      <c r="A80" s="7"/>
      <c r="B80" s="7"/>
      <c r="C80" s="7"/>
      <c r="D80" s="7"/>
      <c r="E80" s="7"/>
      <c r="F80" s="7"/>
    </row>
    <row r="81" spans="1:6" ht="14.25" customHeight="1" x14ac:dyDescent="0.3">
      <c r="A81" s="7"/>
      <c r="B81" s="7"/>
      <c r="C81" s="7"/>
      <c r="D81" s="7"/>
      <c r="E81" s="7"/>
      <c r="F81" s="7"/>
    </row>
    <row r="82" spans="1:6" ht="14.25" customHeight="1" x14ac:dyDescent="0.3">
      <c r="A82" s="7"/>
      <c r="B82" s="7"/>
      <c r="C82" s="7"/>
      <c r="D82" s="7"/>
      <c r="E82" s="7"/>
      <c r="F82" s="7"/>
    </row>
    <row r="83" spans="1:6" ht="14.25" customHeight="1" x14ac:dyDescent="0.3">
      <c r="A83" s="7"/>
      <c r="B83" s="7"/>
      <c r="C83" s="7"/>
      <c r="D83" s="7"/>
      <c r="E83" s="7"/>
      <c r="F83" s="7"/>
    </row>
    <row r="84" spans="1:6" ht="14.25" customHeight="1" x14ac:dyDescent="0.3">
      <c r="A84" s="7"/>
      <c r="B84" s="7"/>
      <c r="C84" s="7"/>
      <c r="D84" s="7"/>
      <c r="E84" s="7"/>
      <c r="F84" s="7"/>
    </row>
    <row r="85" spans="1:6" ht="14.25" customHeight="1" x14ac:dyDescent="0.3">
      <c r="A85" s="7"/>
      <c r="B85" s="7"/>
      <c r="C85" s="7"/>
      <c r="D85" s="7"/>
      <c r="E85" s="7"/>
      <c r="F85" s="7"/>
    </row>
    <row r="86" spans="1:6" ht="14.25" customHeight="1" x14ac:dyDescent="0.3">
      <c r="A86" s="7"/>
      <c r="B86" s="7"/>
      <c r="C86" s="7"/>
      <c r="D86" s="7"/>
      <c r="E86" s="7"/>
      <c r="F86" s="7"/>
    </row>
    <row r="87" spans="1:6" ht="14.25" customHeight="1" x14ac:dyDescent="0.3">
      <c r="A87" s="7"/>
      <c r="B87" s="7"/>
      <c r="C87" s="7"/>
      <c r="D87" s="7"/>
      <c r="E87" s="7"/>
      <c r="F87" s="7"/>
    </row>
    <row r="88" spans="1:6" ht="14.25" customHeight="1" x14ac:dyDescent="0.3">
      <c r="A88" s="7"/>
      <c r="B88" s="7"/>
      <c r="C88" s="7"/>
      <c r="D88" s="7"/>
      <c r="E88" s="7"/>
      <c r="F88" s="7"/>
    </row>
    <row r="89" spans="1:6" ht="14.25" customHeight="1" x14ac:dyDescent="0.3">
      <c r="A89" s="7"/>
      <c r="B89" s="7"/>
      <c r="C89" s="7"/>
      <c r="D89" s="7"/>
      <c r="E89" s="7"/>
      <c r="F89" s="7"/>
    </row>
    <row r="90" spans="1:6" ht="14.25" customHeight="1" x14ac:dyDescent="0.3">
      <c r="A90" s="7"/>
      <c r="B90" s="7"/>
      <c r="C90" s="7"/>
      <c r="D90" s="7"/>
      <c r="E90" s="7"/>
      <c r="F90" s="7"/>
    </row>
    <row r="91" spans="1:6" ht="14.25" customHeight="1" x14ac:dyDescent="0.3">
      <c r="A91" s="7"/>
      <c r="B91" s="7"/>
      <c r="C91" s="7"/>
      <c r="D91" s="7"/>
      <c r="E91" s="7"/>
      <c r="F91" s="7"/>
    </row>
    <row r="92" spans="1:6" ht="14.25" customHeight="1" x14ac:dyDescent="0.3">
      <c r="A92" s="7"/>
      <c r="B92" s="7"/>
      <c r="C92" s="7"/>
      <c r="D92" s="7"/>
      <c r="E92" s="7"/>
      <c r="F92" s="7"/>
    </row>
    <row r="93" spans="1:6" ht="14.25" customHeight="1" x14ac:dyDescent="0.3">
      <c r="A93" s="7"/>
      <c r="B93" s="7"/>
      <c r="C93" s="7"/>
      <c r="D93" s="7"/>
      <c r="E93" s="7"/>
      <c r="F93" s="7"/>
    </row>
    <row r="94" spans="1:6" ht="14.25" customHeight="1" x14ac:dyDescent="0.3">
      <c r="A94" s="7"/>
      <c r="B94" s="7"/>
      <c r="C94" s="7"/>
      <c r="D94" s="7"/>
      <c r="E94" s="7"/>
      <c r="F94" s="7"/>
    </row>
    <row r="95" spans="1:6" ht="14.25" customHeight="1" x14ac:dyDescent="0.3">
      <c r="A95" s="7"/>
      <c r="B95" s="7"/>
      <c r="C95" s="7"/>
      <c r="D95" s="7"/>
      <c r="E95" s="7"/>
      <c r="F95" s="7"/>
    </row>
    <row r="96" spans="1:6" ht="14.25" customHeight="1" x14ac:dyDescent="0.3">
      <c r="A96" s="7"/>
      <c r="B96" s="7"/>
      <c r="C96" s="7"/>
      <c r="D96" s="7"/>
      <c r="E96" s="7"/>
      <c r="F96" s="7"/>
    </row>
    <row r="97" spans="1:6" ht="14.25" customHeight="1" x14ac:dyDescent="0.3">
      <c r="A97" s="7"/>
      <c r="B97" s="7"/>
      <c r="C97" s="7"/>
      <c r="D97" s="7"/>
      <c r="E97" s="7"/>
      <c r="F97" s="7"/>
    </row>
    <row r="98" spans="1:6" ht="14.25" customHeight="1" x14ac:dyDescent="0.3">
      <c r="A98" s="7"/>
      <c r="B98" s="7"/>
      <c r="C98" s="7"/>
      <c r="D98" s="7"/>
      <c r="E98" s="7"/>
      <c r="F98" s="7"/>
    </row>
    <row r="99" spans="1:6" ht="14.25" customHeight="1" x14ac:dyDescent="0.3">
      <c r="A99" s="7"/>
      <c r="B99" s="7"/>
      <c r="C99" s="7"/>
      <c r="D99" s="7"/>
      <c r="E99" s="7"/>
      <c r="F99" s="7"/>
    </row>
    <row r="100" spans="1:6" ht="14.25" customHeight="1" x14ac:dyDescent="0.3">
      <c r="A100" s="7"/>
      <c r="B100" s="7"/>
      <c r="C100" s="7"/>
      <c r="D100" s="7"/>
      <c r="E100" s="7"/>
      <c r="F100" s="7"/>
    </row>
    <row r="101" spans="1:6" ht="14.25" customHeight="1" x14ac:dyDescent="0.3">
      <c r="A101" s="7"/>
      <c r="B101" s="7"/>
      <c r="C101" s="7"/>
      <c r="D101" s="7"/>
      <c r="E101" s="7"/>
      <c r="F101" s="7"/>
    </row>
    <row r="102" spans="1:6" ht="14.25" customHeight="1" x14ac:dyDescent="0.3">
      <c r="A102" s="7"/>
      <c r="B102" s="7"/>
      <c r="C102" s="7"/>
      <c r="D102" s="7"/>
      <c r="E102" s="7"/>
      <c r="F102" s="7"/>
    </row>
    <row r="103" spans="1:6" ht="14.25" customHeight="1" x14ac:dyDescent="0.3">
      <c r="A103" s="7"/>
      <c r="B103" s="7"/>
      <c r="C103" s="7"/>
      <c r="D103" s="7"/>
      <c r="E103" s="7"/>
      <c r="F103" s="7"/>
    </row>
    <row r="104" spans="1:6" ht="14.25" customHeight="1" x14ac:dyDescent="0.3">
      <c r="A104" s="7"/>
      <c r="B104" s="7"/>
      <c r="C104" s="7"/>
      <c r="D104" s="7"/>
      <c r="E104" s="7"/>
      <c r="F104" s="7"/>
    </row>
    <row r="105" spans="1:6" ht="14.25" customHeight="1" x14ac:dyDescent="0.3">
      <c r="A105" s="7"/>
      <c r="B105" s="7"/>
      <c r="C105" s="7"/>
      <c r="D105" s="7"/>
      <c r="E105" s="7"/>
      <c r="F105" s="7"/>
    </row>
    <row r="106" spans="1:6" ht="14.25" customHeight="1" x14ac:dyDescent="0.3">
      <c r="A106" s="7"/>
      <c r="B106" s="7"/>
      <c r="C106" s="7"/>
      <c r="D106" s="7"/>
      <c r="E106" s="7"/>
      <c r="F106" s="7"/>
    </row>
    <row r="107" spans="1:6" ht="14.25" customHeight="1" x14ac:dyDescent="0.3">
      <c r="A107" s="7"/>
      <c r="B107" s="7"/>
      <c r="C107" s="7"/>
      <c r="D107" s="7"/>
      <c r="E107" s="7"/>
      <c r="F107" s="7"/>
    </row>
    <row r="108" spans="1:6" ht="14.25" customHeight="1" x14ac:dyDescent="0.3">
      <c r="A108" s="7"/>
      <c r="B108" s="7"/>
      <c r="C108" s="7"/>
      <c r="D108" s="7"/>
      <c r="E108" s="7"/>
      <c r="F108" s="7"/>
    </row>
    <row r="109" spans="1:6" ht="14.25" customHeight="1" x14ac:dyDescent="0.3">
      <c r="A109" s="7"/>
      <c r="B109" s="7"/>
      <c r="C109" s="7"/>
      <c r="D109" s="7"/>
      <c r="E109" s="7"/>
      <c r="F109" s="7"/>
    </row>
    <row r="110" spans="1:6" ht="14.25" customHeight="1" x14ac:dyDescent="0.3">
      <c r="A110" s="7"/>
      <c r="B110" s="7"/>
      <c r="C110" s="7"/>
      <c r="D110" s="7"/>
      <c r="E110" s="7"/>
      <c r="F110" s="7"/>
    </row>
    <row r="111" spans="1:6" ht="14.25" customHeight="1" x14ac:dyDescent="0.3">
      <c r="A111" s="7"/>
      <c r="B111" s="7"/>
      <c r="C111" s="7"/>
      <c r="D111" s="7"/>
      <c r="E111" s="7"/>
      <c r="F111" s="7"/>
    </row>
    <row r="112" spans="1:6" ht="14.25" customHeight="1" x14ac:dyDescent="0.3">
      <c r="A112" s="7"/>
      <c r="B112" s="7"/>
      <c r="C112" s="7"/>
      <c r="D112" s="7"/>
      <c r="E112" s="7"/>
      <c r="F112" s="7"/>
    </row>
    <row r="113" spans="1:6" ht="14.25" customHeight="1" x14ac:dyDescent="0.3">
      <c r="A113" s="7"/>
      <c r="B113" s="7"/>
      <c r="C113" s="7"/>
      <c r="D113" s="7"/>
      <c r="E113" s="7"/>
      <c r="F113" s="7"/>
    </row>
    <row r="114" spans="1:6" ht="14.25" customHeight="1" x14ac:dyDescent="0.3">
      <c r="A114" s="7"/>
      <c r="B114" s="7"/>
      <c r="C114" s="7"/>
      <c r="D114" s="7"/>
      <c r="E114" s="7"/>
      <c r="F114" s="7"/>
    </row>
    <row r="115" spans="1:6" ht="14.25" customHeight="1" x14ac:dyDescent="0.3">
      <c r="A115" s="7"/>
      <c r="B115" s="7"/>
      <c r="C115" s="7"/>
      <c r="D115" s="7"/>
      <c r="E115" s="7"/>
      <c r="F115" s="7"/>
    </row>
    <row r="116" spans="1:6" ht="14.25" customHeight="1" x14ac:dyDescent="0.3">
      <c r="A116" s="7"/>
      <c r="B116" s="7"/>
      <c r="C116" s="7"/>
      <c r="D116" s="7"/>
      <c r="E116" s="7"/>
      <c r="F116" s="7"/>
    </row>
    <row r="117" spans="1:6" ht="14.25" customHeight="1" x14ac:dyDescent="0.3">
      <c r="A117" s="7"/>
      <c r="B117" s="7"/>
      <c r="C117" s="7"/>
      <c r="D117" s="7"/>
      <c r="E117" s="7"/>
      <c r="F117" s="7"/>
    </row>
    <row r="118" spans="1:6" ht="14.25" customHeight="1" x14ac:dyDescent="0.3">
      <c r="A118" s="7"/>
      <c r="B118" s="7"/>
      <c r="C118" s="7"/>
      <c r="D118" s="7"/>
      <c r="E118" s="7"/>
      <c r="F118" s="7"/>
    </row>
    <row r="119" spans="1:6" ht="14.25" customHeight="1" x14ac:dyDescent="0.3">
      <c r="A119" s="7"/>
      <c r="B119" s="7"/>
      <c r="C119" s="7"/>
      <c r="D119" s="7"/>
      <c r="E119" s="7"/>
      <c r="F119" s="7"/>
    </row>
    <row r="120" spans="1:6" ht="14.25" customHeight="1" x14ac:dyDescent="0.3">
      <c r="A120" s="7"/>
      <c r="B120" s="7"/>
      <c r="C120" s="7"/>
      <c r="D120" s="7"/>
      <c r="E120" s="7"/>
      <c r="F120" s="7"/>
    </row>
    <row r="121" spans="1:6" ht="14.25" customHeight="1" x14ac:dyDescent="0.3">
      <c r="A121" s="7"/>
      <c r="B121" s="7"/>
      <c r="C121" s="7"/>
      <c r="D121" s="7"/>
      <c r="E121" s="7"/>
      <c r="F121" s="7"/>
    </row>
    <row r="122" spans="1:6" ht="14.25" customHeight="1" x14ac:dyDescent="0.3">
      <c r="A122" s="7"/>
      <c r="B122" s="7"/>
      <c r="C122" s="7"/>
      <c r="D122" s="7"/>
      <c r="E122" s="7"/>
      <c r="F122" s="7"/>
    </row>
    <row r="123" spans="1:6" ht="14.25" customHeight="1" x14ac:dyDescent="0.3">
      <c r="A123" s="7"/>
      <c r="B123" s="7"/>
      <c r="C123" s="7"/>
      <c r="D123" s="7"/>
      <c r="E123" s="7"/>
      <c r="F123" s="7"/>
    </row>
    <row r="124" spans="1:6" ht="14.25" customHeight="1" x14ac:dyDescent="0.3">
      <c r="A124" s="7"/>
      <c r="B124" s="7"/>
      <c r="C124" s="7"/>
      <c r="D124" s="7"/>
      <c r="E124" s="7"/>
      <c r="F124" s="7"/>
    </row>
    <row r="125" spans="1:6" ht="14.25" customHeight="1" x14ac:dyDescent="0.3">
      <c r="A125" s="7"/>
      <c r="B125" s="7"/>
      <c r="C125" s="7"/>
      <c r="D125" s="7"/>
      <c r="E125" s="7"/>
      <c r="F125" s="7"/>
    </row>
    <row r="126" spans="1:6" ht="14.25" customHeight="1" x14ac:dyDescent="0.3">
      <c r="A126" s="7"/>
      <c r="B126" s="7"/>
      <c r="C126" s="7"/>
      <c r="D126" s="7"/>
      <c r="E126" s="7"/>
      <c r="F126" s="7"/>
    </row>
    <row r="127" spans="1:6" ht="14.25" customHeight="1" x14ac:dyDescent="0.3">
      <c r="A127" s="7"/>
      <c r="B127" s="7"/>
      <c r="C127" s="7"/>
      <c r="D127" s="7"/>
      <c r="E127" s="7"/>
      <c r="F127" s="7"/>
    </row>
    <row r="128" spans="1:6" ht="14.25" customHeight="1" x14ac:dyDescent="0.3">
      <c r="A128" s="7"/>
      <c r="B128" s="7"/>
      <c r="C128" s="7"/>
      <c r="D128" s="7"/>
      <c r="E128" s="7"/>
      <c r="F128" s="7"/>
    </row>
    <row r="129" spans="1:6" ht="14.25" customHeight="1" x14ac:dyDescent="0.3">
      <c r="A129" s="7"/>
      <c r="B129" s="7"/>
      <c r="C129" s="7"/>
      <c r="D129" s="7"/>
      <c r="E129" s="7"/>
      <c r="F129" s="7"/>
    </row>
    <row r="130" spans="1:6" ht="14.25" customHeight="1" x14ac:dyDescent="0.3">
      <c r="A130" s="7"/>
      <c r="B130" s="7"/>
      <c r="C130" s="7"/>
      <c r="D130" s="7"/>
      <c r="E130" s="7"/>
      <c r="F130" s="7"/>
    </row>
    <row r="131" spans="1:6" ht="14.25" customHeight="1" x14ac:dyDescent="0.3">
      <c r="A131" s="7"/>
      <c r="B131" s="7"/>
      <c r="C131" s="7"/>
      <c r="D131" s="7"/>
      <c r="E131" s="7"/>
      <c r="F131" s="7"/>
    </row>
    <row r="132" spans="1:6" ht="14.25" customHeight="1" x14ac:dyDescent="0.3">
      <c r="A132" s="7"/>
      <c r="B132" s="7"/>
      <c r="C132" s="7"/>
      <c r="D132" s="7"/>
      <c r="E132" s="7"/>
      <c r="F132" s="7"/>
    </row>
    <row r="133" spans="1:6" ht="14.25" customHeight="1" x14ac:dyDescent="0.3">
      <c r="A133" s="7"/>
      <c r="B133" s="7"/>
      <c r="C133" s="7"/>
      <c r="D133" s="7"/>
      <c r="E133" s="7"/>
      <c r="F133" s="7"/>
    </row>
    <row r="134" spans="1:6" ht="14.25" customHeight="1" x14ac:dyDescent="0.3">
      <c r="A134" s="7"/>
      <c r="B134" s="7"/>
      <c r="C134" s="7"/>
      <c r="D134" s="7"/>
      <c r="E134" s="7"/>
      <c r="F134" s="7"/>
    </row>
    <row r="135" spans="1:6" ht="14.25" customHeight="1" x14ac:dyDescent="0.3">
      <c r="A135" s="7"/>
      <c r="B135" s="7"/>
      <c r="C135" s="7"/>
      <c r="D135" s="7"/>
      <c r="E135" s="7"/>
      <c r="F135" s="7"/>
    </row>
    <row r="136" spans="1:6" ht="14.25" customHeight="1" x14ac:dyDescent="0.3">
      <c r="A136" s="7"/>
      <c r="B136" s="7"/>
      <c r="C136" s="7"/>
      <c r="D136" s="7"/>
      <c r="E136" s="7"/>
      <c r="F136" s="7"/>
    </row>
    <row r="137" spans="1:6" ht="14.25" customHeight="1" x14ac:dyDescent="0.3">
      <c r="A137" s="7"/>
      <c r="B137" s="7"/>
      <c r="C137" s="7"/>
      <c r="D137" s="7"/>
      <c r="E137" s="7"/>
      <c r="F137" s="7"/>
    </row>
    <row r="138" spans="1:6" ht="14.25" customHeight="1" x14ac:dyDescent="0.3">
      <c r="A138" s="7"/>
      <c r="B138" s="7"/>
      <c r="C138" s="7"/>
      <c r="D138" s="7"/>
      <c r="E138" s="7"/>
      <c r="F138" s="7"/>
    </row>
    <row r="139" spans="1:6" ht="14.25" customHeight="1" x14ac:dyDescent="0.3">
      <c r="A139" s="7"/>
      <c r="B139" s="7"/>
      <c r="C139" s="7"/>
      <c r="D139" s="7"/>
      <c r="E139" s="7"/>
      <c r="F139" s="7"/>
    </row>
    <row r="140" spans="1:6" ht="14.25" customHeight="1" x14ac:dyDescent="0.3">
      <c r="A140" s="7"/>
      <c r="B140" s="7"/>
      <c r="C140" s="7"/>
      <c r="D140" s="7"/>
      <c r="E140" s="7"/>
      <c r="F140" s="7"/>
    </row>
    <row r="141" spans="1:6" ht="14.25" customHeight="1" x14ac:dyDescent="0.3">
      <c r="A141" s="7"/>
      <c r="B141" s="7"/>
      <c r="C141" s="7"/>
      <c r="D141" s="7"/>
      <c r="E141" s="7"/>
      <c r="F141" s="7"/>
    </row>
    <row r="142" spans="1:6" ht="14.25" customHeight="1" x14ac:dyDescent="0.3">
      <c r="A142" s="7"/>
      <c r="B142" s="7"/>
      <c r="C142" s="7"/>
      <c r="D142" s="7"/>
      <c r="E142" s="7"/>
      <c r="F142" s="7"/>
    </row>
    <row r="143" spans="1:6" ht="14.25" customHeight="1" x14ac:dyDescent="0.3">
      <c r="A143" s="7"/>
      <c r="B143" s="7"/>
      <c r="C143" s="7"/>
      <c r="D143" s="7"/>
      <c r="E143" s="7"/>
      <c r="F143" s="7"/>
    </row>
    <row r="144" spans="1:6" ht="14.25" customHeight="1" x14ac:dyDescent="0.3">
      <c r="A144" s="7"/>
      <c r="B144" s="7"/>
      <c r="C144" s="7"/>
      <c r="D144" s="7"/>
      <c r="E144" s="7"/>
      <c r="F144" s="7"/>
    </row>
    <row r="145" spans="1:6" ht="14.25" customHeight="1" x14ac:dyDescent="0.3">
      <c r="A145" s="7"/>
      <c r="B145" s="7"/>
      <c r="C145" s="7"/>
      <c r="D145" s="7"/>
      <c r="E145" s="7"/>
      <c r="F145" s="7"/>
    </row>
    <row r="146" spans="1:6" ht="14.25" customHeight="1" x14ac:dyDescent="0.3">
      <c r="A146" s="7"/>
      <c r="B146" s="7"/>
      <c r="C146" s="7"/>
      <c r="D146" s="7"/>
      <c r="E146" s="7"/>
      <c r="F146" s="7"/>
    </row>
    <row r="147" spans="1:6" ht="14.25" customHeight="1" x14ac:dyDescent="0.3">
      <c r="A147" s="7"/>
      <c r="B147" s="7"/>
      <c r="C147" s="7"/>
      <c r="D147" s="7"/>
      <c r="E147" s="7"/>
      <c r="F147" s="7"/>
    </row>
    <row r="148" spans="1:6" ht="14.25" customHeight="1" x14ac:dyDescent="0.3">
      <c r="A148" s="7"/>
      <c r="B148" s="7"/>
      <c r="C148" s="7"/>
      <c r="D148" s="7"/>
      <c r="E148" s="7"/>
      <c r="F148" s="7"/>
    </row>
    <row r="149" spans="1:6" ht="14.25" customHeight="1" x14ac:dyDescent="0.3">
      <c r="A149" s="7"/>
      <c r="B149" s="7"/>
      <c r="C149" s="7"/>
      <c r="D149" s="7"/>
      <c r="E149" s="7"/>
      <c r="F149" s="7"/>
    </row>
    <row r="150" spans="1:6" ht="14.25" customHeight="1" x14ac:dyDescent="0.3">
      <c r="A150" s="7"/>
      <c r="B150" s="7"/>
      <c r="C150" s="7"/>
      <c r="D150" s="7"/>
      <c r="E150" s="7"/>
      <c r="F150" s="7"/>
    </row>
    <row r="151" spans="1:6" ht="14.25" customHeight="1" x14ac:dyDescent="0.3">
      <c r="A151" s="7"/>
      <c r="B151" s="7"/>
      <c r="C151" s="7"/>
      <c r="D151" s="7"/>
      <c r="E151" s="7"/>
      <c r="F151" s="7"/>
    </row>
    <row r="152" spans="1:6" ht="14.25" customHeight="1" x14ac:dyDescent="0.3">
      <c r="A152" s="7"/>
      <c r="B152" s="7"/>
      <c r="C152" s="7"/>
      <c r="D152" s="7"/>
      <c r="E152" s="7"/>
      <c r="F152" s="7"/>
    </row>
    <row r="153" spans="1:6" ht="14.25" customHeight="1" x14ac:dyDescent="0.3">
      <c r="A153" s="7"/>
      <c r="B153" s="7"/>
      <c r="C153" s="7"/>
      <c r="D153" s="7"/>
      <c r="E153" s="7"/>
      <c r="F153" s="7"/>
    </row>
    <row r="154" spans="1:6" ht="14.25" customHeight="1" x14ac:dyDescent="0.3">
      <c r="A154" s="7"/>
      <c r="B154" s="7"/>
      <c r="C154" s="7"/>
      <c r="D154" s="7"/>
      <c r="E154" s="7"/>
      <c r="F154" s="7"/>
    </row>
    <row r="155" spans="1:6" ht="14.25" customHeight="1" x14ac:dyDescent="0.3">
      <c r="A155" s="7"/>
      <c r="B155" s="7"/>
      <c r="C155" s="7"/>
      <c r="D155" s="7"/>
      <c r="E155" s="7"/>
      <c r="F155" s="7"/>
    </row>
    <row r="156" spans="1:6" ht="14.25" customHeight="1" x14ac:dyDescent="0.3">
      <c r="A156" s="7"/>
      <c r="B156" s="7"/>
      <c r="C156" s="7"/>
      <c r="D156" s="7"/>
      <c r="E156" s="7"/>
      <c r="F156" s="7"/>
    </row>
    <row r="157" spans="1:6" ht="14.25" customHeight="1" x14ac:dyDescent="0.3">
      <c r="A157" s="7"/>
      <c r="B157" s="7"/>
      <c r="C157" s="7"/>
      <c r="D157" s="7"/>
      <c r="E157" s="7"/>
      <c r="F157" s="7"/>
    </row>
    <row r="158" spans="1:6" ht="14.25" customHeight="1" x14ac:dyDescent="0.3">
      <c r="A158" s="7"/>
      <c r="B158" s="7"/>
      <c r="C158" s="7"/>
      <c r="D158" s="7"/>
      <c r="E158" s="7"/>
      <c r="F158" s="7"/>
    </row>
    <row r="159" spans="1:6" ht="14.25" customHeight="1" x14ac:dyDescent="0.3">
      <c r="A159" s="7"/>
      <c r="B159" s="7"/>
      <c r="C159" s="7"/>
      <c r="D159" s="7"/>
      <c r="E159" s="7"/>
      <c r="F159" s="7"/>
    </row>
    <row r="160" spans="1:6" ht="14.25" customHeight="1" x14ac:dyDescent="0.3">
      <c r="A160" s="7"/>
      <c r="B160" s="7"/>
      <c r="C160" s="7"/>
      <c r="D160" s="7"/>
      <c r="E160" s="7"/>
      <c r="F160" s="7"/>
    </row>
    <row r="161" spans="1:6" ht="14.25" customHeight="1" x14ac:dyDescent="0.3">
      <c r="A161" s="7"/>
      <c r="B161" s="7"/>
      <c r="C161" s="7"/>
      <c r="D161" s="7"/>
      <c r="E161" s="7"/>
      <c r="F161" s="7"/>
    </row>
    <row r="162" spans="1:6" ht="14.25" customHeight="1" x14ac:dyDescent="0.3">
      <c r="A162" s="7"/>
      <c r="B162" s="7"/>
      <c r="C162" s="7"/>
      <c r="D162" s="7"/>
      <c r="E162" s="7"/>
      <c r="F162" s="7"/>
    </row>
    <row r="163" spans="1:6" ht="14.25" customHeight="1" x14ac:dyDescent="0.3">
      <c r="A163" s="7"/>
      <c r="B163" s="7"/>
      <c r="C163" s="7"/>
      <c r="D163" s="7"/>
      <c r="E163" s="7"/>
      <c r="F163" s="7"/>
    </row>
    <row r="164" spans="1:6" ht="14.25" customHeight="1" x14ac:dyDescent="0.3">
      <c r="A164" s="7"/>
      <c r="B164" s="7"/>
      <c r="C164" s="7"/>
      <c r="D164" s="7"/>
      <c r="E164" s="7"/>
      <c r="F164" s="7"/>
    </row>
    <row r="165" spans="1:6" ht="14.25" customHeight="1" x14ac:dyDescent="0.3">
      <c r="A165" s="7"/>
      <c r="B165" s="7"/>
      <c r="C165" s="7"/>
      <c r="D165" s="7"/>
      <c r="E165" s="7"/>
      <c r="F165" s="7"/>
    </row>
    <row r="166" spans="1:6" ht="14.25" customHeight="1" x14ac:dyDescent="0.3">
      <c r="A166" s="7"/>
      <c r="B166" s="7"/>
      <c r="C166" s="7"/>
      <c r="D166" s="7"/>
      <c r="E166" s="7"/>
      <c r="F166" s="7"/>
    </row>
    <row r="167" spans="1:6" ht="14.25" customHeight="1" x14ac:dyDescent="0.3">
      <c r="A167" s="7"/>
      <c r="B167" s="7"/>
      <c r="C167" s="7"/>
      <c r="D167" s="7"/>
      <c r="E167" s="7"/>
      <c r="F167" s="7"/>
    </row>
    <row r="168" spans="1:6" ht="14.25" customHeight="1" x14ac:dyDescent="0.3">
      <c r="A168" s="7"/>
      <c r="B168" s="7"/>
      <c r="C168" s="7"/>
      <c r="D168" s="7"/>
      <c r="E168" s="7"/>
      <c r="F168" s="7"/>
    </row>
    <row r="169" spans="1:6" ht="14.25" customHeight="1" x14ac:dyDescent="0.3">
      <c r="A169" s="7"/>
      <c r="B169" s="7"/>
      <c r="C169" s="7"/>
      <c r="D169" s="7"/>
      <c r="E169" s="7"/>
      <c r="F169" s="7"/>
    </row>
    <row r="170" spans="1:6" ht="14.25" customHeight="1" x14ac:dyDescent="0.3">
      <c r="A170" s="7"/>
      <c r="B170" s="7"/>
      <c r="C170" s="7"/>
      <c r="D170" s="7"/>
      <c r="E170" s="7"/>
      <c r="F170" s="7"/>
    </row>
    <row r="171" spans="1:6" ht="14.25" customHeight="1" x14ac:dyDescent="0.3">
      <c r="A171" s="7"/>
      <c r="B171" s="7"/>
      <c r="C171" s="7"/>
      <c r="D171" s="7"/>
      <c r="E171" s="7"/>
      <c r="F171" s="7"/>
    </row>
    <row r="172" spans="1:6" ht="14.25" customHeight="1" x14ac:dyDescent="0.3">
      <c r="A172" s="7"/>
      <c r="B172" s="7"/>
      <c r="C172" s="7"/>
      <c r="D172" s="7"/>
      <c r="E172" s="7"/>
      <c r="F172" s="7"/>
    </row>
    <row r="173" spans="1:6" ht="14.25" customHeight="1" x14ac:dyDescent="0.3">
      <c r="A173" s="7"/>
      <c r="B173" s="7"/>
      <c r="C173" s="7"/>
      <c r="D173" s="7"/>
      <c r="E173" s="7"/>
      <c r="F173" s="7"/>
    </row>
    <row r="174" spans="1:6" ht="14.25" customHeight="1" x14ac:dyDescent="0.3">
      <c r="A174" s="7"/>
      <c r="B174" s="7"/>
      <c r="C174" s="7"/>
      <c r="D174" s="7"/>
      <c r="E174" s="7"/>
      <c r="F174" s="7"/>
    </row>
    <row r="175" spans="1:6" ht="14.25" customHeight="1" x14ac:dyDescent="0.3">
      <c r="A175" s="7"/>
      <c r="B175" s="7"/>
      <c r="C175" s="7"/>
      <c r="D175" s="7"/>
      <c r="E175" s="7"/>
      <c r="F175" s="7"/>
    </row>
    <row r="176" spans="1:6" ht="14.25" customHeight="1" x14ac:dyDescent="0.3">
      <c r="A176" s="7"/>
      <c r="B176" s="7"/>
      <c r="C176" s="7"/>
      <c r="D176" s="7"/>
      <c r="E176" s="7"/>
      <c r="F176" s="7"/>
    </row>
    <row r="177" spans="1:6" ht="14.25" customHeight="1" x14ac:dyDescent="0.3">
      <c r="A177" s="7"/>
      <c r="B177" s="7"/>
      <c r="C177" s="7"/>
      <c r="D177" s="7"/>
      <c r="E177" s="7"/>
      <c r="F177" s="7"/>
    </row>
    <row r="178" spans="1:6" ht="14.25" customHeight="1" x14ac:dyDescent="0.3">
      <c r="A178" s="7"/>
      <c r="B178" s="7"/>
      <c r="C178" s="7"/>
      <c r="D178" s="7"/>
      <c r="E178" s="7"/>
      <c r="F178" s="7"/>
    </row>
    <row r="179" spans="1:6" ht="14.25" customHeight="1" x14ac:dyDescent="0.3">
      <c r="A179" s="7"/>
      <c r="B179" s="7"/>
      <c r="C179" s="7"/>
      <c r="D179" s="7"/>
      <c r="E179" s="7"/>
      <c r="F179" s="7"/>
    </row>
    <row r="180" spans="1:6" ht="14.25" customHeight="1" x14ac:dyDescent="0.3">
      <c r="A180" s="7"/>
      <c r="B180" s="7"/>
      <c r="C180" s="7"/>
      <c r="D180" s="7"/>
      <c r="E180" s="7"/>
      <c r="F180" s="7"/>
    </row>
    <row r="181" spans="1:6" ht="14.25" customHeight="1" x14ac:dyDescent="0.3">
      <c r="A181" s="7"/>
      <c r="B181" s="7"/>
      <c r="C181" s="7"/>
      <c r="D181" s="7"/>
      <c r="E181" s="7"/>
      <c r="F181" s="7"/>
    </row>
    <row r="182" spans="1:6" ht="14.25" customHeight="1" x14ac:dyDescent="0.3">
      <c r="A182" s="7"/>
      <c r="B182" s="7"/>
      <c r="C182" s="7"/>
      <c r="D182" s="7"/>
      <c r="E182" s="7"/>
      <c r="F182" s="7"/>
    </row>
    <row r="183" spans="1:6" ht="14.25" customHeight="1" x14ac:dyDescent="0.3">
      <c r="A183" s="7"/>
      <c r="B183" s="7"/>
      <c r="C183" s="7"/>
      <c r="D183" s="7"/>
      <c r="E183" s="7"/>
      <c r="F183" s="7"/>
    </row>
    <row r="184" spans="1:6" ht="14.25" customHeight="1" x14ac:dyDescent="0.3">
      <c r="A184" s="7"/>
      <c r="B184" s="7"/>
      <c r="C184" s="7"/>
      <c r="D184" s="7"/>
      <c r="E184" s="7"/>
      <c r="F184" s="7"/>
    </row>
    <row r="185" spans="1:6" ht="14.25" customHeight="1" x14ac:dyDescent="0.3">
      <c r="A185" s="7"/>
      <c r="B185" s="7"/>
      <c r="C185" s="7"/>
      <c r="D185" s="7"/>
      <c r="E185" s="7"/>
      <c r="F185" s="7"/>
    </row>
    <row r="186" spans="1:6" ht="14.25" customHeight="1" x14ac:dyDescent="0.3">
      <c r="A186" s="7"/>
      <c r="B186" s="7"/>
      <c r="C186" s="7"/>
      <c r="D186" s="7"/>
      <c r="E186" s="7"/>
      <c r="F186" s="7"/>
    </row>
    <row r="187" spans="1:6" ht="14.25" customHeight="1" x14ac:dyDescent="0.3">
      <c r="A187" s="7"/>
      <c r="B187" s="7"/>
      <c r="C187" s="7"/>
      <c r="D187" s="7"/>
      <c r="E187" s="7"/>
      <c r="F187" s="7"/>
    </row>
    <row r="188" spans="1:6" ht="14.25" customHeight="1" x14ac:dyDescent="0.3">
      <c r="A188" s="7"/>
      <c r="B188" s="7"/>
      <c r="C188" s="7"/>
      <c r="D188" s="7"/>
      <c r="E188" s="7"/>
      <c r="F188" s="7"/>
    </row>
    <row r="189" spans="1:6" ht="14.25" customHeight="1" x14ac:dyDescent="0.3">
      <c r="A189" s="7"/>
      <c r="B189" s="7"/>
      <c r="C189" s="7"/>
      <c r="D189" s="7"/>
      <c r="E189" s="7"/>
      <c r="F189" s="7"/>
    </row>
    <row r="190" spans="1:6" ht="14.25" customHeight="1" x14ac:dyDescent="0.3">
      <c r="A190" s="7"/>
      <c r="B190" s="7"/>
      <c r="C190" s="7"/>
      <c r="D190" s="7"/>
      <c r="E190" s="7"/>
      <c r="F190" s="7"/>
    </row>
    <row r="191" spans="1:6" ht="14.25" customHeight="1" x14ac:dyDescent="0.3">
      <c r="A191" s="7"/>
      <c r="B191" s="7"/>
      <c r="C191" s="7"/>
      <c r="D191" s="7"/>
      <c r="E191" s="7"/>
      <c r="F191" s="7"/>
    </row>
    <row r="192" spans="1:6" ht="14.25" customHeight="1" x14ac:dyDescent="0.3">
      <c r="A192" s="7"/>
      <c r="B192" s="7"/>
      <c r="C192" s="7"/>
      <c r="D192" s="7"/>
      <c r="E192" s="7"/>
      <c r="F192" s="7"/>
    </row>
    <row r="193" spans="1:6" ht="14.25" customHeight="1" x14ac:dyDescent="0.3">
      <c r="A193" s="7"/>
      <c r="B193" s="7"/>
      <c r="C193" s="7"/>
      <c r="D193" s="7"/>
      <c r="E193" s="7"/>
      <c r="F193" s="7"/>
    </row>
    <row r="194" spans="1:6" ht="14.25" customHeight="1" x14ac:dyDescent="0.3">
      <c r="A194" s="7"/>
      <c r="B194" s="7"/>
      <c r="C194" s="7"/>
      <c r="D194" s="7"/>
      <c r="E194" s="7"/>
      <c r="F194" s="7"/>
    </row>
    <row r="195" spans="1:6" ht="14.25" customHeight="1" x14ac:dyDescent="0.3">
      <c r="A195" s="7"/>
      <c r="B195" s="7"/>
      <c r="C195" s="7"/>
      <c r="D195" s="7"/>
      <c r="E195" s="7"/>
      <c r="F195" s="7"/>
    </row>
    <row r="196" spans="1:6" ht="14.25" customHeight="1" x14ac:dyDescent="0.3">
      <c r="A196" s="7"/>
      <c r="B196" s="7"/>
      <c r="C196" s="7"/>
      <c r="D196" s="7"/>
      <c r="E196" s="7"/>
      <c r="F196" s="7"/>
    </row>
    <row r="197" spans="1:6" ht="14.25" customHeight="1" x14ac:dyDescent="0.3">
      <c r="A197" s="7"/>
      <c r="B197" s="7"/>
      <c r="C197" s="7"/>
      <c r="D197" s="7"/>
      <c r="E197" s="7"/>
      <c r="F197" s="7"/>
    </row>
    <row r="198" spans="1:6" ht="14.25" customHeight="1" x14ac:dyDescent="0.3">
      <c r="A198" s="7"/>
      <c r="B198" s="7"/>
      <c r="C198" s="7"/>
      <c r="D198" s="7"/>
      <c r="E198" s="7"/>
      <c r="F198" s="7"/>
    </row>
    <row r="199" spans="1:6" ht="14.25" customHeight="1" x14ac:dyDescent="0.3">
      <c r="A199" s="7"/>
      <c r="B199" s="7"/>
      <c r="C199" s="7"/>
      <c r="D199" s="7"/>
      <c r="E199" s="7"/>
      <c r="F199" s="7"/>
    </row>
    <row r="200" spans="1:6" ht="14.25" customHeight="1" x14ac:dyDescent="0.3">
      <c r="A200" s="7"/>
      <c r="B200" s="7"/>
      <c r="C200" s="7"/>
      <c r="D200" s="7"/>
      <c r="E200" s="7"/>
      <c r="F200" s="7"/>
    </row>
    <row r="201" spans="1:6" ht="14.25" customHeight="1" x14ac:dyDescent="0.3">
      <c r="A201" s="7"/>
      <c r="B201" s="7"/>
      <c r="C201" s="7"/>
      <c r="D201" s="7"/>
      <c r="E201" s="7"/>
      <c r="F201" s="7"/>
    </row>
    <row r="202" spans="1:6" ht="14.25" customHeight="1" x14ac:dyDescent="0.3">
      <c r="A202" s="7"/>
      <c r="B202" s="7"/>
      <c r="C202" s="7"/>
      <c r="D202" s="7"/>
      <c r="E202" s="7"/>
      <c r="F202" s="7"/>
    </row>
    <row r="203" spans="1:6" ht="14.25" customHeight="1" x14ac:dyDescent="0.3">
      <c r="A203" s="7"/>
      <c r="B203" s="7"/>
      <c r="C203" s="7"/>
      <c r="D203" s="7"/>
      <c r="E203" s="7"/>
      <c r="F203" s="7"/>
    </row>
    <row r="204" spans="1:6" ht="14.25" customHeight="1" x14ac:dyDescent="0.3">
      <c r="A204" s="7"/>
      <c r="B204" s="7"/>
      <c r="C204" s="7"/>
      <c r="D204" s="7"/>
      <c r="E204" s="7"/>
      <c r="F204" s="7"/>
    </row>
    <row r="205" spans="1:6" ht="14.25" customHeight="1" x14ac:dyDescent="0.3">
      <c r="A205" s="7"/>
      <c r="B205" s="7"/>
      <c r="C205" s="7"/>
      <c r="D205" s="7"/>
      <c r="E205" s="7"/>
      <c r="F205" s="7"/>
    </row>
    <row r="206" spans="1:6" ht="14.25" customHeight="1" x14ac:dyDescent="0.3">
      <c r="A206" s="7"/>
      <c r="B206" s="7"/>
      <c r="C206" s="7"/>
      <c r="D206" s="7"/>
      <c r="E206" s="7"/>
      <c r="F206" s="7"/>
    </row>
    <row r="207" spans="1:6" ht="14.25" customHeight="1" x14ac:dyDescent="0.3">
      <c r="A207" s="7"/>
      <c r="B207" s="7"/>
      <c r="C207" s="7"/>
      <c r="D207" s="7"/>
      <c r="E207" s="7"/>
      <c r="F207" s="7"/>
    </row>
    <row r="208" spans="1:6" ht="14.25" customHeight="1" x14ac:dyDescent="0.3">
      <c r="A208" s="7"/>
      <c r="B208" s="7"/>
      <c r="C208" s="7"/>
      <c r="D208" s="7"/>
      <c r="E208" s="7"/>
      <c r="F208" s="7"/>
    </row>
    <row r="209" spans="1:6" ht="14.25" customHeight="1" x14ac:dyDescent="0.3">
      <c r="A209" s="7"/>
      <c r="B209" s="7"/>
      <c r="C209" s="7"/>
      <c r="D209" s="7"/>
      <c r="E209" s="7"/>
      <c r="F209" s="7"/>
    </row>
    <row r="210" spans="1:6" ht="14.25" customHeight="1" x14ac:dyDescent="0.3">
      <c r="A210" s="7"/>
      <c r="B210" s="7"/>
      <c r="C210" s="7"/>
      <c r="D210" s="7"/>
      <c r="E210" s="7"/>
      <c r="F210" s="7"/>
    </row>
    <row r="211" spans="1:6" ht="14.25" customHeight="1" x14ac:dyDescent="0.3">
      <c r="A211" s="7"/>
      <c r="B211" s="7"/>
      <c r="C211" s="7"/>
      <c r="D211" s="7"/>
      <c r="E211" s="7"/>
      <c r="F211" s="7"/>
    </row>
    <row r="212" spans="1:6" ht="14.25" customHeight="1" x14ac:dyDescent="0.3">
      <c r="A212" s="7"/>
      <c r="B212" s="7"/>
      <c r="C212" s="7"/>
      <c r="D212" s="7"/>
      <c r="E212" s="7"/>
      <c r="F212" s="7"/>
    </row>
    <row r="213" spans="1:6" ht="14.25" customHeight="1" x14ac:dyDescent="0.3">
      <c r="A213" s="7"/>
      <c r="B213" s="7"/>
      <c r="C213" s="7"/>
      <c r="D213" s="7"/>
      <c r="E213" s="7"/>
      <c r="F213" s="7"/>
    </row>
    <row r="214" spans="1:6" ht="14.25" customHeight="1" x14ac:dyDescent="0.3">
      <c r="A214" s="7"/>
      <c r="B214" s="7"/>
      <c r="C214" s="7"/>
      <c r="D214" s="7"/>
      <c r="E214" s="7"/>
      <c r="F214" s="7"/>
    </row>
    <row r="215" spans="1:6" ht="14.25" customHeight="1" x14ac:dyDescent="0.3">
      <c r="A215" s="7"/>
      <c r="B215" s="7"/>
      <c r="C215" s="7"/>
      <c r="D215" s="7"/>
      <c r="E215" s="7"/>
      <c r="F215" s="7"/>
    </row>
    <row r="216" spans="1:6" ht="14.25" customHeight="1" x14ac:dyDescent="0.3">
      <c r="A216" s="7"/>
      <c r="B216" s="7"/>
      <c r="C216" s="7"/>
      <c r="D216" s="7"/>
      <c r="E216" s="7"/>
      <c r="F216" s="7"/>
    </row>
    <row r="217" spans="1:6" ht="14.25" customHeight="1" x14ac:dyDescent="0.3">
      <c r="A217" s="7"/>
      <c r="B217" s="7"/>
      <c r="C217" s="7"/>
      <c r="D217" s="7"/>
      <c r="E217" s="7"/>
      <c r="F217" s="7"/>
    </row>
    <row r="218" spans="1:6" ht="14.25" customHeight="1" x14ac:dyDescent="0.3">
      <c r="A218" s="7"/>
      <c r="B218" s="7"/>
      <c r="C218" s="7"/>
      <c r="D218" s="7"/>
      <c r="E218" s="7"/>
      <c r="F218" s="7"/>
    </row>
    <row r="219" spans="1:6" ht="14.25" customHeight="1" x14ac:dyDescent="0.3">
      <c r="A219" s="7"/>
      <c r="B219" s="7"/>
      <c r="C219" s="7"/>
      <c r="D219" s="7"/>
      <c r="E219" s="7"/>
      <c r="F219" s="7"/>
    </row>
    <row r="220" spans="1:6" ht="14.25" customHeight="1" x14ac:dyDescent="0.3">
      <c r="A220" s="7"/>
      <c r="B220" s="7"/>
      <c r="C220" s="7"/>
      <c r="D220" s="7"/>
      <c r="E220" s="7"/>
      <c r="F220" s="7"/>
    </row>
    <row r="221" spans="1:6" ht="15.75" customHeight="1" x14ac:dyDescent="0.3"/>
    <row r="222" spans="1:6" ht="15.75" customHeight="1" x14ac:dyDescent="0.3"/>
    <row r="223" spans="1:6" ht="15.75" customHeight="1" x14ac:dyDescent="0.3"/>
    <row r="224" spans="1: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8</vt:i4>
      </vt:variant>
    </vt:vector>
  </HeadingPairs>
  <TitlesOfParts>
    <vt:vector size="36" baseType="lpstr">
      <vt:lpstr>REAL-BDGT2026</vt:lpstr>
      <vt:lpstr>Trazabilidad</vt:lpstr>
      <vt:lpstr>Premisas</vt:lpstr>
      <vt:lpstr>P&amp;L2026</vt:lpstr>
      <vt:lpstr>Cuentas</vt:lpstr>
      <vt:lpstr>RRHH-IngresVacyBonos</vt:lpstr>
      <vt:lpstr>Flk</vt:lpstr>
      <vt:lpstr>Astra</vt:lpstr>
      <vt:lpstr>Bayer</vt:lpstr>
      <vt:lpstr>Colgate</vt:lpstr>
      <vt:lpstr>HealthC</vt:lpstr>
      <vt:lpstr>SidusFarma</vt:lpstr>
      <vt:lpstr>SidusDermo</vt:lpstr>
      <vt:lpstr>IQVIA</vt:lpstr>
      <vt:lpstr>Panalab Man</vt:lpstr>
      <vt:lpstr>Panalab Dig</vt:lpstr>
      <vt:lpstr>Osseg</vt:lpstr>
      <vt:lpstr>PciaART</vt:lpstr>
      <vt:lpstr>Ceoderma</vt:lpstr>
      <vt:lpstr>MaxVis</vt:lpstr>
      <vt:lpstr>Unyc</vt:lpstr>
      <vt:lpstr>Avanter</vt:lpstr>
      <vt:lpstr>Prosp Nuev Neg Labos</vt:lpstr>
      <vt:lpstr>nuevos proyectos</vt:lpstr>
      <vt:lpstr>polit increm labos</vt:lpstr>
      <vt:lpstr>Detalles</vt:lpstr>
      <vt:lpstr>Reporte_Registros_IQVIA_Serie_T</vt:lpstr>
      <vt:lpstr>Info para Gráficos</vt:lpstr>
      <vt:lpstr>dolarbnaene</vt:lpstr>
      <vt:lpstr>dolarmepene</vt:lpstr>
      <vt:lpstr>ipcene</vt:lpstr>
      <vt:lpstr>ipctrimene</vt:lpstr>
      <vt:lpstr>usddic</vt:lpstr>
      <vt:lpstr>usdnov</vt:lpstr>
      <vt:lpstr>usdoct</vt:lpstr>
      <vt:lpstr>usdsep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Silvina Rodriguez</dc:creator>
  <cp:lastModifiedBy>Usuario Administrador</cp:lastModifiedBy>
  <dcterms:created xsi:type="dcterms:W3CDTF">2025-02-18T13:02:37Z</dcterms:created>
  <dcterms:modified xsi:type="dcterms:W3CDTF">2026-06-16T19:18:31Z</dcterms:modified>
</cp:coreProperties>
</file>